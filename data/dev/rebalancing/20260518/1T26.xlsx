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hidePivotFieldList="1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sicoob-my.sharepoint.com/personal/paulo_fonteles_sicoob_com_br/Documents/Renda Variável/Multifatorial 3.0/Rebalanceamentos/1T26/"/>
    </mc:Choice>
  </mc:AlternateContent>
  <xr:revisionPtr revIDLastSave="1565" documentId="8_{E320AD5F-9E0D-45D3-ADB6-843D0B463536}" xr6:coauthVersionLast="47" xr6:coauthVersionMax="47" xr10:uidLastSave="{5DCACF9F-76A0-4148-9CB7-AB8FE47B6CA8}"/>
  <bookViews>
    <workbookView xWindow="-108" yWindow="-108" windowWidth="23256" windowHeight="13896" tabRatio="610" activeTab="3" xr2:uid="{00000000-000D-0000-FFFF-FFFF00000000}"/>
  </bookViews>
  <sheets>
    <sheet name="29 - FIA" sheetId="1" r:id="rId1"/>
    <sheet name="35 - SMLL" sheetId="4" r:id="rId2"/>
    <sheet name="36 - LP" sheetId="5" r:id="rId3"/>
    <sheet name="37 - ISEE" sheetId="6" r:id="rId4"/>
    <sheet name="Setores" sheetId="7" r:id="rId5"/>
    <sheet name="Mandato Ibov" sheetId="9" r:id="rId6"/>
    <sheet name="Mandato Smll" sheetId="10" r:id="rId7"/>
    <sheet name="Mandato LP" sheetId="11" r:id="rId8"/>
    <sheet name="Mandato ISEE" sheetId="12" r:id="rId9"/>
    <sheet name="Interpretação" sheetId="13" r:id="rId10"/>
  </sheets>
  <definedNames>
    <definedName name="_xlnm._FilterDatabase" localSheetId="0" hidden="1">'29 - FIA'!$A$8:$BK$226</definedName>
    <definedName name="_xlnm._FilterDatabase" localSheetId="1" hidden="1">'35 - SMLL'!$A$8:$BL$222</definedName>
    <definedName name="_xlnm._FilterDatabase" localSheetId="2" hidden="1">'36 - LP'!$A$8:$BM$226</definedName>
    <definedName name="_xlnm._FilterDatabase" localSheetId="3" hidden="1">'37 - ISEE'!$A$8:$BK$226</definedName>
    <definedName name="_xlnm._FilterDatabase" localSheetId="9" hidden="1">Interpretação!$T$5:$AL$43</definedName>
    <definedName name="_xlnm._FilterDatabase" localSheetId="5" hidden="1">'Mandato Ibov'!$J$3:$BI$214</definedName>
    <definedName name="_xlnm._FilterDatabase" localSheetId="8" hidden="1">'Mandato ISEE'!$K$3:$BK$214</definedName>
    <definedName name="_xlnm._FilterDatabase" localSheetId="7" hidden="1">'Mandato LP'!$M$3:$BM$214</definedName>
    <definedName name="_xlnm._FilterDatabase" localSheetId="6" hidden="1">'Mandato Smll'!$M$3:$BM$214</definedName>
    <definedName name="_xlnm._FilterDatabase" localSheetId="4" hidden="1">Setores!$A$1:$A$219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13" l="1"/>
  <c r="AN8" i="13"/>
  <c r="AN9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6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H3" i="13" l="1"/>
  <c r="BM5" i="1"/>
  <c r="BM7" i="1"/>
  <c r="BM6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9" i="1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6" i="13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9" i="6"/>
  <c r="B12" i="6"/>
  <c r="B13" i="6"/>
  <c r="B14" i="6"/>
  <c r="B15" i="6"/>
  <c r="B17" i="6"/>
  <c r="B18" i="6"/>
  <c r="B19" i="6"/>
  <c r="B20" i="6"/>
  <c r="B21" i="6"/>
  <c r="B22" i="6"/>
  <c r="B24" i="6"/>
  <c r="B25" i="6"/>
  <c r="B26" i="6"/>
  <c r="B28" i="6"/>
  <c r="B29" i="6"/>
  <c r="B30" i="6"/>
  <c r="B32" i="6"/>
  <c r="B33" i="6"/>
  <c r="B34" i="6"/>
  <c r="B35" i="6"/>
  <c r="B36" i="6"/>
  <c r="B37" i="6"/>
  <c r="B39" i="6"/>
  <c r="B40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5" i="6"/>
  <c r="B86" i="6"/>
  <c r="B87" i="6"/>
  <c r="B88" i="6"/>
  <c r="B89" i="6"/>
  <c r="B90" i="6"/>
  <c r="B91" i="6"/>
  <c r="B92" i="6"/>
  <c r="B95" i="6"/>
  <c r="B96" i="6"/>
  <c r="B98" i="6"/>
  <c r="B99" i="6"/>
  <c r="B100" i="6"/>
  <c r="B101" i="6"/>
  <c r="B102" i="6"/>
  <c r="B103" i="6"/>
  <c r="B106" i="6"/>
  <c r="B107" i="6"/>
  <c r="B108" i="6"/>
  <c r="B110" i="6"/>
  <c r="B112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9" i="5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9" i="4"/>
  <c r="B7" i="4"/>
  <c r="AO7" i="1"/>
  <c r="B9" i="1"/>
  <c r="B16" i="1"/>
  <c r="B21" i="1"/>
  <c r="B10" i="1"/>
  <c r="B11" i="1"/>
  <c r="B12" i="1"/>
  <c r="B19" i="1"/>
  <c r="B13" i="1"/>
  <c r="B24" i="1"/>
  <c r="B23" i="1"/>
  <c r="B18" i="1"/>
  <c r="B38" i="1"/>
  <c r="B14" i="1"/>
  <c r="B15" i="1"/>
  <c r="B54" i="1"/>
  <c r="B34" i="1"/>
  <c r="B17" i="1"/>
  <c r="B68" i="1"/>
  <c r="B41" i="1"/>
  <c r="B57" i="1"/>
  <c r="B50" i="1"/>
  <c r="B39" i="1"/>
  <c r="B47" i="1"/>
  <c r="B42" i="1"/>
  <c r="B43" i="1"/>
  <c r="B58" i="1"/>
  <c r="B22" i="1"/>
  <c r="B27" i="1"/>
  <c r="B44" i="1"/>
  <c r="B20" i="1"/>
  <c r="B69" i="1"/>
  <c r="B40" i="1"/>
  <c r="B97" i="1"/>
  <c r="B30" i="1"/>
  <c r="B28" i="1"/>
  <c r="B33" i="1"/>
  <c r="B36" i="1"/>
  <c r="B56" i="1"/>
  <c r="B94" i="1"/>
  <c r="B61" i="1"/>
  <c r="B87" i="1"/>
  <c r="B99" i="1"/>
  <c r="B52" i="1"/>
  <c r="B46" i="1"/>
  <c r="B112" i="1"/>
  <c r="B62" i="1"/>
  <c r="B49" i="1"/>
  <c r="B118" i="1"/>
  <c r="B65" i="1"/>
  <c r="B120" i="1"/>
  <c r="B84" i="1"/>
  <c r="B92" i="1"/>
  <c r="B75" i="1"/>
  <c r="B59" i="1"/>
  <c r="B114" i="1"/>
  <c r="B157" i="1"/>
  <c r="B163" i="1"/>
  <c r="B104" i="1"/>
  <c r="B83" i="1"/>
  <c r="B90" i="1"/>
  <c r="B81" i="1"/>
  <c r="B117" i="1"/>
  <c r="B132" i="1"/>
  <c r="B150" i="1"/>
  <c r="B125" i="1"/>
  <c r="B96" i="1"/>
  <c r="B95" i="1"/>
  <c r="B100" i="1"/>
  <c r="B123" i="1"/>
  <c r="B147" i="1"/>
  <c r="B79" i="1"/>
  <c r="B145" i="1"/>
  <c r="B166" i="1"/>
  <c r="B119" i="1"/>
  <c r="B127" i="1"/>
  <c r="B177" i="1"/>
  <c r="B109" i="1"/>
  <c r="B113" i="1"/>
  <c r="B144" i="1"/>
  <c r="B85" i="1"/>
  <c r="B149" i="1"/>
  <c r="B80" i="1"/>
  <c r="B102" i="1"/>
  <c r="B159" i="1"/>
  <c r="B103" i="1"/>
  <c r="B133" i="1"/>
  <c r="B91" i="1"/>
  <c r="B86" i="1"/>
  <c r="B98" i="1"/>
  <c r="B160" i="1"/>
  <c r="B136" i="1"/>
  <c r="B137" i="1"/>
  <c r="B107" i="1"/>
  <c r="B138" i="1"/>
  <c r="B82" i="1"/>
  <c r="B88" i="1"/>
  <c r="B139" i="1"/>
  <c r="B141" i="1"/>
  <c r="B158" i="1"/>
  <c r="B126" i="1"/>
  <c r="B130" i="1"/>
  <c r="B151" i="1"/>
  <c r="B154" i="1"/>
  <c r="B155" i="1"/>
  <c r="B116" i="1"/>
  <c r="B110" i="1"/>
  <c r="B168" i="1"/>
  <c r="B108" i="1"/>
  <c r="B171" i="1"/>
  <c r="B188" i="1"/>
  <c r="B129" i="1"/>
  <c r="B203" i="1"/>
  <c r="B101" i="1"/>
  <c r="B142" i="1"/>
  <c r="B162" i="1"/>
  <c r="B190" i="1"/>
  <c r="B192" i="1"/>
  <c r="B202" i="1"/>
  <c r="B187" i="1"/>
  <c r="B164" i="1"/>
  <c r="B176" i="1"/>
  <c r="B178" i="1"/>
  <c r="B161" i="1"/>
  <c r="B115" i="1"/>
  <c r="B146" i="1"/>
  <c r="B131" i="1"/>
  <c r="B124" i="1"/>
  <c r="B182" i="1"/>
  <c r="B210" i="1"/>
  <c r="B169" i="1"/>
  <c r="B121" i="1"/>
  <c r="B152" i="1"/>
  <c r="B181" i="1"/>
  <c r="B140" i="1"/>
  <c r="B128" i="1"/>
  <c r="B135" i="1"/>
  <c r="B122" i="1"/>
  <c r="B170" i="1"/>
  <c r="B179" i="1"/>
  <c r="B172" i="1"/>
  <c r="B185" i="1"/>
  <c r="B153" i="1"/>
  <c r="B198" i="1"/>
  <c r="B180" i="1"/>
  <c r="B143" i="1"/>
  <c r="B134" i="1"/>
  <c r="B173" i="1"/>
  <c r="B194" i="1"/>
  <c r="B191" i="1"/>
  <c r="B148" i="1"/>
  <c r="B167" i="1"/>
  <c r="B195" i="1"/>
  <c r="B197" i="1"/>
  <c r="B199" i="1"/>
  <c r="B156" i="1"/>
  <c r="B174" i="1"/>
  <c r="B175" i="1"/>
  <c r="B196" i="1"/>
  <c r="B183" i="1"/>
  <c r="B186" i="1"/>
  <c r="B200" i="1"/>
  <c r="B165" i="1"/>
  <c r="B201" i="1"/>
  <c r="B184" i="1"/>
  <c r="B189" i="1"/>
  <c r="B205" i="1"/>
  <c r="B193" i="1"/>
  <c r="B211" i="1"/>
  <c r="B207" i="1"/>
  <c r="B206" i="1"/>
  <c r="B204" i="1"/>
  <c r="B208" i="1"/>
  <c r="B209" i="1"/>
  <c r="B212" i="1"/>
  <c r="B214" i="1"/>
  <c r="B215" i="1"/>
  <c r="B213" i="1"/>
  <c r="B216" i="1"/>
  <c r="B217" i="1"/>
  <c r="B218" i="1"/>
  <c r="B219" i="1"/>
  <c r="B1" i="1" l="1"/>
  <c r="L2" i="6"/>
  <c r="E7" i="6"/>
  <c r="E1" i="6"/>
  <c r="D10" i="6"/>
  <c r="D11" i="6"/>
  <c r="C12" i="6"/>
  <c r="C13" i="6"/>
  <c r="C14" i="6"/>
  <c r="C16" i="6"/>
  <c r="D17" i="6"/>
  <c r="C18" i="6"/>
  <c r="D19" i="6"/>
  <c r="C20" i="6"/>
  <c r="D21" i="6"/>
  <c r="C22" i="6"/>
  <c r="C23" i="6"/>
  <c r="C24" i="6"/>
  <c r="C25" i="6"/>
  <c r="C26" i="6"/>
  <c r="D27" i="6"/>
  <c r="C28" i="6"/>
  <c r="C29" i="6"/>
  <c r="C30" i="6"/>
  <c r="C31" i="6"/>
  <c r="C32" i="6"/>
  <c r="D33" i="6"/>
  <c r="D34" i="6"/>
  <c r="D35" i="6"/>
  <c r="C36" i="6"/>
  <c r="C37" i="6"/>
  <c r="C38" i="6"/>
  <c r="C39" i="6"/>
  <c r="C40" i="6"/>
  <c r="C41" i="6"/>
  <c r="D42" i="6"/>
  <c r="D43" i="6"/>
  <c r="C44" i="6"/>
  <c r="C45" i="6"/>
  <c r="C46" i="6"/>
  <c r="C47" i="6"/>
  <c r="C48" i="6"/>
  <c r="D49" i="6"/>
  <c r="C50" i="6"/>
  <c r="D51" i="6"/>
  <c r="C52" i="6"/>
  <c r="C53" i="6"/>
  <c r="C54" i="6"/>
  <c r="C55" i="6"/>
  <c r="C56" i="6"/>
  <c r="C57" i="6"/>
  <c r="C58" i="6"/>
  <c r="D59" i="6"/>
  <c r="C60" i="6"/>
  <c r="C61" i="6"/>
  <c r="C62" i="6"/>
  <c r="C63" i="6"/>
  <c r="C64" i="6"/>
  <c r="D65" i="6"/>
  <c r="C66" i="6"/>
  <c r="D67" i="6"/>
  <c r="C68" i="6"/>
  <c r="C69" i="6"/>
  <c r="C70" i="6"/>
  <c r="C71" i="6"/>
  <c r="C72" i="6"/>
  <c r="C73" i="6"/>
  <c r="D74" i="6"/>
  <c r="D75" i="6"/>
  <c r="C76" i="6"/>
  <c r="C77" i="6"/>
  <c r="C78" i="6"/>
  <c r="C79" i="6"/>
  <c r="C80" i="6"/>
  <c r="D81" i="6"/>
  <c r="C82" i="6"/>
  <c r="D83" i="6"/>
  <c r="C84" i="6"/>
  <c r="D85" i="6"/>
  <c r="C86" i="6"/>
  <c r="C87" i="6"/>
  <c r="C88" i="6"/>
  <c r="C89" i="6"/>
  <c r="C90" i="6"/>
  <c r="D91" i="6"/>
  <c r="C92" i="6"/>
  <c r="C93" i="6"/>
  <c r="C94" i="6"/>
  <c r="C95" i="6"/>
  <c r="C96" i="6"/>
  <c r="D97" i="6"/>
  <c r="D98" i="6"/>
  <c r="D99" i="6"/>
  <c r="C100" i="6"/>
  <c r="C101" i="6"/>
  <c r="C102" i="6"/>
  <c r="C103" i="6"/>
  <c r="C104" i="6"/>
  <c r="C105" i="6"/>
  <c r="C106" i="6"/>
  <c r="D107" i="6"/>
  <c r="C108" i="6"/>
  <c r="C109" i="6"/>
  <c r="C110" i="6"/>
  <c r="C111" i="6"/>
  <c r="C112" i="6"/>
  <c r="D113" i="6"/>
  <c r="C114" i="6"/>
  <c r="D115" i="6"/>
  <c r="C116" i="6"/>
  <c r="C117" i="6"/>
  <c r="C118" i="6"/>
  <c r="C119" i="6"/>
  <c r="C120" i="6"/>
  <c r="C121" i="6"/>
  <c r="C122" i="6"/>
  <c r="D123" i="6"/>
  <c r="C124" i="6"/>
  <c r="C125" i="6"/>
  <c r="C126" i="6"/>
  <c r="C127" i="6"/>
  <c r="C128" i="6"/>
  <c r="D129" i="6"/>
  <c r="C130" i="6"/>
  <c r="D131" i="6"/>
  <c r="C132" i="6"/>
  <c r="C133" i="6"/>
  <c r="C134" i="6"/>
  <c r="C135" i="6"/>
  <c r="C136" i="6"/>
  <c r="C137" i="6"/>
  <c r="D138" i="6"/>
  <c r="D139" i="6"/>
  <c r="C140" i="6"/>
  <c r="C141" i="6"/>
  <c r="C142" i="6"/>
  <c r="C143" i="6"/>
  <c r="C144" i="6"/>
  <c r="D145" i="6"/>
  <c r="C146" i="6"/>
  <c r="D147" i="6"/>
  <c r="D148" i="6"/>
  <c r="D149" i="6"/>
  <c r="C150" i="6"/>
  <c r="C151" i="6"/>
  <c r="C152" i="6"/>
  <c r="C153" i="6"/>
  <c r="C154" i="6"/>
  <c r="D155" i="6"/>
  <c r="C156" i="6"/>
  <c r="C157" i="6"/>
  <c r="C158" i="6"/>
  <c r="C159" i="6"/>
  <c r="C160" i="6"/>
  <c r="D161" i="6"/>
  <c r="D162" i="6"/>
  <c r="D163" i="6"/>
  <c r="C164" i="6"/>
  <c r="C165" i="6"/>
  <c r="C166" i="6"/>
  <c r="C167" i="6"/>
  <c r="C168" i="6"/>
  <c r="C169" i="6"/>
  <c r="C170" i="6"/>
  <c r="D171" i="6"/>
  <c r="C172" i="6"/>
  <c r="C173" i="6"/>
  <c r="C174" i="6"/>
  <c r="C175" i="6"/>
  <c r="C176" i="6"/>
  <c r="D177" i="6"/>
  <c r="C178" i="6"/>
  <c r="D179" i="6"/>
  <c r="C180" i="6"/>
  <c r="C181" i="6"/>
  <c r="C182" i="6"/>
  <c r="C183" i="6"/>
  <c r="C184" i="6"/>
  <c r="C185" i="6"/>
  <c r="C186" i="6"/>
  <c r="D187" i="6"/>
  <c r="C188" i="6"/>
  <c r="C189" i="6"/>
  <c r="C190" i="6"/>
  <c r="C191" i="6"/>
  <c r="C192" i="6"/>
  <c r="D193" i="6"/>
  <c r="C194" i="6"/>
  <c r="D195" i="6"/>
  <c r="C196" i="6"/>
  <c r="C197" i="6"/>
  <c r="C198" i="6"/>
  <c r="C199" i="6"/>
  <c r="C200" i="6"/>
  <c r="C201" i="6"/>
  <c r="D202" i="6"/>
  <c r="D203" i="6"/>
  <c r="C204" i="6"/>
  <c r="C205" i="6"/>
  <c r="C206" i="6"/>
  <c r="C207" i="6"/>
  <c r="C208" i="6"/>
  <c r="D209" i="6"/>
  <c r="C210" i="6"/>
  <c r="D211" i="6"/>
  <c r="D212" i="6"/>
  <c r="D213" i="6"/>
  <c r="C214" i="6"/>
  <c r="C215" i="6"/>
  <c r="C216" i="6"/>
  <c r="C217" i="6"/>
  <c r="C218" i="6"/>
  <c r="D219" i="6"/>
  <c r="D9" i="6"/>
  <c r="K7" i="6"/>
  <c r="G7" i="6"/>
  <c r="F7" i="6"/>
  <c r="G6" i="6"/>
  <c r="F6" i="6"/>
  <c r="C27" i="5"/>
  <c r="C29" i="5"/>
  <c r="C62" i="5"/>
  <c r="G6" i="5"/>
  <c r="F6" i="5"/>
  <c r="L2" i="5"/>
  <c r="K7" i="5"/>
  <c r="D29" i="5"/>
  <c r="D11" i="5"/>
  <c r="D13" i="5"/>
  <c r="D14" i="5"/>
  <c r="D15" i="5"/>
  <c r="D18" i="5"/>
  <c r="D19" i="5"/>
  <c r="D20" i="5"/>
  <c r="D21" i="5"/>
  <c r="D22" i="5"/>
  <c r="D23" i="5"/>
  <c r="D24" i="5"/>
  <c r="D25" i="5"/>
  <c r="D30" i="5"/>
  <c r="D31" i="5"/>
  <c r="D34" i="5"/>
  <c r="D38" i="5"/>
  <c r="D39" i="5"/>
  <c r="D40" i="5"/>
  <c r="D41" i="5"/>
  <c r="D46" i="5"/>
  <c r="D47" i="5"/>
  <c r="D50" i="5"/>
  <c r="D52" i="5"/>
  <c r="D53" i="5"/>
  <c r="D54" i="5"/>
  <c r="D55" i="5"/>
  <c r="D56" i="5"/>
  <c r="D57" i="5"/>
  <c r="D59" i="5"/>
  <c r="D62" i="5"/>
  <c r="D66" i="5"/>
  <c r="D67" i="5"/>
  <c r="D68" i="5"/>
  <c r="D69" i="5"/>
  <c r="D70" i="5"/>
  <c r="D71" i="5"/>
  <c r="D72" i="5"/>
  <c r="D73" i="5"/>
  <c r="D75" i="5"/>
  <c r="D77" i="5"/>
  <c r="D78" i="5"/>
  <c r="D79" i="5"/>
  <c r="D82" i="5"/>
  <c r="D83" i="5"/>
  <c r="D84" i="5"/>
  <c r="D85" i="5"/>
  <c r="D86" i="5"/>
  <c r="D87" i="5"/>
  <c r="D88" i="5"/>
  <c r="D89" i="5"/>
  <c r="D94" i="5"/>
  <c r="D95" i="5"/>
  <c r="D98" i="5"/>
  <c r="D99" i="5"/>
  <c r="D100" i="5"/>
  <c r="D101" i="5"/>
  <c r="D102" i="5"/>
  <c r="D103" i="5"/>
  <c r="D104" i="5"/>
  <c r="D105" i="5"/>
  <c r="D107" i="5"/>
  <c r="D110" i="5"/>
  <c r="D111" i="5"/>
  <c r="D114" i="5"/>
  <c r="D118" i="5"/>
  <c r="D119" i="5"/>
  <c r="D120" i="5"/>
  <c r="D121" i="5"/>
  <c r="D125" i="5"/>
  <c r="D126" i="5"/>
  <c r="D127" i="5"/>
  <c r="D130" i="5"/>
  <c r="D132" i="5"/>
  <c r="D133" i="5"/>
  <c r="D134" i="5"/>
  <c r="D135" i="5"/>
  <c r="D136" i="5"/>
  <c r="D137" i="5"/>
  <c r="D139" i="5"/>
  <c r="D141" i="5"/>
  <c r="D142" i="5"/>
  <c r="D143" i="5"/>
  <c r="D146" i="5"/>
  <c r="D148" i="5"/>
  <c r="D149" i="5"/>
  <c r="D150" i="5"/>
  <c r="D151" i="5"/>
  <c r="D152" i="5"/>
  <c r="D153" i="5"/>
  <c r="D157" i="5"/>
  <c r="D158" i="5"/>
  <c r="D159" i="5"/>
  <c r="D162" i="5"/>
  <c r="D166" i="5"/>
  <c r="D167" i="5"/>
  <c r="D168" i="5"/>
  <c r="D169" i="5"/>
  <c r="D171" i="5"/>
  <c r="D174" i="5"/>
  <c r="D175" i="5"/>
  <c r="D178" i="5"/>
  <c r="D180" i="5"/>
  <c r="D181" i="5"/>
  <c r="D182" i="5"/>
  <c r="D183" i="5"/>
  <c r="D184" i="5"/>
  <c r="D185" i="5"/>
  <c r="D190" i="5"/>
  <c r="D191" i="5"/>
  <c r="D194" i="5"/>
  <c r="D196" i="5"/>
  <c r="D197" i="5"/>
  <c r="D198" i="5"/>
  <c r="D199" i="5"/>
  <c r="D200" i="5"/>
  <c r="D201" i="5"/>
  <c r="D205" i="5"/>
  <c r="D206" i="5"/>
  <c r="D207" i="5"/>
  <c r="D210" i="5"/>
  <c r="D212" i="5"/>
  <c r="D213" i="5"/>
  <c r="D214" i="5"/>
  <c r="D215" i="5"/>
  <c r="D216" i="5"/>
  <c r="D217" i="5"/>
  <c r="D219" i="5"/>
  <c r="L2" i="4"/>
  <c r="K7" i="4"/>
  <c r="G6" i="4"/>
  <c r="F6" i="4"/>
  <c r="D10" i="4"/>
  <c r="D11" i="4"/>
  <c r="D12" i="4"/>
  <c r="D13" i="4"/>
  <c r="D14" i="4"/>
  <c r="D15" i="4"/>
  <c r="D16" i="4"/>
  <c r="D17" i="4"/>
  <c r="D22" i="4"/>
  <c r="D23" i="4"/>
  <c r="D25" i="4"/>
  <c r="D26" i="4"/>
  <c r="D27" i="4"/>
  <c r="D28" i="4"/>
  <c r="D29" i="4"/>
  <c r="D30" i="4"/>
  <c r="D31" i="4"/>
  <c r="D32" i="4"/>
  <c r="D33" i="4"/>
  <c r="D34" i="4"/>
  <c r="D35" i="4"/>
  <c r="D37" i="4"/>
  <c r="D38" i="4"/>
  <c r="D39" i="4"/>
  <c r="D41" i="4"/>
  <c r="D42" i="4"/>
  <c r="D43" i="4"/>
  <c r="D44" i="4"/>
  <c r="D45" i="4"/>
  <c r="D46" i="4"/>
  <c r="D47" i="4"/>
  <c r="D48" i="4"/>
  <c r="D50" i="4"/>
  <c r="D54" i="4"/>
  <c r="D55" i="4"/>
  <c r="D57" i="4"/>
  <c r="D58" i="4"/>
  <c r="D59" i="4"/>
  <c r="D60" i="4"/>
  <c r="D63" i="4"/>
  <c r="D64" i="4"/>
  <c r="D66" i="4"/>
  <c r="D69" i="4"/>
  <c r="D70" i="4"/>
  <c r="D73" i="4"/>
  <c r="D74" i="4"/>
  <c r="D75" i="4"/>
  <c r="D76" i="4"/>
  <c r="D77" i="4"/>
  <c r="D79" i="4"/>
  <c r="D82" i="4"/>
  <c r="D83" i="4"/>
  <c r="D86" i="4"/>
  <c r="D87" i="4"/>
  <c r="D88" i="4"/>
  <c r="D89" i="4"/>
  <c r="D90" i="4"/>
  <c r="D91" i="4"/>
  <c r="D92" i="4"/>
  <c r="D93" i="4"/>
  <c r="D95" i="4"/>
  <c r="D96" i="4"/>
  <c r="D98" i="4"/>
  <c r="D100" i="4"/>
  <c r="D101" i="4"/>
  <c r="D104" i="4"/>
  <c r="D105" i="4"/>
  <c r="D106" i="4"/>
  <c r="D107" i="4"/>
  <c r="D108" i="4"/>
  <c r="D109" i="4"/>
  <c r="D111" i="4"/>
  <c r="D112" i="4"/>
  <c r="D114" i="4"/>
  <c r="D115" i="4"/>
  <c r="D118" i="4"/>
  <c r="D119" i="4"/>
  <c r="D120" i="4"/>
  <c r="D121" i="4"/>
  <c r="D122" i="4"/>
  <c r="D123" i="4"/>
  <c r="D124" i="4"/>
  <c r="D125" i="4"/>
  <c r="D127" i="4"/>
  <c r="D128" i="4"/>
  <c r="D130" i="4"/>
  <c r="D131" i="4"/>
  <c r="D134" i="4"/>
  <c r="D135" i="4"/>
  <c r="D137" i="4"/>
  <c r="D138" i="4"/>
  <c r="D139" i="4"/>
  <c r="D140" i="4"/>
  <c r="D143" i="4"/>
  <c r="D144" i="4"/>
  <c r="D146" i="4"/>
  <c r="D147" i="4"/>
  <c r="D150" i="4"/>
  <c r="D152" i="4"/>
  <c r="D153" i="4"/>
  <c r="D154" i="4"/>
  <c r="D155" i="4"/>
  <c r="D157" i="4"/>
  <c r="D159" i="4"/>
  <c r="D160" i="4"/>
  <c r="D161" i="4"/>
  <c r="D162" i="4"/>
  <c r="D163" i="4"/>
  <c r="D166" i="4"/>
  <c r="D167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5" i="4"/>
  <c r="D186" i="4"/>
  <c r="D187" i="4"/>
  <c r="D188" i="4"/>
  <c r="D189" i="4"/>
  <c r="D190" i="4"/>
  <c r="D191" i="4"/>
  <c r="D192" i="4"/>
  <c r="D194" i="4"/>
  <c r="D195" i="4"/>
  <c r="D198" i="4"/>
  <c r="D199" i="4"/>
  <c r="D200" i="4"/>
  <c r="D201" i="4"/>
  <c r="D202" i="4"/>
  <c r="D203" i="4"/>
  <c r="D204" i="4"/>
  <c r="D205" i="4"/>
  <c r="D207" i="4"/>
  <c r="D208" i="4"/>
  <c r="D210" i="4"/>
  <c r="D212" i="4"/>
  <c r="D214" i="4"/>
  <c r="D215" i="4"/>
  <c r="D217" i="4"/>
  <c r="D218" i="4"/>
  <c r="D219" i="4"/>
  <c r="D9" i="4"/>
  <c r="C26" i="5" l="1"/>
  <c r="C10" i="5"/>
  <c r="C218" i="5"/>
  <c r="C202" i="5"/>
  <c r="C186" i="5"/>
  <c r="C170" i="5"/>
  <c r="C154" i="5"/>
  <c r="C138" i="5"/>
  <c r="C122" i="5"/>
  <c r="C106" i="5"/>
  <c r="C90" i="5"/>
  <c r="C74" i="5"/>
  <c r="C58" i="5"/>
  <c r="C42" i="5"/>
  <c r="C189" i="5"/>
  <c r="C173" i="5"/>
  <c r="C109" i="5"/>
  <c r="C93" i="5"/>
  <c r="C61" i="5"/>
  <c r="C45" i="5"/>
  <c r="C203" i="5"/>
  <c r="C187" i="5"/>
  <c r="C155" i="5"/>
  <c r="C123" i="5"/>
  <c r="C91" i="5"/>
  <c r="C43" i="5"/>
  <c r="C148" i="6"/>
  <c r="D116" i="6"/>
  <c r="D37" i="6"/>
  <c r="D52" i="6"/>
  <c r="D101" i="6"/>
  <c r="C21" i="6"/>
  <c r="D130" i="6"/>
  <c r="C213" i="6"/>
  <c r="D197" i="6"/>
  <c r="D164" i="6"/>
  <c r="C149" i="6"/>
  <c r="C59" i="6"/>
  <c r="C155" i="6"/>
  <c r="D58" i="6"/>
  <c r="C42" i="6"/>
  <c r="C219" i="6"/>
  <c r="D210" i="6"/>
  <c r="C115" i="6"/>
  <c r="D20" i="6"/>
  <c r="C27" i="6"/>
  <c r="C202" i="6"/>
  <c r="D106" i="6"/>
  <c r="C187" i="6"/>
  <c r="C179" i="6"/>
  <c r="D84" i="6"/>
  <c r="D170" i="6"/>
  <c r="D165" i="6"/>
  <c r="C74" i="6"/>
  <c r="D69" i="6"/>
  <c r="C212" i="6"/>
  <c r="D122" i="6"/>
  <c r="D82" i="6"/>
  <c r="D36" i="6"/>
  <c r="C211" i="6"/>
  <c r="C34" i="6"/>
  <c r="C162" i="6"/>
  <c r="D66" i="6"/>
  <c r="D194" i="6"/>
  <c r="C19" i="6"/>
  <c r="D18" i="6"/>
  <c r="C147" i="6"/>
  <c r="D186" i="6"/>
  <c r="D146" i="6"/>
  <c r="D100" i="6"/>
  <c r="C10" i="6"/>
  <c r="C98" i="6"/>
  <c r="D180" i="6"/>
  <c r="C138" i="6"/>
  <c r="C91" i="6"/>
  <c r="C51" i="6"/>
  <c r="D133" i="6"/>
  <c r="C85" i="6"/>
  <c r="C123" i="6"/>
  <c r="C83" i="6"/>
  <c r="D188" i="6"/>
  <c r="D169" i="6"/>
  <c r="D124" i="6"/>
  <c r="D105" i="6"/>
  <c r="D60" i="6"/>
  <c r="D41" i="6"/>
  <c r="D204" i="6"/>
  <c r="D185" i="6"/>
  <c r="D140" i="6"/>
  <c r="D121" i="6"/>
  <c r="D76" i="6"/>
  <c r="D57" i="6"/>
  <c r="D12" i="6"/>
  <c r="C203" i="6"/>
  <c r="D181" i="6"/>
  <c r="C163" i="6"/>
  <c r="C139" i="6"/>
  <c r="D117" i="6"/>
  <c r="C99" i="6"/>
  <c r="C75" i="6"/>
  <c r="D53" i="6"/>
  <c r="C35" i="6"/>
  <c r="C11" i="6"/>
  <c r="D201" i="6"/>
  <c r="D156" i="6"/>
  <c r="D137" i="6"/>
  <c r="D92" i="6"/>
  <c r="D73" i="6"/>
  <c r="D28" i="6"/>
  <c r="D218" i="6"/>
  <c r="D178" i="6"/>
  <c r="D154" i="6"/>
  <c r="D114" i="6"/>
  <c r="D90" i="6"/>
  <c r="D50" i="6"/>
  <c r="D26" i="6"/>
  <c r="D196" i="6"/>
  <c r="D132" i="6"/>
  <c r="D68" i="6"/>
  <c r="D217" i="6"/>
  <c r="D172" i="6"/>
  <c r="D153" i="6"/>
  <c r="D108" i="6"/>
  <c r="D89" i="6"/>
  <c r="D44" i="6"/>
  <c r="D25" i="6"/>
  <c r="C195" i="6"/>
  <c r="C171" i="6"/>
  <c r="C131" i="6"/>
  <c r="C107" i="6"/>
  <c r="C67" i="6"/>
  <c r="C43" i="6"/>
  <c r="D205" i="6"/>
  <c r="D189" i="6"/>
  <c r="D173" i="6"/>
  <c r="D157" i="6"/>
  <c r="D141" i="6"/>
  <c r="D125" i="6"/>
  <c r="D109" i="6"/>
  <c r="D93" i="6"/>
  <c r="D77" i="6"/>
  <c r="D61" i="6"/>
  <c r="D45" i="6"/>
  <c r="D29" i="6"/>
  <c r="D13" i="6"/>
  <c r="B1" i="6"/>
  <c r="C209" i="6"/>
  <c r="C193" i="6"/>
  <c r="C177" i="6"/>
  <c r="C161" i="6"/>
  <c r="C145" i="6"/>
  <c r="C129" i="6"/>
  <c r="C113" i="6"/>
  <c r="C97" i="6"/>
  <c r="C81" i="6"/>
  <c r="C65" i="6"/>
  <c r="C49" i="6"/>
  <c r="C33" i="6"/>
  <c r="C17" i="6"/>
  <c r="D216" i="6"/>
  <c r="D208" i="6"/>
  <c r="D200" i="6"/>
  <c r="D192" i="6"/>
  <c r="D184" i="6"/>
  <c r="D176" i="6"/>
  <c r="D168" i="6"/>
  <c r="D160" i="6"/>
  <c r="D152" i="6"/>
  <c r="D144" i="6"/>
  <c r="D136" i="6"/>
  <c r="D128" i="6"/>
  <c r="D120" i="6"/>
  <c r="D112" i="6"/>
  <c r="D104" i="6"/>
  <c r="D96" i="6"/>
  <c r="D88" i="6"/>
  <c r="D80" i="6"/>
  <c r="D72" i="6"/>
  <c r="D64" i="6"/>
  <c r="D56" i="6"/>
  <c r="D48" i="6"/>
  <c r="D40" i="6"/>
  <c r="D32" i="6"/>
  <c r="D24" i="6"/>
  <c r="D16" i="6"/>
  <c r="C9" i="6"/>
  <c r="D215" i="6"/>
  <c r="D207" i="6"/>
  <c r="D199" i="6"/>
  <c r="D191" i="6"/>
  <c r="D183" i="6"/>
  <c r="D175" i="6"/>
  <c r="D167" i="6"/>
  <c r="D159" i="6"/>
  <c r="D151" i="6"/>
  <c r="D143" i="6"/>
  <c r="D135" i="6"/>
  <c r="D127" i="6"/>
  <c r="D119" i="6"/>
  <c r="D111" i="6"/>
  <c r="D103" i="6"/>
  <c r="D95" i="6"/>
  <c r="D87" i="6"/>
  <c r="D79" i="6"/>
  <c r="D71" i="6"/>
  <c r="D63" i="6"/>
  <c r="D55" i="6"/>
  <c r="D47" i="6"/>
  <c r="D39" i="6"/>
  <c r="D31" i="6"/>
  <c r="D23" i="6"/>
  <c r="D15" i="6"/>
  <c r="C15" i="6"/>
  <c r="D214" i="6"/>
  <c r="D206" i="6"/>
  <c r="D198" i="6"/>
  <c r="D190" i="6"/>
  <c r="D182" i="6"/>
  <c r="D174" i="6"/>
  <c r="D166" i="6"/>
  <c r="D158" i="6"/>
  <c r="D150" i="6"/>
  <c r="D142" i="6"/>
  <c r="D134" i="6"/>
  <c r="D126" i="6"/>
  <c r="D118" i="6"/>
  <c r="D110" i="6"/>
  <c r="D102" i="6"/>
  <c r="D94" i="6"/>
  <c r="D86" i="6"/>
  <c r="D78" i="6"/>
  <c r="D70" i="6"/>
  <c r="D62" i="6"/>
  <c r="D54" i="6"/>
  <c r="D46" i="6"/>
  <c r="D38" i="6"/>
  <c r="D30" i="6"/>
  <c r="D22" i="6"/>
  <c r="D14" i="6"/>
  <c r="B7" i="6"/>
  <c r="C22" i="5"/>
  <c r="C63" i="5"/>
  <c r="C200" i="5"/>
  <c r="C184" i="5"/>
  <c r="C168" i="5"/>
  <c r="C136" i="5"/>
  <c r="C79" i="5"/>
  <c r="C179" i="5"/>
  <c r="C152" i="5"/>
  <c r="C204" i="5"/>
  <c r="C188" i="5"/>
  <c r="C172" i="5"/>
  <c r="C156" i="5"/>
  <c r="C140" i="5"/>
  <c r="C124" i="5"/>
  <c r="C108" i="5"/>
  <c r="C92" i="5"/>
  <c r="C76" i="5"/>
  <c r="C60" i="5"/>
  <c r="C44" i="5"/>
  <c r="C28" i="5"/>
  <c r="C12" i="5"/>
  <c r="C40" i="5"/>
  <c r="C195" i="5"/>
  <c r="C163" i="5"/>
  <c r="C147" i="5"/>
  <c r="C131" i="5"/>
  <c r="C115" i="5"/>
  <c r="C99" i="5"/>
  <c r="C83" i="5"/>
  <c r="C67" i="5"/>
  <c r="C51" i="5"/>
  <c r="C35" i="5"/>
  <c r="C19" i="5"/>
  <c r="D147" i="5"/>
  <c r="C209" i="5"/>
  <c r="C193" i="5"/>
  <c r="C177" i="5"/>
  <c r="C161" i="5"/>
  <c r="C145" i="5"/>
  <c r="C129" i="5"/>
  <c r="C113" i="5"/>
  <c r="C97" i="5"/>
  <c r="C81" i="5"/>
  <c r="C65" i="5"/>
  <c r="C49" i="5"/>
  <c r="C33" i="5"/>
  <c r="C17" i="5"/>
  <c r="C198" i="5"/>
  <c r="C217" i="5"/>
  <c r="C185" i="5"/>
  <c r="C153" i="5"/>
  <c r="C137" i="5"/>
  <c r="C121" i="5"/>
  <c r="C105" i="5"/>
  <c r="C89" i="5"/>
  <c r="C73" i="5"/>
  <c r="C57" i="5"/>
  <c r="C25" i="5"/>
  <c r="C120" i="5"/>
  <c r="C72" i="5"/>
  <c r="C56" i="5"/>
  <c r="C24" i="5"/>
  <c r="C150" i="5"/>
  <c r="B1" i="5"/>
  <c r="D173" i="5"/>
  <c r="C86" i="5"/>
  <c r="C206" i="5"/>
  <c r="C205" i="5"/>
  <c r="C158" i="5"/>
  <c r="C142" i="5"/>
  <c r="C207" i="5"/>
  <c r="C191" i="5"/>
  <c r="C175" i="5"/>
  <c r="C159" i="5"/>
  <c r="C143" i="5"/>
  <c r="C127" i="5"/>
  <c r="C111" i="5"/>
  <c r="C95" i="5"/>
  <c r="C31" i="5"/>
  <c r="D131" i="5"/>
  <c r="C141" i="5"/>
  <c r="C30" i="5"/>
  <c r="D195" i="5"/>
  <c r="D115" i="5"/>
  <c r="C47" i="5"/>
  <c r="C157" i="5"/>
  <c r="C46" i="5"/>
  <c r="C211" i="5"/>
  <c r="D109" i="5"/>
  <c r="D45" i="5"/>
  <c r="C135" i="5"/>
  <c r="C23" i="5"/>
  <c r="C199" i="5"/>
  <c r="C151" i="5"/>
  <c r="C87" i="5"/>
  <c r="C134" i="5"/>
  <c r="C102" i="5"/>
  <c r="D63" i="5"/>
  <c r="C126" i="5"/>
  <c r="C119" i="5"/>
  <c r="D189" i="5"/>
  <c r="D61" i="5"/>
  <c r="C125" i="5"/>
  <c r="C14" i="5"/>
  <c r="C118" i="5"/>
  <c r="C9" i="5"/>
  <c r="C215" i="5"/>
  <c r="C166" i="5"/>
  <c r="C110" i="5"/>
  <c r="C13" i="5"/>
  <c r="C216" i="5"/>
  <c r="C104" i="5"/>
  <c r="C39" i="5"/>
  <c r="C103" i="5"/>
  <c r="C71" i="5"/>
  <c r="C38" i="5"/>
  <c r="D9" i="5"/>
  <c r="D179" i="5"/>
  <c r="D51" i="5"/>
  <c r="C94" i="5"/>
  <c r="C214" i="5"/>
  <c r="D93" i="5"/>
  <c r="C201" i="5"/>
  <c r="C88" i="5"/>
  <c r="C181" i="5"/>
  <c r="C165" i="5"/>
  <c r="C149" i="5"/>
  <c r="C133" i="5"/>
  <c r="C117" i="5"/>
  <c r="C101" i="5"/>
  <c r="C85" i="5"/>
  <c r="C69" i="5"/>
  <c r="C53" i="5"/>
  <c r="C37" i="5"/>
  <c r="C21" i="5"/>
  <c r="D211" i="5"/>
  <c r="D165" i="5"/>
  <c r="D37" i="5"/>
  <c r="C190" i="5"/>
  <c r="C77" i="5"/>
  <c r="C182" i="5"/>
  <c r="C70" i="5"/>
  <c r="C212" i="5"/>
  <c r="C196" i="5"/>
  <c r="C180" i="5"/>
  <c r="C164" i="5"/>
  <c r="C148" i="5"/>
  <c r="C132" i="5"/>
  <c r="C116" i="5"/>
  <c r="C100" i="5"/>
  <c r="C84" i="5"/>
  <c r="C68" i="5"/>
  <c r="C52" i="5"/>
  <c r="C36" i="5"/>
  <c r="C20" i="5"/>
  <c r="D164" i="5"/>
  <c r="D36" i="5"/>
  <c r="C169" i="5"/>
  <c r="C55" i="5"/>
  <c r="E1" i="5"/>
  <c r="C15" i="5"/>
  <c r="C78" i="5"/>
  <c r="C183" i="5"/>
  <c r="D163" i="5"/>
  <c r="D117" i="5"/>
  <c r="D35" i="5"/>
  <c r="C174" i="5"/>
  <c r="C54" i="5"/>
  <c r="D116" i="5"/>
  <c r="C167" i="5"/>
  <c r="C41" i="5"/>
  <c r="C213" i="5"/>
  <c r="C197" i="5"/>
  <c r="C210" i="5"/>
  <c r="C178" i="5"/>
  <c r="C146" i="5"/>
  <c r="C114" i="5"/>
  <c r="C82" i="5"/>
  <c r="C66" i="5"/>
  <c r="C34" i="5"/>
  <c r="C18" i="5"/>
  <c r="C194" i="5"/>
  <c r="C162" i="5"/>
  <c r="C130" i="5"/>
  <c r="C98" i="5"/>
  <c r="C50" i="5"/>
  <c r="C208" i="5"/>
  <c r="C192" i="5"/>
  <c r="C176" i="5"/>
  <c r="C160" i="5"/>
  <c r="C144" i="5"/>
  <c r="C128" i="5"/>
  <c r="C112" i="5"/>
  <c r="C96" i="5"/>
  <c r="C80" i="5"/>
  <c r="C64" i="5"/>
  <c r="C48" i="5"/>
  <c r="C32" i="5"/>
  <c r="C16" i="5"/>
  <c r="E7" i="5"/>
  <c r="D209" i="5"/>
  <c r="D193" i="5"/>
  <c r="D177" i="5"/>
  <c r="D161" i="5"/>
  <c r="D145" i="5"/>
  <c r="D129" i="5"/>
  <c r="D113" i="5"/>
  <c r="D97" i="5"/>
  <c r="D81" i="5"/>
  <c r="D65" i="5"/>
  <c r="D49" i="5"/>
  <c r="D33" i="5"/>
  <c r="D17" i="5"/>
  <c r="D208" i="5"/>
  <c r="D192" i="5"/>
  <c r="D176" i="5"/>
  <c r="D160" i="5"/>
  <c r="D144" i="5"/>
  <c r="D128" i="5"/>
  <c r="D112" i="5"/>
  <c r="D96" i="5"/>
  <c r="D80" i="5"/>
  <c r="D64" i="5"/>
  <c r="D48" i="5"/>
  <c r="D32" i="5"/>
  <c r="D16" i="5"/>
  <c r="D204" i="5"/>
  <c r="D188" i="5"/>
  <c r="D172" i="5"/>
  <c r="D156" i="5"/>
  <c r="D140" i="5"/>
  <c r="D124" i="5"/>
  <c r="D108" i="5"/>
  <c r="D92" i="5"/>
  <c r="D76" i="5"/>
  <c r="D60" i="5"/>
  <c r="D44" i="5"/>
  <c r="D28" i="5"/>
  <c r="D12" i="5"/>
  <c r="D218" i="5"/>
  <c r="D202" i="5"/>
  <c r="D186" i="5"/>
  <c r="D170" i="5"/>
  <c r="D154" i="5"/>
  <c r="D138" i="5"/>
  <c r="D122" i="5"/>
  <c r="D106" i="5"/>
  <c r="D90" i="5"/>
  <c r="D74" i="5"/>
  <c r="D58" i="5"/>
  <c r="D42" i="5"/>
  <c r="D26" i="5"/>
  <c r="D10" i="5"/>
  <c r="D203" i="5"/>
  <c r="D123" i="5"/>
  <c r="D43" i="5"/>
  <c r="D187" i="5"/>
  <c r="D155" i="5"/>
  <c r="D91" i="5"/>
  <c r="D27" i="5"/>
  <c r="B7" i="5"/>
  <c r="C219" i="5"/>
  <c r="C171" i="5"/>
  <c r="C139" i="5"/>
  <c r="C107" i="5"/>
  <c r="C75" i="5"/>
  <c r="C59" i="5"/>
  <c r="C11" i="5"/>
  <c r="C213" i="4"/>
  <c r="C165" i="4"/>
  <c r="C117" i="4"/>
  <c r="C85" i="4"/>
  <c r="C53" i="4"/>
  <c r="C21" i="4"/>
  <c r="C116" i="4"/>
  <c r="C63" i="4"/>
  <c r="C52" i="4"/>
  <c r="C20" i="4"/>
  <c r="C68" i="4"/>
  <c r="C184" i="4"/>
  <c r="C103" i="4"/>
  <c r="C65" i="4"/>
  <c r="C152" i="4"/>
  <c r="C81" i="4"/>
  <c r="C195" i="4"/>
  <c r="C163" i="4"/>
  <c r="C192" i="4"/>
  <c r="C206" i="4"/>
  <c r="C94" i="4"/>
  <c r="C78" i="4"/>
  <c r="C216" i="4"/>
  <c r="C88" i="4"/>
  <c r="C132" i="4"/>
  <c r="C86" i="4"/>
  <c r="C55" i="4"/>
  <c r="C197" i="4"/>
  <c r="C149" i="4"/>
  <c r="C131" i="4"/>
  <c r="C209" i="4"/>
  <c r="C145" i="4"/>
  <c r="C97" i="4"/>
  <c r="C22" i="4"/>
  <c r="C80" i="4"/>
  <c r="C133" i="4"/>
  <c r="C196" i="4"/>
  <c r="C199" i="4"/>
  <c r="D62" i="4"/>
  <c r="C180" i="4"/>
  <c r="C164" i="4"/>
  <c r="C36" i="4"/>
  <c r="D36" i="4"/>
  <c r="D156" i="4"/>
  <c r="C129" i="4"/>
  <c r="C113" i="4"/>
  <c r="C49" i="4"/>
  <c r="D141" i="4"/>
  <c r="D61" i="4"/>
  <c r="C19" i="4"/>
  <c r="C140" i="4"/>
  <c r="C127" i="4"/>
  <c r="C104" i="4"/>
  <c r="D19" i="4"/>
  <c r="C30" i="4"/>
  <c r="C29" i="4"/>
  <c r="C198" i="4"/>
  <c r="C160" i="4"/>
  <c r="C39" i="4"/>
  <c r="C72" i="4"/>
  <c r="C56" i="4"/>
  <c r="C40" i="4"/>
  <c r="C9" i="4"/>
  <c r="C147" i="4"/>
  <c r="C38" i="4"/>
  <c r="C12" i="4"/>
  <c r="C174" i="4"/>
  <c r="C71" i="4"/>
  <c r="C95" i="4"/>
  <c r="C102" i="4"/>
  <c r="C182" i="4"/>
  <c r="C75" i="4"/>
  <c r="D213" i="4"/>
  <c r="C161" i="4"/>
  <c r="C74" i="4"/>
  <c r="C168" i="4"/>
  <c r="C136" i="4"/>
  <c r="C24" i="4"/>
  <c r="C181" i="4"/>
  <c r="C87" i="4"/>
  <c r="C73" i="4"/>
  <c r="D49" i="4"/>
  <c r="C17" i="4"/>
  <c r="C151" i="4"/>
  <c r="C119" i="4"/>
  <c r="C107" i="4"/>
  <c r="C37" i="4"/>
  <c r="C16" i="4"/>
  <c r="C202" i="4"/>
  <c r="C212" i="4"/>
  <c r="C200" i="4"/>
  <c r="D149" i="4"/>
  <c r="D117" i="4"/>
  <c r="C58" i="4"/>
  <c r="C211" i="4"/>
  <c r="C99" i="4"/>
  <c r="C67" i="4"/>
  <c r="C51" i="4"/>
  <c r="C219" i="4"/>
  <c r="C179" i="4"/>
  <c r="C167" i="4"/>
  <c r="C83" i="4"/>
  <c r="C69" i="4"/>
  <c r="C148" i="4"/>
  <c r="C100" i="4"/>
  <c r="C84" i="4"/>
  <c r="C218" i="4"/>
  <c r="C186" i="4"/>
  <c r="C166" i="4"/>
  <c r="C156" i="4"/>
  <c r="C135" i="4"/>
  <c r="C115" i="4"/>
  <c r="D56" i="4"/>
  <c r="C35" i="4"/>
  <c r="C23" i="4"/>
  <c r="C193" i="4"/>
  <c r="C123" i="4"/>
  <c r="C91" i="4"/>
  <c r="C42" i="4"/>
  <c r="C43" i="4"/>
  <c r="C15" i="4"/>
  <c r="C175" i="4"/>
  <c r="D165" i="4"/>
  <c r="C154" i="4"/>
  <c r="C143" i="4"/>
  <c r="C158" i="4"/>
  <c r="C142" i="4"/>
  <c r="C126" i="4"/>
  <c r="C110" i="4"/>
  <c r="C62" i="4"/>
  <c r="D216" i="4"/>
  <c r="C205" i="4"/>
  <c r="C153" i="4"/>
  <c r="D133" i="4"/>
  <c r="D102" i="4"/>
  <c r="C90" i="4"/>
  <c r="C41" i="4"/>
  <c r="D21" i="4"/>
  <c r="C10" i="4"/>
  <c r="C121" i="4"/>
  <c r="C101" i="4"/>
  <c r="C173" i="4"/>
  <c r="C120" i="4"/>
  <c r="C76" i="4"/>
  <c r="C169" i="4"/>
  <c r="D52" i="4"/>
  <c r="C46" i="4"/>
  <c r="C33" i="4"/>
  <c r="D196" i="4"/>
  <c r="C190" i="4"/>
  <c r="C176" i="4"/>
  <c r="D136" i="4"/>
  <c r="C130" i="4"/>
  <c r="D84" i="4"/>
  <c r="D78" i="4"/>
  <c r="D71" i="4"/>
  <c r="D65" i="4"/>
  <c r="C45" i="4"/>
  <c r="C32" i="4"/>
  <c r="D126" i="4"/>
  <c r="C98" i="4"/>
  <c r="C25" i="4"/>
  <c r="C215" i="4"/>
  <c r="D209" i="4"/>
  <c r="C189" i="4"/>
  <c r="D110" i="4"/>
  <c r="D103" i="4"/>
  <c r="C57" i="4"/>
  <c r="C177" i="4"/>
  <c r="C201" i="4"/>
  <c r="D168" i="4"/>
  <c r="C162" i="4"/>
  <c r="C155" i="4"/>
  <c r="C122" i="4"/>
  <c r="D116" i="4"/>
  <c r="D97" i="4"/>
  <c r="C77" i="4"/>
  <c r="C70" i="4"/>
  <c r="C64" i="4"/>
  <c r="D51" i="4"/>
  <c r="C44" i="4"/>
  <c r="C31" i="4"/>
  <c r="D24" i="4"/>
  <c r="C18" i="4"/>
  <c r="C11" i="4"/>
  <c r="C114" i="4"/>
  <c r="C214" i="4"/>
  <c r="C208" i="4"/>
  <c r="C188" i="4"/>
  <c r="D142" i="4"/>
  <c r="D129" i="4"/>
  <c r="C109" i="4"/>
  <c r="C89" i="4"/>
  <c r="D18" i="4"/>
  <c r="D148" i="4"/>
  <c r="C96" i="4"/>
  <c r="C50" i="4"/>
  <c r="C207" i="4"/>
  <c r="C194" i="4"/>
  <c r="C187" i="4"/>
  <c r="C141" i="4"/>
  <c r="C134" i="4"/>
  <c r="C128" i="4"/>
  <c r="C108" i="4"/>
  <c r="C82" i="4"/>
  <c r="E7" i="4"/>
  <c r="D206" i="4"/>
  <c r="D193" i="4"/>
  <c r="D81" i="4"/>
  <c r="D68" i="4"/>
  <c r="B1" i="4"/>
  <c r="C185" i="4"/>
  <c r="C172" i="4"/>
  <c r="C159" i="4"/>
  <c r="C146" i="4"/>
  <c r="C139" i="4"/>
  <c r="C106" i="4"/>
  <c r="D94" i="4"/>
  <c r="C61" i="4"/>
  <c r="C54" i="4"/>
  <c r="C48" i="4"/>
  <c r="C28" i="4"/>
  <c r="E1" i="4"/>
  <c r="D113" i="4"/>
  <c r="C178" i="4"/>
  <c r="C171" i="4"/>
  <c r="C138" i="4"/>
  <c r="D132" i="4"/>
  <c r="C105" i="4"/>
  <c r="C93" i="4"/>
  <c r="D80" i="4"/>
  <c r="D67" i="4"/>
  <c r="C60" i="4"/>
  <c r="C47" i="4"/>
  <c r="D40" i="4"/>
  <c r="C34" i="4"/>
  <c r="C27" i="4"/>
  <c r="C217" i="4"/>
  <c r="D211" i="4"/>
  <c r="C204" i="4"/>
  <c r="C191" i="4"/>
  <c r="D184" i="4"/>
  <c r="D158" i="4"/>
  <c r="D151" i="4"/>
  <c r="D145" i="4"/>
  <c r="C125" i="4"/>
  <c r="C118" i="4"/>
  <c r="C112" i="4"/>
  <c r="D53" i="4"/>
  <c r="C14" i="4"/>
  <c r="D197" i="4"/>
  <c r="C170" i="4"/>
  <c r="D164" i="4"/>
  <c r="C137" i="4"/>
  <c r="D99" i="4"/>
  <c r="C92" i="4"/>
  <c r="D85" i="4"/>
  <c r="C79" i="4"/>
  <c r="D72" i="4"/>
  <c r="C66" i="4"/>
  <c r="C59" i="4"/>
  <c r="C26" i="4"/>
  <c r="D20" i="4"/>
  <c r="C210" i="4"/>
  <c r="C203" i="4"/>
  <c r="C183" i="4"/>
  <c r="C157" i="4"/>
  <c r="C150" i="4"/>
  <c r="C144" i="4"/>
  <c r="C124" i="4"/>
  <c r="C111" i="4"/>
  <c r="C13" i="4"/>
  <c r="AL4" i="5" l="1"/>
  <c r="BB4" i="5"/>
  <c r="BE4" i="5"/>
  <c r="AM4" i="5"/>
  <c r="BC4" i="5"/>
  <c r="AP4" i="5"/>
  <c r="AN4" i="5"/>
  <c r="BD4" i="5"/>
  <c r="AO4" i="5"/>
  <c r="BF4" i="5"/>
  <c r="AQ4" i="5"/>
  <c r="BG4" i="5"/>
  <c r="AY4" i="5"/>
  <c r="AR4" i="5"/>
  <c r="BH4" i="5"/>
  <c r="BJ4" i="5"/>
  <c r="AS4" i="5"/>
  <c r="BI4" i="5"/>
  <c r="AT4" i="5"/>
  <c r="AU4" i="5"/>
  <c r="BK4" i="5"/>
  <c r="BA4" i="5"/>
  <c r="AV4" i="5"/>
  <c r="BL4" i="5"/>
  <c r="AZ4" i="5"/>
  <c r="AW4" i="5"/>
  <c r="AX4" i="5"/>
  <c r="AM4" i="6"/>
  <c r="R4" i="6"/>
  <c r="L3" i="6"/>
  <c r="BE4" i="6"/>
  <c r="BA4" i="6"/>
  <c r="Z4" i="6"/>
  <c r="AP4" i="6"/>
  <c r="AI4" i="6"/>
  <c r="AA4" i="6"/>
  <c r="BK4" i="6"/>
  <c r="AF4" i="6"/>
  <c r="BG4" i="6"/>
  <c r="AH4" i="6"/>
  <c r="AK4" i="6"/>
  <c r="AX4" i="6"/>
  <c r="S4" i="6"/>
  <c r="BC4" i="6"/>
  <c r="AY4" i="6"/>
  <c r="AQ4" i="6"/>
  <c r="AW4" i="6"/>
  <c r="AB4" i="6"/>
  <c r="T4" i="6"/>
  <c r="X4" i="6"/>
  <c r="AR4" i="6"/>
  <c r="AJ4" i="6"/>
  <c r="AN4" i="6"/>
  <c r="BH4" i="6"/>
  <c r="AZ4" i="6"/>
  <c r="BD4" i="6"/>
  <c r="F3" i="6"/>
  <c r="AV4" i="6"/>
  <c r="BI4" i="6"/>
  <c r="AL4" i="6"/>
  <c r="U4" i="6"/>
  <c r="V4" i="6"/>
  <c r="AD4" i="6"/>
  <c r="BB4" i="6"/>
  <c r="Y4" i="6"/>
  <c r="W4" i="6"/>
  <c r="BF4" i="6"/>
  <c r="AC4" i="6"/>
  <c r="O3" i="6"/>
  <c r="AS4" i="6"/>
  <c r="AT4" i="6"/>
  <c r="AE4" i="6"/>
  <c r="AO4" i="6"/>
  <c r="AU4" i="6"/>
  <c r="BJ4" i="6"/>
  <c r="AG4" i="6"/>
  <c r="X4" i="5"/>
  <c r="AA4" i="5"/>
  <c r="Z4" i="5"/>
  <c r="AD4" i="5"/>
  <c r="AI4" i="5"/>
  <c r="AC4" i="5"/>
  <c r="AB4" i="5"/>
  <c r="S4" i="5"/>
  <c r="O3" i="5"/>
  <c r="Y4" i="5"/>
  <c r="V4" i="5"/>
  <c r="AE4" i="5"/>
  <c r="AH4" i="5"/>
  <c r="F3" i="5"/>
  <c r="W4" i="5"/>
  <c r="AG4" i="5"/>
  <c r="AK4" i="5"/>
  <c r="AF4" i="5"/>
  <c r="T4" i="5"/>
  <c r="U4" i="5"/>
  <c r="AJ4" i="5"/>
  <c r="L3" i="5"/>
  <c r="BK4" i="4"/>
  <c r="AK4" i="4"/>
  <c r="V4" i="4"/>
  <c r="BH4" i="4"/>
  <c r="O3" i="4"/>
  <c r="Z4" i="4"/>
  <c r="BG4" i="4"/>
  <c r="AR4" i="4"/>
  <c r="AC4" i="4"/>
  <c r="AV4" i="4"/>
  <c r="BC4" i="4"/>
  <c r="AA4" i="4"/>
  <c r="AM4" i="4"/>
  <c r="AS4" i="4"/>
  <c r="BL4" i="4"/>
  <c r="AI4" i="4"/>
  <c r="AY4" i="4"/>
  <c r="AG4" i="4"/>
  <c r="AP4" i="4"/>
  <c r="U4" i="4"/>
  <c r="W4" i="4"/>
  <c r="AF4" i="4"/>
  <c r="BI4" i="4"/>
  <c r="AX4" i="4"/>
  <c r="AJ4" i="4"/>
  <c r="BF4" i="4"/>
  <c r="S4" i="4"/>
  <c r="BA4" i="4"/>
  <c r="L3" i="4"/>
  <c r="AQ4" i="4"/>
  <c r="AZ4" i="4"/>
  <c r="X4" i="4"/>
  <c r="T4" i="4"/>
  <c r="AN4" i="4"/>
  <c r="BD4" i="4"/>
  <c r="AL4" i="4"/>
  <c r="AT4" i="4"/>
  <c r="AO4" i="4"/>
  <c r="BJ4" i="4"/>
  <c r="AW4" i="4"/>
  <c r="BE4" i="4"/>
  <c r="AU4" i="4"/>
  <c r="AB4" i="4"/>
  <c r="AD4" i="4"/>
  <c r="Y4" i="4"/>
  <c r="BB4" i="4"/>
  <c r="AE4" i="4"/>
  <c r="AH4" i="4"/>
  <c r="F3" i="4"/>
  <c r="K7" i="1" l="1"/>
  <c r="D38" i="1"/>
  <c r="D15" i="1"/>
  <c r="D82" i="1"/>
  <c r="E32" i="1"/>
  <c r="E51" i="1"/>
  <c r="E9" i="1"/>
  <c r="E16" i="1"/>
  <c r="E21" i="1"/>
  <c r="E10" i="1"/>
  <c r="E11" i="1"/>
  <c r="E12" i="1"/>
  <c r="E19" i="1"/>
  <c r="E26" i="1"/>
  <c r="E13" i="1"/>
  <c r="E55" i="1"/>
  <c r="E24" i="1"/>
  <c r="E37" i="1"/>
  <c r="E67" i="1"/>
  <c r="E23" i="1"/>
  <c r="E18" i="1"/>
  <c r="E38" i="1"/>
  <c r="C38" i="1" s="1"/>
  <c r="E14" i="1"/>
  <c r="E15" i="1"/>
  <c r="C15" i="1" s="1"/>
  <c r="E54" i="1"/>
  <c r="E34" i="1"/>
  <c r="E17" i="1"/>
  <c r="E68" i="1"/>
  <c r="E41" i="1"/>
  <c r="E57" i="1"/>
  <c r="E64" i="1"/>
  <c r="E50" i="1"/>
  <c r="E31" i="1"/>
  <c r="E39" i="1"/>
  <c r="E47" i="1"/>
  <c r="E63" i="1"/>
  <c r="E42" i="1"/>
  <c r="E43" i="1"/>
  <c r="E58" i="1"/>
  <c r="E22" i="1"/>
  <c r="E27" i="1"/>
  <c r="E72" i="1"/>
  <c r="E44" i="1"/>
  <c r="E20" i="1"/>
  <c r="E69" i="1"/>
  <c r="E40" i="1"/>
  <c r="E93" i="1"/>
  <c r="E71" i="1"/>
  <c r="E53" i="1"/>
  <c r="E97" i="1"/>
  <c r="E30" i="1"/>
  <c r="E25" i="1"/>
  <c r="E28" i="1"/>
  <c r="E33" i="1"/>
  <c r="E36" i="1"/>
  <c r="E105" i="1"/>
  <c r="E106" i="1"/>
  <c r="E35" i="1"/>
  <c r="E56" i="1"/>
  <c r="E94" i="1"/>
  <c r="E45" i="1"/>
  <c r="E61" i="1"/>
  <c r="E48" i="1"/>
  <c r="E87" i="1"/>
  <c r="E99" i="1"/>
  <c r="E76" i="1"/>
  <c r="E52" i="1"/>
  <c r="E46" i="1"/>
  <c r="E112" i="1"/>
  <c r="E62" i="1"/>
  <c r="E49" i="1"/>
  <c r="E118" i="1"/>
  <c r="E65" i="1"/>
  <c r="E73" i="1"/>
  <c r="E120" i="1"/>
  <c r="E89" i="1"/>
  <c r="E84" i="1"/>
  <c r="E92" i="1"/>
  <c r="E75" i="1"/>
  <c r="E59" i="1"/>
  <c r="E60" i="1"/>
  <c r="E114" i="1"/>
  <c r="E157" i="1"/>
  <c r="E163" i="1"/>
  <c r="E104" i="1"/>
  <c r="E83" i="1"/>
  <c r="E90" i="1"/>
  <c r="E81" i="1"/>
  <c r="E117" i="1"/>
  <c r="E132" i="1"/>
  <c r="E66" i="1"/>
  <c r="E150" i="1"/>
  <c r="E125" i="1"/>
  <c r="E96" i="1"/>
  <c r="E95" i="1"/>
  <c r="E100" i="1"/>
  <c r="E123" i="1"/>
  <c r="E77" i="1"/>
  <c r="E70" i="1"/>
  <c r="E147" i="1"/>
  <c r="E111" i="1"/>
  <c r="E79" i="1"/>
  <c r="E145" i="1"/>
  <c r="E166" i="1"/>
  <c r="E119" i="1"/>
  <c r="E127" i="1"/>
  <c r="E177" i="1"/>
  <c r="E109" i="1"/>
  <c r="E113" i="1"/>
  <c r="E144" i="1"/>
  <c r="E74" i="1"/>
  <c r="E85" i="1"/>
  <c r="E149" i="1"/>
  <c r="E78" i="1"/>
  <c r="E80" i="1"/>
  <c r="E102" i="1"/>
  <c r="E159" i="1"/>
  <c r="E103" i="1"/>
  <c r="E133" i="1"/>
  <c r="E91" i="1"/>
  <c r="E98" i="1"/>
  <c r="E86" i="1"/>
  <c r="E160" i="1"/>
  <c r="E136" i="1"/>
  <c r="E137" i="1"/>
  <c r="E107" i="1"/>
  <c r="E138" i="1"/>
  <c r="E82" i="1"/>
  <c r="C82" i="1" s="1"/>
  <c r="E88" i="1"/>
  <c r="E139" i="1"/>
  <c r="E141" i="1"/>
  <c r="E158" i="1"/>
  <c r="E126" i="1"/>
  <c r="E130" i="1"/>
  <c r="E151" i="1"/>
  <c r="E154" i="1"/>
  <c r="E155" i="1"/>
  <c r="E116" i="1"/>
  <c r="E110" i="1"/>
  <c r="E168" i="1"/>
  <c r="E108" i="1"/>
  <c r="E171" i="1"/>
  <c r="E188" i="1"/>
  <c r="E129" i="1"/>
  <c r="E203" i="1"/>
  <c r="E101" i="1"/>
  <c r="E142" i="1"/>
  <c r="E162" i="1"/>
  <c r="E190" i="1"/>
  <c r="E192" i="1"/>
  <c r="E202" i="1"/>
  <c r="E187" i="1"/>
  <c r="E164" i="1"/>
  <c r="E176" i="1"/>
  <c r="E178" i="1"/>
  <c r="E161" i="1"/>
  <c r="E115" i="1"/>
  <c r="E146" i="1"/>
  <c r="E131" i="1"/>
  <c r="E124" i="1"/>
  <c r="E182" i="1"/>
  <c r="E210" i="1"/>
  <c r="E169" i="1"/>
  <c r="E121" i="1"/>
  <c r="E152" i="1"/>
  <c r="E181" i="1"/>
  <c r="E140" i="1"/>
  <c r="E128" i="1"/>
  <c r="E135" i="1"/>
  <c r="E122" i="1"/>
  <c r="E179" i="1"/>
  <c r="E170" i="1"/>
  <c r="E172" i="1"/>
  <c r="E185" i="1"/>
  <c r="E153" i="1"/>
  <c r="E198" i="1"/>
  <c r="E180" i="1"/>
  <c r="E134" i="1"/>
  <c r="E143" i="1"/>
  <c r="E173" i="1"/>
  <c r="E194" i="1"/>
  <c r="E191" i="1"/>
  <c r="E148" i="1"/>
  <c r="E167" i="1"/>
  <c r="E195" i="1"/>
  <c r="E197" i="1"/>
  <c r="E199" i="1"/>
  <c r="E156" i="1"/>
  <c r="E174" i="1"/>
  <c r="E175" i="1"/>
  <c r="E196" i="1"/>
  <c r="E183" i="1"/>
  <c r="E186" i="1"/>
  <c r="E200" i="1"/>
  <c r="E165" i="1"/>
  <c r="E201" i="1"/>
  <c r="E184" i="1"/>
  <c r="E189" i="1"/>
  <c r="E205" i="1"/>
  <c r="E193" i="1"/>
  <c r="E211" i="1"/>
  <c r="E207" i="1"/>
  <c r="E206" i="1"/>
  <c r="E204" i="1"/>
  <c r="E208" i="1"/>
  <c r="E209" i="1"/>
  <c r="E214" i="1"/>
  <c r="E212" i="1"/>
  <c r="E215" i="1"/>
  <c r="E213" i="1"/>
  <c r="E216" i="1"/>
  <c r="E217" i="1"/>
  <c r="E218" i="1"/>
  <c r="E219" i="1"/>
  <c r="E29" i="1"/>
  <c r="D21" i="1"/>
  <c r="D26" i="1"/>
  <c r="D64" i="1"/>
  <c r="D47" i="1"/>
  <c r="D63" i="1"/>
  <c r="D40" i="1"/>
  <c r="D53" i="1"/>
  <c r="D97" i="1"/>
  <c r="D25" i="1"/>
  <c r="D33" i="1"/>
  <c r="D36" i="1"/>
  <c r="D106" i="1"/>
  <c r="D35" i="1"/>
  <c r="D99" i="1"/>
  <c r="D62" i="1"/>
  <c r="D49" i="1"/>
  <c r="D118" i="1"/>
  <c r="D73" i="1"/>
  <c r="D120" i="1"/>
  <c r="D89" i="1"/>
  <c r="D84" i="1"/>
  <c r="D92" i="1"/>
  <c r="D75" i="1"/>
  <c r="D59" i="1"/>
  <c r="D114" i="1"/>
  <c r="D157" i="1"/>
  <c r="D163" i="1"/>
  <c r="D83" i="1"/>
  <c r="D90" i="1"/>
  <c r="D81" i="1"/>
  <c r="D117" i="1"/>
  <c r="D132" i="1"/>
  <c r="D66" i="1"/>
  <c r="D150" i="1"/>
  <c r="D125" i="1"/>
  <c r="D96" i="1"/>
  <c r="D95" i="1"/>
  <c r="D100" i="1"/>
  <c r="D123" i="1"/>
  <c r="D77" i="1"/>
  <c r="D70" i="1"/>
  <c r="D147" i="1"/>
  <c r="D79" i="1"/>
  <c r="D145" i="1"/>
  <c r="D166" i="1"/>
  <c r="D119" i="1"/>
  <c r="D127" i="1"/>
  <c r="D177" i="1"/>
  <c r="D109" i="1"/>
  <c r="D113" i="1"/>
  <c r="D144" i="1"/>
  <c r="D74" i="1"/>
  <c r="D85" i="1"/>
  <c r="D149" i="1"/>
  <c r="D78" i="1"/>
  <c r="D80" i="1"/>
  <c r="D102" i="1"/>
  <c r="D103" i="1"/>
  <c r="D133" i="1"/>
  <c r="D91" i="1"/>
  <c r="D98" i="1"/>
  <c r="D86" i="1"/>
  <c r="D160" i="1"/>
  <c r="D136" i="1"/>
  <c r="D137" i="1"/>
  <c r="D107" i="1"/>
  <c r="D138" i="1"/>
  <c r="D88" i="1"/>
  <c r="D139" i="1"/>
  <c r="D141" i="1"/>
  <c r="D158" i="1"/>
  <c r="D126" i="1"/>
  <c r="D130" i="1"/>
  <c r="D151" i="1"/>
  <c r="D154" i="1"/>
  <c r="D155" i="1"/>
  <c r="D116" i="1"/>
  <c r="D110" i="1"/>
  <c r="D168" i="1"/>
  <c r="D108" i="1"/>
  <c r="D171" i="1"/>
  <c r="D188" i="1"/>
  <c r="D129" i="1"/>
  <c r="D203" i="1"/>
  <c r="D101" i="1"/>
  <c r="D142" i="1"/>
  <c r="D162" i="1"/>
  <c r="D190" i="1"/>
  <c r="D192" i="1"/>
  <c r="D202" i="1"/>
  <c r="D187" i="1"/>
  <c r="D164" i="1"/>
  <c r="D176" i="1"/>
  <c r="D178" i="1"/>
  <c r="D161" i="1"/>
  <c r="D115" i="1"/>
  <c r="D146" i="1"/>
  <c r="D131" i="1"/>
  <c r="D124" i="1"/>
  <c r="D182" i="1"/>
  <c r="D210" i="1"/>
  <c r="D169" i="1"/>
  <c r="D121" i="1"/>
  <c r="D152" i="1"/>
  <c r="D181" i="1"/>
  <c r="D140" i="1"/>
  <c r="D128" i="1"/>
  <c r="D135" i="1"/>
  <c r="D122" i="1"/>
  <c r="D179" i="1"/>
  <c r="D170" i="1"/>
  <c r="D172" i="1"/>
  <c r="D185" i="1"/>
  <c r="D153" i="1"/>
  <c r="D198" i="1"/>
  <c r="D180" i="1"/>
  <c r="D134" i="1"/>
  <c r="D143" i="1"/>
  <c r="D173" i="1"/>
  <c r="D194" i="1"/>
  <c r="D191" i="1"/>
  <c r="D148" i="1"/>
  <c r="D167" i="1"/>
  <c r="D195" i="1"/>
  <c r="D197" i="1"/>
  <c r="D199" i="1"/>
  <c r="D156" i="1"/>
  <c r="D174" i="1"/>
  <c r="D175" i="1"/>
  <c r="D196" i="1"/>
  <c r="D183" i="1"/>
  <c r="D186" i="1"/>
  <c r="D200" i="1"/>
  <c r="D165" i="1"/>
  <c r="D201" i="1"/>
  <c r="D184" i="1"/>
  <c r="D189" i="1"/>
  <c r="D205" i="1"/>
  <c r="D193" i="1"/>
  <c r="D211" i="1"/>
  <c r="D207" i="1"/>
  <c r="D206" i="1"/>
  <c r="D204" i="1"/>
  <c r="D208" i="1"/>
  <c r="D209" i="1"/>
  <c r="D214" i="1"/>
  <c r="D212" i="1"/>
  <c r="D215" i="1"/>
  <c r="D213" i="1"/>
  <c r="D216" i="1"/>
  <c r="D217" i="1"/>
  <c r="D218" i="1"/>
  <c r="D219" i="1"/>
  <c r="L2" i="1"/>
  <c r="N10" i="6"/>
  <c r="O10" i="6" s="1"/>
  <c r="P10" i="6"/>
  <c r="Q10" i="6" s="1"/>
  <c r="N11" i="6"/>
  <c r="O11" i="6" s="1"/>
  <c r="P11" i="6"/>
  <c r="Q11" i="6" s="1"/>
  <c r="N12" i="6"/>
  <c r="O12" i="6" s="1"/>
  <c r="P12" i="6"/>
  <c r="Q12" i="6" s="1"/>
  <c r="N13" i="6"/>
  <c r="O13" i="6" s="1"/>
  <c r="P13" i="6"/>
  <c r="Q13" i="6" s="1"/>
  <c r="N14" i="6"/>
  <c r="O14" i="6" s="1"/>
  <c r="P14" i="6"/>
  <c r="Q14" i="6" s="1"/>
  <c r="N15" i="6"/>
  <c r="O15" i="6" s="1"/>
  <c r="P15" i="6"/>
  <c r="Q15" i="6" s="1"/>
  <c r="N16" i="6"/>
  <c r="O16" i="6" s="1"/>
  <c r="P16" i="6"/>
  <c r="Q16" i="6" s="1"/>
  <c r="N17" i="6"/>
  <c r="O17" i="6" s="1"/>
  <c r="P17" i="6"/>
  <c r="Q17" i="6" s="1"/>
  <c r="N18" i="6"/>
  <c r="O18" i="6" s="1"/>
  <c r="P18" i="6"/>
  <c r="Q18" i="6" s="1"/>
  <c r="N19" i="6"/>
  <c r="O19" i="6" s="1"/>
  <c r="P19" i="6"/>
  <c r="Q19" i="6" s="1"/>
  <c r="N20" i="6"/>
  <c r="O20" i="6" s="1"/>
  <c r="P20" i="6"/>
  <c r="Q20" i="6" s="1"/>
  <c r="N21" i="6"/>
  <c r="O21" i="6" s="1"/>
  <c r="P21" i="6"/>
  <c r="Q21" i="6" s="1"/>
  <c r="N22" i="6"/>
  <c r="O22" i="6" s="1"/>
  <c r="P22" i="6"/>
  <c r="Q22" i="6" s="1"/>
  <c r="N23" i="6"/>
  <c r="O23" i="6" s="1"/>
  <c r="P23" i="6"/>
  <c r="Q23" i="6" s="1"/>
  <c r="N24" i="6"/>
  <c r="O24" i="6" s="1"/>
  <c r="P24" i="6"/>
  <c r="Q24" i="6" s="1"/>
  <c r="N25" i="6"/>
  <c r="O25" i="6" s="1"/>
  <c r="P25" i="6"/>
  <c r="Q25" i="6" s="1"/>
  <c r="N26" i="6"/>
  <c r="O26" i="6" s="1"/>
  <c r="P26" i="6"/>
  <c r="Q26" i="6" s="1"/>
  <c r="N27" i="6"/>
  <c r="O27" i="6" s="1"/>
  <c r="P27" i="6"/>
  <c r="Q27" i="6" s="1"/>
  <c r="N28" i="6"/>
  <c r="O28" i="6" s="1"/>
  <c r="P28" i="6"/>
  <c r="Q28" i="6" s="1"/>
  <c r="N29" i="6"/>
  <c r="O29" i="6" s="1"/>
  <c r="P29" i="6"/>
  <c r="Q29" i="6" s="1"/>
  <c r="N30" i="6"/>
  <c r="O30" i="6" s="1"/>
  <c r="P30" i="6"/>
  <c r="Q30" i="6" s="1"/>
  <c r="N31" i="6"/>
  <c r="O31" i="6" s="1"/>
  <c r="P31" i="6"/>
  <c r="Q31" i="6" s="1"/>
  <c r="N32" i="6"/>
  <c r="O32" i="6" s="1"/>
  <c r="P32" i="6"/>
  <c r="Q32" i="6" s="1"/>
  <c r="N33" i="6"/>
  <c r="O33" i="6" s="1"/>
  <c r="P33" i="6"/>
  <c r="Q33" i="6" s="1"/>
  <c r="N34" i="6"/>
  <c r="O34" i="6" s="1"/>
  <c r="P34" i="6"/>
  <c r="Q34" i="6" s="1"/>
  <c r="N35" i="6"/>
  <c r="O35" i="6" s="1"/>
  <c r="P35" i="6"/>
  <c r="Q35" i="6" s="1"/>
  <c r="N36" i="6"/>
  <c r="O36" i="6" s="1"/>
  <c r="P36" i="6"/>
  <c r="Q36" i="6" s="1"/>
  <c r="N37" i="6"/>
  <c r="O37" i="6" s="1"/>
  <c r="P37" i="6"/>
  <c r="Q37" i="6" s="1"/>
  <c r="N38" i="6"/>
  <c r="O38" i="6" s="1"/>
  <c r="P38" i="6"/>
  <c r="Q38" i="6" s="1"/>
  <c r="N39" i="6"/>
  <c r="O39" i="6" s="1"/>
  <c r="P39" i="6"/>
  <c r="Q39" i="6" s="1"/>
  <c r="N40" i="6"/>
  <c r="O40" i="6" s="1"/>
  <c r="P40" i="6"/>
  <c r="Q40" i="6" s="1"/>
  <c r="N41" i="6"/>
  <c r="O41" i="6" s="1"/>
  <c r="P41" i="6"/>
  <c r="Q41" i="6" s="1"/>
  <c r="N42" i="6"/>
  <c r="O42" i="6" s="1"/>
  <c r="P42" i="6"/>
  <c r="Q42" i="6" s="1"/>
  <c r="N43" i="6"/>
  <c r="O43" i="6" s="1"/>
  <c r="P43" i="6"/>
  <c r="Q43" i="6" s="1"/>
  <c r="N44" i="6"/>
  <c r="O44" i="6" s="1"/>
  <c r="P44" i="6"/>
  <c r="Q44" i="6" s="1"/>
  <c r="N45" i="6"/>
  <c r="O45" i="6" s="1"/>
  <c r="P45" i="6"/>
  <c r="Q45" i="6" s="1"/>
  <c r="N46" i="6"/>
  <c r="O46" i="6" s="1"/>
  <c r="P46" i="6"/>
  <c r="Q46" i="6" s="1"/>
  <c r="N47" i="6"/>
  <c r="O47" i="6" s="1"/>
  <c r="P47" i="6"/>
  <c r="Q47" i="6" s="1"/>
  <c r="N48" i="6"/>
  <c r="O48" i="6" s="1"/>
  <c r="P48" i="6"/>
  <c r="Q48" i="6" s="1"/>
  <c r="N49" i="6"/>
  <c r="O49" i="6" s="1"/>
  <c r="P49" i="6"/>
  <c r="Q49" i="6" s="1"/>
  <c r="N50" i="6"/>
  <c r="O50" i="6" s="1"/>
  <c r="P50" i="6"/>
  <c r="Q50" i="6" s="1"/>
  <c r="N51" i="6"/>
  <c r="O51" i="6" s="1"/>
  <c r="P51" i="6"/>
  <c r="Q51" i="6" s="1"/>
  <c r="N52" i="6"/>
  <c r="O52" i="6" s="1"/>
  <c r="P52" i="6"/>
  <c r="Q52" i="6" s="1"/>
  <c r="N53" i="6"/>
  <c r="O53" i="6" s="1"/>
  <c r="P53" i="6"/>
  <c r="Q53" i="6" s="1"/>
  <c r="N54" i="6"/>
  <c r="O54" i="6" s="1"/>
  <c r="P54" i="6"/>
  <c r="Q54" i="6" s="1"/>
  <c r="N55" i="6"/>
  <c r="O55" i="6" s="1"/>
  <c r="P55" i="6"/>
  <c r="Q55" i="6" s="1"/>
  <c r="N56" i="6"/>
  <c r="O56" i="6" s="1"/>
  <c r="P56" i="6"/>
  <c r="Q56" i="6" s="1"/>
  <c r="N57" i="6"/>
  <c r="O57" i="6" s="1"/>
  <c r="P57" i="6"/>
  <c r="Q57" i="6" s="1"/>
  <c r="N58" i="6"/>
  <c r="O58" i="6" s="1"/>
  <c r="P58" i="6"/>
  <c r="Q58" i="6" s="1"/>
  <c r="N59" i="6"/>
  <c r="O59" i="6" s="1"/>
  <c r="P59" i="6"/>
  <c r="Q59" i="6" s="1"/>
  <c r="N60" i="6"/>
  <c r="O60" i="6" s="1"/>
  <c r="P60" i="6"/>
  <c r="Q60" i="6" s="1"/>
  <c r="N61" i="6"/>
  <c r="O61" i="6" s="1"/>
  <c r="P61" i="6"/>
  <c r="Q61" i="6" s="1"/>
  <c r="N62" i="6"/>
  <c r="O62" i="6" s="1"/>
  <c r="P62" i="6"/>
  <c r="Q62" i="6" s="1"/>
  <c r="N63" i="6"/>
  <c r="O63" i="6" s="1"/>
  <c r="P63" i="6"/>
  <c r="Q63" i="6" s="1"/>
  <c r="N64" i="6"/>
  <c r="O64" i="6" s="1"/>
  <c r="P64" i="6"/>
  <c r="Q64" i="6" s="1"/>
  <c r="N65" i="6"/>
  <c r="O65" i="6" s="1"/>
  <c r="P65" i="6"/>
  <c r="Q65" i="6" s="1"/>
  <c r="N66" i="6"/>
  <c r="O66" i="6" s="1"/>
  <c r="P66" i="6"/>
  <c r="Q66" i="6" s="1"/>
  <c r="N67" i="6"/>
  <c r="O67" i="6" s="1"/>
  <c r="P67" i="6"/>
  <c r="Q67" i="6" s="1"/>
  <c r="N68" i="6"/>
  <c r="O68" i="6" s="1"/>
  <c r="P68" i="6"/>
  <c r="Q68" i="6" s="1"/>
  <c r="N69" i="6"/>
  <c r="O69" i="6" s="1"/>
  <c r="P69" i="6"/>
  <c r="Q69" i="6" s="1"/>
  <c r="N70" i="6"/>
  <c r="O70" i="6" s="1"/>
  <c r="P70" i="6"/>
  <c r="Q70" i="6" s="1"/>
  <c r="N71" i="6"/>
  <c r="O71" i="6" s="1"/>
  <c r="P71" i="6"/>
  <c r="Q71" i="6" s="1"/>
  <c r="N72" i="6"/>
  <c r="O72" i="6" s="1"/>
  <c r="P72" i="6"/>
  <c r="Q72" i="6" s="1"/>
  <c r="N73" i="6"/>
  <c r="O73" i="6" s="1"/>
  <c r="P73" i="6"/>
  <c r="Q73" i="6" s="1"/>
  <c r="N74" i="6"/>
  <c r="O74" i="6" s="1"/>
  <c r="P74" i="6"/>
  <c r="Q74" i="6" s="1"/>
  <c r="N75" i="6"/>
  <c r="O75" i="6" s="1"/>
  <c r="P75" i="6"/>
  <c r="Q75" i="6" s="1"/>
  <c r="N76" i="6"/>
  <c r="O76" i="6" s="1"/>
  <c r="P76" i="6"/>
  <c r="Q76" i="6" s="1"/>
  <c r="N77" i="6"/>
  <c r="O77" i="6" s="1"/>
  <c r="P77" i="6"/>
  <c r="Q77" i="6" s="1"/>
  <c r="N78" i="6"/>
  <c r="O78" i="6" s="1"/>
  <c r="P78" i="6"/>
  <c r="Q78" i="6" s="1"/>
  <c r="N79" i="6"/>
  <c r="O79" i="6" s="1"/>
  <c r="P79" i="6"/>
  <c r="Q79" i="6" s="1"/>
  <c r="N80" i="6"/>
  <c r="O80" i="6" s="1"/>
  <c r="P80" i="6"/>
  <c r="Q80" i="6" s="1"/>
  <c r="N81" i="6"/>
  <c r="O81" i="6" s="1"/>
  <c r="P81" i="6"/>
  <c r="Q81" i="6" s="1"/>
  <c r="N82" i="6"/>
  <c r="O82" i="6" s="1"/>
  <c r="P82" i="6"/>
  <c r="Q82" i="6" s="1"/>
  <c r="N83" i="6"/>
  <c r="O83" i="6" s="1"/>
  <c r="P83" i="6"/>
  <c r="Q83" i="6" s="1"/>
  <c r="N84" i="6"/>
  <c r="O84" i="6" s="1"/>
  <c r="P84" i="6"/>
  <c r="Q84" i="6" s="1"/>
  <c r="N85" i="6"/>
  <c r="O85" i="6" s="1"/>
  <c r="P85" i="6"/>
  <c r="Q85" i="6" s="1"/>
  <c r="N86" i="6"/>
  <c r="O86" i="6" s="1"/>
  <c r="P86" i="6"/>
  <c r="Q86" i="6" s="1"/>
  <c r="N87" i="6"/>
  <c r="O87" i="6" s="1"/>
  <c r="P87" i="6"/>
  <c r="Q87" i="6" s="1"/>
  <c r="N88" i="6"/>
  <c r="O88" i="6" s="1"/>
  <c r="P88" i="6"/>
  <c r="Q88" i="6" s="1"/>
  <c r="N89" i="6"/>
  <c r="O89" i="6" s="1"/>
  <c r="P89" i="6"/>
  <c r="Q89" i="6" s="1"/>
  <c r="N90" i="6"/>
  <c r="O90" i="6" s="1"/>
  <c r="P90" i="6"/>
  <c r="Q90" i="6" s="1"/>
  <c r="N91" i="6"/>
  <c r="O91" i="6" s="1"/>
  <c r="P91" i="6"/>
  <c r="Q91" i="6" s="1"/>
  <c r="N92" i="6"/>
  <c r="O92" i="6" s="1"/>
  <c r="P92" i="6"/>
  <c r="Q92" i="6" s="1"/>
  <c r="N93" i="6"/>
  <c r="O93" i="6" s="1"/>
  <c r="P93" i="6"/>
  <c r="Q93" i="6" s="1"/>
  <c r="N94" i="6"/>
  <c r="O94" i="6" s="1"/>
  <c r="P94" i="6"/>
  <c r="Q94" i="6" s="1"/>
  <c r="N95" i="6"/>
  <c r="O95" i="6" s="1"/>
  <c r="P95" i="6"/>
  <c r="Q95" i="6" s="1"/>
  <c r="N96" i="6"/>
  <c r="O96" i="6" s="1"/>
  <c r="P96" i="6"/>
  <c r="Q96" i="6" s="1"/>
  <c r="N97" i="6"/>
  <c r="O97" i="6" s="1"/>
  <c r="P97" i="6"/>
  <c r="Q97" i="6" s="1"/>
  <c r="N98" i="6"/>
  <c r="O98" i="6" s="1"/>
  <c r="P98" i="6"/>
  <c r="Q98" i="6" s="1"/>
  <c r="N99" i="6"/>
  <c r="O99" i="6" s="1"/>
  <c r="P99" i="6"/>
  <c r="Q99" i="6" s="1"/>
  <c r="N100" i="6"/>
  <c r="O100" i="6" s="1"/>
  <c r="P100" i="6"/>
  <c r="Q100" i="6" s="1"/>
  <c r="N101" i="6"/>
  <c r="O101" i="6" s="1"/>
  <c r="P101" i="6"/>
  <c r="Q101" i="6" s="1"/>
  <c r="N102" i="6"/>
  <c r="O102" i="6" s="1"/>
  <c r="P102" i="6"/>
  <c r="Q102" i="6" s="1"/>
  <c r="N103" i="6"/>
  <c r="O103" i="6" s="1"/>
  <c r="P103" i="6"/>
  <c r="Q103" i="6" s="1"/>
  <c r="N104" i="6"/>
  <c r="O104" i="6" s="1"/>
  <c r="P104" i="6"/>
  <c r="Q104" i="6" s="1"/>
  <c r="N105" i="6"/>
  <c r="O105" i="6" s="1"/>
  <c r="P105" i="6"/>
  <c r="Q105" i="6" s="1"/>
  <c r="N106" i="6"/>
  <c r="O106" i="6" s="1"/>
  <c r="P106" i="6"/>
  <c r="Q106" i="6" s="1"/>
  <c r="N107" i="6"/>
  <c r="O107" i="6" s="1"/>
  <c r="P107" i="6"/>
  <c r="Q107" i="6" s="1"/>
  <c r="N108" i="6"/>
  <c r="O108" i="6" s="1"/>
  <c r="P108" i="6"/>
  <c r="Q108" i="6" s="1"/>
  <c r="N109" i="6"/>
  <c r="O109" i="6" s="1"/>
  <c r="P109" i="6"/>
  <c r="Q109" i="6" s="1"/>
  <c r="N110" i="6"/>
  <c r="O110" i="6" s="1"/>
  <c r="P110" i="6"/>
  <c r="Q110" i="6" s="1"/>
  <c r="N111" i="6"/>
  <c r="O111" i="6" s="1"/>
  <c r="P111" i="6"/>
  <c r="Q111" i="6" s="1"/>
  <c r="N112" i="6"/>
  <c r="O112" i="6" s="1"/>
  <c r="P112" i="6"/>
  <c r="Q112" i="6" s="1"/>
  <c r="N113" i="6"/>
  <c r="O113" i="6" s="1"/>
  <c r="P113" i="6"/>
  <c r="Q113" i="6" s="1"/>
  <c r="N114" i="6"/>
  <c r="O114" i="6" s="1"/>
  <c r="P114" i="6"/>
  <c r="Q114" i="6" s="1"/>
  <c r="N115" i="6"/>
  <c r="O115" i="6" s="1"/>
  <c r="P115" i="6"/>
  <c r="Q115" i="6" s="1"/>
  <c r="N116" i="6"/>
  <c r="O116" i="6" s="1"/>
  <c r="P116" i="6"/>
  <c r="Q116" i="6" s="1"/>
  <c r="N117" i="6"/>
  <c r="O117" i="6" s="1"/>
  <c r="P117" i="6"/>
  <c r="Q117" i="6" s="1"/>
  <c r="N118" i="6"/>
  <c r="O118" i="6" s="1"/>
  <c r="P118" i="6"/>
  <c r="Q118" i="6" s="1"/>
  <c r="N119" i="6"/>
  <c r="O119" i="6" s="1"/>
  <c r="P119" i="6"/>
  <c r="Q119" i="6" s="1"/>
  <c r="N120" i="6"/>
  <c r="O120" i="6" s="1"/>
  <c r="P120" i="6"/>
  <c r="Q120" i="6" s="1"/>
  <c r="N121" i="6"/>
  <c r="O121" i="6" s="1"/>
  <c r="P121" i="6"/>
  <c r="Q121" i="6" s="1"/>
  <c r="N122" i="6"/>
  <c r="O122" i="6" s="1"/>
  <c r="P122" i="6"/>
  <c r="Q122" i="6" s="1"/>
  <c r="N123" i="6"/>
  <c r="O123" i="6" s="1"/>
  <c r="P123" i="6"/>
  <c r="Q123" i="6" s="1"/>
  <c r="N124" i="6"/>
  <c r="O124" i="6" s="1"/>
  <c r="P124" i="6"/>
  <c r="Q124" i="6" s="1"/>
  <c r="N125" i="6"/>
  <c r="O125" i="6" s="1"/>
  <c r="P125" i="6"/>
  <c r="Q125" i="6" s="1"/>
  <c r="N126" i="6"/>
  <c r="O126" i="6" s="1"/>
  <c r="P126" i="6"/>
  <c r="Q126" i="6" s="1"/>
  <c r="N127" i="6"/>
  <c r="O127" i="6" s="1"/>
  <c r="P127" i="6"/>
  <c r="Q127" i="6" s="1"/>
  <c r="N128" i="6"/>
  <c r="O128" i="6" s="1"/>
  <c r="P128" i="6"/>
  <c r="Q128" i="6" s="1"/>
  <c r="N129" i="6"/>
  <c r="O129" i="6" s="1"/>
  <c r="P129" i="6"/>
  <c r="Q129" i="6" s="1"/>
  <c r="N130" i="6"/>
  <c r="O130" i="6" s="1"/>
  <c r="P130" i="6"/>
  <c r="Q130" i="6" s="1"/>
  <c r="N131" i="6"/>
  <c r="O131" i="6" s="1"/>
  <c r="P131" i="6"/>
  <c r="Q131" i="6" s="1"/>
  <c r="N132" i="6"/>
  <c r="O132" i="6" s="1"/>
  <c r="P132" i="6"/>
  <c r="Q132" i="6" s="1"/>
  <c r="N133" i="6"/>
  <c r="O133" i="6" s="1"/>
  <c r="P133" i="6"/>
  <c r="Q133" i="6" s="1"/>
  <c r="N134" i="6"/>
  <c r="O134" i="6" s="1"/>
  <c r="P134" i="6"/>
  <c r="Q134" i="6" s="1"/>
  <c r="N135" i="6"/>
  <c r="O135" i="6" s="1"/>
  <c r="P135" i="6"/>
  <c r="Q135" i="6" s="1"/>
  <c r="N136" i="6"/>
  <c r="O136" i="6" s="1"/>
  <c r="P136" i="6"/>
  <c r="Q136" i="6" s="1"/>
  <c r="N137" i="6"/>
  <c r="O137" i="6" s="1"/>
  <c r="P137" i="6"/>
  <c r="Q137" i="6" s="1"/>
  <c r="N138" i="6"/>
  <c r="O138" i="6" s="1"/>
  <c r="P138" i="6"/>
  <c r="Q138" i="6" s="1"/>
  <c r="N139" i="6"/>
  <c r="O139" i="6" s="1"/>
  <c r="P139" i="6"/>
  <c r="Q139" i="6" s="1"/>
  <c r="N140" i="6"/>
  <c r="O140" i="6" s="1"/>
  <c r="P140" i="6"/>
  <c r="Q140" i="6" s="1"/>
  <c r="N141" i="6"/>
  <c r="O141" i="6" s="1"/>
  <c r="P141" i="6"/>
  <c r="Q141" i="6" s="1"/>
  <c r="N142" i="6"/>
  <c r="O142" i="6" s="1"/>
  <c r="P142" i="6"/>
  <c r="Q142" i="6" s="1"/>
  <c r="N143" i="6"/>
  <c r="O143" i="6" s="1"/>
  <c r="P143" i="6"/>
  <c r="Q143" i="6" s="1"/>
  <c r="N144" i="6"/>
  <c r="O144" i="6" s="1"/>
  <c r="P144" i="6"/>
  <c r="Q144" i="6" s="1"/>
  <c r="N145" i="6"/>
  <c r="O145" i="6" s="1"/>
  <c r="P145" i="6"/>
  <c r="Q145" i="6" s="1"/>
  <c r="N146" i="6"/>
  <c r="O146" i="6" s="1"/>
  <c r="P146" i="6"/>
  <c r="Q146" i="6" s="1"/>
  <c r="N147" i="6"/>
  <c r="O147" i="6" s="1"/>
  <c r="P147" i="6"/>
  <c r="Q147" i="6" s="1"/>
  <c r="N148" i="6"/>
  <c r="O148" i="6" s="1"/>
  <c r="P148" i="6"/>
  <c r="Q148" i="6" s="1"/>
  <c r="N149" i="6"/>
  <c r="O149" i="6" s="1"/>
  <c r="P149" i="6"/>
  <c r="Q149" i="6" s="1"/>
  <c r="N150" i="6"/>
  <c r="O150" i="6" s="1"/>
  <c r="P150" i="6"/>
  <c r="Q150" i="6" s="1"/>
  <c r="N151" i="6"/>
  <c r="O151" i="6" s="1"/>
  <c r="P151" i="6"/>
  <c r="Q151" i="6" s="1"/>
  <c r="N152" i="6"/>
  <c r="O152" i="6" s="1"/>
  <c r="P152" i="6"/>
  <c r="Q152" i="6" s="1"/>
  <c r="N153" i="6"/>
  <c r="O153" i="6" s="1"/>
  <c r="P153" i="6"/>
  <c r="Q153" i="6" s="1"/>
  <c r="N154" i="6"/>
  <c r="O154" i="6" s="1"/>
  <c r="P154" i="6"/>
  <c r="Q154" i="6" s="1"/>
  <c r="N155" i="6"/>
  <c r="O155" i="6" s="1"/>
  <c r="P155" i="6"/>
  <c r="Q155" i="6" s="1"/>
  <c r="N156" i="6"/>
  <c r="O156" i="6" s="1"/>
  <c r="P156" i="6"/>
  <c r="Q156" i="6" s="1"/>
  <c r="N157" i="6"/>
  <c r="O157" i="6" s="1"/>
  <c r="P157" i="6"/>
  <c r="Q157" i="6" s="1"/>
  <c r="N158" i="6"/>
  <c r="O158" i="6" s="1"/>
  <c r="P158" i="6"/>
  <c r="Q158" i="6" s="1"/>
  <c r="N159" i="6"/>
  <c r="O159" i="6" s="1"/>
  <c r="P159" i="6"/>
  <c r="Q159" i="6" s="1"/>
  <c r="N160" i="6"/>
  <c r="O160" i="6" s="1"/>
  <c r="P160" i="6"/>
  <c r="Q160" i="6" s="1"/>
  <c r="N161" i="6"/>
  <c r="O161" i="6" s="1"/>
  <c r="P161" i="6"/>
  <c r="Q161" i="6" s="1"/>
  <c r="N162" i="6"/>
  <c r="O162" i="6" s="1"/>
  <c r="P162" i="6"/>
  <c r="Q162" i="6" s="1"/>
  <c r="N163" i="6"/>
  <c r="O163" i="6" s="1"/>
  <c r="P163" i="6"/>
  <c r="Q163" i="6" s="1"/>
  <c r="N164" i="6"/>
  <c r="O164" i="6" s="1"/>
  <c r="P164" i="6"/>
  <c r="Q164" i="6" s="1"/>
  <c r="N165" i="6"/>
  <c r="O165" i="6" s="1"/>
  <c r="P165" i="6"/>
  <c r="Q165" i="6" s="1"/>
  <c r="N166" i="6"/>
  <c r="O166" i="6" s="1"/>
  <c r="P166" i="6"/>
  <c r="Q166" i="6" s="1"/>
  <c r="N167" i="6"/>
  <c r="O167" i="6" s="1"/>
  <c r="P167" i="6"/>
  <c r="Q167" i="6" s="1"/>
  <c r="N168" i="6"/>
  <c r="O168" i="6" s="1"/>
  <c r="P168" i="6"/>
  <c r="Q168" i="6" s="1"/>
  <c r="N169" i="6"/>
  <c r="O169" i="6" s="1"/>
  <c r="P169" i="6"/>
  <c r="Q169" i="6" s="1"/>
  <c r="N170" i="6"/>
  <c r="O170" i="6" s="1"/>
  <c r="P170" i="6"/>
  <c r="Q170" i="6" s="1"/>
  <c r="N171" i="6"/>
  <c r="O171" i="6" s="1"/>
  <c r="P171" i="6"/>
  <c r="Q171" i="6" s="1"/>
  <c r="N172" i="6"/>
  <c r="O172" i="6" s="1"/>
  <c r="P172" i="6"/>
  <c r="Q172" i="6" s="1"/>
  <c r="N173" i="6"/>
  <c r="O173" i="6" s="1"/>
  <c r="P173" i="6"/>
  <c r="Q173" i="6" s="1"/>
  <c r="N174" i="6"/>
  <c r="O174" i="6" s="1"/>
  <c r="P174" i="6"/>
  <c r="Q174" i="6" s="1"/>
  <c r="N175" i="6"/>
  <c r="O175" i="6" s="1"/>
  <c r="P175" i="6"/>
  <c r="Q175" i="6" s="1"/>
  <c r="N176" i="6"/>
  <c r="O176" i="6" s="1"/>
  <c r="P176" i="6"/>
  <c r="Q176" i="6" s="1"/>
  <c r="N177" i="6"/>
  <c r="O177" i="6" s="1"/>
  <c r="P177" i="6"/>
  <c r="Q177" i="6" s="1"/>
  <c r="N178" i="6"/>
  <c r="O178" i="6" s="1"/>
  <c r="P178" i="6"/>
  <c r="Q178" i="6" s="1"/>
  <c r="N179" i="6"/>
  <c r="O179" i="6" s="1"/>
  <c r="P179" i="6"/>
  <c r="Q179" i="6" s="1"/>
  <c r="N180" i="6"/>
  <c r="O180" i="6" s="1"/>
  <c r="P180" i="6"/>
  <c r="Q180" i="6" s="1"/>
  <c r="N181" i="6"/>
  <c r="O181" i="6" s="1"/>
  <c r="P181" i="6"/>
  <c r="Q181" i="6" s="1"/>
  <c r="N182" i="6"/>
  <c r="O182" i="6" s="1"/>
  <c r="P182" i="6"/>
  <c r="Q182" i="6" s="1"/>
  <c r="N183" i="6"/>
  <c r="O183" i="6" s="1"/>
  <c r="P183" i="6"/>
  <c r="Q183" i="6" s="1"/>
  <c r="N184" i="6"/>
  <c r="O184" i="6" s="1"/>
  <c r="P184" i="6"/>
  <c r="Q184" i="6" s="1"/>
  <c r="N185" i="6"/>
  <c r="O185" i="6" s="1"/>
  <c r="P185" i="6"/>
  <c r="Q185" i="6" s="1"/>
  <c r="N186" i="6"/>
  <c r="O186" i="6" s="1"/>
  <c r="P186" i="6"/>
  <c r="Q186" i="6" s="1"/>
  <c r="N187" i="6"/>
  <c r="O187" i="6" s="1"/>
  <c r="P187" i="6"/>
  <c r="Q187" i="6" s="1"/>
  <c r="N188" i="6"/>
  <c r="O188" i="6" s="1"/>
  <c r="P188" i="6"/>
  <c r="Q188" i="6" s="1"/>
  <c r="N189" i="6"/>
  <c r="O189" i="6" s="1"/>
  <c r="P189" i="6"/>
  <c r="Q189" i="6" s="1"/>
  <c r="N190" i="6"/>
  <c r="O190" i="6" s="1"/>
  <c r="P190" i="6"/>
  <c r="Q190" i="6" s="1"/>
  <c r="N191" i="6"/>
  <c r="O191" i="6" s="1"/>
  <c r="P191" i="6"/>
  <c r="Q191" i="6" s="1"/>
  <c r="N192" i="6"/>
  <c r="O192" i="6" s="1"/>
  <c r="P192" i="6"/>
  <c r="Q192" i="6" s="1"/>
  <c r="N193" i="6"/>
  <c r="O193" i="6" s="1"/>
  <c r="P193" i="6"/>
  <c r="Q193" i="6" s="1"/>
  <c r="N194" i="6"/>
  <c r="O194" i="6" s="1"/>
  <c r="P194" i="6"/>
  <c r="Q194" i="6" s="1"/>
  <c r="N195" i="6"/>
  <c r="O195" i="6" s="1"/>
  <c r="P195" i="6"/>
  <c r="Q195" i="6" s="1"/>
  <c r="N196" i="6"/>
  <c r="O196" i="6" s="1"/>
  <c r="P196" i="6"/>
  <c r="Q196" i="6" s="1"/>
  <c r="N197" i="6"/>
  <c r="O197" i="6" s="1"/>
  <c r="P197" i="6"/>
  <c r="Q197" i="6" s="1"/>
  <c r="N198" i="6"/>
  <c r="O198" i="6" s="1"/>
  <c r="P198" i="6"/>
  <c r="Q198" i="6" s="1"/>
  <c r="N199" i="6"/>
  <c r="O199" i="6" s="1"/>
  <c r="P199" i="6"/>
  <c r="Q199" i="6" s="1"/>
  <c r="N200" i="6"/>
  <c r="O200" i="6" s="1"/>
  <c r="P200" i="6"/>
  <c r="Q200" i="6" s="1"/>
  <c r="N201" i="6"/>
  <c r="O201" i="6" s="1"/>
  <c r="P201" i="6"/>
  <c r="Q201" i="6" s="1"/>
  <c r="N202" i="6"/>
  <c r="O202" i="6" s="1"/>
  <c r="P202" i="6"/>
  <c r="Q202" i="6" s="1"/>
  <c r="N203" i="6"/>
  <c r="O203" i="6" s="1"/>
  <c r="P203" i="6"/>
  <c r="Q203" i="6" s="1"/>
  <c r="N204" i="6"/>
  <c r="O204" i="6" s="1"/>
  <c r="P204" i="6"/>
  <c r="Q204" i="6" s="1"/>
  <c r="N205" i="6"/>
  <c r="O205" i="6" s="1"/>
  <c r="P205" i="6"/>
  <c r="Q205" i="6" s="1"/>
  <c r="N206" i="6"/>
  <c r="O206" i="6" s="1"/>
  <c r="P206" i="6"/>
  <c r="Q206" i="6" s="1"/>
  <c r="N207" i="6"/>
  <c r="O207" i="6" s="1"/>
  <c r="P207" i="6"/>
  <c r="Q207" i="6" s="1"/>
  <c r="N208" i="6"/>
  <c r="O208" i="6" s="1"/>
  <c r="P208" i="6"/>
  <c r="Q208" i="6" s="1"/>
  <c r="N209" i="6"/>
  <c r="O209" i="6" s="1"/>
  <c r="P209" i="6"/>
  <c r="Q209" i="6" s="1"/>
  <c r="N210" i="6"/>
  <c r="O210" i="6" s="1"/>
  <c r="P210" i="6"/>
  <c r="Q210" i="6" s="1"/>
  <c r="N211" i="6"/>
  <c r="O211" i="6" s="1"/>
  <c r="P211" i="6"/>
  <c r="Q211" i="6" s="1"/>
  <c r="N212" i="6"/>
  <c r="O212" i="6" s="1"/>
  <c r="P212" i="6"/>
  <c r="Q212" i="6" s="1"/>
  <c r="N213" i="6"/>
  <c r="O213" i="6" s="1"/>
  <c r="P213" i="6"/>
  <c r="Q213" i="6" s="1"/>
  <c r="N214" i="6"/>
  <c r="O214" i="6" s="1"/>
  <c r="P214" i="6"/>
  <c r="Q214" i="6" s="1"/>
  <c r="N215" i="6"/>
  <c r="O215" i="6" s="1"/>
  <c r="P215" i="6"/>
  <c r="Q215" i="6" s="1"/>
  <c r="N216" i="6"/>
  <c r="O216" i="6" s="1"/>
  <c r="P216" i="6"/>
  <c r="Q216" i="6" s="1"/>
  <c r="N217" i="6"/>
  <c r="O217" i="6" s="1"/>
  <c r="P217" i="6"/>
  <c r="Q217" i="6" s="1"/>
  <c r="N218" i="6"/>
  <c r="O218" i="6" s="1"/>
  <c r="P218" i="6"/>
  <c r="Q218" i="6" s="1"/>
  <c r="N219" i="6"/>
  <c r="O219" i="6" s="1"/>
  <c r="P219" i="6"/>
  <c r="Q219" i="6" s="1"/>
  <c r="P9" i="6"/>
  <c r="N9" i="6"/>
  <c r="N10" i="5"/>
  <c r="Q10" i="5"/>
  <c r="R10" i="5" s="1"/>
  <c r="N11" i="5"/>
  <c r="Q11" i="5"/>
  <c r="R11" i="5" s="1"/>
  <c r="N12" i="5"/>
  <c r="Q12" i="5"/>
  <c r="R12" i="5" s="1"/>
  <c r="N13" i="5"/>
  <c r="Q13" i="5"/>
  <c r="R13" i="5" s="1"/>
  <c r="N14" i="5"/>
  <c r="Q14" i="5"/>
  <c r="R14" i="5" s="1"/>
  <c r="N15" i="5"/>
  <c r="Q15" i="5"/>
  <c r="R15" i="5" s="1"/>
  <c r="N16" i="5"/>
  <c r="Q16" i="5"/>
  <c r="R16" i="5" s="1"/>
  <c r="N17" i="5"/>
  <c r="Q17" i="5"/>
  <c r="R17" i="5" s="1"/>
  <c r="N18" i="5"/>
  <c r="Q18" i="5"/>
  <c r="R18" i="5" s="1"/>
  <c r="N19" i="5"/>
  <c r="Q19" i="5"/>
  <c r="R19" i="5" s="1"/>
  <c r="N20" i="5"/>
  <c r="Q20" i="5"/>
  <c r="R20" i="5" s="1"/>
  <c r="N21" i="5"/>
  <c r="Q21" i="5"/>
  <c r="R21" i="5" s="1"/>
  <c r="N22" i="5"/>
  <c r="Q22" i="5"/>
  <c r="R22" i="5" s="1"/>
  <c r="N23" i="5"/>
  <c r="Q23" i="5"/>
  <c r="R23" i="5" s="1"/>
  <c r="N24" i="5"/>
  <c r="Q24" i="5"/>
  <c r="R24" i="5" s="1"/>
  <c r="N25" i="5"/>
  <c r="Q25" i="5"/>
  <c r="R25" i="5" s="1"/>
  <c r="N26" i="5"/>
  <c r="Q26" i="5"/>
  <c r="R26" i="5" s="1"/>
  <c r="N27" i="5"/>
  <c r="Q27" i="5"/>
  <c r="R27" i="5" s="1"/>
  <c r="N28" i="5"/>
  <c r="Q28" i="5"/>
  <c r="R28" i="5" s="1"/>
  <c r="N29" i="5"/>
  <c r="Q29" i="5"/>
  <c r="R29" i="5" s="1"/>
  <c r="N30" i="5"/>
  <c r="Q30" i="5"/>
  <c r="R30" i="5" s="1"/>
  <c r="N31" i="5"/>
  <c r="Q31" i="5"/>
  <c r="R31" i="5" s="1"/>
  <c r="N32" i="5"/>
  <c r="Q32" i="5"/>
  <c r="R32" i="5" s="1"/>
  <c r="N33" i="5"/>
  <c r="Q33" i="5"/>
  <c r="R33" i="5" s="1"/>
  <c r="N34" i="5"/>
  <c r="Q34" i="5"/>
  <c r="R34" i="5" s="1"/>
  <c r="N35" i="5"/>
  <c r="Q35" i="5"/>
  <c r="R35" i="5" s="1"/>
  <c r="N36" i="5"/>
  <c r="Q36" i="5"/>
  <c r="R36" i="5" s="1"/>
  <c r="N37" i="5"/>
  <c r="Q37" i="5"/>
  <c r="R37" i="5" s="1"/>
  <c r="N38" i="5"/>
  <c r="Q38" i="5"/>
  <c r="R38" i="5" s="1"/>
  <c r="N39" i="5"/>
  <c r="Q39" i="5"/>
  <c r="R39" i="5" s="1"/>
  <c r="N40" i="5"/>
  <c r="Q40" i="5"/>
  <c r="R40" i="5" s="1"/>
  <c r="N41" i="5"/>
  <c r="Q41" i="5"/>
  <c r="R41" i="5" s="1"/>
  <c r="N42" i="5"/>
  <c r="Q42" i="5"/>
  <c r="R42" i="5" s="1"/>
  <c r="N43" i="5"/>
  <c r="Q43" i="5"/>
  <c r="R43" i="5" s="1"/>
  <c r="N44" i="5"/>
  <c r="Q44" i="5"/>
  <c r="R44" i="5" s="1"/>
  <c r="N45" i="5"/>
  <c r="Q45" i="5"/>
  <c r="R45" i="5" s="1"/>
  <c r="N46" i="5"/>
  <c r="Q46" i="5"/>
  <c r="R46" i="5" s="1"/>
  <c r="N47" i="5"/>
  <c r="Q47" i="5"/>
  <c r="R47" i="5" s="1"/>
  <c r="N48" i="5"/>
  <c r="Q48" i="5"/>
  <c r="R48" i="5" s="1"/>
  <c r="N49" i="5"/>
  <c r="Q49" i="5"/>
  <c r="R49" i="5" s="1"/>
  <c r="N50" i="5"/>
  <c r="Q50" i="5"/>
  <c r="R50" i="5" s="1"/>
  <c r="N51" i="5"/>
  <c r="Q51" i="5"/>
  <c r="R51" i="5" s="1"/>
  <c r="N52" i="5"/>
  <c r="Q52" i="5"/>
  <c r="R52" i="5" s="1"/>
  <c r="N53" i="5"/>
  <c r="Q53" i="5"/>
  <c r="R53" i="5" s="1"/>
  <c r="N54" i="5"/>
  <c r="Q54" i="5"/>
  <c r="R54" i="5" s="1"/>
  <c r="N55" i="5"/>
  <c r="Q55" i="5"/>
  <c r="R55" i="5" s="1"/>
  <c r="N56" i="5"/>
  <c r="Q56" i="5"/>
  <c r="R56" i="5" s="1"/>
  <c r="N57" i="5"/>
  <c r="Q57" i="5"/>
  <c r="R57" i="5" s="1"/>
  <c r="N58" i="5"/>
  <c r="Q58" i="5"/>
  <c r="R58" i="5" s="1"/>
  <c r="N59" i="5"/>
  <c r="Q59" i="5"/>
  <c r="R59" i="5" s="1"/>
  <c r="N60" i="5"/>
  <c r="Q60" i="5"/>
  <c r="R60" i="5" s="1"/>
  <c r="N61" i="5"/>
  <c r="Q61" i="5"/>
  <c r="R61" i="5" s="1"/>
  <c r="N62" i="5"/>
  <c r="Q62" i="5"/>
  <c r="R62" i="5" s="1"/>
  <c r="N63" i="5"/>
  <c r="Q63" i="5"/>
  <c r="R63" i="5" s="1"/>
  <c r="N64" i="5"/>
  <c r="Q64" i="5"/>
  <c r="R64" i="5" s="1"/>
  <c r="N65" i="5"/>
  <c r="Q65" i="5"/>
  <c r="R65" i="5" s="1"/>
  <c r="N66" i="5"/>
  <c r="Q66" i="5"/>
  <c r="R66" i="5" s="1"/>
  <c r="N67" i="5"/>
  <c r="Q67" i="5"/>
  <c r="R67" i="5" s="1"/>
  <c r="N68" i="5"/>
  <c r="Q68" i="5"/>
  <c r="R68" i="5" s="1"/>
  <c r="N69" i="5"/>
  <c r="Q69" i="5"/>
  <c r="R69" i="5" s="1"/>
  <c r="N70" i="5"/>
  <c r="Q70" i="5"/>
  <c r="R70" i="5" s="1"/>
  <c r="N71" i="5"/>
  <c r="Q71" i="5"/>
  <c r="R71" i="5" s="1"/>
  <c r="N72" i="5"/>
  <c r="Q72" i="5"/>
  <c r="R72" i="5" s="1"/>
  <c r="N73" i="5"/>
  <c r="Q73" i="5"/>
  <c r="R73" i="5" s="1"/>
  <c r="N74" i="5"/>
  <c r="Q74" i="5"/>
  <c r="R74" i="5" s="1"/>
  <c r="N75" i="5"/>
  <c r="Q75" i="5"/>
  <c r="R75" i="5" s="1"/>
  <c r="N76" i="5"/>
  <c r="Q76" i="5"/>
  <c r="R76" i="5" s="1"/>
  <c r="N77" i="5"/>
  <c r="Q77" i="5"/>
  <c r="R77" i="5" s="1"/>
  <c r="N78" i="5"/>
  <c r="Q78" i="5"/>
  <c r="R78" i="5" s="1"/>
  <c r="N79" i="5"/>
  <c r="Q79" i="5"/>
  <c r="R79" i="5" s="1"/>
  <c r="N80" i="5"/>
  <c r="Q80" i="5"/>
  <c r="R80" i="5" s="1"/>
  <c r="N81" i="5"/>
  <c r="Q81" i="5"/>
  <c r="R81" i="5" s="1"/>
  <c r="N82" i="5"/>
  <c r="Q82" i="5"/>
  <c r="R82" i="5" s="1"/>
  <c r="N83" i="5"/>
  <c r="Q83" i="5"/>
  <c r="R83" i="5" s="1"/>
  <c r="N84" i="5"/>
  <c r="Q84" i="5"/>
  <c r="R84" i="5" s="1"/>
  <c r="N85" i="5"/>
  <c r="Q85" i="5"/>
  <c r="R85" i="5" s="1"/>
  <c r="N86" i="5"/>
  <c r="Q86" i="5"/>
  <c r="R86" i="5" s="1"/>
  <c r="N87" i="5"/>
  <c r="Q87" i="5"/>
  <c r="R87" i="5" s="1"/>
  <c r="N88" i="5"/>
  <c r="Q88" i="5"/>
  <c r="R88" i="5" s="1"/>
  <c r="N89" i="5"/>
  <c r="Q89" i="5"/>
  <c r="R89" i="5" s="1"/>
  <c r="N90" i="5"/>
  <c r="Q90" i="5"/>
  <c r="R90" i="5" s="1"/>
  <c r="N91" i="5"/>
  <c r="Q91" i="5"/>
  <c r="R91" i="5" s="1"/>
  <c r="N92" i="5"/>
  <c r="Q92" i="5"/>
  <c r="R92" i="5" s="1"/>
  <c r="N93" i="5"/>
  <c r="Q93" i="5"/>
  <c r="R93" i="5" s="1"/>
  <c r="N94" i="5"/>
  <c r="Q94" i="5"/>
  <c r="R94" i="5" s="1"/>
  <c r="N95" i="5"/>
  <c r="Q95" i="5"/>
  <c r="R95" i="5" s="1"/>
  <c r="N96" i="5"/>
  <c r="Q96" i="5"/>
  <c r="R96" i="5" s="1"/>
  <c r="N97" i="5"/>
  <c r="Q97" i="5"/>
  <c r="R97" i="5" s="1"/>
  <c r="N98" i="5"/>
  <c r="Q98" i="5"/>
  <c r="R98" i="5" s="1"/>
  <c r="N99" i="5"/>
  <c r="Q99" i="5"/>
  <c r="R99" i="5" s="1"/>
  <c r="N100" i="5"/>
  <c r="Q100" i="5"/>
  <c r="R100" i="5" s="1"/>
  <c r="N101" i="5"/>
  <c r="Q101" i="5"/>
  <c r="R101" i="5" s="1"/>
  <c r="N102" i="5"/>
  <c r="Q102" i="5"/>
  <c r="R102" i="5" s="1"/>
  <c r="N103" i="5"/>
  <c r="Q103" i="5"/>
  <c r="R103" i="5" s="1"/>
  <c r="N104" i="5"/>
  <c r="Q104" i="5"/>
  <c r="R104" i="5" s="1"/>
  <c r="N105" i="5"/>
  <c r="Q105" i="5"/>
  <c r="R105" i="5" s="1"/>
  <c r="N106" i="5"/>
  <c r="Q106" i="5"/>
  <c r="R106" i="5" s="1"/>
  <c r="N107" i="5"/>
  <c r="Q107" i="5"/>
  <c r="R107" i="5" s="1"/>
  <c r="N108" i="5"/>
  <c r="Q108" i="5"/>
  <c r="R108" i="5" s="1"/>
  <c r="N109" i="5"/>
  <c r="Q109" i="5"/>
  <c r="R109" i="5" s="1"/>
  <c r="N110" i="5"/>
  <c r="Q110" i="5"/>
  <c r="R110" i="5" s="1"/>
  <c r="N111" i="5"/>
  <c r="Q111" i="5"/>
  <c r="R111" i="5" s="1"/>
  <c r="N112" i="5"/>
  <c r="Q112" i="5"/>
  <c r="R112" i="5" s="1"/>
  <c r="N113" i="5"/>
  <c r="Q113" i="5"/>
  <c r="R113" i="5" s="1"/>
  <c r="N114" i="5"/>
  <c r="Q114" i="5"/>
  <c r="R114" i="5" s="1"/>
  <c r="N115" i="5"/>
  <c r="Q115" i="5"/>
  <c r="R115" i="5" s="1"/>
  <c r="N116" i="5"/>
  <c r="Q116" i="5"/>
  <c r="R116" i="5" s="1"/>
  <c r="N117" i="5"/>
  <c r="Q117" i="5"/>
  <c r="R117" i="5" s="1"/>
  <c r="N118" i="5"/>
  <c r="Q118" i="5"/>
  <c r="R118" i="5" s="1"/>
  <c r="N119" i="5"/>
  <c r="Q119" i="5"/>
  <c r="R119" i="5" s="1"/>
  <c r="N120" i="5"/>
  <c r="Q120" i="5"/>
  <c r="R120" i="5" s="1"/>
  <c r="N121" i="5"/>
  <c r="Q121" i="5"/>
  <c r="R121" i="5" s="1"/>
  <c r="N122" i="5"/>
  <c r="Q122" i="5"/>
  <c r="R122" i="5" s="1"/>
  <c r="N123" i="5"/>
  <c r="Q123" i="5"/>
  <c r="R123" i="5" s="1"/>
  <c r="N124" i="5"/>
  <c r="Q124" i="5"/>
  <c r="R124" i="5" s="1"/>
  <c r="N125" i="5"/>
  <c r="Q125" i="5"/>
  <c r="R125" i="5" s="1"/>
  <c r="N126" i="5"/>
  <c r="Q126" i="5"/>
  <c r="R126" i="5" s="1"/>
  <c r="N127" i="5"/>
  <c r="Q127" i="5"/>
  <c r="R127" i="5" s="1"/>
  <c r="N128" i="5"/>
  <c r="Q128" i="5"/>
  <c r="R128" i="5" s="1"/>
  <c r="N129" i="5"/>
  <c r="Q129" i="5"/>
  <c r="R129" i="5" s="1"/>
  <c r="N130" i="5"/>
  <c r="Q130" i="5"/>
  <c r="R130" i="5" s="1"/>
  <c r="N131" i="5"/>
  <c r="Q131" i="5"/>
  <c r="R131" i="5" s="1"/>
  <c r="N132" i="5"/>
  <c r="Q132" i="5"/>
  <c r="R132" i="5" s="1"/>
  <c r="N133" i="5"/>
  <c r="Q133" i="5"/>
  <c r="R133" i="5" s="1"/>
  <c r="N134" i="5"/>
  <c r="Q134" i="5"/>
  <c r="R134" i="5" s="1"/>
  <c r="N135" i="5"/>
  <c r="Q135" i="5"/>
  <c r="R135" i="5" s="1"/>
  <c r="N136" i="5"/>
  <c r="Q136" i="5"/>
  <c r="R136" i="5" s="1"/>
  <c r="N137" i="5"/>
  <c r="Q137" i="5"/>
  <c r="R137" i="5" s="1"/>
  <c r="N138" i="5"/>
  <c r="Q138" i="5"/>
  <c r="R138" i="5" s="1"/>
  <c r="N139" i="5"/>
  <c r="Q139" i="5"/>
  <c r="R139" i="5" s="1"/>
  <c r="N140" i="5"/>
  <c r="Q140" i="5"/>
  <c r="R140" i="5" s="1"/>
  <c r="N141" i="5"/>
  <c r="Q141" i="5"/>
  <c r="R141" i="5" s="1"/>
  <c r="N142" i="5"/>
  <c r="Q142" i="5"/>
  <c r="R142" i="5" s="1"/>
  <c r="N143" i="5"/>
  <c r="Q143" i="5"/>
  <c r="R143" i="5" s="1"/>
  <c r="N144" i="5"/>
  <c r="Q144" i="5"/>
  <c r="R144" i="5" s="1"/>
  <c r="N145" i="5"/>
  <c r="Q145" i="5"/>
  <c r="R145" i="5" s="1"/>
  <c r="N146" i="5"/>
  <c r="Q146" i="5"/>
  <c r="R146" i="5" s="1"/>
  <c r="N147" i="5"/>
  <c r="Q147" i="5"/>
  <c r="R147" i="5" s="1"/>
  <c r="N148" i="5"/>
  <c r="Q148" i="5"/>
  <c r="R148" i="5" s="1"/>
  <c r="N149" i="5"/>
  <c r="Q149" i="5"/>
  <c r="R149" i="5" s="1"/>
  <c r="N150" i="5"/>
  <c r="Q150" i="5"/>
  <c r="R150" i="5" s="1"/>
  <c r="N151" i="5"/>
  <c r="Q151" i="5"/>
  <c r="R151" i="5" s="1"/>
  <c r="N152" i="5"/>
  <c r="Q152" i="5"/>
  <c r="R152" i="5" s="1"/>
  <c r="N153" i="5"/>
  <c r="Q153" i="5"/>
  <c r="R153" i="5" s="1"/>
  <c r="N154" i="5"/>
  <c r="Q154" i="5"/>
  <c r="R154" i="5" s="1"/>
  <c r="N155" i="5"/>
  <c r="Q155" i="5"/>
  <c r="R155" i="5" s="1"/>
  <c r="N156" i="5"/>
  <c r="Q156" i="5"/>
  <c r="R156" i="5" s="1"/>
  <c r="N157" i="5"/>
  <c r="Q157" i="5"/>
  <c r="R157" i="5" s="1"/>
  <c r="N158" i="5"/>
  <c r="Q158" i="5"/>
  <c r="R158" i="5" s="1"/>
  <c r="N159" i="5"/>
  <c r="Q159" i="5"/>
  <c r="R159" i="5" s="1"/>
  <c r="N160" i="5"/>
  <c r="Q160" i="5"/>
  <c r="R160" i="5" s="1"/>
  <c r="N161" i="5"/>
  <c r="Q161" i="5"/>
  <c r="R161" i="5" s="1"/>
  <c r="N162" i="5"/>
  <c r="Q162" i="5"/>
  <c r="R162" i="5" s="1"/>
  <c r="N163" i="5"/>
  <c r="Q163" i="5"/>
  <c r="R163" i="5" s="1"/>
  <c r="N164" i="5"/>
  <c r="Q164" i="5"/>
  <c r="R164" i="5" s="1"/>
  <c r="N165" i="5"/>
  <c r="Q165" i="5"/>
  <c r="R165" i="5" s="1"/>
  <c r="N166" i="5"/>
  <c r="Q166" i="5"/>
  <c r="R166" i="5" s="1"/>
  <c r="N167" i="5"/>
  <c r="Q167" i="5"/>
  <c r="R167" i="5" s="1"/>
  <c r="N168" i="5"/>
  <c r="Q168" i="5"/>
  <c r="R168" i="5" s="1"/>
  <c r="N169" i="5"/>
  <c r="Q169" i="5"/>
  <c r="R169" i="5" s="1"/>
  <c r="N170" i="5"/>
  <c r="Q170" i="5"/>
  <c r="R170" i="5" s="1"/>
  <c r="N171" i="5"/>
  <c r="Q171" i="5"/>
  <c r="R171" i="5" s="1"/>
  <c r="N172" i="5"/>
  <c r="Q172" i="5"/>
  <c r="R172" i="5" s="1"/>
  <c r="N173" i="5"/>
  <c r="Q173" i="5"/>
  <c r="R173" i="5" s="1"/>
  <c r="N174" i="5"/>
  <c r="Q174" i="5"/>
  <c r="R174" i="5" s="1"/>
  <c r="N175" i="5"/>
  <c r="Q175" i="5"/>
  <c r="R175" i="5" s="1"/>
  <c r="N176" i="5"/>
  <c r="Q176" i="5"/>
  <c r="R176" i="5" s="1"/>
  <c r="N177" i="5"/>
  <c r="Q177" i="5"/>
  <c r="R177" i="5" s="1"/>
  <c r="N178" i="5"/>
  <c r="Q178" i="5"/>
  <c r="R178" i="5" s="1"/>
  <c r="N179" i="5"/>
  <c r="Q179" i="5"/>
  <c r="R179" i="5" s="1"/>
  <c r="N180" i="5"/>
  <c r="Q180" i="5"/>
  <c r="R180" i="5" s="1"/>
  <c r="N181" i="5"/>
  <c r="Q181" i="5"/>
  <c r="R181" i="5" s="1"/>
  <c r="N182" i="5"/>
  <c r="Q182" i="5"/>
  <c r="R182" i="5" s="1"/>
  <c r="N183" i="5"/>
  <c r="Q183" i="5"/>
  <c r="R183" i="5" s="1"/>
  <c r="N184" i="5"/>
  <c r="Q184" i="5"/>
  <c r="R184" i="5" s="1"/>
  <c r="N185" i="5"/>
  <c r="Q185" i="5"/>
  <c r="R185" i="5" s="1"/>
  <c r="N186" i="5"/>
  <c r="Q186" i="5"/>
  <c r="R186" i="5" s="1"/>
  <c r="N187" i="5"/>
  <c r="Q187" i="5"/>
  <c r="R187" i="5" s="1"/>
  <c r="N188" i="5"/>
  <c r="Q188" i="5"/>
  <c r="R188" i="5" s="1"/>
  <c r="N189" i="5"/>
  <c r="Q189" i="5"/>
  <c r="R189" i="5" s="1"/>
  <c r="N190" i="5"/>
  <c r="Q190" i="5"/>
  <c r="R190" i="5" s="1"/>
  <c r="N191" i="5"/>
  <c r="Q191" i="5"/>
  <c r="R191" i="5" s="1"/>
  <c r="N192" i="5"/>
  <c r="Q192" i="5"/>
  <c r="R192" i="5" s="1"/>
  <c r="N193" i="5"/>
  <c r="Q193" i="5"/>
  <c r="R193" i="5" s="1"/>
  <c r="N194" i="5"/>
  <c r="Q194" i="5"/>
  <c r="R194" i="5" s="1"/>
  <c r="N195" i="5"/>
  <c r="Q195" i="5"/>
  <c r="R195" i="5" s="1"/>
  <c r="N196" i="5"/>
  <c r="Q196" i="5"/>
  <c r="R196" i="5" s="1"/>
  <c r="N197" i="5"/>
  <c r="Q197" i="5"/>
  <c r="R197" i="5" s="1"/>
  <c r="N198" i="5"/>
  <c r="Q198" i="5"/>
  <c r="R198" i="5" s="1"/>
  <c r="N199" i="5"/>
  <c r="Q199" i="5"/>
  <c r="R199" i="5" s="1"/>
  <c r="N200" i="5"/>
  <c r="Q200" i="5"/>
  <c r="R200" i="5" s="1"/>
  <c r="N201" i="5"/>
  <c r="Q201" i="5"/>
  <c r="R201" i="5" s="1"/>
  <c r="N202" i="5"/>
  <c r="Q202" i="5"/>
  <c r="R202" i="5" s="1"/>
  <c r="N203" i="5"/>
  <c r="Q203" i="5"/>
  <c r="R203" i="5" s="1"/>
  <c r="N204" i="5"/>
  <c r="Q204" i="5"/>
  <c r="R204" i="5" s="1"/>
  <c r="N205" i="5"/>
  <c r="Q205" i="5"/>
  <c r="R205" i="5" s="1"/>
  <c r="N206" i="5"/>
  <c r="Q206" i="5"/>
  <c r="R206" i="5" s="1"/>
  <c r="N207" i="5"/>
  <c r="Q207" i="5"/>
  <c r="R207" i="5" s="1"/>
  <c r="N208" i="5"/>
  <c r="Q208" i="5"/>
  <c r="R208" i="5" s="1"/>
  <c r="N209" i="5"/>
  <c r="Q209" i="5"/>
  <c r="R209" i="5" s="1"/>
  <c r="N210" i="5"/>
  <c r="Q210" i="5"/>
  <c r="R210" i="5" s="1"/>
  <c r="N211" i="5"/>
  <c r="Q211" i="5"/>
  <c r="R211" i="5" s="1"/>
  <c r="N212" i="5"/>
  <c r="Q212" i="5"/>
  <c r="R212" i="5" s="1"/>
  <c r="N213" i="5"/>
  <c r="Q213" i="5"/>
  <c r="R213" i="5" s="1"/>
  <c r="N214" i="5"/>
  <c r="Q214" i="5"/>
  <c r="R214" i="5" s="1"/>
  <c r="N215" i="5"/>
  <c r="Q215" i="5"/>
  <c r="R215" i="5" s="1"/>
  <c r="N216" i="5"/>
  <c r="Q216" i="5"/>
  <c r="R216" i="5" s="1"/>
  <c r="N217" i="5"/>
  <c r="Q217" i="5"/>
  <c r="R217" i="5" s="1"/>
  <c r="N218" i="5"/>
  <c r="Q218" i="5"/>
  <c r="R218" i="5" s="1"/>
  <c r="N219" i="5"/>
  <c r="Q219" i="5"/>
  <c r="R219" i="5" s="1"/>
  <c r="Q9" i="5"/>
  <c r="N9" i="5"/>
  <c r="P9" i="5" s="1"/>
  <c r="N10" i="4"/>
  <c r="Q10" i="4"/>
  <c r="R10" i="4" s="1"/>
  <c r="N11" i="4"/>
  <c r="Q11" i="4"/>
  <c r="R11" i="4" s="1"/>
  <c r="N12" i="4"/>
  <c r="Q12" i="4"/>
  <c r="R12" i="4" s="1"/>
  <c r="N13" i="4"/>
  <c r="Q13" i="4"/>
  <c r="R13" i="4" s="1"/>
  <c r="N14" i="4"/>
  <c r="Q14" i="4"/>
  <c r="R14" i="4" s="1"/>
  <c r="N15" i="4"/>
  <c r="Q15" i="4"/>
  <c r="R15" i="4" s="1"/>
  <c r="N16" i="4"/>
  <c r="Q16" i="4"/>
  <c r="R16" i="4" s="1"/>
  <c r="N17" i="4"/>
  <c r="Q17" i="4"/>
  <c r="R17" i="4" s="1"/>
  <c r="N18" i="4"/>
  <c r="Q18" i="4"/>
  <c r="R18" i="4" s="1"/>
  <c r="N19" i="4"/>
  <c r="Q19" i="4"/>
  <c r="R19" i="4" s="1"/>
  <c r="N20" i="4"/>
  <c r="Q20" i="4"/>
  <c r="R20" i="4" s="1"/>
  <c r="N21" i="4"/>
  <c r="Q21" i="4"/>
  <c r="R21" i="4" s="1"/>
  <c r="N22" i="4"/>
  <c r="Q22" i="4"/>
  <c r="R22" i="4" s="1"/>
  <c r="N23" i="4"/>
  <c r="Q23" i="4"/>
  <c r="R23" i="4" s="1"/>
  <c r="N24" i="4"/>
  <c r="Q24" i="4"/>
  <c r="R24" i="4" s="1"/>
  <c r="N25" i="4"/>
  <c r="Q25" i="4"/>
  <c r="R25" i="4" s="1"/>
  <c r="N26" i="4"/>
  <c r="Q26" i="4"/>
  <c r="R26" i="4" s="1"/>
  <c r="N27" i="4"/>
  <c r="Q27" i="4"/>
  <c r="R27" i="4" s="1"/>
  <c r="N28" i="4"/>
  <c r="Q28" i="4"/>
  <c r="R28" i="4" s="1"/>
  <c r="N29" i="4"/>
  <c r="Q29" i="4"/>
  <c r="R29" i="4" s="1"/>
  <c r="N30" i="4"/>
  <c r="Q30" i="4"/>
  <c r="R30" i="4" s="1"/>
  <c r="N31" i="4"/>
  <c r="Q31" i="4"/>
  <c r="R31" i="4" s="1"/>
  <c r="N32" i="4"/>
  <c r="Q32" i="4"/>
  <c r="R32" i="4" s="1"/>
  <c r="N33" i="4"/>
  <c r="Q33" i="4"/>
  <c r="R33" i="4" s="1"/>
  <c r="N34" i="4"/>
  <c r="Q34" i="4"/>
  <c r="R34" i="4" s="1"/>
  <c r="N35" i="4"/>
  <c r="Q35" i="4"/>
  <c r="R35" i="4" s="1"/>
  <c r="N36" i="4"/>
  <c r="Q36" i="4"/>
  <c r="R36" i="4" s="1"/>
  <c r="N37" i="4"/>
  <c r="Q37" i="4"/>
  <c r="R37" i="4" s="1"/>
  <c r="N38" i="4"/>
  <c r="Q38" i="4"/>
  <c r="R38" i="4" s="1"/>
  <c r="N39" i="4"/>
  <c r="Q39" i="4"/>
  <c r="R39" i="4" s="1"/>
  <c r="N40" i="4"/>
  <c r="Q40" i="4"/>
  <c r="R40" i="4" s="1"/>
  <c r="N41" i="4"/>
  <c r="Q41" i="4"/>
  <c r="R41" i="4" s="1"/>
  <c r="N42" i="4"/>
  <c r="Q42" i="4"/>
  <c r="R42" i="4" s="1"/>
  <c r="N43" i="4"/>
  <c r="Q43" i="4"/>
  <c r="R43" i="4" s="1"/>
  <c r="N44" i="4"/>
  <c r="Q44" i="4"/>
  <c r="R44" i="4" s="1"/>
  <c r="N45" i="4"/>
  <c r="Q45" i="4"/>
  <c r="R45" i="4" s="1"/>
  <c r="N46" i="4"/>
  <c r="Q46" i="4"/>
  <c r="R46" i="4" s="1"/>
  <c r="N47" i="4"/>
  <c r="Q47" i="4"/>
  <c r="R47" i="4" s="1"/>
  <c r="N48" i="4"/>
  <c r="Q48" i="4"/>
  <c r="R48" i="4" s="1"/>
  <c r="N49" i="4"/>
  <c r="Q49" i="4"/>
  <c r="R49" i="4" s="1"/>
  <c r="N50" i="4"/>
  <c r="Q50" i="4"/>
  <c r="R50" i="4" s="1"/>
  <c r="N51" i="4"/>
  <c r="Q51" i="4"/>
  <c r="R51" i="4" s="1"/>
  <c r="N52" i="4"/>
  <c r="Q52" i="4"/>
  <c r="R52" i="4" s="1"/>
  <c r="N53" i="4"/>
  <c r="Q53" i="4"/>
  <c r="R53" i="4" s="1"/>
  <c r="N54" i="4"/>
  <c r="Q54" i="4"/>
  <c r="R54" i="4" s="1"/>
  <c r="N55" i="4"/>
  <c r="Q55" i="4"/>
  <c r="R55" i="4" s="1"/>
  <c r="N56" i="4"/>
  <c r="Q56" i="4"/>
  <c r="R56" i="4" s="1"/>
  <c r="N57" i="4"/>
  <c r="Q57" i="4"/>
  <c r="R57" i="4" s="1"/>
  <c r="N58" i="4"/>
  <c r="Q58" i="4"/>
  <c r="R58" i="4" s="1"/>
  <c r="N59" i="4"/>
  <c r="Q59" i="4"/>
  <c r="R59" i="4" s="1"/>
  <c r="N60" i="4"/>
  <c r="Q60" i="4"/>
  <c r="R60" i="4" s="1"/>
  <c r="N61" i="4"/>
  <c r="Q61" i="4"/>
  <c r="R61" i="4" s="1"/>
  <c r="N62" i="4"/>
  <c r="Q62" i="4"/>
  <c r="R62" i="4" s="1"/>
  <c r="N63" i="4"/>
  <c r="Q63" i="4"/>
  <c r="R63" i="4" s="1"/>
  <c r="N64" i="4"/>
  <c r="Q64" i="4"/>
  <c r="R64" i="4" s="1"/>
  <c r="N65" i="4"/>
  <c r="Q65" i="4"/>
  <c r="R65" i="4" s="1"/>
  <c r="N66" i="4"/>
  <c r="Q66" i="4"/>
  <c r="R66" i="4" s="1"/>
  <c r="N67" i="4"/>
  <c r="Q67" i="4"/>
  <c r="R67" i="4" s="1"/>
  <c r="N68" i="4"/>
  <c r="Q68" i="4"/>
  <c r="R68" i="4" s="1"/>
  <c r="N69" i="4"/>
  <c r="Q69" i="4"/>
  <c r="R69" i="4" s="1"/>
  <c r="N70" i="4"/>
  <c r="Q70" i="4"/>
  <c r="R70" i="4" s="1"/>
  <c r="N71" i="4"/>
  <c r="Q71" i="4"/>
  <c r="R71" i="4" s="1"/>
  <c r="N72" i="4"/>
  <c r="Q72" i="4"/>
  <c r="R72" i="4" s="1"/>
  <c r="N73" i="4"/>
  <c r="Q73" i="4"/>
  <c r="R73" i="4" s="1"/>
  <c r="N74" i="4"/>
  <c r="Q74" i="4"/>
  <c r="R74" i="4" s="1"/>
  <c r="N75" i="4"/>
  <c r="Q75" i="4"/>
  <c r="R75" i="4" s="1"/>
  <c r="N76" i="4"/>
  <c r="Q76" i="4"/>
  <c r="R76" i="4" s="1"/>
  <c r="N77" i="4"/>
  <c r="Q77" i="4"/>
  <c r="R77" i="4" s="1"/>
  <c r="N78" i="4"/>
  <c r="Q78" i="4"/>
  <c r="R78" i="4" s="1"/>
  <c r="N79" i="4"/>
  <c r="Q79" i="4"/>
  <c r="R79" i="4" s="1"/>
  <c r="N80" i="4"/>
  <c r="Q80" i="4"/>
  <c r="R80" i="4" s="1"/>
  <c r="N81" i="4"/>
  <c r="Q81" i="4"/>
  <c r="R81" i="4" s="1"/>
  <c r="N82" i="4"/>
  <c r="Q82" i="4"/>
  <c r="R82" i="4" s="1"/>
  <c r="N83" i="4"/>
  <c r="Q83" i="4"/>
  <c r="R83" i="4" s="1"/>
  <c r="N84" i="4"/>
  <c r="Q84" i="4"/>
  <c r="R84" i="4" s="1"/>
  <c r="N85" i="4"/>
  <c r="Q85" i="4"/>
  <c r="R85" i="4" s="1"/>
  <c r="N86" i="4"/>
  <c r="Q86" i="4"/>
  <c r="R86" i="4" s="1"/>
  <c r="N87" i="4"/>
  <c r="Q87" i="4"/>
  <c r="R87" i="4" s="1"/>
  <c r="N88" i="4"/>
  <c r="Q88" i="4"/>
  <c r="R88" i="4" s="1"/>
  <c r="N89" i="4"/>
  <c r="Q89" i="4"/>
  <c r="R89" i="4" s="1"/>
  <c r="N90" i="4"/>
  <c r="Q90" i="4"/>
  <c r="R90" i="4" s="1"/>
  <c r="N91" i="4"/>
  <c r="Q91" i="4"/>
  <c r="R91" i="4" s="1"/>
  <c r="N92" i="4"/>
  <c r="Q92" i="4"/>
  <c r="R92" i="4" s="1"/>
  <c r="N93" i="4"/>
  <c r="Q93" i="4"/>
  <c r="R93" i="4" s="1"/>
  <c r="N94" i="4"/>
  <c r="Q94" i="4"/>
  <c r="R94" i="4" s="1"/>
  <c r="N95" i="4"/>
  <c r="Q95" i="4"/>
  <c r="R95" i="4" s="1"/>
  <c r="N96" i="4"/>
  <c r="Q96" i="4"/>
  <c r="R96" i="4" s="1"/>
  <c r="N97" i="4"/>
  <c r="Q97" i="4"/>
  <c r="R97" i="4" s="1"/>
  <c r="N98" i="4"/>
  <c r="Q98" i="4"/>
  <c r="R98" i="4" s="1"/>
  <c r="N99" i="4"/>
  <c r="Q99" i="4"/>
  <c r="R99" i="4" s="1"/>
  <c r="N100" i="4"/>
  <c r="Q100" i="4"/>
  <c r="R100" i="4" s="1"/>
  <c r="N101" i="4"/>
  <c r="Q101" i="4"/>
  <c r="R101" i="4" s="1"/>
  <c r="N102" i="4"/>
  <c r="Q102" i="4"/>
  <c r="R102" i="4" s="1"/>
  <c r="N103" i="4"/>
  <c r="Q103" i="4"/>
  <c r="R103" i="4" s="1"/>
  <c r="N104" i="4"/>
  <c r="Q104" i="4"/>
  <c r="R104" i="4" s="1"/>
  <c r="N105" i="4"/>
  <c r="Q105" i="4"/>
  <c r="R105" i="4" s="1"/>
  <c r="N106" i="4"/>
  <c r="Q106" i="4"/>
  <c r="R106" i="4" s="1"/>
  <c r="N107" i="4"/>
  <c r="Q107" i="4"/>
  <c r="R107" i="4" s="1"/>
  <c r="N108" i="4"/>
  <c r="Q108" i="4"/>
  <c r="R108" i="4" s="1"/>
  <c r="N109" i="4"/>
  <c r="Q109" i="4"/>
  <c r="R109" i="4" s="1"/>
  <c r="N110" i="4"/>
  <c r="Q110" i="4"/>
  <c r="R110" i="4" s="1"/>
  <c r="N111" i="4"/>
  <c r="Q111" i="4"/>
  <c r="R111" i="4" s="1"/>
  <c r="N112" i="4"/>
  <c r="Q112" i="4"/>
  <c r="R112" i="4" s="1"/>
  <c r="N113" i="4"/>
  <c r="Q113" i="4"/>
  <c r="R113" i="4" s="1"/>
  <c r="N114" i="4"/>
  <c r="Q114" i="4"/>
  <c r="R114" i="4" s="1"/>
  <c r="N115" i="4"/>
  <c r="Q115" i="4"/>
  <c r="R115" i="4" s="1"/>
  <c r="N116" i="4"/>
  <c r="Q116" i="4"/>
  <c r="R116" i="4" s="1"/>
  <c r="N117" i="4"/>
  <c r="Q117" i="4"/>
  <c r="R117" i="4" s="1"/>
  <c r="N118" i="4"/>
  <c r="Q118" i="4"/>
  <c r="R118" i="4" s="1"/>
  <c r="N119" i="4"/>
  <c r="Q119" i="4"/>
  <c r="R119" i="4" s="1"/>
  <c r="N120" i="4"/>
  <c r="Q120" i="4"/>
  <c r="R120" i="4" s="1"/>
  <c r="N121" i="4"/>
  <c r="Q121" i="4"/>
  <c r="R121" i="4" s="1"/>
  <c r="N122" i="4"/>
  <c r="Q122" i="4"/>
  <c r="R122" i="4" s="1"/>
  <c r="N123" i="4"/>
  <c r="Q123" i="4"/>
  <c r="R123" i="4" s="1"/>
  <c r="N124" i="4"/>
  <c r="Q124" i="4"/>
  <c r="R124" i="4" s="1"/>
  <c r="N125" i="4"/>
  <c r="Q125" i="4"/>
  <c r="R125" i="4" s="1"/>
  <c r="N126" i="4"/>
  <c r="Q126" i="4"/>
  <c r="R126" i="4" s="1"/>
  <c r="N127" i="4"/>
  <c r="Q127" i="4"/>
  <c r="R127" i="4" s="1"/>
  <c r="N128" i="4"/>
  <c r="Q128" i="4"/>
  <c r="R128" i="4" s="1"/>
  <c r="N129" i="4"/>
  <c r="Q129" i="4"/>
  <c r="R129" i="4" s="1"/>
  <c r="N130" i="4"/>
  <c r="Q130" i="4"/>
  <c r="R130" i="4" s="1"/>
  <c r="N131" i="4"/>
  <c r="Q131" i="4"/>
  <c r="R131" i="4" s="1"/>
  <c r="N132" i="4"/>
  <c r="Q132" i="4"/>
  <c r="R132" i="4" s="1"/>
  <c r="N133" i="4"/>
  <c r="Q133" i="4"/>
  <c r="R133" i="4" s="1"/>
  <c r="N134" i="4"/>
  <c r="Q134" i="4"/>
  <c r="R134" i="4" s="1"/>
  <c r="N135" i="4"/>
  <c r="Q135" i="4"/>
  <c r="R135" i="4" s="1"/>
  <c r="N136" i="4"/>
  <c r="Q136" i="4"/>
  <c r="R136" i="4" s="1"/>
  <c r="N137" i="4"/>
  <c r="Q137" i="4"/>
  <c r="R137" i="4" s="1"/>
  <c r="N138" i="4"/>
  <c r="Q138" i="4"/>
  <c r="R138" i="4" s="1"/>
  <c r="N139" i="4"/>
  <c r="Q139" i="4"/>
  <c r="R139" i="4" s="1"/>
  <c r="N140" i="4"/>
  <c r="Q140" i="4"/>
  <c r="R140" i="4" s="1"/>
  <c r="N141" i="4"/>
  <c r="Q141" i="4"/>
  <c r="R141" i="4" s="1"/>
  <c r="N142" i="4"/>
  <c r="Q142" i="4"/>
  <c r="R142" i="4" s="1"/>
  <c r="N143" i="4"/>
  <c r="Q143" i="4"/>
  <c r="R143" i="4" s="1"/>
  <c r="N144" i="4"/>
  <c r="Q144" i="4"/>
  <c r="R144" i="4" s="1"/>
  <c r="N145" i="4"/>
  <c r="Q145" i="4"/>
  <c r="R145" i="4" s="1"/>
  <c r="N146" i="4"/>
  <c r="Q146" i="4"/>
  <c r="R146" i="4" s="1"/>
  <c r="N147" i="4"/>
  <c r="Q147" i="4"/>
  <c r="R147" i="4" s="1"/>
  <c r="N148" i="4"/>
  <c r="Q148" i="4"/>
  <c r="R148" i="4" s="1"/>
  <c r="N149" i="4"/>
  <c r="Q149" i="4"/>
  <c r="R149" i="4" s="1"/>
  <c r="N150" i="4"/>
  <c r="Q150" i="4"/>
  <c r="R150" i="4" s="1"/>
  <c r="N151" i="4"/>
  <c r="Q151" i="4"/>
  <c r="R151" i="4" s="1"/>
  <c r="N152" i="4"/>
  <c r="Q152" i="4"/>
  <c r="R152" i="4" s="1"/>
  <c r="N153" i="4"/>
  <c r="Q153" i="4"/>
  <c r="R153" i="4" s="1"/>
  <c r="N154" i="4"/>
  <c r="Q154" i="4"/>
  <c r="R154" i="4" s="1"/>
  <c r="N155" i="4"/>
  <c r="Q155" i="4"/>
  <c r="R155" i="4" s="1"/>
  <c r="N156" i="4"/>
  <c r="Q156" i="4"/>
  <c r="R156" i="4" s="1"/>
  <c r="N157" i="4"/>
  <c r="Q157" i="4"/>
  <c r="R157" i="4" s="1"/>
  <c r="N158" i="4"/>
  <c r="Q158" i="4"/>
  <c r="R158" i="4" s="1"/>
  <c r="N159" i="4"/>
  <c r="Q159" i="4"/>
  <c r="R159" i="4" s="1"/>
  <c r="N160" i="4"/>
  <c r="Q160" i="4"/>
  <c r="R160" i="4" s="1"/>
  <c r="N161" i="4"/>
  <c r="Q161" i="4"/>
  <c r="R161" i="4" s="1"/>
  <c r="N162" i="4"/>
  <c r="Q162" i="4"/>
  <c r="R162" i="4" s="1"/>
  <c r="N163" i="4"/>
  <c r="Q163" i="4"/>
  <c r="R163" i="4" s="1"/>
  <c r="N164" i="4"/>
  <c r="Q164" i="4"/>
  <c r="R164" i="4" s="1"/>
  <c r="N165" i="4"/>
  <c r="Q165" i="4"/>
  <c r="R165" i="4" s="1"/>
  <c r="N166" i="4"/>
  <c r="Q166" i="4"/>
  <c r="R166" i="4" s="1"/>
  <c r="N167" i="4"/>
  <c r="Q167" i="4"/>
  <c r="R167" i="4" s="1"/>
  <c r="N168" i="4"/>
  <c r="Q168" i="4"/>
  <c r="R168" i="4" s="1"/>
  <c r="N169" i="4"/>
  <c r="Q169" i="4"/>
  <c r="R169" i="4" s="1"/>
  <c r="N170" i="4"/>
  <c r="Q170" i="4"/>
  <c r="R170" i="4" s="1"/>
  <c r="N171" i="4"/>
  <c r="Q171" i="4"/>
  <c r="R171" i="4" s="1"/>
  <c r="N172" i="4"/>
  <c r="Q172" i="4"/>
  <c r="R172" i="4" s="1"/>
  <c r="N173" i="4"/>
  <c r="Q173" i="4"/>
  <c r="R173" i="4" s="1"/>
  <c r="N174" i="4"/>
  <c r="Q174" i="4"/>
  <c r="R174" i="4" s="1"/>
  <c r="N175" i="4"/>
  <c r="Q175" i="4"/>
  <c r="R175" i="4" s="1"/>
  <c r="N176" i="4"/>
  <c r="Q176" i="4"/>
  <c r="R176" i="4" s="1"/>
  <c r="N177" i="4"/>
  <c r="Q177" i="4"/>
  <c r="R177" i="4" s="1"/>
  <c r="N178" i="4"/>
  <c r="Q178" i="4"/>
  <c r="R178" i="4" s="1"/>
  <c r="N179" i="4"/>
  <c r="Q179" i="4"/>
  <c r="R179" i="4" s="1"/>
  <c r="N180" i="4"/>
  <c r="Q180" i="4"/>
  <c r="R180" i="4" s="1"/>
  <c r="N181" i="4"/>
  <c r="Q181" i="4"/>
  <c r="R181" i="4" s="1"/>
  <c r="N182" i="4"/>
  <c r="Q182" i="4"/>
  <c r="R182" i="4" s="1"/>
  <c r="N183" i="4"/>
  <c r="Q183" i="4"/>
  <c r="R183" i="4" s="1"/>
  <c r="N184" i="4"/>
  <c r="Q184" i="4"/>
  <c r="R184" i="4" s="1"/>
  <c r="N185" i="4"/>
  <c r="Q185" i="4"/>
  <c r="R185" i="4" s="1"/>
  <c r="N186" i="4"/>
  <c r="Q186" i="4"/>
  <c r="R186" i="4" s="1"/>
  <c r="N187" i="4"/>
  <c r="Q187" i="4"/>
  <c r="R187" i="4" s="1"/>
  <c r="N188" i="4"/>
  <c r="Q188" i="4"/>
  <c r="R188" i="4" s="1"/>
  <c r="N189" i="4"/>
  <c r="Q189" i="4"/>
  <c r="R189" i="4" s="1"/>
  <c r="N190" i="4"/>
  <c r="Q190" i="4"/>
  <c r="R190" i="4" s="1"/>
  <c r="N191" i="4"/>
  <c r="Q191" i="4"/>
  <c r="R191" i="4" s="1"/>
  <c r="N192" i="4"/>
  <c r="Q192" i="4"/>
  <c r="R192" i="4" s="1"/>
  <c r="N193" i="4"/>
  <c r="Q193" i="4"/>
  <c r="R193" i="4" s="1"/>
  <c r="N194" i="4"/>
  <c r="Q194" i="4"/>
  <c r="R194" i="4" s="1"/>
  <c r="N195" i="4"/>
  <c r="Q195" i="4"/>
  <c r="R195" i="4" s="1"/>
  <c r="N196" i="4"/>
  <c r="Q196" i="4"/>
  <c r="R196" i="4" s="1"/>
  <c r="N197" i="4"/>
  <c r="Q197" i="4"/>
  <c r="R197" i="4" s="1"/>
  <c r="N198" i="4"/>
  <c r="Q198" i="4"/>
  <c r="R198" i="4" s="1"/>
  <c r="N199" i="4"/>
  <c r="Q199" i="4"/>
  <c r="R199" i="4" s="1"/>
  <c r="N200" i="4"/>
  <c r="Q200" i="4"/>
  <c r="R200" i="4" s="1"/>
  <c r="N201" i="4"/>
  <c r="Q201" i="4"/>
  <c r="R201" i="4" s="1"/>
  <c r="N202" i="4"/>
  <c r="Q202" i="4"/>
  <c r="R202" i="4" s="1"/>
  <c r="N203" i="4"/>
  <c r="Q203" i="4"/>
  <c r="R203" i="4" s="1"/>
  <c r="N204" i="4"/>
  <c r="Q204" i="4"/>
  <c r="R204" i="4" s="1"/>
  <c r="N205" i="4"/>
  <c r="Q205" i="4"/>
  <c r="R205" i="4" s="1"/>
  <c r="N206" i="4"/>
  <c r="Q206" i="4"/>
  <c r="R206" i="4" s="1"/>
  <c r="N207" i="4"/>
  <c r="Q207" i="4"/>
  <c r="R207" i="4" s="1"/>
  <c r="N208" i="4"/>
  <c r="Q208" i="4"/>
  <c r="R208" i="4" s="1"/>
  <c r="N209" i="4"/>
  <c r="Q209" i="4"/>
  <c r="R209" i="4" s="1"/>
  <c r="N210" i="4"/>
  <c r="Q210" i="4"/>
  <c r="R210" i="4" s="1"/>
  <c r="N211" i="4"/>
  <c r="Q211" i="4"/>
  <c r="R211" i="4" s="1"/>
  <c r="N212" i="4"/>
  <c r="Q212" i="4"/>
  <c r="R212" i="4" s="1"/>
  <c r="N213" i="4"/>
  <c r="Q213" i="4"/>
  <c r="R213" i="4" s="1"/>
  <c r="N214" i="4"/>
  <c r="Q214" i="4"/>
  <c r="R214" i="4" s="1"/>
  <c r="N215" i="4"/>
  <c r="Q215" i="4"/>
  <c r="R215" i="4" s="1"/>
  <c r="N216" i="4"/>
  <c r="Q216" i="4"/>
  <c r="R216" i="4" s="1"/>
  <c r="N217" i="4"/>
  <c r="Q217" i="4"/>
  <c r="R217" i="4" s="1"/>
  <c r="N218" i="4"/>
  <c r="Q218" i="4"/>
  <c r="R218" i="4" s="1"/>
  <c r="N219" i="4"/>
  <c r="Q219" i="4"/>
  <c r="R219" i="4" s="1"/>
  <c r="Q9" i="4"/>
  <c r="N9" i="4"/>
  <c r="M32" i="1"/>
  <c r="N32" i="1" s="1"/>
  <c r="P32" i="1"/>
  <c r="Q32" i="1" s="1"/>
  <c r="M51" i="1"/>
  <c r="N51" i="1" s="1"/>
  <c r="P51" i="1"/>
  <c r="Q51" i="1" s="1"/>
  <c r="M9" i="1"/>
  <c r="N9" i="1" s="1"/>
  <c r="P9" i="1"/>
  <c r="Q9" i="1" s="1"/>
  <c r="M16" i="1"/>
  <c r="N16" i="1" s="1"/>
  <c r="P16" i="1"/>
  <c r="Q16" i="1" s="1"/>
  <c r="M21" i="1"/>
  <c r="N21" i="1" s="1"/>
  <c r="P21" i="1"/>
  <c r="Q21" i="1" s="1"/>
  <c r="M10" i="1"/>
  <c r="N10" i="1" s="1"/>
  <c r="P10" i="1"/>
  <c r="Q10" i="1" s="1"/>
  <c r="M11" i="1"/>
  <c r="N11" i="1" s="1"/>
  <c r="P11" i="1"/>
  <c r="Q11" i="1" s="1"/>
  <c r="M12" i="1"/>
  <c r="N12" i="1" s="1"/>
  <c r="P12" i="1"/>
  <c r="Q12" i="1" s="1"/>
  <c r="M19" i="1"/>
  <c r="N19" i="1" s="1"/>
  <c r="P19" i="1"/>
  <c r="Q19" i="1" s="1"/>
  <c r="M26" i="1"/>
  <c r="N26" i="1" s="1"/>
  <c r="P26" i="1"/>
  <c r="Q26" i="1" s="1"/>
  <c r="M13" i="1"/>
  <c r="N13" i="1" s="1"/>
  <c r="P13" i="1"/>
  <c r="Q13" i="1" s="1"/>
  <c r="M55" i="1"/>
  <c r="N55" i="1" s="1"/>
  <c r="P55" i="1"/>
  <c r="Q55" i="1" s="1"/>
  <c r="M24" i="1"/>
  <c r="N24" i="1" s="1"/>
  <c r="P24" i="1"/>
  <c r="Q24" i="1" s="1"/>
  <c r="M37" i="1"/>
  <c r="N37" i="1" s="1"/>
  <c r="P37" i="1"/>
  <c r="Q37" i="1" s="1"/>
  <c r="M67" i="1"/>
  <c r="N67" i="1" s="1"/>
  <c r="P67" i="1"/>
  <c r="Q67" i="1" s="1"/>
  <c r="M23" i="1"/>
  <c r="N23" i="1" s="1"/>
  <c r="P23" i="1"/>
  <c r="Q23" i="1" s="1"/>
  <c r="M18" i="1"/>
  <c r="N18" i="1" s="1"/>
  <c r="P18" i="1"/>
  <c r="Q18" i="1" s="1"/>
  <c r="M38" i="1"/>
  <c r="N38" i="1" s="1"/>
  <c r="P38" i="1"/>
  <c r="Q38" i="1" s="1"/>
  <c r="M14" i="1"/>
  <c r="N14" i="1" s="1"/>
  <c r="P14" i="1"/>
  <c r="Q14" i="1" s="1"/>
  <c r="M15" i="1"/>
  <c r="N15" i="1" s="1"/>
  <c r="P15" i="1"/>
  <c r="Q15" i="1" s="1"/>
  <c r="M54" i="1"/>
  <c r="N54" i="1" s="1"/>
  <c r="P54" i="1"/>
  <c r="Q54" i="1" s="1"/>
  <c r="M34" i="1"/>
  <c r="N34" i="1" s="1"/>
  <c r="P34" i="1"/>
  <c r="Q34" i="1" s="1"/>
  <c r="M17" i="1"/>
  <c r="N17" i="1" s="1"/>
  <c r="P17" i="1"/>
  <c r="Q17" i="1" s="1"/>
  <c r="M68" i="1"/>
  <c r="N68" i="1" s="1"/>
  <c r="P68" i="1"/>
  <c r="Q68" i="1" s="1"/>
  <c r="M41" i="1"/>
  <c r="N41" i="1" s="1"/>
  <c r="P41" i="1"/>
  <c r="Q41" i="1" s="1"/>
  <c r="M57" i="1"/>
  <c r="N57" i="1" s="1"/>
  <c r="P57" i="1"/>
  <c r="Q57" i="1" s="1"/>
  <c r="M64" i="1"/>
  <c r="N64" i="1" s="1"/>
  <c r="P64" i="1"/>
  <c r="Q64" i="1" s="1"/>
  <c r="M50" i="1"/>
  <c r="N50" i="1" s="1"/>
  <c r="P50" i="1"/>
  <c r="Q50" i="1" s="1"/>
  <c r="M31" i="1"/>
  <c r="N31" i="1" s="1"/>
  <c r="P31" i="1"/>
  <c r="Q31" i="1" s="1"/>
  <c r="M39" i="1"/>
  <c r="N39" i="1" s="1"/>
  <c r="P39" i="1"/>
  <c r="Q39" i="1" s="1"/>
  <c r="M47" i="1"/>
  <c r="N47" i="1" s="1"/>
  <c r="P47" i="1"/>
  <c r="Q47" i="1" s="1"/>
  <c r="M63" i="1"/>
  <c r="N63" i="1" s="1"/>
  <c r="P63" i="1"/>
  <c r="Q63" i="1" s="1"/>
  <c r="M42" i="1"/>
  <c r="N42" i="1" s="1"/>
  <c r="P42" i="1"/>
  <c r="Q42" i="1" s="1"/>
  <c r="M43" i="1"/>
  <c r="N43" i="1" s="1"/>
  <c r="P43" i="1"/>
  <c r="Q43" i="1" s="1"/>
  <c r="M58" i="1"/>
  <c r="N58" i="1" s="1"/>
  <c r="P58" i="1"/>
  <c r="Q58" i="1" s="1"/>
  <c r="M22" i="1"/>
  <c r="N22" i="1" s="1"/>
  <c r="P22" i="1"/>
  <c r="Q22" i="1" s="1"/>
  <c r="M27" i="1"/>
  <c r="N27" i="1" s="1"/>
  <c r="P27" i="1"/>
  <c r="Q27" i="1" s="1"/>
  <c r="M72" i="1"/>
  <c r="N72" i="1" s="1"/>
  <c r="P72" i="1"/>
  <c r="Q72" i="1" s="1"/>
  <c r="M44" i="1"/>
  <c r="N44" i="1" s="1"/>
  <c r="P44" i="1"/>
  <c r="Q44" i="1" s="1"/>
  <c r="M20" i="1"/>
  <c r="N20" i="1" s="1"/>
  <c r="P20" i="1"/>
  <c r="Q20" i="1" s="1"/>
  <c r="M69" i="1"/>
  <c r="N69" i="1" s="1"/>
  <c r="P69" i="1"/>
  <c r="Q69" i="1" s="1"/>
  <c r="M40" i="1"/>
  <c r="N40" i="1" s="1"/>
  <c r="P40" i="1"/>
  <c r="Q40" i="1" s="1"/>
  <c r="M93" i="1"/>
  <c r="N93" i="1" s="1"/>
  <c r="P93" i="1"/>
  <c r="Q93" i="1" s="1"/>
  <c r="M71" i="1"/>
  <c r="N71" i="1" s="1"/>
  <c r="P71" i="1"/>
  <c r="Q71" i="1" s="1"/>
  <c r="M53" i="1"/>
  <c r="N53" i="1" s="1"/>
  <c r="P53" i="1"/>
  <c r="Q53" i="1" s="1"/>
  <c r="M97" i="1"/>
  <c r="N97" i="1" s="1"/>
  <c r="P97" i="1"/>
  <c r="Q97" i="1" s="1"/>
  <c r="M30" i="1"/>
  <c r="N30" i="1" s="1"/>
  <c r="P30" i="1"/>
  <c r="Q30" i="1" s="1"/>
  <c r="M25" i="1"/>
  <c r="N25" i="1" s="1"/>
  <c r="P25" i="1"/>
  <c r="Q25" i="1" s="1"/>
  <c r="M28" i="1"/>
  <c r="N28" i="1" s="1"/>
  <c r="P28" i="1"/>
  <c r="Q28" i="1" s="1"/>
  <c r="M33" i="1"/>
  <c r="N33" i="1" s="1"/>
  <c r="P33" i="1"/>
  <c r="Q33" i="1" s="1"/>
  <c r="M36" i="1"/>
  <c r="N36" i="1" s="1"/>
  <c r="P36" i="1"/>
  <c r="Q36" i="1" s="1"/>
  <c r="M105" i="1"/>
  <c r="N105" i="1" s="1"/>
  <c r="P105" i="1"/>
  <c r="Q105" i="1" s="1"/>
  <c r="M106" i="1"/>
  <c r="N106" i="1" s="1"/>
  <c r="P106" i="1"/>
  <c r="Q106" i="1" s="1"/>
  <c r="M35" i="1"/>
  <c r="N35" i="1" s="1"/>
  <c r="P35" i="1"/>
  <c r="Q35" i="1" s="1"/>
  <c r="M56" i="1"/>
  <c r="N56" i="1" s="1"/>
  <c r="P56" i="1"/>
  <c r="Q56" i="1" s="1"/>
  <c r="M94" i="1"/>
  <c r="N94" i="1" s="1"/>
  <c r="P94" i="1"/>
  <c r="Q94" i="1" s="1"/>
  <c r="M45" i="1"/>
  <c r="N45" i="1" s="1"/>
  <c r="P45" i="1"/>
  <c r="Q45" i="1" s="1"/>
  <c r="M61" i="1"/>
  <c r="N61" i="1" s="1"/>
  <c r="P61" i="1"/>
  <c r="Q61" i="1" s="1"/>
  <c r="M48" i="1"/>
  <c r="N48" i="1" s="1"/>
  <c r="P48" i="1"/>
  <c r="Q48" i="1" s="1"/>
  <c r="M87" i="1"/>
  <c r="N87" i="1" s="1"/>
  <c r="P87" i="1"/>
  <c r="Q87" i="1" s="1"/>
  <c r="M99" i="1"/>
  <c r="N99" i="1" s="1"/>
  <c r="P99" i="1"/>
  <c r="Q99" i="1" s="1"/>
  <c r="M76" i="1"/>
  <c r="N76" i="1" s="1"/>
  <c r="P76" i="1"/>
  <c r="Q76" i="1" s="1"/>
  <c r="M52" i="1"/>
  <c r="N52" i="1" s="1"/>
  <c r="P52" i="1"/>
  <c r="Q52" i="1" s="1"/>
  <c r="M46" i="1"/>
  <c r="N46" i="1" s="1"/>
  <c r="P46" i="1"/>
  <c r="Q46" i="1" s="1"/>
  <c r="M112" i="1"/>
  <c r="N112" i="1" s="1"/>
  <c r="P112" i="1"/>
  <c r="Q112" i="1" s="1"/>
  <c r="M62" i="1"/>
  <c r="N62" i="1" s="1"/>
  <c r="P62" i="1"/>
  <c r="Q62" i="1" s="1"/>
  <c r="M49" i="1"/>
  <c r="N49" i="1" s="1"/>
  <c r="P49" i="1"/>
  <c r="Q49" i="1" s="1"/>
  <c r="M118" i="1"/>
  <c r="N118" i="1" s="1"/>
  <c r="P118" i="1"/>
  <c r="Q118" i="1" s="1"/>
  <c r="M65" i="1"/>
  <c r="N65" i="1" s="1"/>
  <c r="P65" i="1"/>
  <c r="Q65" i="1" s="1"/>
  <c r="M73" i="1"/>
  <c r="N73" i="1" s="1"/>
  <c r="P73" i="1"/>
  <c r="Q73" i="1" s="1"/>
  <c r="M120" i="1"/>
  <c r="N120" i="1" s="1"/>
  <c r="P120" i="1"/>
  <c r="Q120" i="1" s="1"/>
  <c r="M89" i="1"/>
  <c r="N89" i="1" s="1"/>
  <c r="P89" i="1"/>
  <c r="Q89" i="1" s="1"/>
  <c r="M84" i="1"/>
  <c r="N84" i="1" s="1"/>
  <c r="P84" i="1"/>
  <c r="Q84" i="1" s="1"/>
  <c r="M92" i="1"/>
  <c r="N92" i="1" s="1"/>
  <c r="P92" i="1"/>
  <c r="Q92" i="1" s="1"/>
  <c r="M75" i="1"/>
  <c r="N75" i="1" s="1"/>
  <c r="P75" i="1"/>
  <c r="Q75" i="1" s="1"/>
  <c r="M59" i="1"/>
  <c r="N59" i="1" s="1"/>
  <c r="P59" i="1"/>
  <c r="Q59" i="1" s="1"/>
  <c r="M60" i="1"/>
  <c r="N60" i="1" s="1"/>
  <c r="P60" i="1"/>
  <c r="Q60" i="1" s="1"/>
  <c r="M114" i="1"/>
  <c r="N114" i="1" s="1"/>
  <c r="P114" i="1"/>
  <c r="Q114" i="1" s="1"/>
  <c r="M157" i="1"/>
  <c r="N157" i="1" s="1"/>
  <c r="P157" i="1"/>
  <c r="Q157" i="1" s="1"/>
  <c r="M163" i="1"/>
  <c r="N163" i="1" s="1"/>
  <c r="P163" i="1"/>
  <c r="Q163" i="1" s="1"/>
  <c r="M104" i="1"/>
  <c r="N104" i="1" s="1"/>
  <c r="P104" i="1"/>
  <c r="Q104" i="1" s="1"/>
  <c r="M83" i="1"/>
  <c r="N83" i="1" s="1"/>
  <c r="P83" i="1"/>
  <c r="Q83" i="1" s="1"/>
  <c r="M90" i="1"/>
  <c r="N90" i="1" s="1"/>
  <c r="P90" i="1"/>
  <c r="Q90" i="1" s="1"/>
  <c r="M81" i="1"/>
  <c r="N81" i="1" s="1"/>
  <c r="P81" i="1"/>
  <c r="Q81" i="1" s="1"/>
  <c r="M117" i="1"/>
  <c r="N117" i="1" s="1"/>
  <c r="P117" i="1"/>
  <c r="Q117" i="1" s="1"/>
  <c r="M132" i="1"/>
  <c r="N132" i="1" s="1"/>
  <c r="P132" i="1"/>
  <c r="Q132" i="1" s="1"/>
  <c r="M66" i="1"/>
  <c r="N66" i="1" s="1"/>
  <c r="P66" i="1"/>
  <c r="Q66" i="1" s="1"/>
  <c r="M150" i="1"/>
  <c r="N150" i="1" s="1"/>
  <c r="P150" i="1"/>
  <c r="Q150" i="1" s="1"/>
  <c r="M125" i="1"/>
  <c r="N125" i="1" s="1"/>
  <c r="P125" i="1"/>
  <c r="Q125" i="1" s="1"/>
  <c r="M96" i="1"/>
  <c r="N96" i="1" s="1"/>
  <c r="P96" i="1"/>
  <c r="Q96" i="1" s="1"/>
  <c r="M95" i="1"/>
  <c r="N95" i="1" s="1"/>
  <c r="P95" i="1"/>
  <c r="Q95" i="1" s="1"/>
  <c r="M100" i="1"/>
  <c r="N100" i="1" s="1"/>
  <c r="P100" i="1"/>
  <c r="Q100" i="1" s="1"/>
  <c r="M123" i="1"/>
  <c r="N123" i="1" s="1"/>
  <c r="P123" i="1"/>
  <c r="Q123" i="1" s="1"/>
  <c r="M77" i="1"/>
  <c r="N77" i="1" s="1"/>
  <c r="P77" i="1"/>
  <c r="Q77" i="1" s="1"/>
  <c r="M70" i="1"/>
  <c r="N70" i="1" s="1"/>
  <c r="P70" i="1"/>
  <c r="Q70" i="1" s="1"/>
  <c r="M147" i="1"/>
  <c r="N147" i="1" s="1"/>
  <c r="P147" i="1"/>
  <c r="Q147" i="1" s="1"/>
  <c r="M111" i="1"/>
  <c r="N111" i="1" s="1"/>
  <c r="P111" i="1"/>
  <c r="Q111" i="1" s="1"/>
  <c r="M79" i="1"/>
  <c r="N79" i="1" s="1"/>
  <c r="P79" i="1"/>
  <c r="Q79" i="1" s="1"/>
  <c r="M145" i="1"/>
  <c r="N145" i="1" s="1"/>
  <c r="P145" i="1"/>
  <c r="Q145" i="1" s="1"/>
  <c r="M166" i="1"/>
  <c r="N166" i="1" s="1"/>
  <c r="P166" i="1"/>
  <c r="Q166" i="1" s="1"/>
  <c r="M119" i="1"/>
  <c r="N119" i="1" s="1"/>
  <c r="P119" i="1"/>
  <c r="Q119" i="1" s="1"/>
  <c r="M127" i="1"/>
  <c r="N127" i="1" s="1"/>
  <c r="P127" i="1"/>
  <c r="Q127" i="1" s="1"/>
  <c r="M177" i="1"/>
  <c r="N177" i="1" s="1"/>
  <c r="P177" i="1"/>
  <c r="Q177" i="1" s="1"/>
  <c r="M109" i="1"/>
  <c r="N109" i="1" s="1"/>
  <c r="P109" i="1"/>
  <c r="Q109" i="1" s="1"/>
  <c r="M113" i="1"/>
  <c r="N113" i="1" s="1"/>
  <c r="P113" i="1"/>
  <c r="Q113" i="1" s="1"/>
  <c r="M144" i="1"/>
  <c r="N144" i="1" s="1"/>
  <c r="P144" i="1"/>
  <c r="Q144" i="1" s="1"/>
  <c r="M74" i="1"/>
  <c r="N74" i="1" s="1"/>
  <c r="P74" i="1"/>
  <c r="Q74" i="1" s="1"/>
  <c r="M85" i="1"/>
  <c r="N85" i="1" s="1"/>
  <c r="P85" i="1"/>
  <c r="Q85" i="1" s="1"/>
  <c r="M149" i="1"/>
  <c r="N149" i="1" s="1"/>
  <c r="P149" i="1"/>
  <c r="Q149" i="1" s="1"/>
  <c r="M78" i="1"/>
  <c r="N78" i="1" s="1"/>
  <c r="P78" i="1"/>
  <c r="Q78" i="1" s="1"/>
  <c r="M80" i="1"/>
  <c r="N80" i="1" s="1"/>
  <c r="P80" i="1"/>
  <c r="Q80" i="1" s="1"/>
  <c r="M102" i="1"/>
  <c r="N102" i="1" s="1"/>
  <c r="P102" i="1"/>
  <c r="Q102" i="1" s="1"/>
  <c r="M159" i="1"/>
  <c r="N159" i="1" s="1"/>
  <c r="P159" i="1"/>
  <c r="Q159" i="1" s="1"/>
  <c r="M103" i="1"/>
  <c r="N103" i="1" s="1"/>
  <c r="P103" i="1"/>
  <c r="Q103" i="1" s="1"/>
  <c r="M133" i="1"/>
  <c r="N133" i="1" s="1"/>
  <c r="P133" i="1"/>
  <c r="Q133" i="1" s="1"/>
  <c r="M91" i="1"/>
  <c r="N91" i="1" s="1"/>
  <c r="P91" i="1"/>
  <c r="Q91" i="1" s="1"/>
  <c r="M98" i="1"/>
  <c r="N98" i="1" s="1"/>
  <c r="P98" i="1"/>
  <c r="Q98" i="1" s="1"/>
  <c r="M86" i="1"/>
  <c r="N86" i="1" s="1"/>
  <c r="P86" i="1"/>
  <c r="Q86" i="1" s="1"/>
  <c r="M160" i="1"/>
  <c r="N160" i="1" s="1"/>
  <c r="P160" i="1"/>
  <c r="Q160" i="1" s="1"/>
  <c r="M136" i="1"/>
  <c r="N136" i="1" s="1"/>
  <c r="P136" i="1"/>
  <c r="Q136" i="1" s="1"/>
  <c r="M137" i="1"/>
  <c r="N137" i="1" s="1"/>
  <c r="P137" i="1"/>
  <c r="Q137" i="1" s="1"/>
  <c r="M107" i="1"/>
  <c r="N107" i="1" s="1"/>
  <c r="P107" i="1"/>
  <c r="Q107" i="1" s="1"/>
  <c r="M138" i="1"/>
  <c r="N138" i="1" s="1"/>
  <c r="P138" i="1"/>
  <c r="Q138" i="1" s="1"/>
  <c r="M82" i="1"/>
  <c r="N82" i="1" s="1"/>
  <c r="P82" i="1"/>
  <c r="Q82" i="1" s="1"/>
  <c r="M88" i="1"/>
  <c r="N88" i="1" s="1"/>
  <c r="P88" i="1"/>
  <c r="Q88" i="1" s="1"/>
  <c r="M139" i="1"/>
  <c r="N139" i="1" s="1"/>
  <c r="P139" i="1"/>
  <c r="Q139" i="1" s="1"/>
  <c r="M141" i="1"/>
  <c r="N141" i="1" s="1"/>
  <c r="P141" i="1"/>
  <c r="Q141" i="1" s="1"/>
  <c r="M158" i="1"/>
  <c r="N158" i="1" s="1"/>
  <c r="P158" i="1"/>
  <c r="Q158" i="1" s="1"/>
  <c r="M126" i="1"/>
  <c r="N126" i="1" s="1"/>
  <c r="P126" i="1"/>
  <c r="Q126" i="1" s="1"/>
  <c r="M130" i="1"/>
  <c r="N130" i="1" s="1"/>
  <c r="P130" i="1"/>
  <c r="Q130" i="1" s="1"/>
  <c r="M151" i="1"/>
  <c r="N151" i="1" s="1"/>
  <c r="P151" i="1"/>
  <c r="Q151" i="1" s="1"/>
  <c r="M154" i="1"/>
  <c r="N154" i="1" s="1"/>
  <c r="P154" i="1"/>
  <c r="Q154" i="1" s="1"/>
  <c r="M155" i="1"/>
  <c r="N155" i="1" s="1"/>
  <c r="P155" i="1"/>
  <c r="Q155" i="1" s="1"/>
  <c r="M116" i="1"/>
  <c r="N116" i="1" s="1"/>
  <c r="P116" i="1"/>
  <c r="Q116" i="1" s="1"/>
  <c r="M110" i="1"/>
  <c r="N110" i="1" s="1"/>
  <c r="P110" i="1"/>
  <c r="Q110" i="1" s="1"/>
  <c r="M168" i="1"/>
  <c r="N168" i="1" s="1"/>
  <c r="P168" i="1"/>
  <c r="Q168" i="1" s="1"/>
  <c r="M108" i="1"/>
  <c r="N108" i="1" s="1"/>
  <c r="P108" i="1"/>
  <c r="Q108" i="1" s="1"/>
  <c r="M171" i="1"/>
  <c r="N171" i="1" s="1"/>
  <c r="P171" i="1"/>
  <c r="Q171" i="1" s="1"/>
  <c r="M188" i="1"/>
  <c r="N188" i="1" s="1"/>
  <c r="P188" i="1"/>
  <c r="Q188" i="1" s="1"/>
  <c r="M129" i="1"/>
  <c r="N129" i="1" s="1"/>
  <c r="P129" i="1"/>
  <c r="Q129" i="1" s="1"/>
  <c r="M203" i="1"/>
  <c r="N203" i="1" s="1"/>
  <c r="P203" i="1"/>
  <c r="Q203" i="1" s="1"/>
  <c r="M101" i="1"/>
  <c r="N101" i="1" s="1"/>
  <c r="P101" i="1"/>
  <c r="Q101" i="1" s="1"/>
  <c r="M142" i="1"/>
  <c r="N142" i="1" s="1"/>
  <c r="P142" i="1"/>
  <c r="Q142" i="1" s="1"/>
  <c r="M162" i="1"/>
  <c r="N162" i="1" s="1"/>
  <c r="P162" i="1"/>
  <c r="Q162" i="1" s="1"/>
  <c r="M190" i="1"/>
  <c r="N190" i="1" s="1"/>
  <c r="P190" i="1"/>
  <c r="Q190" i="1" s="1"/>
  <c r="M192" i="1"/>
  <c r="N192" i="1" s="1"/>
  <c r="P192" i="1"/>
  <c r="Q192" i="1" s="1"/>
  <c r="M202" i="1"/>
  <c r="N202" i="1" s="1"/>
  <c r="P202" i="1"/>
  <c r="Q202" i="1" s="1"/>
  <c r="M187" i="1"/>
  <c r="N187" i="1" s="1"/>
  <c r="P187" i="1"/>
  <c r="Q187" i="1" s="1"/>
  <c r="M164" i="1"/>
  <c r="N164" i="1" s="1"/>
  <c r="P164" i="1"/>
  <c r="Q164" i="1" s="1"/>
  <c r="M176" i="1"/>
  <c r="N176" i="1" s="1"/>
  <c r="P176" i="1"/>
  <c r="Q176" i="1" s="1"/>
  <c r="M178" i="1"/>
  <c r="N178" i="1" s="1"/>
  <c r="P178" i="1"/>
  <c r="Q178" i="1" s="1"/>
  <c r="M161" i="1"/>
  <c r="N161" i="1" s="1"/>
  <c r="P161" i="1"/>
  <c r="Q161" i="1" s="1"/>
  <c r="M115" i="1"/>
  <c r="N115" i="1" s="1"/>
  <c r="P115" i="1"/>
  <c r="Q115" i="1" s="1"/>
  <c r="M146" i="1"/>
  <c r="N146" i="1" s="1"/>
  <c r="P146" i="1"/>
  <c r="Q146" i="1" s="1"/>
  <c r="M131" i="1"/>
  <c r="N131" i="1" s="1"/>
  <c r="P131" i="1"/>
  <c r="Q131" i="1" s="1"/>
  <c r="M124" i="1"/>
  <c r="N124" i="1" s="1"/>
  <c r="P124" i="1"/>
  <c r="Q124" i="1" s="1"/>
  <c r="M182" i="1"/>
  <c r="N182" i="1" s="1"/>
  <c r="P182" i="1"/>
  <c r="Q182" i="1" s="1"/>
  <c r="M210" i="1"/>
  <c r="N210" i="1" s="1"/>
  <c r="P210" i="1"/>
  <c r="Q210" i="1" s="1"/>
  <c r="M169" i="1"/>
  <c r="N169" i="1" s="1"/>
  <c r="P169" i="1"/>
  <c r="Q169" i="1" s="1"/>
  <c r="M121" i="1"/>
  <c r="N121" i="1" s="1"/>
  <c r="P121" i="1"/>
  <c r="Q121" i="1" s="1"/>
  <c r="M152" i="1"/>
  <c r="N152" i="1" s="1"/>
  <c r="P152" i="1"/>
  <c r="Q152" i="1" s="1"/>
  <c r="M181" i="1"/>
  <c r="N181" i="1" s="1"/>
  <c r="P181" i="1"/>
  <c r="Q181" i="1" s="1"/>
  <c r="M140" i="1"/>
  <c r="N140" i="1" s="1"/>
  <c r="P140" i="1"/>
  <c r="Q140" i="1" s="1"/>
  <c r="M128" i="1"/>
  <c r="N128" i="1" s="1"/>
  <c r="P128" i="1"/>
  <c r="Q128" i="1" s="1"/>
  <c r="M135" i="1"/>
  <c r="N135" i="1" s="1"/>
  <c r="P135" i="1"/>
  <c r="Q135" i="1" s="1"/>
  <c r="M122" i="1"/>
  <c r="N122" i="1" s="1"/>
  <c r="P122" i="1"/>
  <c r="Q122" i="1" s="1"/>
  <c r="M179" i="1"/>
  <c r="N179" i="1" s="1"/>
  <c r="P179" i="1"/>
  <c r="Q179" i="1" s="1"/>
  <c r="M170" i="1"/>
  <c r="N170" i="1" s="1"/>
  <c r="P170" i="1"/>
  <c r="Q170" i="1" s="1"/>
  <c r="M172" i="1"/>
  <c r="N172" i="1" s="1"/>
  <c r="P172" i="1"/>
  <c r="Q172" i="1" s="1"/>
  <c r="M185" i="1"/>
  <c r="N185" i="1" s="1"/>
  <c r="P185" i="1"/>
  <c r="Q185" i="1" s="1"/>
  <c r="M153" i="1"/>
  <c r="N153" i="1" s="1"/>
  <c r="P153" i="1"/>
  <c r="Q153" i="1" s="1"/>
  <c r="M198" i="1"/>
  <c r="N198" i="1" s="1"/>
  <c r="P198" i="1"/>
  <c r="Q198" i="1" s="1"/>
  <c r="M180" i="1"/>
  <c r="N180" i="1" s="1"/>
  <c r="P180" i="1"/>
  <c r="Q180" i="1" s="1"/>
  <c r="M134" i="1"/>
  <c r="N134" i="1" s="1"/>
  <c r="P134" i="1"/>
  <c r="Q134" i="1" s="1"/>
  <c r="M143" i="1"/>
  <c r="N143" i="1" s="1"/>
  <c r="P143" i="1"/>
  <c r="Q143" i="1" s="1"/>
  <c r="M173" i="1"/>
  <c r="N173" i="1" s="1"/>
  <c r="P173" i="1"/>
  <c r="Q173" i="1" s="1"/>
  <c r="M194" i="1"/>
  <c r="N194" i="1" s="1"/>
  <c r="P194" i="1"/>
  <c r="Q194" i="1" s="1"/>
  <c r="M191" i="1"/>
  <c r="N191" i="1" s="1"/>
  <c r="P191" i="1"/>
  <c r="Q191" i="1" s="1"/>
  <c r="M148" i="1"/>
  <c r="N148" i="1" s="1"/>
  <c r="P148" i="1"/>
  <c r="Q148" i="1" s="1"/>
  <c r="M167" i="1"/>
  <c r="N167" i="1" s="1"/>
  <c r="P167" i="1"/>
  <c r="Q167" i="1" s="1"/>
  <c r="M195" i="1"/>
  <c r="N195" i="1" s="1"/>
  <c r="P195" i="1"/>
  <c r="Q195" i="1" s="1"/>
  <c r="M197" i="1"/>
  <c r="N197" i="1" s="1"/>
  <c r="P197" i="1"/>
  <c r="Q197" i="1" s="1"/>
  <c r="M199" i="1"/>
  <c r="N199" i="1" s="1"/>
  <c r="P199" i="1"/>
  <c r="Q199" i="1" s="1"/>
  <c r="M156" i="1"/>
  <c r="N156" i="1" s="1"/>
  <c r="P156" i="1"/>
  <c r="Q156" i="1" s="1"/>
  <c r="M174" i="1"/>
  <c r="N174" i="1" s="1"/>
  <c r="P174" i="1"/>
  <c r="Q174" i="1" s="1"/>
  <c r="M175" i="1"/>
  <c r="N175" i="1" s="1"/>
  <c r="P175" i="1"/>
  <c r="Q175" i="1" s="1"/>
  <c r="M196" i="1"/>
  <c r="N196" i="1" s="1"/>
  <c r="P196" i="1"/>
  <c r="Q196" i="1" s="1"/>
  <c r="M183" i="1"/>
  <c r="N183" i="1" s="1"/>
  <c r="P183" i="1"/>
  <c r="Q183" i="1" s="1"/>
  <c r="M186" i="1"/>
  <c r="N186" i="1" s="1"/>
  <c r="P186" i="1"/>
  <c r="Q186" i="1" s="1"/>
  <c r="M200" i="1"/>
  <c r="N200" i="1" s="1"/>
  <c r="P200" i="1"/>
  <c r="Q200" i="1" s="1"/>
  <c r="M165" i="1"/>
  <c r="N165" i="1" s="1"/>
  <c r="P165" i="1"/>
  <c r="Q165" i="1" s="1"/>
  <c r="M201" i="1"/>
  <c r="N201" i="1" s="1"/>
  <c r="P201" i="1"/>
  <c r="Q201" i="1" s="1"/>
  <c r="M184" i="1"/>
  <c r="N184" i="1" s="1"/>
  <c r="P184" i="1"/>
  <c r="Q184" i="1" s="1"/>
  <c r="M189" i="1"/>
  <c r="N189" i="1" s="1"/>
  <c r="P189" i="1"/>
  <c r="Q189" i="1" s="1"/>
  <c r="M205" i="1"/>
  <c r="N205" i="1" s="1"/>
  <c r="P205" i="1"/>
  <c r="Q205" i="1" s="1"/>
  <c r="M193" i="1"/>
  <c r="N193" i="1" s="1"/>
  <c r="P193" i="1"/>
  <c r="Q193" i="1" s="1"/>
  <c r="M211" i="1"/>
  <c r="N211" i="1" s="1"/>
  <c r="P211" i="1"/>
  <c r="Q211" i="1" s="1"/>
  <c r="M207" i="1"/>
  <c r="N207" i="1" s="1"/>
  <c r="P207" i="1"/>
  <c r="Q207" i="1" s="1"/>
  <c r="M206" i="1"/>
  <c r="N206" i="1" s="1"/>
  <c r="P206" i="1"/>
  <c r="Q206" i="1" s="1"/>
  <c r="M204" i="1"/>
  <c r="N204" i="1" s="1"/>
  <c r="P204" i="1"/>
  <c r="Q204" i="1" s="1"/>
  <c r="M208" i="1"/>
  <c r="N208" i="1" s="1"/>
  <c r="P208" i="1"/>
  <c r="Q208" i="1" s="1"/>
  <c r="M209" i="1"/>
  <c r="N209" i="1" s="1"/>
  <c r="P209" i="1"/>
  <c r="Q209" i="1" s="1"/>
  <c r="M214" i="1"/>
  <c r="N214" i="1" s="1"/>
  <c r="P214" i="1"/>
  <c r="Q214" i="1" s="1"/>
  <c r="M212" i="1"/>
  <c r="N212" i="1" s="1"/>
  <c r="P212" i="1"/>
  <c r="Q212" i="1" s="1"/>
  <c r="M215" i="1"/>
  <c r="N215" i="1" s="1"/>
  <c r="P215" i="1"/>
  <c r="Q215" i="1" s="1"/>
  <c r="M213" i="1"/>
  <c r="N213" i="1" s="1"/>
  <c r="P213" i="1"/>
  <c r="Q213" i="1" s="1"/>
  <c r="M216" i="1"/>
  <c r="N216" i="1" s="1"/>
  <c r="P216" i="1"/>
  <c r="Q216" i="1" s="1"/>
  <c r="M217" i="1"/>
  <c r="N217" i="1" s="1"/>
  <c r="P217" i="1"/>
  <c r="Q217" i="1" s="1"/>
  <c r="M218" i="1"/>
  <c r="N218" i="1" s="1"/>
  <c r="P218" i="1"/>
  <c r="Q218" i="1" s="1"/>
  <c r="M219" i="1"/>
  <c r="N219" i="1" s="1"/>
  <c r="P219" i="1"/>
  <c r="Q219" i="1" s="1"/>
  <c r="P29" i="1"/>
  <c r="Q29" i="1" s="1"/>
  <c r="M29" i="1"/>
  <c r="N29" i="1" s="1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J200" i="5"/>
  <c r="I200" i="5"/>
  <c r="J199" i="5"/>
  <c r="I199" i="5"/>
  <c r="J198" i="5"/>
  <c r="I198" i="5"/>
  <c r="J197" i="5"/>
  <c r="I197" i="5"/>
  <c r="J196" i="5"/>
  <c r="I196" i="5"/>
  <c r="J195" i="5"/>
  <c r="I195" i="5"/>
  <c r="J194" i="5"/>
  <c r="I194" i="5"/>
  <c r="J193" i="5"/>
  <c r="I193" i="5"/>
  <c r="J192" i="5"/>
  <c r="I192" i="5"/>
  <c r="J191" i="5"/>
  <c r="I191" i="5"/>
  <c r="J190" i="5"/>
  <c r="I190" i="5"/>
  <c r="J189" i="5"/>
  <c r="I189" i="5"/>
  <c r="J188" i="5"/>
  <c r="I188" i="5"/>
  <c r="J187" i="5"/>
  <c r="I187" i="5"/>
  <c r="J186" i="5"/>
  <c r="I186" i="5"/>
  <c r="J185" i="5"/>
  <c r="I185" i="5"/>
  <c r="J184" i="5"/>
  <c r="I184" i="5"/>
  <c r="J183" i="5"/>
  <c r="I183" i="5"/>
  <c r="J182" i="5"/>
  <c r="I182" i="5"/>
  <c r="J181" i="5"/>
  <c r="I181" i="5"/>
  <c r="J180" i="5"/>
  <c r="I180" i="5"/>
  <c r="J179" i="5"/>
  <c r="I179" i="5"/>
  <c r="J178" i="5"/>
  <c r="I178" i="5"/>
  <c r="J177" i="5"/>
  <c r="I177" i="5"/>
  <c r="J176" i="5"/>
  <c r="I176" i="5"/>
  <c r="J175" i="5"/>
  <c r="I175" i="5"/>
  <c r="J174" i="5"/>
  <c r="I174" i="5"/>
  <c r="J173" i="5"/>
  <c r="I173" i="5"/>
  <c r="J172" i="5"/>
  <c r="I172" i="5"/>
  <c r="J171" i="5"/>
  <c r="I171" i="5"/>
  <c r="J170" i="5"/>
  <c r="I170" i="5"/>
  <c r="J169" i="5"/>
  <c r="I169" i="5"/>
  <c r="J168" i="5"/>
  <c r="I168" i="5"/>
  <c r="J167" i="5"/>
  <c r="I167" i="5"/>
  <c r="J166" i="5"/>
  <c r="I166" i="5"/>
  <c r="J165" i="5"/>
  <c r="I165" i="5"/>
  <c r="J164" i="5"/>
  <c r="I164" i="5"/>
  <c r="J163" i="5"/>
  <c r="I163" i="5"/>
  <c r="J162" i="5"/>
  <c r="I162" i="5"/>
  <c r="J161" i="5"/>
  <c r="I161" i="5"/>
  <c r="J160" i="5"/>
  <c r="I160" i="5"/>
  <c r="J159" i="5"/>
  <c r="I159" i="5"/>
  <c r="J158" i="5"/>
  <c r="I158" i="5"/>
  <c r="J157" i="5"/>
  <c r="I157" i="5"/>
  <c r="J156" i="5"/>
  <c r="I156" i="5"/>
  <c r="J155" i="5"/>
  <c r="I155" i="5"/>
  <c r="J154" i="5"/>
  <c r="I154" i="5"/>
  <c r="J153" i="5"/>
  <c r="I153" i="5"/>
  <c r="J152" i="5"/>
  <c r="I152" i="5"/>
  <c r="J151" i="5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32" i="1"/>
  <c r="J51" i="1"/>
  <c r="J9" i="1"/>
  <c r="J16" i="1"/>
  <c r="J21" i="1"/>
  <c r="J10" i="1"/>
  <c r="J11" i="1"/>
  <c r="J12" i="1"/>
  <c r="J19" i="1"/>
  <c r="J26" i="1"/>
  <c r="J13" i="1"/>
  <c r="J55" i="1"/>
  <c r="J24" i="1"/>
  <c r="J37" i="1"/>
  <c r="J67" i="1"/>
  <c r="J23" i="1"/>
  <c r="J18" i="1"/>
  <c r="J38" i="1"/>
  <c r="J14" i="1"/>
  <c r="J15" i="1"/>
  <c r="J54" i="1"/>
  <c r="J34" i="1"/>
  <c r="J17" i="1"/>
  <c r="J68" i="1"/>
  <c r="J41" i="1"/>
  <c r="J57" i="1"/>
  <c r="J64" i="1"/>
  <c r="J50" i="1"/>
  <c r="J31" i="1"/>
  <c r="J39" i="1"/>
  <c r="J47" i="1"/>
  <c r="J63" i="1"/>
  <c r="J42" i="1"/>
  <c r="J43" i="1"/>
  <c r="J58" i="1"/>
  <c r="J22" i="1"/>
  <c r="J27" i="1"/>
  <c r="J72" i="1"/>
  <c r="J44" i="1"/>
  <c r="J20" i="1"/>
  <c r="J69" i="1"/>
  <c r="J40" i="1"/>
  <c r="J93" i="1"/>
  <c r="J71" i="1"/>
  <c r="J53" i="1"/>
  <c r="J97" i="1"/>
  <c r="J30" i="1"/>
  <c r="J25" i="1"/>
  <c r="J28" i="1"/>
  <c r="J33" i="1"/>
  <c r="J36" i="1"/>
  <c r="J105" i="1"/>
  <c r="J106" i="1"/>
  <c r="J35" i="1"/>
  <c r="J56" i="1"/>
  <c r="J94" i="1"/>
  <c r="J45" i="1"/>
  <c r="J61" i="1"/>
  <c r="J48" i="1"/>
  <c r="J87" i="1"/>
  <c r="J99" i="1"/>
  <c r="J76" i="1"/>
  <c r="J52" i="1"/>
  <c r="J46" i="1"/>
  <c r="J112" i="1"/>
  <c r="J62" i="1"/>
  <c r="J49" i="1"/>
  <c r="J118" i="1"/>
  <c r="J65" i="1"/>
  <c r="J73" i="1"/>
  <c r="J120" i="1"/>
  <c r="J89" i="1"/>
  <c r="J84" i="1"/>
  <c r="J92" i="1"/>
  <c r="J75" i="1"/>
  <c r="J59" i="1"/>
  <c r="J60" i="1"/>
  <c r="J114" i="1"/>
  <c r="J157" i="1"/>
  <c r="J163" i="1"/>
  <c r="J104" i="1"/>
  <c r="J83" i="1"/>
  <c r="J90" i="1"/>
  <c r="J81" i="1"/>
  <c r="J117" i="1"/>
  <c r="J132" i="1"/>
  <c r="J66" i="1"/>
  <c r="J150" i="1"/>
  <c r="J125" i="1"/>
  <c r="J96" i="1"/>
  <c r="J95" i="1"/>
  <c r="J100" i="1"/>
  <c r="J123" i="1"/>
  <c r="J77" i="1"/>
  <c r="J70" i="1"/>
  <c r="J147" i="1"/>
  <c r="J111" i="1"/>
  <c r="J79" i="1"/>
  <c r="J145" i="1"/>
  <c r="J166" i="1"/>
  <c r="J119" i="1"/>
  <c r="J127" i="1"/>
  <c r="J177" i="1"/>
  <c r="J109" i="1"/>
  <c r="J113" i="1"/>
  <c r="J144" i="1"/>
  <c r="J74" i="1"/>
  <c r="J85" i="1"/>
  <c r="J149" i="1"/>
  <c r="J78" i="1"/>
  <c r="J80" i="1"/>
  <c r="J102" i="1"/>
  <c r="J159" i="1"/>
  <c r="J103" i="1"/>
  <c r="J133" i="1"/>
  <c r="J91" i="1"/>
  <c r="J98" i="1"/>
  <c r="J86" i="1"/>
  <c r="J160" i="1"/>
  <c r="J136" i="1"/>
  <c r="J137" i="1"/>
  <c r="J107" i="1"/>
  <c r="J138" i="1"/>
  <c r="J82" i="1"/>
  <c r="J88" i="1"/>
  <c r="J139" i="1"/>
  <c r="J141" i="1"/>
  <c r="J158" i="1"/>
  <c r="J126" i="1"/>
  <c r="J130" i="1"/>
  <c r="J151" i="1"/>
  <c r="J154" i="1"/>
  <c r="J155" i="1"/>
  <c r="J116" i="1"/>
  <c r="J110" i="1"/>
  <c r="J168" i="1"/>
  <c r="J108" i="1"/>
  <c r="J171" i="1"/>
  <c r="J188" i="1"/>
  <c r="J129" i="1"/>
  <c r="J203" i="1"/>
  <c r="J101" i="1"/>
  <c r="J142" i="1"/>
  <c r="J162" i="1"/>
  <c r="J190" i="1"/>
  <c r="J192" i="1"/>
  <c r="J202" i="1"/>
  <c r="J187" i="1"/>
  <c r="J164" i="1"/>
  <c r="J176" i="1"/>
  <c r="J178" i="1"/>
  <c r="J161" i="1"/>
  <c r="J115" i="1"/>
  <c r="J146" i="1"/>
  <c r="J131" i="1"/>
  <c r="J124" i="1"/>
  <c r="J182" i="1"/>
  <c r="J210" i="1"/>
  <c r="J169" i="1"/>
  <c r="J121" i="1"/>
  <c r="J152" i="1"/>
  <c r="J181" i="1"/>
  <c r="J140" i="1"/>
  <c r="J128" i="1"/>
  <c r="J135" i="1"/>
  <c r="J122" i="1"/>
  <c r="J179" i="1"/>
  <c r="J170" i="1"/>
  <c r="J172" i="1"/>
  <c r="J185" i="1"/>
  <c r="J153" i="1"/>
  <c r="J198" i="1"/>
  <c r="J180" i="1"/>
  <c r="J134" i="1"/>
  <c r="J143" i="1"/>
  <c r="J173" i="1"/>
  <c r="J194" i="1"/>
  <c r="J191" i="1"/>
  <c r="J148" i="1"/>
  <c r="J167" i="1"/>
  <c r="J195" i="1"/>
  <c r="J197" i="1"/>
  <c r="J199" i="1"/>
  <c r="J156" i="1"/>
  <c r="J174" i="1"/>
  <c r="J175" i="1"/>
  <c r="J196" i="1"/>
  <c r="J183" i="1"/>
  <c r="J186" i="1"/>
  <c r="J200" i="1"/>
  <c r="J165" i="1"/>
  <c r="J201" i="1"/>
  <c r="J184" i="1"/>
  <c r="J189" i="1"/>
  <c r="J205" i="1"/>
  <c r="J193" i="1"/>
  <c r="J211" i="1"/>
  <c r="J207" i="1"/>
  <c r="J206" i="1"/>
  <c r="J204" i="1"/>
  <c r="J208" i="1"/>
  <c r="J209" i="1"/>
  <c r="J214" i="1"/>
  <c r="J212" i="1"/>
  <c r="J215" i="1"/>
  <c r="J213" i="1"/>
  <c r="J216" i="1"/>
  <c r="J217" i="1"/>
  <c r="J218" i="1"/>
  <c r="J219" i="1"/>
  <c r="J29" i="1"/>
  <c r="I32" i="1"/>
  <c r="I51" i="1"/>
  <c r="I9" i="1"/>
  <c r="I16" i="1"/>
  <c r="I21" i="1"/>
  <c r="I10" i="1"/>
  <c r="I11" i="1"/>
  <c r="I12" i="1"/>
  <c r="I19" i="1"/>
  <c r="I26" i="1"/>
  <c r="I13" i="1"/>
  <c r="I55" i="1"/>
  <c r="I24" i="1"/>
  <c r="I37" i="1"/>
  <c r="I67" i="1"/>
  <c r="I23" i="1"/>
  <c r="I18" i="1"/>
  <c r="I38" i="1"/>
  <c r="I14" i="1"/>
  <c r="I15" i="1"/>
  <c r="I54" i="1"/>
  <c r="I34" i="1"/>
  <c r="I17" i="1"/>
  <c r="I68" i="1"/>
  <c r="I41" i="1"/>
  <c r="I57" i="1"/>
  <c r="I64" i="1"/>
  <c r="I50" i="1"/>
  <c r="I31" i="1"/>
  <c r="I39" i="1"/>
  <c r="I47" i="1"/>
  <c r="I63" i="1"/>
  <c r="I42" i="1"/>
  <c r="I43" i="1"/>
  <c r="I58" i="1"/>
  <c r="I22" i="1"/>
  <c r="I27" i="1"/>
  <c r="I72" i="1"/>
  <c r="I44" i="1"/>
  <c r="I20" i="1"/>
  <c r="I69" i="1"/>
  <c r="I40" i="1"/>
  <c r="I93" i="1"/>
  <c r="I71" i="1"/>
  <c r="I53" i="1"/>
  <c r="I97" i="1"/>
  <c r="I30" i="1"/>
  <c r="I25" i="1"/>
  <c r="I28" i="1"/>
  <c r="I33" i="1"/>
  <c r="I36" i="1"/>
  <c r="I105" i="1"/>
  <c r="I106" i="1"/>
  <c r="I35" i="1"/>
  <c r="I56" i="1"/>
  <c r="I94" i="1"/>
  <c r="I45" i="1"/>
  <c r="I61" i="1"/>
  <c r="I48" i="1"/>
  <c r="I87" i="1"/>
  <c r="I99" i="1"/>
  <c r="I76" i="1"/>
  <c r="I52" i="1"/>
  <c r="I46" i="1"/>
  <c r="I112" i="1"/>
  <c r="I62" i="1"/>
  <c r="I49" i="1"/>
  <c r="I118" i="1"/>
  <c r="I65" i="1"/>
  <c r="I73" i="1"/>
  <c r="I120" i="1"/>
  <c r="I89" i="1"/>
  <c r="I84" i="1"/>
  <c r="I92" i="1"/>
  <c r="I75" i="1"/>
  <c r="I59" i="1"/>
  <c r="I60" i="1"/>
  <c r="I114" i="1"/>
  <c r="I157" i="1"/>
  <c r="I163" i="1"/>
  <c r="I104" i="1"/>
  <c r="I83" i="1"/>
  <c r="I90" i="1"/>
  <c r="I81" i="1"/>
  <c r="I117" i="1"/>
  <c r="I132" i="1"/>
  <c r="I66" i="1"/>
  <c r="I150" i="1"/>
  <c r="I125" i="1"/>
  <c r="I96" i="1"/>
  <c r="I95" i="1"/>
  <c r="I100" i="1"/>
  <c r="I123" i="1"/>
  <c r="I77" i="1"/>
  <c r="I70" i="1"/>
  <c r="I147" i="1"/>
  <c r="I111" i="1"/>
  <c r="I79" i="1"/>
  <c r="I145" i="1"/>
  <c r="I166" i="1"/>
  <c r="I119" i="1"/>
  <c r="I127" i="1"/>
  <c r="I177" i="1"/>
  <c r="I109" i="1"/>
  <c r="I113" i="1"/>
  <c r="I144" i="1"/>
  <c r="I74" i="1"/>
  <c r="I85" i="1"/>
  <c r="I149" i="1"/>
  <c r="I78" i="1"/>
  <c r="I80" i="1"/>
  <c r="I102" i="1"/>
  <c r="I159" i="1"/>
  <c r="I103" i="1"/>
  <c r="I133" i="1"/>
  <c r="I91" i="1"/>
  <c r="I98" i="1"/>
  <c r="I86" i="1"/>
  <c r="I160" i="1"/>
  <c r="I136" i="1"/>
  <c r="I137" i="1"/>
  <c r="I107" i="1"/>
  <c r="I138" i="1"/>
  <c r="I82" i="1"/>
  <c r="I88" i="1"/>
  <c r="I139" i="1"/>
  <c r="I141" i="1"/>
  <c r="I158" i="1"/>
  <c r="I126" i="1"/>
  <c r="I130" i="1"/>
  <c r="I151" i="1"/>
  <c r="I154" i="1"/>
  <c r="I155" i="1"/>
  <c r="I116" i="1"/>
  <c r="I110" i="1"/>
  <c r="I168" i="1"/>
  <c r="I108" i="1"/>
  <c r="I171" i="1"/>
  <c r="I188" i="1"/>
  <c r="I129" i="1"/>
  <c r="I203" i="1"/>
  <c r="I101" i="1"/>
  <c r="I142" i="1"/>
  <c r="I162" i="1"/>
  <c r="I190" i="1"/>
  <c r="I192" i="1"/>
  <c r="I202" i="1"/>
  <c r="I187" i="1"/>
  <c r="I164" i="1"/>
  <c r="I176" i="1"/>
  <c r="I178" i="1"/>
  <c r="I161" i="1"/>
  <c r="I115" i="1"/>
  <c r="I146" i="1"/>
  <c r="I131" i="1"/>
  <c r="I124" i="1"/>
  <c r="I182" i="1"/>
  <c r="I210" i="1"/>
  <c r="I169" i="1"/>
  <c r="I121" i="1"/>
  <c r="I152" i="1"/>
  <c r="I181" i="1"/>
  <c r="I140" i="1"/>
  <c r="I128" i="1"/>
  <c r="I135" i="1"/>
  <c r="I122" i="1"/>
  <c r="I179" i="1"/>
  <c r="I170" i="1"/>
  <c r="I172" i="1"/>
  <c r="I185" i="1"/>
  <c r="I153" i="1"/>
  <c r="I198" i="1"/>
  <c r="I180" i="1"/>
  <c r="I134" i="1"/>
  <c r="I143" i="1"/>
  <c r="I173" i="1"/>
  <c r="I194" i="1"/>
  <c r="I191" i="1"/>
  <c r="I148" i="1"/>
  <c r="I167" i="1"/>
  <c r="I195" i="1"/>
  <c r="I197" i="1"/>
  <c r="I199" i="1"/>
  <c r="I156" i="1"/>
  <c r="I174" i="1"/>
  <c r="I175" i="1"/>
  <c r="I196" i="1"/>
  <c r="I183" i="1"/>
  <c r="I186" i="1"/>
  <c r="I200" i="1"/>
  <c r="I165" i="1"/>
  <c r="I201" i="1"/>
  <c r="I184" i="1"/>
  <c r="I189" i="1"/>
  <c r="I205" i="1"/>
  <c r="I193" i="1"/>
  <c r="I211" i="1"/>
  <c r="I207" i="1"/>
  <c r="I206" i="1"/>
  <c r="I204" i="1"/>
  <c r="I208" i="1"/>
  <c r="I209" i="1"/>
  <c r="I214" i="1"/>
  <c r="I212" i="1"/>
  <c r="I215" i="1"/>
  <c r="I213" i="1"/>
  <c r="I216" i="1"/>
  <c r="I217" i="1"/>
  <c r="I218" i="1"/>
  <c r="I219" i="1"/>
  <c r="I29" i="1"/>
  <c r="G7" i="5"/>
  <c r="F7" i="5"/>
  <c r="BK7" i="6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BL7" i="4"/>
  <c r="G6" i="1"/>
  <c r="F6" i="1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S7" i="5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B7" i="1" l="1"/>
  <c r="O196" i="5"/>
  <c r="P196" i="5"/>
  <c r="O140" i="5"/>
  <c r="P140" i="5"/>
  <c r="O60" i="5"/>
  <c r="P60" i="5"/>
  <c r="O203" i="5"/>
  <c r="P203" i="5"/>
  <c r="O147" i="5"/>
  <c r="P147" i="5"/>
  <c r="O99" i="5"/>
  <c r="P99" i="5"/>
  <c r="O75" i="5"/>
  <c r="P75" i="5"/>
  <c r="O59" i="5"/>
  <c r="P59" i="5"/>
  <c r="O43" i="5"/>
  <c r="P43" i="5"/>
  <c r="O164" i="5"/>
  <c r="P164" i="5"/>
  <c r="O44" i="5"/>
  <c r="P44" i="5"/>
  <c r="O219" i="5"/>
  <c r="P219" i="5"/>
  <c r="O171" i="5"/>
  <c r="P171" i="5"/>
  <c r="O139" i="5"/>
  <c r="P139" i="5"/>
  <c r="O83" i="5"/>
  <c r="P83" i="5"/>
  <c r="O11" i="5"/>
  <c r="P11" i="5"/>
  <c r="O218" i="5"/>
  <c r="P218" i="5"/>
  <c r="O210" i="5"/>
  <c r="P210" i="5"/>
  <c r="O202" i="5"/>
  <c r="P202" i="5"/>
  <c r="O194" i="5"/>
  <c r="P194" i="5"/>
  <c r="O186" i="5"/>
  <c r="P186" i="5"/>
  <c r="O178" i="5"/>
  <c r="P178" i="5"/>
  <c r="O170" i="5"/>
  <c r="P170" i="5"/>
  <c r="O162" i="5"/>
  <c r="P162" i="5"/>
  <c r="O154" i="5"/>
  <c r="P154" i="5"/>
  <c r="O146" i="5"/>
  <c r="P146" i="5"/>
  <c r="O138" i="5"/>
  <c r="P138" i="5"/>
  <c r="O130" i="5"/>
  <c r="P130" i="5"/>
  <c r="O122" i="5"/>
  <c r="P122" i="5"/>
  <c r="O114" i="5"/>
  <c r="P114" i="5"/>
  <c r="O106" i="5"/>
  <c r="P106" i="5"/>
  <c r="O98" i="5"/>
  <c r="P98" i="5"/>
  <c r="O90" i="5"/>
  <c r="P90" i="5"/>
  <c r="O82" i="5"/>
  <c r="P82" i="5"/>
  <c r="O74" i="5"/>
  <c r="P74" i="5"/>
  <c r="O66" i="5"/>
  <c r="P66" i="5"/>
  <c r="O58" i="5"/>
  <c r="P58" i="5"/>
  <c r="O50" i="5"/>
  <c r="P50" i="5"/>
  <c r="O42" i="5"/>
  <c r="P42" i="5"/>
  <c r="O34" i="5"/>
  <c r="P34" i="5"/>
  <c r="O26" i="5"/>
  <c r="P26" i="5"/>
  <c r="O18" i="5"/>
  <c r="P18" i="5"/>
  <c r="O10" i="5"/>
  <c r="P10" i="5"/>
  <c r="O180" i="5"/>
  <c r="P180" i="5"/>
  <c r="O76" i="5"/>
  <c r="P76" i="5"/>
  <c r="O179" i="5"/>
  <c r="P179" i="5"/>
  <c r="O123" i="5"/>
  <c r="P123" i="5"/>
  <c r="O51" i="5"/>
  <c r="P51" i="5"/>
  <c r="O156" i="5"/>
  <c r="P156" i="5"/>
  <c r="O84" i="5"/>
  <c r="P84" i="5"/>
  <c r="O211" i="5"/>
  <c r="P211" i="5"/>
  <c r="O163" i="5"/>
  <c r="P163" i="5"/>
  <c r="O107" i="5"/>
  <c r="P107" i="5"/>
  <c r="O91" i="5"/>
  <c r="P91" i="5"/>
  <c r="O19" i="5"/>
  <c r="P19" i="5"/>
  <c r="O217" i="5"/>
  <c r="P217" i="5"/>
  <c r="O209" i="5"/>
  <c r="P209" i="5"/>
  <c r="O201" i="5"/>
  <c r="P201" i="5"/>
  <c r="O193" i="5"/>
  <c r="P193" i="5"/>
  <c r="O185" i="5"/>
  <c r="P185" i="5"/>
  <c r="O177" i="5"/>
  <c r="P177" i="5"/>
  <c r="O169" i="5"/>
  <c r="P169" i="5"/>
  <c r="O161" i="5"/>
  <c r="P161" i="5"/>
  <c r="O153" i="5"/>
  <c r="P153" i="5"/>
  <c r="O145" i="5"/>
  <c r="P145" i="5"/>
  <c r="O137" i="5"/>
  <c r="P137" i="5"/>
  <c r="O129" i="5"/>
  <c r="P129" i="5"/>
  <c r="O121" i="5"/>
  <c r="P121" i="5"/>
  <c r="O113" i="5"/>
  <c r="P113" i="5"/>
  <c r="O105" i="5"/>
  <c r="P105" i="5"/>
  <c r="O97" i="5"/>
  <c r="P97" i="5"/>
  <c r="O89" i="5"/>
  <c r="P89" i="5"/>
  <c r="O81" i="5"/>
  <c r="P81" i="5"/>
  <c r="O73" i="5"/>
  <c r="P73" i="5"/>
  <c r="O65" i="5"/>
  <c r="P65" i="5"/>
  <c r="O57" i="5"/>
  <c r="P57" i="5"/>
  <c r="O49" i="5"/>
  <c r="P49" i="5"/>
  <c r="O41" i="5"/>
  <c r="P41" i="5"/>
  <c r="O33" i="5"/>
  <c r="P33" i="5"/>
  <c r="O25" i="5"/>
  <c r="P25" i="5"/>
  <c r="O17" i="5"/>
  <c r="P17" i="5"/>
  <c r="O172" i="5"/>
  <c r="P172" i="5"/>
  <c r="O68" i="5"/>
  <c r="P68" i="5"/>
  <c r="O187" i="5"/>
  <c r="P187" i="5"/>
  <c r="O155" i="5"/>
  <c r="P155" i="5"/>
  <c r="O131" i="5"/>
  <c r="P131" i="5"/>
  <c r="O27" i="5"/>
  <c r="P27" i="5"/>
  <c r="O212" i="5"/>
  <c r="P212" i="5"/>
  <c r="O28" i="5"/>
  <c r="P28" i="5"/>
  <c r="O195" i="5"/>
  <c r="P195" i="5"/>
  <c r="O115" i="5"/>
  <c r="P115" i="5"/>
  <c r="O67" i="5"/>
  <c r="P67" i="5"/>
  <c r="O35" i="5"/>
  <c r="P35" i="5"/>
  <c r="O216" i="5"/>
  <c r="P216" i="5"/>
  <c r="O208" i="5"/>
  <c r="P208" i="5"/>
  <c r="O200" i="5"/>
  <c r="P200" i="5"/>
  <c r="O192" i="5"/>
  <c r="P192" i="5"/>
  <c r="O184" i="5"/>
  <c r="P184" i="5"/>
  <c r="O176" i="5"/>
  <c r="P176" i="5"/>
  <c r="O168" i="5"/>
  <c r="P168" i="5"/>
  <c r="O160" i="5"/>
  <c r="P160" i="5"/>
  <c r="O152" i="5"/>
  <c r="P152" i="5"/>
  <c r="O144" i="5"/>
  <c r="P144" i="5"/>
  <c r="O136" i="5"/>
  <c r="P136" i="5"/>
  <c r="O128" i="5"/>
  <c r="P128" i="5"/>
  <c r="O120" i="5"/>
  <c r="P120" i="5"/>
  <c r="O112" i="5"/>
  <c r="P112" i="5"/>
  <c r="O104" i="5"/>
  <c r="P104" i="5"/>
  <c r="O96" i="5"/>
  <c r="P96" i="5"/>
  <c r="O88" i="5"/>
  <c r="P88" i="5"/>
  <c r="O80" i="5"/>
  <c r="P80" i="5"/>
  <c r="O72" i="5"/>
  <c r="P72" i="5"/>
  <c r="O64" i="5"/>
  <c r="P64" i="5"/>
  <c r="O56" i="5"/>
  <c r="P56" i="5"/>
  <c r="O48" i="5"/>
  <c r="P48" i="5"/>
  <c r="O40" i="5"/>
  <c r="P40" i="5"/>
  <c r="O32" i="5"/>
  <c r="P32" i="5"/>
  <c r="O24" i="5"/>
  <c r="P24" i="5"/>
  <c r="O16" i="5"/>
  <c r="P16" i="5"/>
  <c r="O148" i="5"/>
  <c r="P148" i="5"/>
  <c r="O124" i="5"/>
  <c r="P124" i="5"/>
  <c r="O52" i="5"/>
  <c r="P52" i="5"/>
  <c r="O215" i="5"/>
  <c r="P215" i="5"/>
  <c r="O207" i="5"/>
  <c r="P207" i="5"/>
  <c r="O199" i="5"/>
  <c r="P199" i="5"/>
  <c r="O191" i="5"/>
  <c r="P191" i="5"/>
  <c r="O183" i="5"/>
  <c r="P183" i="5"/>
  <c r="O175" i="5"/>
  <c r="P175" i="5"/>
  <c r="O167" i="5"/>
  <c r="P167" i="5"/>
  <c r="O159" i="5"/>
  <c r="P159" i="5"/>
  <c r="O151" i="5"/>
  <c r="P151" i="5"/>
  <c r="O143" i="5"/>
  <c r="P143" i="5"/>
  <c r="O135" i="5"/>
  <c r="P135" i="5"/>
  <c r="O127" i="5"/>
  <c r="P127" i="5"/>
  <c r="O119" i="5"/>
  <c r="P119" i="5"/>
  <c r="O111" i="5"/>
  <c r="P111" i="5"/>
  <c r="O103" i="5"/>
  <c r="P103" i="5"/>
  <c r="O95" i="5"/>
  <c r="P95" i="5"/>
  <c r="O87" i="5"/>
  <c r="P87" i="5"/>
  <c r="O79" i="5"/>
  <c r="P79" i="5"/>
  <c r="O71" i="5"/>
  <c r="P71" i="5"/>
  <c r="O63" i="5"/>
  <c r="P63" i="5"/>
  <c r="O55" i="5"/>
  <c r="P55" i="5"/>
  <c r="O47" i="5"/>
  <c r="P47" i="5"/>
  <c r="O39" i="5"/>
  <c r="P39" i="5"/>
  <c r="O31" i="5"/>
  <c r="P31" i="5"/>
  <c r="O23" i="5"/>
  <c r="P23" i="5"/>
  <c r="O15" i="5"/>
  <c r="P15" i="5"/>
  <c r="O188" i="5"/>
  <c r="P188" i="5"/>
  <c r="O132" i="5"/>
  <c r="P132" i="5"/>
  <c r="O36" i="5"/>
  <c r="P36" i="5"/>
  <c r="O204" i="5"/>
  <c r="P204" i="5"/>
  <c r="O116" i="5"/>
  <c r="P116" i="5"/>
  <c r="O20" i="5"/>
  <c r="P20" i="5"/>
  <c r="O214" i="5"/>
  <c r="P214" i="5"/>
  <c r="O206" i="5"/>
  <c r="P206" i="5"/>
  <c r="O198" i="5"/>
  <c r="P198" i="5"/>
  <c r="O190" i="5"/>
  <c r="P190" i="5"/>
  <c r="O182" i="5"/>
  <c r="P182" i="5"/>
  <c r="O174" i="5"/>
  <c r="P174" i="5"/>
  <c r="O166" i="5"/>
  <c r="P166" i="5"/>
  <c r="O158" i="5"/>
  <c r="P158" i="5"/>
  <c r="O150" i="5"/>
  <c r="P150" i="5"/>
  <c r="O142" i="5"/>
  <c r="P142" i="5"/>
  <c r="O134" i="5"/>
  <c r="P134" i="5"/>
  <c r="O126" i="5"/>
  <c r="P126" i="5"/>
  <c r="O118" i="5"/>
  <c r="P118" i="5"/>
  <c r="O110" i="5"/>
  <c r="P110" i="5"/>
  <c r="O102" i="5"/>
  <c r="P102" i="5"/>
  <c r="O94" i="5"/>
  <c r="P94" i="5"/>
  <c r="O86" i="5"/>
  <c r="P86" i="5"/>
  <c r="O78" i="5"/>
  <c r="P78" i="5"/>
  <c r="O70" i="5"/>
  <c r="P70" i="5"/>
  <c r="O62" i="5"/>
  <c r="P62" i="5"/>
  <c r="O54" i="5"/>
  <c r="P54" i="5"/>
  <c r="O46" i="5"/>
  <c r="P46" i="5"/>
  <c r="O38" i="5"/>
  <c r="P38" i="5"/>
  <c r="O30" i="5"/>
  <c r="P30" i="5"/>
  <c r="O22" i="5"/>
  <c r="P22" i="5"/>
  <c r="O14" i="5"/>
  <c r="P14" i="5"/>
  <c r="O108" i="5"/>
  <c r="P108" i="5"/>
  <c r="O92" i="5"/>
  <c r="P92" i="5"/>
  <c r="O213" i="5"/>
  <c r="P213" i="5"/>
  <c r="O205" i="5"/>
  <c r="P205" i="5"/>
  <c r="O197" i="5"/>
  <c r="P197" i="5"/>
  <c r="O189" i="5"/>
  <c r="P189" i="5"/>
  <c r="O181" i="5"/>
  <c r="P181" i="5"/>
  <c r="O173" i="5"/>
  <c r="P173" i="5"/>
  <c r="O165" i="5"/>
  <c r="P165" i="5"/>
  <c r="O157" i="5"/>
  <c r="P157" i="5"/>
  <c r="O149" i="5"/>
  <c r="P149" i="5"/>
  <c r="O141" i="5"/>
  <c r="P141" i="5"/>
  <c r="O133" i="5"/>
  <c r="P133" i="5"/>
  <c r="O125" i="5"/>
  <c r="P125" i="5"/>
  <c r="O117" i="5"/>
  <c r="P117" i="5"/>
  <c r="O109" i="5"/>
  <c r="P109" i="5"/>
  <c r="O101" i="5"/>
  <c r="P101" i="5"/>
  <c r="O93" i="5"/>
  <c r="P93" i="5"/>
  <c r="O85" i="5"/>
  <c r="P85" i="5"/>
  <c r="O77" i="5"/>
  <c r="P77" i="5"/>
  <c r="O69" i="5"/>
  <c r="P69" i="5"/>
  <c r="O61" i="5"/>
  <c r="P61" i="5"/>
  <c r="O53" i="5"/>
  <c r="P53" i="5"/>
  <c r="O45" i="5"/>
  <c r="P45" i="5"/>
  <c r="O37" i="5"/>
  <c r="P37" i="5"/>
  <c r="O29" i="5"/>
  <c r="P29" i="5"/>
  <c r="O21" i="5"/>
  <c r="P21" i="5"/>
  <c r="O13" i="5"/>
  <c r="P13" i="5"/>
  <c r="O100" i="5"/>
  <c r="P100" i="5"/>
  <c r="O12" i="5"/>
  <c r="P12" i="5"/>
  <c r="Q9" i="6"/>
  <c r="BH5" i="6" s="1"/>
  <c r="P7" i="6"/>
  <c r="O9" i="6"/>
  <c r="BE6" i="6" s="1"/>
  <c r="M2" i="6"/>
  <c r="N7" i="6"/>
  <c r="O9" i="5"/>
  <c r="N7" i="5"/>
  <c r="R9" i="5"/>
  <c r="BA5" i="5" s="1"/>
  <c r="Q7" i="5"/>
  <c r="O58" i="4"/>
  <c r="P58" i="4"/>
  <c r="O169" i="4"/>
  <c r="P169" i="4"/>
  <c r="O146" i="4"/>
  <c r="P146" i="4"/>
  <c r="O177" i="4"/>
  <c r="P177" i="4"/>
  <c r="O129" i="4"/>
  <c r="P129" i="4"/>
  <c r="N7" i="4"/>
  <c r="P9" i="4"/>
  <c r="O214" i="4"/>
  <c r="P214" i="4"/>
  <c r="O206" i="4"/>
  <c r="P206" i="4"/>
  <c r="O198" i="4"/>
  <c r="P198" i="4"/>
  <c r="O190" i="4"/>
  <c r="P190" i="4"/>
  <c r="O182" i="4"/>
  <c r="P182" i="4"/>
  <c r="O174" i="4"/>
  <c r="P174" i="4"/>
  <c r="O166" i="4"/>
  <c r="P166" i="4"/>
  <c r="O158" i="4"/>
  <c r="P158" i="4"/>
  <c r="O150" i="4"/>
  <c r="P150" i="4"/>
  <c r="O142" i="4"/>
  <c r="P142" i="4"/>
  <c r="O134" i="4"/>
  <c r="P134" i="4"/>
  <c r="O126" i="4"/>
  <c r="P126" i="4"/>
  <c r="O118" i="4"/>
  <c r="P118" i="4"/>
  <c r="O110" i="4"/>
  <c r="P110" i="4"/>
  <c r="O102" i="4"/>
  <c r="P102" i="4"/>
  <c r="O94" i="4"/>
  <c r="P94" i="4"/>
  <c r="O86" i="4"/>
  <c r="P86" i="4"/>
  <c r="O78" i="4"/>
  <c r="P78" i="4"/>
  <c r="O70" i="4"/>
  <c r="P70" i="4"/>
  <c r="O62" i="4"/>
  <c r="P62" i="4"/>
  <c r="O54" i="4"/>
  <c r="P54" i="4"/>
  <c r="O46" i="4"/>
  <c r="P46" i="4"/>
  <c r="O38" i="4"/>
  <c r="P38" i="4"/>
  <c r="O30" i="4"/>
  <c r="P30" i="4"/>
  <c r="O22" i="4"/>
  <c r="P22" i="4"/>
  <c r="O14" i="4"/>
  <c r="P14" i="4"/>
  <c r="O154" i="4"/>
  <c r="P154" i="4"/>
  <c r="O137" i="4"/>
  <c r="P137" i="4"/>
  <c r="O202" i="4"/>
  <c r="P202" i="4"/>
  <c r="O114" i="4"/>
  <c r="P114" i="4"/>
  <c r="O50" i="4"/>
  <c r="P50" i="4"/>
  <c r="O193" i="4"/>
  <c r="P193" i="4"/>
  <c r="O213" i="4"/>
  <c r="P213" i="4"/>
  <c r="O205" i="4"/>
  <c r="P205" i="4"/>
  <c r="O197" i="4"/>
  <c r="P197" i="4"/>
  <c r="O189" i="4"/>
  <c r="P189" i="4"/>
  <c r="O181" i="4"/>
  <c r="P181" i="4"/>
  <c r="O173" i="4"/>
  <c r="P173" i="4"/>
  <c r="O165" i="4"/>
  <c r="P165" i="4"/>
  <c r="O157" i="4"/>
  <c r="P157" i="4"/>
  <c r="O149" i="4"/>
  <c r="P149" i="4"/>
  <c r="O141" i="4"/>
  <c r="P141" i="4"/>
  <c r="O133" i="4"/>
  <c r="P133" i="4"/>
  <c r="O125" i="4"/>
  <c r="P125" i="4"/>
  <c r="O117" i="4"/>
  <c r="P117" i="4"/>
  <c r="O109" i="4"/>
  <c r="P109" i="4"/>
  <c r="O101" i="4"/>
  <c r="P101" i="4"/>
  <c r="O93" i="4"/>
  <c r="P93" i="4"/>
  <c r="O85" i="4"/>
  <c r="P85" i="4"/>
  <c r="O77" i="4"/>
  <c r="P77" i="4"/>
  <c r="O69" i="4"/>
  <c r="P69" i="4"/>
  <c r="O61" i="4"/>
  <c r="P61" i="4"/>
  <c r="O53" i="4"/>
  <c r="P53" i="4"/>
  <c r="O45" i="4"/>
  <c r="P45" i="4"/>
  <c r="O37" i="4"/>
  <c r="P37" i="4"/>
  <c r="O29" i="4"/>
  <c r="P29" i="4"/>
  <c r="O21" i="4"/>
  <c r="P21" i="4"/>
  <c r="O13" i="4"/>
  <c r="P13" i="4"/>
  <c r="O218" i="4"/>
  <c r="P218" i="4"/>
  <c r="O178" i="4"/>
  <c r="P178" i="4"/>
  <c r="O138" i="4"/>
  <c r="P138" i="4"/>
  <c r="O18" i="4"/>
  <c r="P18" i="4"/>
  <c r="O162" i="4"/>
  <c r="P162" i="4"/>
  <c r="O122" i="4"/>
  <c r="P122" i="4"/>
  <c r="O98" i="4"/>
  <c r="P98" i="4"/>
  <c r="O42" i="4"/>
  <c r="P42" i="4"/>
  <c r="O209" i="4"/>
  <c r="P209" i="4"/>
  <c r="O212" i="4"/>
  <c r="P212" i="4"/>
  <c r="O204" i="4"/>
  <c r="P204" i="4"/>
  <c r="O196" i="4"/>
  <c r="P196" i="4"/>
  <c r="O188" i="4"/>
  <c r="P188" i="4"/>
  <c r="O180" i="4"/>
  <c r="P180" i="4"/>
  <c r="O172" i="4"/>
  <c r="P172" i="4"/>
  <c r="O164" i="4"/>
  <c r="P164" i="4"/>
  <c r="O156" i="4"/>
  <c r="P156" i="4"/>
  <c r="O148" i="4"/>
  <c r="P148" i="4"/>
  <c r="O140" i="4"/>
  <c r="P140" i="4"/>
  <c r="O132" i="4"/>
  <c r="P132" i="4"/>
  <c r="O124" i="4"/>
  <c r="P124" i="4"/>
  <c r="O116" i="4"/>
  <c r="P116" i="4"/>
  <c r="O108" i="4"/>
  <c r="P108" i="4"/>
  <c r="O100" i="4"/>
  <c r="P100" i="4"/>
  <c r="O92" i="4"/>
  <c r="P92" i="4"/>
  <c r="O84" i="4"/>
  <c r="P84" i="4"/>
  <c r="O76" i="4"/>
  <c r="P76" i="4"/>
  <c r="O68" i="4"/>
  <c r="P68" i="4"/>
  <c r="O60" i="4"/>
  <c r="P60" i="4"/>
  <c r="O52" i="4"/>
  <c r="P52" i="4"/>
  <c r="O44" i="4"/>
  <c r="P44" i="4"/>
  <c r="O36" i="4"/>
  <c r="P36" i="4"/>
  <c r="O28" i="4"/>
  <c r="P28" i="4"/>
  <c r="O20" i="4"/>
  <c r="P20" i="4"/>
  <c r="O12" i="4"/>
  <c r="P12" i="4"/>
  <c r="O170" i="4"/>
  <c r="P170" i="4"/>
  <c r="O145" i="4"/>
  <c r="P145" i="4"/>
  <c r="O186" i="4"/>
  <c r="P186" i="4"/>
  <c r="O130" i="4"/>
  <c r="P130" i="4"/>
  <c r="O82" i="4"/>
  <c r="P82" i="4"/>
  <c r="O74" i="4"/>
  <c r="P74" i="4"/>
  <c r="O26" i="4"/>
  <c r="P26" i="4"/>
  <c r="O185" i="4"/>
  <c r="P185" i="4"/>
  <c r="O161" i="4"/>
  <c r="P161" i="4"/>
  <c r="O121" i="4"/>
  <c r="P121" i="4"/>
  <c r="O219" i="4"/>
  <c r="P219" i="4"/>
  <c r="O211" i="4"/>
  <c r="P211" i="4"/>
  <c r="O203" i="4"/>
  <c r="P203" i="4"/>
  <c r="O195" i="4"/>
  <c r="P195" i="4"/>
  <c r="O187" i="4"/>
  <c r="P187" i="4"/>
  <c r="O179" i="4"/>
  <c r="P179" i="4"/>
  <c r="O171" i="4"/>
  <c r="P171" i="4"/>
  <c r="O163" i="4"/>
  <c r="P163" i="4"/>
  <c r="O155" i="4"/>
  <c r="P155" i="4"/>
  <c r="O147" i="4"/>
  <c r="P147" i="4"/>
  <c r="O139" i="4"/>
  <c r="P139" i="4"/>
  <c r="O131" i="4"/>
  <c r="P131" i="4"/>
  <c r="O123" i="4"/>
  <c r="P123" i="4"/>
  <c r="O115" i="4"/>
  <c r="P115" i="4"/>
  <c r="O107" i="4"/>
  <c r="P107" i="4"/>
  <c r="O99" i="4"/>
  <c r="P99" i="4"/>
  <c r="O91" i="4"/>
  <c r="P91" i="4"/>
  <c r="O83" i="4"/>
  <c r="P83" i="4"/>
  <c r="O75" i="4"/>
  <c r="P75" i="4"/>
  <c r="O67" i="4"/>
  <c r="P67" i="4"/>
  <c r="O59" i="4"/>
  <c r="P59" i="4"/>
  <c r="O51" i="4"/>
  <c r="P51" i="4"/>
  <c r="O43" i="4"/>
  <c r="P43" i="4"/>
  <c r="O35" i="4"/>
  <c r="P35" i="4"/>
  <c r="O27" i="4"/>
  <c r="P27" i="4"/>
  <c r="O19" i="4"/>
  <c r="P19" i="4"/>
  <c r="O11" i="4"/>
  <c r="P11" i="4"/>
  <c r="O210" i="4"/>
  <c r="P210" i="4"/>
  <c r="O194" i="4"/>
  <c r="P194" i="4"/>
  <c r="O106" i="4"/>
  <c r="P106" i="4"/>
  <c r="O34" i="4"/>
  <c r="P34" i="4"/>
  <c r="O217" i="4"/>
  <c r="P217" i="4"/>
  <c r="O10" i="4"/>
  <c r="P10" i="4"/>
  <c r="O113" i="4"/>
  <c r="P113" i="4"/>
  <c r="O105" i="4"/>
  <c r="P105" i="4"/>
  <c r="O97" i="4"/>
  <c r="P97" i="4"/>
  <c r="O89" i="4"/>
  <c r="P89" i="4"/>
  <c r="O81" i="4"/>
  <c r="P81" i="4"/>
  <c r="O73" i="4"/>
  <c r="P73" i="4"/>
  <c r="O65" i="4"/>
  <c r="P65" i="4"/>
  <c r="O57" i="4"/>
  <c r="P57" i="4"/>
  <c r="O49" i="4"/>
  <c r="P49" i="4"/>
  <c r="O41" i="4"/>
  <c r="P41" i="4"/>
  <c r="O33" i="4"/>
  <c r="P33" i="4"/>
  <c r="O25" i="4"/>
  <c r="P25" i="4"/>
  <c r="O17" i="4"/>
  <c r="P17" i="4"/>
  <c r="O66" i="4"/>
  <c r="P66" i="4"/>
  <c r="O153" i="4"/>
  <c r="P153" i="4"/>
  <c r="O216" i="4"/>
  <c r="P216" i="4"/>
  <c r="O208" i="4"/>
  <c r="P208" i="4"/>
  <c r="O200" i="4"/>
  <c r="P200" i="4"/>
  <c r="O192" i="4"/>
  <c r="P192" i="4"/>
  <c r="O184" i="4"/>
  <c r="P184" i="4"/>
  <c r="O176" i="4"/>
  <c r="P176" i="4"/>
  <c r="O168" i="4"/>
  <c r="P168" i="4"/>
  <c r="O160" i="4"/>
  <c r="P160" i="4"/>
  <c r="O152" i="4"/>
  <c r="P152" i="4"/>
  <c r="O144" i="4"/>
  <c r="P144" i="4"/>
  <c r="O136" i="4"/>
  <c r="P136" i="4"/>
  <c r="O128" i="4"/>
  <c r="P128" i="4"/>
  <c r="O120" i="4"/>
  <c r="P120" i="4"/>
  <c r="O112" i="4"/>
  <c r="P112" i="4"/>
  <c r="O104" i="4"/>
  <c r="P104" i="4"/>
  <c r="O96" i="4"/>
  <c r="P96" i="4"/>
  <c r="O88" i="4"/>
  <c r="P88" i="4"/>
  <c r="O80" i="4"/>
  <c r="P80" i="4"/>
  <c r="O72" i="4"/>
  <c r="P72" i="4"/>
  <c r="O64" i="4"/>
  <c r="P64" i="4"/>
  <c r="O56" i="4"/>
  <c r="P56" i="4"/>
  <c r="O48" i="4"/>
  <c r="P48" i="4"/>
  <c r="O40" i="4"/>
  <c r="P40" i="4"/>
  <c r="O32" i="4"/>
  <c r="P32" i="4"/>
  <c r="O24" i="4"/>
  <c r="P24" i="4"/>
  <c r="O16" i="4"/>
  <c r="P16" i="4"/>
  <c r="O90" i="4"/>
  <c r="P90" i="4"/>
  <c r="O201" i="4"/>
  <c r="P201" i="4"/>
  <c r="R9" i="4"/>
  <c r="Q7" i="4"/>
  <c r="O215" i="4"/>
  <c r="P215" i="4"/>
  <c r="O207" i="4"/>
  <c r="P207" i="4"/>
  <c r="O199" i="4"/>
  <c r="P199" i="4"/>
  <c r="O191" i="4"/>
  <c r="P191" i="4"/>
  <c r="O183" i="4"/>
  <c r="P183" i="4"/>
  <c r="O175" i="4"/>
  <c r="P175" i="4"/>
  <c r="O167" i="4"/>
  <c r="P167" i="4"/>
  <c r="O159" i="4"/>
  <c r="P159" i="4"/>
  <c r="O151" i="4"/>
  <c r="P151" i="4"/>
  <c r="O143" i="4"/>
  <c r="P143" i="4"/>
  <c r="O135" i="4"/>
  <c r="P135" i="4"/>
  <c r="O127" i="4"/>
  <c r="P127" i="4"/>
  <c r="O119" i="4"/>
  <c r="P119" i="4"/>
  <c r="O111" i="4"/>
  <c r="P111" i="4"/>
  <c r="O103" i="4"/>
  <c r="P103" i="4"/>
  <c r="O95" i="4"/>
  <c r="P95" i="4"/>
  <c r="O87" i="4"/>
  <c r="P87" i="4"/>
  <c r="O79" i="4"/>
  <c r="P79" i="4"/>
  <c r="O71" i="4"/>
  <c r="P71" i="4"/>
  <c r="O63" i="4"/>
  <c r="P63" i="4"/>
  <c r="O55" i="4"/>
  <c r="P55" i="4"/>
  <c r="O47" i="4"/>
  <c r="P47" i="4"/>
  <c r="O39" i="4"/>
  <c r="P39" i="4"/>
  <c r="O31" i="4"/>
  <c r="P31" i="4"/>
  <c r="O23" i="4"/>
  <c r="P23" i="4"/>
  <c r="O15" i="4"/>
  <c r="P15" i="4"/>
  <c r="O9" i="4"/>
  <c r="E1" i="1"/>
  <c r="D27" i="1"/>
  <c r="D54" i="1"/>
  <c r="D51" i="1"/>
  <c r="D29" i="1"/>
  <c r="D65" i="1"/>
  <c r="D22" i="1"/>
  <c r="D14" i="1"/>
  <c r="D52" i="1"/>
  <c r="D93" i="1"/>
  <c r="D43" i="1"/>
  <c r="D67" i="1"/>
  <c r="D12" i="1"/>
  <c r="D37" i="1"/>
  <c r="D57" i="1"/>
  <c r="D24" i="1"/>
  <c r="D13" i="1"/>
  <c r="D105" i="1"/>
  <c r="D58" i="1"/>
  <c r="D46" i="1"/>
  <c r="D30" i="1"/>
  <c r="D55" i="1"/>
  <c r="D76" i="1"/>
  <c r="D31" i="1"/>
  <c r="D60" i="1"/>
  <c r="D71" i="1"/>
  <c r="D50" i="1"/>
  <c r="D19" i="1"/>
  <c r="D61" i="1"/>
  <c r="D69" i="1"/>
  <c r="D41" i="1"/>
  <c r="D10" i="1"/>
  <c r="D45" i="1"/>
  <c r="D20" i="1"/>
  <c r="D68" i="1"/>
  <c r="D87" i="1"/>
  <c r="D94" i="1"/>
  <c r="D44" i="1"/>
  <c r="D17" i="1"/>
  <c r="D16" i="1"/>
  <c r="D39" i="1"/>
  <c r="D48" i="1"/>
  <c r="D11" i="1"/>
  <c r="D56" i="1"/>
  <c r="D72" i="1"/>
  <c r="D34" i="1"/>
  <c r="D9" i="1"/>
  <c r="E7" i="1"/>
  <c r="M7" i="1"/>
  <c r="P7" i="1"/>
  <c r="F4" i="1"/>
  <c r="F5" i="1"/>
  <c r="O42" i="1"/>
  <c r="O197" i="1"/>
  <c r="O170" i="1"/>
  <c r="O116" i="1"/>
  <c r="O199" i="1"/>
  <c r="O179" i="1"/>
  <c r="O132" i="1"/>
  <c r="O89" i="1"/>
  <c r="O73" i="1"/>
  <c r="O94" i="1"/>
  <c r="O111" i="1"/>
  <c r="O168" i="1"/>
  <c r="O110" i="1"/>
  <c r="O159" i="1"/>
  <c r="O104" i="1"/>
  <c r="O136" i="1"/>
  <c r="O204" i="1"/>
  <c r="O86" i="1"/>
  <c r="O206" i="1"/>
  <c r="O109" i="1"/>
  <c r="O32" i="1"/>
  <c r="O207" i="1"/>
  <c r="O127" i="1"/>
  <c r="O112" i="1"/>
  <c r="O18" i="1"/>
  <c r="O156" i="1"/>
  <c r="O150" i="1"/>
  <c r="O35" i="1"/>
  <c r="O161" i="1"/>
  <c r="O12" i="1"/>
  <c r="O178" i="1"/>
  <c r="O11" i="1"/>
  <c r="O122" i="1"/>
  <c r="O176" i="1"/>
  <c r="O10" i="1"/>
  <c r="O117" i="1"/>
  <c r="O166" i="1"/>
  <c r="O215" i="1"/>
  <c r="O186" i="1"/>
  <c r="O180" i="1"/>
  <c r="O182" i="1"/>
  <c r="O203" i="1"/>
  <c r="O88" i="1"/>
  <c r="O149" i="1"/>
  <c r="O123" i="1"/>
  <c r="O60" i="1"/>
  <c r="O99" i="1"/>
  <c r="O53" i="1"/>
  <c r="O31" i="1"/>
  <c r="O24" i="1"/>
  <c r="O212" i="1"/>
  <c r="O183" i="1"/>
  <c r="O198" i="1"/>
  <c r="O124" i="1"/>
  <c r="O129" i="1"/>
  <c r="O82" i="1"/>
  <c r="O85" i="1"/>
  <c r="O100" i="1"/>
  <c r="O59" i="1"/>
  <c r="O87" i="1"/>
  <c r="O71" i="1"/>
  <c r="O50" i="1"/>
  <c r="O55" i="1"/>
  <c r="O135" i="1"/>
  <c r="O98" i="1"/>
  <c r="O27" i="1"/>
  <c r="O167" i="1"/>
  <c r="O187" i="1"/>
  <c r="O91" i="1"/>
  <c r="O22" i="1"/>
  <c r="O214" i="1"/>
  <c r="O196" i="1"/>
  <c r="O153" i="1"/>
  <c r="O131" i="1"/>
  <c r="O188" i="1"/>
  <c r="O138" i="1"/>
  <c r="O74" i="1"/>
  <c r="O95" i="1"/>
  <c r="O75" i="1"/>
  <c r="O48" i="1"/>
  <c r="O93" i="1"/>
  <c r="O64" i="1"/>
  <c r="O13" i="1"/>
  <c r="O29" i="1"/>
  <c r="O209" i="1"/>
  <c r="O175" i="1"/>
  <c r="O185" i="1"/>
  <c r="O146" i="1"/>
  <c r="O171" i="1"/>
  <c r="O107" i="1"/>
  <c r="O144" i="1"/>
  <c r="O96" i="1"/>
  <c r="O92" i="1"/>
  <c r="O61" i="1"/>
  <c r="O40" i="1"/>
  <c r="O57" i="1"/>
  <c r="O26" i="1"/>
  <c r="O106" i="1"/>
  <c r="O16" i="1"/>
  <c r="O208" i="1"/>
  <c r="O174" i="1"/>
  <c r="O172" i="1"/>
  <c r="O115" i="1"/>
  <c r="O108" i="1"/>
  <c r="O137" i="1"/>
  <c r="O113" i="1"/>
  <c r="O125" i="1"/>
  <c r="O84" i="1"/>
  <c r="O45" i="1"/>
  <c r="O69" i="1"/>
  <c r="O41" i="1"/>
  <c r="O19" i="1"/>
  <c r="O20" i="1"/>
  <c r="O68" i="1"/>
  <c r="O160" i="1"/>
  <c r="O177" i="1"/>
  <c r="O66" i="1"/>
  <c r="O120" i="1"/>
  <c r="O56" i="1"/>
  <c r="O44" i="1"/>
  <c r="O17" i="1"/>
  <c r="O34" i="1"/>
  <c r="O195" i="1"/>
  <c r="O155" i="1"/>
  <c r="O54" i="1"/>
  <c r="O193" i="1"/>
  <c r="O128" i="1"/>
  <c r="O154" i="1"/>
  <c r="O105" i="1"/>
  <c r="O205" i="1"/>
  <c r="O133" i="1"/>
  <c r="O14" i="1"/>
  <c r="O181" i="1"/>
  <c r="O103" i="1"/>
  <c r="O62" i="1"/>
  <c r="O38" i="1"/>
  <c r="O218" i="1"/>
  <c r="O184" i="1"/>
  <c r="O194" i="1"/>
  <c r="O152" i="1"/>
  <c r="O190" i="1"/>
  <c r="O126" i="1"/>
  <c r="O28" i="1"/>
  <c r="O72" i="1"/>
  <c r="O211" i="1"/>
  <c r="O164" i="1"/>
  <c r="O21" i="1"/>
  <c r="O81" i="1"/>
  <c r="O140" i="1"/>
  <c r="O151" i="1"/>
  <c r="O145" i="1"/>
  <c r="O49" i="1"/>
  <c r="O36" i="1"/>
  <c r="O9" i="1"/>
  <c r="O219" i="1"/>
  <c r="O189" i="1"/>
  <c r="O191" i="1"/>
  <c r="O192" i="1"/>
  <c r="O130" i="1"/>
  <c r="O79" i="1"/>
  <c r="O83" i="1"/>
  <c r="O33" i="1"/>
  <c r="O51" i="1"/>
  <c r="O217" i="1"/>
  <c r="O201" i="1"/>
  <c r="O173" i="1"/>
  <c r="O121" i="1"/>
  <c r="O162" i="1"/>
  <c r="O158" i="1"/>
  <c r="O102" i="1"/>
  <c r="O147" i="1"/>
  <c r="O163" i="1"/>
  <c r="O46" i="1"/>
  <c r="O25" i="1"/>
  <c r="O63" i="1"/>
  <c r="O23" i="1"/>
  <c r="O119" i="1"/>
  <c r="O118" i="1"/>
  <c r="O148" i="1"/>
  <c r="O202" i="1"/>
  <c r="O90" i="1"/>
  <c r="O58" i="1"/>
  <c r="O43" i="1"/>
  <c r="O216" i="1"/>
  <c r="O165" i="1"/>
  <c r="O143" i="1"/>
  <c r="O169" i="1"/>
  <c r="O142" i="1"/>
  <c r="O141" i="1"/>
  <c r="O80" i="1"/>
  <c r="O70" i="1"/>
  <c r="O157" i="1"/>
  <c r="O52" i="1"/>
  <c r="O30" i="1"/>
  <c r="O47" i="1"/>
  <c r="O67" i="1"/>
  <c r="O65" i="1"/>
  <c r="O15" i="1"/>
  <c r="O213" i="1"/>
  <c r="O200" i="1"/>
  <c r="O134" i="1"/>
  <c r="O210" i="1"/>
  <c r="O101" i="1"/>
  <c r="O139" i="1"/>
  <c r="O78" i="1"/>
  <c r="O77" i="1"/>
  <c r="O114" i="1"/>
  <c r="O76" i="1"/>
  <c r="O97" i="1"/>
  <c r="O39" i="1"/>
  <c r="O37" i="1"/>
  <c r="C137" i="1"/>
  <c r="C113" i="1"/>
  <c r="C125" i="1"/>
  <c r="C84" i="1"/>
  <c r="C45" i="1"/>
  <c r="C69" i="1"/>
  <c r="C41" i="1"/>
  <c r="C186" i="1"/>
  <c r="C180" i="1"/>
  <c r="C203" i="1"/>
  <c r="C123" i="1"/>
  <c r="C60" i="1"/>
  <c r="C99" i="1"/>
  <c r="C53" i="1"/>
  <c r="C31" i="1"/>
  <c r="C71" i="1"/>
  <c r="C50" i="1"/>
  <c r="C23" i="1"/>
  <c r="C159" i="1"/>
  <c r="C111" i="1"/>
  <c r="C104" i="1"/>
  <c r="C112" i="1"/>
  <c r="C28" i="1"/>
  <c r="C42" i="1"/>
  <c r="D23" i="1"/>
  <c r="C219" i="1"/>
  <c r="C189" i="1"/>
  <c r="C191" i="1"/>
  <c r="C181" i="1"/>
  <c r="C192" i="1"/>
  <c r="C130" i="1"/>
  <c r="C209" i="1"/>
  <c r="C175" i="1"/>
  <c r="C185" i="1"/>
  <c r="C146" i="1"/>
  <c r="C171" i="1"/>
  <c r="C18" i="1"/>
  <c r="C32" i="1"/>
  <c r="D159" i="1"/>
  <c r="D111" i="1"/>
  <c r="D104" i="1"/>
  <c r="D112" i="1"/>
  <c r="D28" i="1"/>
  <c r="D42" i="1"/>
  <c r="D18" i="1"/>
  <c r="D32" i="1"/>
  <c r="C100" i="1"/>
  <c r="C208" i="1"/>
  <c r="C174" i="1"/>
  <c r="C172" i="1"/>
  <c r="C115" i="1"/>
  <c r="C108" i="1"/>
  <c r="C136" i="1"/>
  <c r="C109" i="1"/>
  <c r="C150" i="1"/>
  <c r="C89" i="1"/>
  <c r="C94" i="1"/>
  <c r="C20" i="1"/>
  <c r="C68" i="1"/>
  <c r="C10" i="1"/>
  <c r="C204" i="1"/>
  <c r="C156" i="1"/>
  <c r="C170" i="1"/>
  <c r="C161" i="1"/>
  <c r="C168" i="1"/>
  <c r="C135" i="1"/>
  <c r="C27" i="1"/>
  <c r="C217" i="1"/>
  <c r="C201" i="1"/>
  <c r="C173" i="1"/>
  <c r="C121" i="1"/>
  <c r="C162" i="1"/>
  <c r="C158" i="1"/>
  <c r="C195" i="1"/>
  <c r="C164" i="1"/>
  <c r="C155" i="1"/>
  <c r="C98" i="1"/>
  <c r="C119" i="1"/>
  <c r="C65" i="1"/>
  <c r="C106" i="1"/>
  <c r="C54" i="1"/>
  <c r="C211" i="1"/>
  <c r="C117" i="1"/>
  <c r="C212" i="1"/>
  <c r="C75" i="1"/>
  <c r="C48" i="1"/>
  <c r="C93" i="1"/>
  <c r="C64" i="1"/>
  <c r="C214" i="1"/>
  <c r="C196" i="1"/>
  <c r="C153" i="1"/>
  <c r="C131" i="1"/>
  <c r="C188" i="1"/>
  <c r="C107" i="1"/>
  <c r="C144" i="1"/>
  <c r="C96" i="1"/>
  <c r="C92" i="1"/>
  <c r="C61" i="1"/>
  <c r="C40" i="1"/>
  <c r="C57" i="1"/>
  <c r="C12" i="1"/>
  <c r="C129" i="1"/>
  <c r="C193" i="1"/>
  <c r="C167" i="1"/>
  <c r="C128" i="1"/>
  <c r="C187" i="1"/>
  <c r="C154" i="1"/>
  <c r="C205" i="1"/>
  <c r="C148" i="1"/>
  <c r="C140" i="1"/>
  <c r="C202" i="1"/>
  <c r="C151" i="1"/>
  <c r="C103" i="1"/>
  <c r="C79" i="1"/>
  <c r="C83" i="1"/>
  <c r="C62" i="1"/>
  <c r="C33" i="1"/>
  <c r="C43" i="1"/>
  <c r="C80" i="1"/>
  <c r="C70" i="1"/>
  <c r="C157" i="1"/>
  <c r="C52" i="1"/>
  <c r="C30" i="1"/>
  <c r="C24" i="1"/>
  <c r="C124" i="1"/>
  <c r="C142" i="1"/>
  <c r="C141" i="1"/>
  <c r="C55" i="1"/>
  <c r="C149" i="1"/>
  <c r="C13" i="1"/>
  <c r="C198" i="1"/>
  <c r="C67" i="1"/>
  <c r="C47" i="1"/>
  <c r="C215" i="1"/>
  <c r="C182" i="1"/>
  <c r="C88" i="1"/>
  <c r="C85" i="1"/>
  <c r="C59" i="1"/>
  <c r="C87" i="1"/>
  <c r="C26" i="1"/>
  <c r="C21" i="1"/>
  <c r="C138" i="1"/>
  <c r="C74" i="1"/>
  <c r="C95" i="1"/>
  <c r="C183" i="1"/>
  <c r="C16" i="1"/>
  <c r="C91" i="1"/>
  <c r="C166" i="1"/>
  <c r="C81" i="1"/>
  <c r="C118" i="1"/>
  <c r="C105" i="1"/>
  <c r="C22" i="1"/>
  <c r="C14" i="1"/>
  <c r="C51" i="1"/>
  <c r="C86" i="1"/>
  <c r="C127" i="1"/>
  <c r="C132" i="1"/>
  <c r="C73" i="1"/>
  <c r="C35" i="1"/>
  <c r="C72" i="1"/>
  <c r="C34" i="1"/>
  <c r="C207" i="1"/>
  <c r="C197" i="1"/>
  <c r="C122" i="1"/>
  <c r="C176" i="1"/>
  <c r="C116" i="1"/>
  <c r="C9" i="1"/>
  <c r="C133" i="1"/>
  <c r="C145" i="1"/>
  <c r="C90" i="1"/>
  <c r="C49" i="1"/>
  <c r="C36" i="1"/>
  <c r="C58" i="1"/>
  <c r="C206" i="1"/>
  <c r="C199" i="1"/>
  <c r="C179" i="1"/>
  <c r="C178" i="1"/>
  <c r="C110" i="1"/>
  <c r="C160" i="1"/>
  <c r="C177" i="1"/>
  <c r="C66" i="1"/>
  <c r="C120" i="1"/>
  <c r="C56" i="1"/>
  <c r="C44" i="1"/>
  <c r="C17" i="1"/>
  <c r="C11" i="1"/>
  <c r="C102" i="1"/>
  <c r="C147" i="1"/>
  <c r="C163" i="1"/>
  <c r="C46" i="1"/>
  <c r="C25" i="1"/>
  <c r="C63" i="1"/>
  <c r="C37" i="1"/>
  <c r="C78" i="1"/>
  <c r="C77" i="1"/>
  <c r="C114" i="1"/>
  <c r="C76" i="1"/>
  <c r="C97" i="1"/>
  <c r="C39" i="1"/>
  <c r="C213" i="1"/>
  <c r="C200" i="1"/>
  <c r="C134" i="1"/>
  <c r="C210" i="1"/>
  <c r="C101" i="1"/>
  <c r="C139" i="1"/>
  <c r="C218" i="1"/>
  <c r="C184" i="1"/>
  <c r="C194" i="1"/>
  <c r="C152" i="1"/>
  <c r="C190" i="1"/>
  <c r="C126" i="1"/>
  <c r="C19" i="1"/>
  <c r="C216" i="1"/>
  <c r="C165" i="1"/>
  <c r="C143" i="1"/>
  <c r="C169" i="1"/>
  <c r="C29" i="1"/>
  <c r="AX5" i="1"/>
  <c r="AW6" i="1"/>
  <c r="N2" i="1"/>
  <c r="AE6" i="1"/>
  <c r="U6" i="1"/>
  <c r="AK6" i="1"/>
  <c r="AI6" i="1"/>
  <c r="BH5" i="1"/>
  <c r="AF6" i="1"/>
  <c r="AE5" i="1"/>
  <c r="AU5" i="1"/>
  <c r="BK5" i="1"/>
  <c r="AH6" i="1"/>
  <c r="AX6" i="1"/>
  <c r="AY6" i="1"/>
  <c r="AF5" i="1"/>
  <c r="AV5" i="1"/>
  <c r="S6" i="1"/>
  <c r="R6" i="1"/>
  <c r="AG5" i="1"/>
  <c r="AW5" i="1"/>
  <c r="T6" i="1"/>
  <c r="AJ6" i="1"/>
  <c r="AZ6" i="1"/>
  <c r="BA6" i="1"/>
  <c r="R5" i="1"/>
  <c r="AH5" i="1"/>
  <c r="S5" i="1"/>
  <c r="AI5" i="1"/>
  <c r="AY5" i="1"/>
  <c r="V6" i="1"/>
  <c r="AL6" i="1"/>
  <c r="BB6" i="1"/>
  <c r="T5" i="1"/>
  <c r="AJ5" i="1"/>
  <c r="AZ5" i="1"/>
  <c r="W6" i="1"/>
  <c r="AM6" i="1"/>
  <c r="BC6" i="1"/>
  <c r="AN6" i="1"/>
  <c r="BD6" i="1"/>
  <c r="U5" i="1"/>
  <c r="AK5" i="1"/>
  <c r="BA5" i="1"/>
  <c r="X6" i="1"/>
  <c r="V5" i="1"/>
  <c r="AL5" i="1"/>
  <c r="BB5" i="1"/>
  <c r="Y6" i="1"/>
  <c r="AO6" i="1"/>
  <c r="BE6" i="1"/>
  <c r="W5" i="1"/>
  <c r="AM5" i="1"/>
  <c r="BC5" i="1"/>
  <c r="Z6" i="1"/>
  <c r="AP6" i="1"/>
  <c r="BF6" i="1"/>
  <c r="X5" i="1"/>
  <c r="AN5" i="1"/>
  <c r="BD5" i="1"/>
  <c r="AA6" i="1"/>
  <c r="AQ6" i="1"/>
  <c r="BG6" i="1"/>
  <c r="Y5" i="1"/>
  <c r="AO5" i="1"/>
  <c r="BE5" i="1"/>
  <c r="AB6" i="1"/>
  <c r="AR6" i="1"/>
  <c r="BH6" i="1"/>
  <c r="Z5" i="1"/>
  <c r="AP5" i="1"/>
  <c r="BF5" i="1"/>
  <c r="AC6" i="1"/>
  <c r="AS6" i="1"/>
  <c r="BI6" i="1"/>
  <c r="AA5" i="1"/>
  <c r="AQ5" i="1"/>
  <c r="BG5" i="1"/>
  <c r="AD6" i="1"/>
  <c r="AT6" i="1"/>
  <c r="BJ6" i="1"/>
  <c r="AB5" i="1"/>
  <c r="AU6" i="1"/>
  <c r="BK6" i="1"/>
  <c r="AS5" i="1"/>
  <c r="M2" i="1"/>
  <c r="AR5" i="1"/>
  <c r="AC5" i="1"/>
  <c r="BI5" i="1"/>
  <c r="AV6" i="1"/>
  <c r="AD5" i="1"/>
  <c r="AT5" i="1"/>
  <c r="BJ5" i="1"/>
  <c r="AG6" i="1"/>
  <c r="AR5" i="5" l="1"/>
  <c r="BB5" i="5"/>
  <c r="W5" i="5"/>
  <c r="BK5" i="6"/>
  <c r="AI5" i="6"/>
  <c r="AY5" i="6"/>
  <c r="T5" i="6"/>
  <c r="U5" i="6"/>
  <c r="AK5" i="6"/>
  <c r="BA5" i="6"/>
  <c r="AL5" i="6"/>
  <c r="BB5" i="6"/>
  <c r="W5" i="6"/>
  <c r="AM6" i="6"/>
  <c r="AM5" i="6"/>
  <c r="BI6" i="6"/>
  <c r="BC5" i="6"/>
  <c r="AN6" i="6"/>
  <c r="AV5" i="6"/>
  <c r="R5" i="6"/>
  <c r="AJ5" i="6"/>
  <c r="AH5" i="6"/>
  <c r="X5" i="6"/>
  <c r="AX5" i="6"/>
  <c r="AN5" i="6"/>
  <c r="S5" i="6"/>
  <c r="BD5" i="6"/>
  <c r="AA5" i="6"/>
  <c r="AQ5" i="6"/>
  <c r="BG5" i="6"/>
  <c r="AB5" i="6"/>
  <c r="AZ5" i="6"/>
  <c r="AR5" i="6"/>
  <c r="V5" i="6"/>
  <c r="AG5" i="6"/>
  <c r="AC5" i="6"/>
  <c r="AF5" i="5"/>
  <c r="U5" i="5"/>
  <c r="AU5" i="5"/>
  <c r="AP5" i="5"/>
  <c r="AY5" i="5"/>
  <c r="AB5" i="5"/>
  <c r="AZ5" i="5"/>
  <c r="AM5" i="5"/>
  <c r="BK5" i="5"/>
  <c r="AE5" i="5"/>
  <c r="Z5" i="5"/>
  <c r="BL5" i="5"/>
  <c r="BG5" i="5"/>
  <c r="AL5" i="5"/>
  <c r="BF5" i="5"/>
  <c r="BJ5" i="5"/>
  <c r="BC5" i="5"/>
  <c r="AQ5" i="5"/>
  <c r="AJ5" i="5"/>
  <c r="AD5" i="5"/>
  <c r="BE5" i="5"/>
  <c r="AC5" i="5"/>
  <c r="AI5" i="5"/>
  <c r="AT5" i="5"/>
  <c r="AX5" i="5"/>
  <c r="BI5" i="5"/>
  <c r="AO5" i="5"/>
  <c r="AV5" i="5"/>
  <c r="V5" i="5"/>
  <c r="AH5" i="5"/>
  <c r="Y5" i="5"/>
  <c r="AW5" i="5"/>
  <c r="BD5" i="5"/>
  <c r="T5" i="5"/>
  <c r="AA5" i="5"/>
  <c r="AS5" i="5"/>
  <c r="AK5" i="5"/>
  <c r="AG5" i="5"/>
  <c r="BH5" i="5"/>
  <c r="AN5" i="5"/>
  <c r="X5" i="5"/>
  <c r="AS5" i="6"/>
  <c r="BI5" i="6"/>
  <c r="AF5" i="6"/>
  <c r="Y5" i="6"/>
  <c r="AD5" i="6"/>
  <c r="AO5" i="6"/>
  <c r="AT5" i="6"/>
  <c r="BE5" i="6"/>
  <c r="BJ5" i="6"/>
  <c r="Z5" i="6"/>
  <c r="AW5" i="6"/>
  <c r="AP5" i="6"/>
  <c r="AE5" i="6"/>
  <c r="BF5" i="6"/>
  <c r="AU5" i="6"/>
  <c r="AA6" i="5"/>
  <c r="M3" i="5"/>
  <c r="AQ6" i="5"/>
  <c r="M2" i="5"/>
  <c r="M2" i="4"/>
  <c r="M3" i="4"/>
  <c r="S5" i="4"/>
  <c r="N2" i="4"/>
  <c r="AW6" i="6"/>
  <c r="T6" i="6"/>
  <c r="W6" i="6"/>
  <c r="S6" i="6"/>
  <c r="Y6" i="6"/>
  <c r="AZ6" i="6"/>
  <c r="BK6" i="6"/>
  <c r="BJ6" i="6"/>
  <c r="AS6" i="6"/>
  <c r="AP6" i="6"/>
  <c r="AO6" i="6"/>
  <c r="AH6" i="6"/>
  <c r="AJ6" i="6"/>
  <c r="BD6" i="6"/>
  <c r="AG6" i="6"/>
  <c r="BC6" i="6"/>
  <c r="AC6" i="6"/>
  <c r="AI6" i="6"/>
  <c r="AV6" i="6"/>
  <c r="BH6" i="6"/>
  <c r="X6" i="6"/>
  <c r="AF6" i="6"/>
  <c r="AR6" i="6"/>
  <c r="BB6" i="6"/>
  <c r="AB6" i="6"/>
  <c r="AL6" i="6"/>
  <c r="AU6" i="6"/>
  <c r="BG6" i="6"/>
  <c r="V6" i="6"/>
  <c r="AE6" i="6"/>
  <c r="AQ6" i="6"/>
  <c r="BA6" i="6"/>
  <c r="AX6" i="6"/>
  <c r="R6" i="6"/>
  <c r="AA6" i="6"/>
  <c r="AK6" i="6"/>
  <c r="AY6" i="6"/>
  <c r="BF6" i="6"/>
  <c r="U6" i="6"/>
  <c r="AT6" i="6"/>
  <c r="Z6" i="6"/>
  <c r="AD6" i="6"/>
  <c r="M3" i="6"/>
  <c r="F5" i="6"/>
  <c r="N2" i="6"/>
  <c r="F4" i="6"/>
  <c r="AE6" i="5"/>
  <c r="BE6" i="5"/>
  <c r="AJ6" i="5"/>
  <c r="AU6" i="5"/>
  <c r="U6" i="5"/>
  <c r="AR6" i="5"/>
  <c r="AP6" i="5"/>
  <c r="AL6" i="5"/>
  <c r="S6" i="5"/>
  <c r="AG6" i="5"/>
  <c r="AT6" i="5"/>
  <c r="BC6" i="5"/>
  <c r="AI6" i="5"/>
  <c r="AK6" i="5"/>
  <c r="Z6" i="5"/>
  <c r="BB6" i="5"/>
  <c r="BH6" i="5"/>
  <c r="BJ6" i="5"/>
  <c r="AD6" i="5"/>
  <c r="BL6" i="5"/>
  <c r="Y6" i="5"/>
  <c r="AM6" i="5"/>
  <c r="T6" i="5"/>
  <c r="AW6" i="5"/>
  <c r="AO6" i="5"/>
  <c r="BI6" i="5"/>
  <c r="BD6" i="5"/>
  <c r="X6" i="5"/>
  <c r="V6" i="5"/>
  <c r="BK6" i="5"/>
  <c r="AB6" i="5"/>
  <c r="W6" i="5"/>
  <c r="AV6" i="5"/>
  <c r="AX6" i="5"/>
  <c r="AF6" i="5"/>
  <c r="AS6" i="5"/>
  <c r="BF6" i="5"/>
  <c r="BA6" i="5"/>
  <c r="AH6" i="5"/>
  <c r="AC6" i="5"/>
  <c r="BG6" i="5"/>
  <c r="AZ6" i="5"/>
  <c r="AN6" i="5"/>
  <c r="AY6" i="5"/>
  <c r="F4" i="5"/>
  <c r="S5" i="5"/>
  <c r="N2" i="5"/>
  <c r="F5" i="5"/>
  <c r="AR5" i="4"/>
  <c r="Z5" i="4"/>
  <c r="BH5" i="4"/>
  <c r="AP5" i="4"/>
  <c r="BG5" i="4"/>
  <c r="W5" i="4"/>
  <c r="AG5" i="4"/>
  <c r="BB5" i="4"/>
  <c r="AL5" i="4"/>
  <c r="V5" i="4"/>
  <c r="AD5" i="4"/>
  <c r="BC5" i="4"/>
  <c r="AS5" i="4"/>
  <c r="AM5" i="4"/>
  <c r="AQ5" i="4"/>
  <c r="AH5" i="4"/>
  <c r="AU5" i="4"/>
  <c r="AA5" i="4"/>
  <c r="BA5" i="4"/>
  <c r="AE5" i="4"/>
  <c r="BE5" i="4"/>
  <c r="AK5" i="4"/>
  <c r="U5" i="4"/>
  <c r="BI5" i="4"/>
  <c r="AC5" i="4"/>
  <c r="Y5" i="4"/>
  <c r="AZ5" i="4"/>
  <c r="AO5" i="4"/>
  <c r="AB5" i="4"/>
  <c r="BD5" i="4"/>
  <c r="AJ5" i="4"/>
  <c r="BF5" i="4"/>
  <c r="AN5" i="4"/>
  <c r="T5" i="4"/>
  <c r="BJ5" i="4"/>
  <c r="X5" i="4"/>
  <c r="AX5" i="4"/>
  <c r="AT5" i="4"/>
  <c r="AW5" i="4"/>
  <c r="BH6" i="4"/>
  <c r="AX6" i="4"/>
  <c r="AI5" i="4"/>
  <c r="BE6" i="4"/>
  <c r="AO6" i="4"/>
  <c r="S6" i="4"/>
  <c r="AM6" i="4"/>
  <c r="AY5" i="4"/>
  <c r="BI6" i="4"/>
  <c r="BK5" i="4"/>
  <c r="AV5" i="4"/>
  <c r="BL5" i="4"/>
  <c r="AF6" i="4"/>
  <c r="AF5" i="4"/>
  <c r="W6" i="4"/>
  <c r="F5" i="4"/>
  <c r="BL6" i="4"/>
  <c r="AR6" i="4"/>
  <c r="U6" i="4"/>
  <c r="AH6" i="4"/>
  <c r="Y6" i="4"/>
  <c r="BG6" i="4"/>
  <c r="AQ6" i="4"/>
  <c r="BB6" i="4"/>
  <c r="AK6" i="4"/>
  <c r="AV6" i="4"/>
  <c r="AA6" i="4"/>
  <c r="AL6" i="4"/>
  <c r="AZ6" i="4"/>
  <c r="AJ6" i="4"/>
  <c r="BC6" i="4"/>
  <c r="BJ6" i="4"/>
  <c r="V6" i="4"/>
  <c r="AB6" i="4"/>
  <c r="AT6" i="4"/>
  <c r="AS6" i="4"/>
  <c r="AD6" i="4"/>
  <c r="BD6" i="4"/>
  <c r="AU6" i="4"/>
  <c r="AN6" i="4"/>
  <c r="AE6" i="4"/>
  <c r="BF6" i="4"/>
  <c r="X6" i="4"/>
  <c r="AY6" i="4"/>
  <c r="AI6" i="4"/>
  <c r="BA6" i="4"/>
  <c r="AW6" i="4"/>
  <c r="AG6" i="4"/>
  <c r="AP6" i="4"/>
  <c r="F4" i="4"/>
  <c r="T6" i="4"/>
  <c r="AC6" i="4"/>
  <c r="Z6" i="4"/>
  <c r="BK6" i="4"/>
  <c r="BK4" i="1"/>
  <c r="AU4" i="1"/>
  <c r="AE4" i="1"/>
  <c r="BJ4" i="1"/>
  <c r="AT4" i="1"/>
  <c r="AD4" i="1"/>
  <c r="AC4" i="1"/>
  <c r="X4" i="1"/>
  <c r="AX4" i="1"/>
  <c r="AF4" i="1"/>
  <c r="BI4" i="1"/>
  <c r="AS4" i="1"/>
  <c r="BH4" i="1"/>
  <c r="AR4" i="1"/>
  <c r="AB4" i="1"/>
  <c r="BG4" i="1"/>
  <c r="AQ4" i="1"/>
  <c r="Z4" i="1"/>
  <c r="BE4" i="1"/>
  <c r="AO4" i="1"/>
  <c r="Y4" i="1"/>
  <c r="S4" i="1"/>
  <c r="AH4" i="1"/>
  <c r="AA4" i="1"/>
  <c r="BF4" i="1"/>
  <c r="AP4" i="1"/>
  <c r="BD4" i="1"/>
  <c r="AN4" i="1"/>
  <c r="BC4" i="1"/>
  <c r="AM4" i="1"/>
  <c r="W4" i="1"/>
  <c r="BB4" i="1"/>
  <c r="AL4" i="1"/>
  <c r="U4" i="1"/>
  <c r="T4" i="1"/>
  <c r="AY4" i="1"/>
  <c r="AI4" i="1"/>
  <c r="R4" i="1"/>
  <c r="AV4" i="1"/>
  <c r="V4" i="1"/>
  <c r="BA4" i="1"/>
  <c r="AK4" i="1"/>
  <c r="AZ4" i="1"/>
  <c r="AJ4" i="1"/>
  <c r="AW4" i="1"/>
  <c r="AG4" i="1"/>
  <c r="F3" i="1"/>
  <c r="O3" i="1"/>
  <c r="M3" i="1"/>
  <c r="L3" i="1"/>
</calcChain>
</file>

<file path=xl/sharedStrings.xml><?xml version="1.0" encoding="utf-8"?>
<sst xmlns="http://schemas.openxmlformats.org/spreadsheetml/2006/main" count="6187" uniqueCount="606">
  <si>
    <t>tickers</t>
  </si>
  <si>
    <t>exp_ret_score_raw</t>
  </si>
  <si>
    <t>exp_ret_score</t>
  </si>
  <si>
    <t>sectors_c2</t>
  </si>
  <si>
    <t>weights</t>
  </si>
  <si>
    <t>act_weights</t>
  </si>
  <si>
    <t>ew</t>
  </si>
  <si>
    <t>sw_mom</t>
  </si>
  <si>
    <t>sw_val</t>
  </si>
  <si>
    <t>sw_lt_perf</t>
  </si>
  <si>
    <t>sw_overall</t>
  </si>
  <si>
    <t>rp_cc</t>
  </si>
  <si>
    <t>hrp_cc</t>
  </si>
  <si>
    <t>mvo_overall_cc_con</t>
  </si>
  <si>
    <t>ols</t>
  </si>
  <si>
    <t>glmnet_bayes</t>
  </si>
  <si>
    <t>rf_bayes</t>
  </si>
  <si>
    <t>xgb_bayes</t>
  </si>
  <si>
    <t>nn1_bayes</t>
  </si>
  <si>
    <t>qv</t>
  </si>
  <si>
    <t>garp</t>
  </si>
  <si>
    <t>vm</t>
  </si>
  <si>
    <t>sv</t>
  </si>
  <si>
    <t>sm</t>
  </si>
  <si>
    <t>smcj</t>
  </si>
  <si>
    <t>fac_inc_cs_value</t>
  </si>
  <si>
    <t>fac_payout_yield</t>
  </si>
  <si>
    <t>fac_bs_cs_value</t>
  </si>
  <si>
    <t>fac_ts_value</t>
  </si>
  <si>
    <t>fac_interm_momentum</t>
  </si>
  <si>
    <t>fac_st_momentum</t>
  </si>
  <si>
    <t>fac_lt_profit_growth</t>
  </si>
  <si>
    <t>fac_st_profit_growth</t>
  </si>
  <si>
    <t>fac_surprise</t>
  </si>
  <si>
    <t>fac_bs_profitability</t>
  </si>
  <si>
    <t>fac_profit_margins</t>
  </si>
  <si>
    <t>fac_quality</t>
  </si>
  <si>
    <t>fac_mkt_risk</t>
  </si>
  <si>
    <t>fac_leverage</t>
  </si>
  <si>
    <t>fac_profit_vol</t>
  </si>
  <si>
    <t>fac_seasonality</t>
  </si>
  <si>
    <t>fac_short_interest</t>
  </si>
  <si>
    <t>fac_acc_growth</t>
  </si>
  <si>
    <t>fac_accruals</t>
  </si>
  <si>
    <t>fac_issuance</t>
  </si>
  <si>
    <t>fac_st_reversal</t>
  </si>
  <si>
    <t>fac_skewness</t>
  </si>
  <si>
    <t>fac_max</t>
  </si>
  <si>
    <t>fac_lt_reversal</t>
  </si>
  <si>
    <t>fac_macro</t>
  </si>
  <si>
    <t>fac_liquidity</t>
  </si>
  <si>
    <t>fac_size</t>
  </si>
  <si>
    <t>WIZC3</t>
  </si>
  <si>
    <t>defensives</t>
  </si>
  <si>
    <t>FIQE3</t>
  </si>
  <si>
    <t>bond_proxies</t>
  </si>
  <si>
    <t>SAPR4</t>
  </si>
  <si>
    <t>pro_cyclicals</t>
  </si>
  <si>
    <t>GRND3</t>
  </si>
  <si>
    <t>ALLD3</t>
  </si>
  <si>
    <t>RIAA3</t>
  </si>
  <si>
    <t>LAVV3</t>
  </si>
  <si>
    <t>SAPR11</t>
  </si>
  <si>
    <t>VULC3</t>
  </si>
  <si>
    <t>SAPR3</t>
  </si>
  <si>
    <t>MELK3</t>
  </si>
  <si>
    <t>SYNE3</t>
  </si>
  <si>
    <t>POMO3</t>
  </si>
  <si>
    <t>industrials</t>
  </si>
  <si>
    <t>BMGB4</t>
  </si>
  <si>
    <t>BRAP3</t>
  </si>
  <si>
    <t>commodities</t>
  </si>
  <si>
    <t>ALPA4</t>
  </si>
  <si>
    <t>BRSR6</t>
  </si>
  <si>
    <t>PFRM3</t>
  </si>
  <si>
    <t>HBRE3</t>
  </si>
  <si>
    <t>TRIS3</t>
  </si>
  <si>
    <t>CSED3</t>
  </si>
  <si>
    <t>TGMA3</t>
  </si>
  <si>
    <t>LEVE3</t>
  </si>
  <si>
    <t>VLID3</t>
  </si>
  <si>
    <t>TIMS3</t>
  </si>
  <si>
    <t>BRAP4</t>
  </si>
  <si>
    <t>ABEV3</t>
  </si>
  <si>
    <t>PINE4</t>
  </si>
  <si>
    <t>VTRU3</t>
  </si>
  <si>
    <t>MTRE3</t>
  </si>
  <si>
    <t>LOGG3</t>
  </si>
  <si>
    <t>RANI3</t>
  </si>
  <si>
    <t>DEXP3</t>
  </si>
  <si>
    <t>POMO4</t>
  </si>
  <si>
    <t>JHSF3</t>
  </si>
  <si>
    <t>BMOB3</t>
  </si>
  <si>
    <t>ALOS3</t>
  </si>
  <si>
    <t>IGTI11</t>
  </si>
  <si>
    <t>BBSE3</t>
  </si>
  <si>
    <t>CURY3</t>
  </si>
  <si>
    <t>ABCB4</t>
  </si>
  <si>
    <t>UNIP6</t>
  </si>
  <si>
    <t>EVEN3</t>
  </si>
  <si>
    <t>SHUL4</t>
  </si>
  <si>
    <t>OPCT3</t>
  </si>
  <si>
    <t>COGN3</t>
  </si>
  <si>
    <t>ODPV3</t>
  </si>
  <si>
    <t>TAEE4</t>
  </si>
  <si>
    <t>JSLG3</t>
  </si>
  <si>
    <t>POSI3</t>
  </si>
  <si>
    <t>CXSE3</t>
  </si>
  <si>
    <t>TAEE3</t>
  </si>
  <si>
    <t>ITSA3</t>
  </si>
  <si>
    <t>ITUB3</t>
  </si>
  <si>
    <t>CAML3</t>
  </si>
  <si>
    <t>CSMG3</t>
  </si>
  <si>
    <t>BBDC3</t>
  </si>
  <si>
    <t>ALUP11</t>
  </si>
  <si>
    <t>NEOE3</t>
  </si>
  <si>
    <t>PNVL3</t>
  </si>
  <si>
    <t>CPFE3</t>
  </si>
  <si>
    <t>MDNE3</t>
  </si>
  <si>
    <t>EZTC3</t>
  </si>
  <si>
    <t>GOAU4</t>
  </si>
  <si>
    <t>ITSA4</t>
  </si>
  <si>
    <t>BRBI11</t>
  </si>
  <si>
    <t>VIVT3</t>
  </si>
  <si>
    <t>TAEE11</t>
  </si>
  <si>
    <t>MULT3</t>
  </si>
  <si>
    <t>MLAS3</t>
  </si>
  <si>
    <t>PSSA3</t>
  </si>
  <si>
    <t>TASA4</t>
  </si>
  <si>
    <t>HBOR3</t>
  </si>
  <si>
    <t>AURA33</t>
  </si>
  <si>
    <t>RECV3</t>
  </si>
  <si>
    <t>PGMN3</t>
  </si>
  <si>
    <t>ROMI3</t>
  </si>
  <si>
    <t>BBDC4</t>
  </si>
  <si>
    <t>ITUB4</t>
  </si>
  <si>
    <t>PETR4</t>
  </si>
  <si>
    <t>SEER3</t>
  </si>
  <si>
    <t>FESA4</t>
  </si>
  <si>
    <t>CMIN3</t>
  </si>
  <si>
    <t>MBRF3</t>
  </si>
  <si>
    <t>YDUQ3</t>
  </si>
  <si>
    <t>MDIA3</t>
  </si>
  <si>
    <t>FLRY3</t>
  </si>
  <si>
    <t>ISAE4</t>
  </si>
  <si>
    <t>BMEB4</t>
  </si>
  <si>
    <t>PETR3</t>
  </si>
  <si>
    <t>LREN3</t>
  </si>
  <si>
    <t>KEPL3</t>
  </si>
  <si>
    <t>QUAL3</t>
  </si>
  <si>
    <t>BLAU3</t>
  </si>
  <si>
    <t>DIRR3</t>
  </si>
  <si>
    <t>TEND3</t>
  </si>
  <si>
    <t>UGPA3</t>
  </si>
  <si>
    <t>CMIG4</t>
  </si>
  <si>
    <t>LIGT3</t>
  </si>
  <si>
    <t>ECOR3</t>
  </si>
  <si>
    <t>MGLU3</t>
  </si>
  <si>
    <t>SLCE3</t>
  </si>
  <si>
    <t>KLBN4</t>
  </si>
  <si>
    <t>PAGS34</t>
  </si>
  <si>
    <t>SANB3</t>
  </si>
  <si>
    <t>SANB4</t>
  </si>
  <si>
    <t>MILS3</t>
  </si>
  <si>
    <t>MYPK3</t>
  </si>
  <si>
    <t>USIM3</t>
  </si>
  <si>
    <t>CMIG3</t>
  </si>
  <si>
    <t>INTB3</t>
  </si>
  <si>
    <t>WEGE3</t>
  </si>
  <si>
    <t>CYRE4</t>
  </si>
  <si>
    <t>SBFG3</t>
  </si>
  <si>
    <t>SANB11</t>
  </si>
  <si>
    <t>KLBN11</t>
  </si>
  <si>
    <t>EGIE3</t>
  </si>
  <si>
    <t>AMOB3</t>
  </si>
  <si>
    <t>PCAR3</t>
  </si>
  <si>
    <t>CEAB3</t>
  </si>
  <si>
    <t>KLBN3</t>
  </si>
  <si>
    <t>RADL3</t>
  </si>
  <si>
    <t>USIM5</t>
  </si>
  <si>
    <t>TFCO4</t>
  </si>
  <si>
    <t>EMBJ3</t>
  </si>
  <si>
    <t>VALE3</t>
  </si>
  <si>
    <t>GGPS3</t>
  </si>
  <si>
    <t>B3SA3</t>
  </si>
  <si>
    <t>CPLE3</t>
  </si>
  <si>
    <t>GGBR4</t>
  </si>
  <si>
    <t>GMAT3</t>
  </si>
  <si>
    <t>AXIA6</t>
  </si>
  <si>
    <t>FRAS3</t>
  </si>
  <si>
    <t>ARML3</t>
  </si>
  <si>
    <t>AGRO3</t>
  </si>
  <si>
    <t>BBAS3</t>
  </si>
  <si>
    <t>ENGI11</t>
  </si>
  <si>
    <t>CYRE3</t>
  </si>
  <si>
    <t>ROXO34</t>
  </si>
  <si>
    <t>ANIM3</t>
  </si>
  <si>
    <t>RDOR3</t>
  </si>
  <si>
    <t>CVCB3</t>
  </si>
  <si>
    <t>ORVR3</t>
  </si>
  <si>
    <t>MOTV3</t>
  </si>
  <si>
    <t>JALL3</t>
  </si>
  <si>
    <t>HBSA3</t>
  </si>
  <si>
    <t>HYPE3</t>
  </si>
  <si>
    <t>SBSP3</t>
  </si>
  <si>
    <t>VBBR3</t>
  </si>
  <si>
    <t>XPBR31</t>
  </si>
  <si>
    <t>DASA3</t>
  </si>
  <si>
    <t>MOVI3</t>
  </si>
  <si>
    <t>AXIA7</t>
  </si>
  <si>
    <t>AXIA3</t>
  </si>
  <si>
    <t>BPAC11</t>
  </si>
  <si>
    <t>PLPL3</t>
  </si>
  <si>
    <t>TOTS3</t>
  </si>
  <si>
    <t>IRBR3</t>
  </si>
  <si>
    <t>DESK3</t>
  </si>
  <si>
    <t>CBAV3</t>
  </si>
  <si>
    <t>RENT4</t>
  </si>
  <si>
    <t>EQTL3</t>
  </si>
  <si>
    <t>INBR32</t>
  </si>
  <si>
    <t>RENT3</t>
  </si>
  <si>
    <t>SMFT3</t>
  </si>
  <si>
    <t>SUZB3</t>
  </si>
  <si>
    <t>PRNR3</t>
  </si>
  <si>
    <t>SOJA3</t>
  </si>
  <si>
    <t>BEEF3</t>
  </si>
  <si>
    <t>ENEV3</t>
  </si>
  <si>
    <t>JBSS32</t>
  </si>
  <si>
    <t>AUAU3</t>
  </si>
  <si>
    <t>SMTO3</t>
  </si>
  <si>
    <t>CSNA3</t>
  </si>
  <si>
    <t>TTEN3</t>
  </si>
  <si>
    <t>AZZA3</t>
  </si>
  <si>
    <t>BRAV3</t>
  </si>
  <si>
    <t>AURE3</t>
  </si>
  <si>
    <t>VIVA3</t>
  </si>
  <si>
    <t>DXCO3</t>
  </si>
  <si>
    <t>VVEO3</t>
  </si>
  <si>
    <t>TUPY3</t>
  </si>
  <si>
    <t>CASH3</t>
  </si>
  <si>
    <t>PRIO3</t>
  </si>
  <si>
    <t>RAIL3</t>
  </si>
  <si>
    <t>BHIA3</t>
  </si>
  <si>
    <t>HAPV3</t>
  </si>
  <si>
    <t>AMER3</t>
  </si>
  <si>
    <t>SIMH3</t>
  </si>
  <si>
    <t>NATU3</t>
  </si>
  <si>
    <t>STOC34</t>
  </si>
  <si>
    <t>MRVE3</t>
  </si>
  <si>
    <t>S2GM34</t>
  </si>
  <si>
    <t>LWSA3</t>
  </si>
  <si>
    <t>AMBP3</t>
  </si>
  <si>
    <t>ASAI3</t>
  </si>
  <si>
    <t>RAPT4</t>
  </si>
  <si>
    <t>CSAN3</t>
  </si>
  <si>
    <t>OBTC3</t>
  </si>
  <si>
    <t>PTBL3</t>
  </si>
  <si>
    <t>VAMO3</t>
  </si>
  <si>
    <t>LJQQ3</t>
  </si>
  <si>
    <t>GFSA3</t>
  </si>
  <si>
    <t>RAIZ4</t>
  </si>
  <si>
    <t>BRKM5</t>
  </si>
  <si>
    <t>AERI3</t>
  </si>
  <si>
    <t>RCSL4</t>
  </si>
  <si>
    <t>AZEV4</t>
  </si>
  <si>
    <t>RCSL3</t>
  </si>
  <si>
    <t>AZUL53</t>
  </si>
  <si>
    <t>ONCO3</t>
  </si>
  <si>
    <t>PMAM3</t>
  </si>
  <si>
    <t>Modelos</t>
  </si>
  <si>
    <t>Interações</t>
  </si>
  <si>
    <t>Clusters</t>
  </si>
  <si>
    <t>ibov_rank</t>
  </si>
  <si>
    <t>mean_dps_36m</t>
  </si>
  <si>
    <t>isee_bench_weights</t>
  </si>
  <si>
    <t>Relatório dos Meta-Portfólios</t>
  </si>
  <si>
    <t>VITT3</t>
  </si>
  <si>
    <t>BRST3</t>
  </si>
  <si>
    <t>consumer_services</t>
  </si>
  <si>
    <t>very_low_beta</t>
  </si>
  <si>
    <t>utilities</t>
  </si>
  <si>
    <t>high_beta</t>
  </si>
  <si>
    <t>low_beta</t>
  </si>
  <si>
    <t>neutral_beta</t>
  </si>
  <si>
    <t>basic_materials</t>
  </si>
  <si>
    <t>transportation</t>
  </si>
  <si>
    <t>banks</t>
  </si>
  <si>
    <t>very_high_beta</t>
  </si>
  <si>
    <t>consumer_staples</t>
  </si>
  <si>
    <t>apparel</t>
  </si>
  <si>
    <t>healthcare</t>
  </si>
  <si>
    <t>tech</t>
  </si>
  <si>
    <t>food</t>
  </si>
  <si>
    <t>capital_goods</t>
  </si>
  <si>
    <t>homebuilders</t>
  </si>
  <si>
    <t>real_estate</t>
  </si>
  <si>
    <t>consumer_durables</t>
  </si>
  <si>
    <t>education</t>
  </si>
  <si>
    <t>building_materials</t>
  </si>
  <si>
    <t>financial_services</t>
  </si>
  <si>
    <t>crude_oil</t>
  </si>
  <si>
    <t>float_financials</t>
  </si>
  <si>
    <t>telecom</t>
  </si>
  <si>
    <t>chemicals</t>
  </si>
  <si>
    <t>sectors_dynamic</t>
  </si>
  <si>
    <t>sectors_c1</t>
  </si>
  <si>
    <t>legacy_ticker</t>
  </si>
  <si>
    <t>sectors_dyn</t>
  </si>
  <si>
    <t>Rótulos de Linha</t>
  </si>
  <si>
    <t>Total Geral</t>
  </si>
  <si>
    <t>Soma de act_weights</t>
  </si>
  <si>
    <t>#</t>
  </si>
  <si>
    <t>Mandato</t>
  </si>
  <si>
    <t>Modelo 2.0</t>
  </si>
  <si>
    <t>mandato</t>
  </si>
  <si>
    <t>modelo 2.0</t>
  </si>
  <si>
    <t>META - Mandato</t>
  </si>
  <si>
    <t>Meta - 2.0</t>
  </si>
  <si>
    <t>Meta - Mandato</t>
  </si>
  <si>
    <t>Meta - Bmk</t>
  </si>
  <si>
    <t>Act Share</t>
  </si>
  <si>
    <t>Bmk</t>
  </si>
  <si>
    <t>Meta</t>
  </si>
  <si>
    <t>Soma de mandato</t>
  </si>
  <si>
    <t>Soma de modelo 2.0</t>
  </si>
  <si>
    <t>MF</t>
  </si>
  <si>
    <t>MF - Ibov</t>
  </si>
  <si>
    <t>Soma de MF</t>
  </si>
  <si>
    <t>Soma de MF - Ibov</t>
  </si>
  <si>
    <t>MF - Mandao</t>
  </si>
  <si>
    <t>MF - META</t>
  </si>
  <si>
    <t>MF - Meta</t>
  </si>
  <si>
    <t>MF - Smll</t>
  </si>
  <si>
    <t>MF - LP</t>
  </si>
  <si>
    <t>META</t>
  </si>
  <si>
    <t>large_payers_bench_weights</t>
  </si>
  <si>
    <t>h102_ON</t>
  </si>
  <si>
    <t>h1045_PN</t>
  </si>
  <si>
    <t>h1159_PNB</t>
  </si>
  <si>
    <t>h1176_ON</t>
  </si>
  <si>
    <t>h1193_ON</t>
  </si>
  <si>
    <t>h1197_PN</t>
  </si>
  <si>
    <t>h121_PNB</t>
  </si>
  <si>
    <t>h1257_ON</t>
  </si>
  <si>
    <t>h1257_PN</t>
  </si>
  <si>
    <t>h1265_ON</t>
  </si>
  <si>
    <t>h1265_PN</t>
  </si>
  <si>
    <t>h1265_UNT</t>
  </si>
  <si>
    <t>h132_PN</t>
  </si>
  <si>
    <t>h1377_ON</t>
  </si>
  <si>
    <t>h1398_ON</t>
  </si>
  <si>
    <t>h1410_PN</t>
  </si>
  <si>
    <t>h1431_ON</t>
  </si>
  <si>
    <t>h1432_ON</t>
  </si>
  <si>
    <t>h1432_PNA</t>
  </si>
  <si>
    <t>h1444_ON</t>
  </si>
  <si>
    <t>h1446_ON</t>
  </si>
  <si>
    <t>h1446_PN</t>
  </si>
  <si>
    <t>h1466_PN</t>
  </si>
  <si>
    <t>h1482_ON</t>
  </si>
  <si>
    <t>h1525_UNT</t>
  </si>
  <si>
    <t>h1553_ON</t>
  </si>
  <si>
    <t>h1610_ON</t>
  </si>
  <si>
    <t>h1663_ON</t>
  </si>
  <si>
    <t>h1665_ON</t>
  </si>
  <si>
    <t>h1732_ON</t>
  </si>
  <si>
    <t>h1745_ON</t>
  </si>
  <si>
    <t>h1767_ON</t>
  </si>
  <si>
    <t>h1797_ON</t>
  </si>
  <si>
    <t>h1837_PN</t>
  </si>
  <si>
    <t>h1846_ON</t>
  </si>
  <si>
    <t>h1862_ON</t>
  </si>
  <si>
    <t>h1862_PN</t>
  </si>
  <si>
    <t>h1862_UNT</t>
  </si>
  <si>
    <t>h1866_ON</t>
  </si>
  <si>
    <t>h1872_ON</t>
  </si>
  <si>
    <t>h1872_PN</t>
  </si>
  <si>
    <t>h1882_ON</t>
  </si>
  <si>
    <t>h1934_ON</t>
  </si>
  <si>
    <t>h1934_PN</t>
  </si>
  <si>
    <t>h1944_ON</t>
  </si>
  <si>
    <t>h1945_ON</t>
  </si>
  <si>
    <t>h1955_ON</t>
  </si>
  <si>
    <t>h1961_ON</t>
  </si>
  <si>
    <t>h1962_ON</t>
  </si>
  <si>
    <t>h1973_ON</t>
  </si>
  <si>
    <t>h1973_PN</t>
  </si>
  <si>
    <t>h1983_ON</t>
  </si>
  <si>
    <t>h1987_ON</t>
  </si>
  <si>
    <t>h1999_ON</t>
  </si>
  <si>
    <t>h2001_ON</t>
  </si>
  <si>
    <t>h2002_ON</t>
  </si>
  <si>
    <t>h2003_ON</t>
  </si>
  <si>
    <t>h2008_ON</t>
  </si>
  <si>
    <t>h2012_ON</t>
  </si>
  <si>
    <t>h2025_ON</t>
  </si>
  <si>
    <t>h2025_PN</t>
  </si>
  <si>
    <t>h2025_UNT</t>
  </si>
  <si>
    <t>h2033_ON</t>
  </si>
  <si>
    <t>h2034_ON</t>
  </si>
  <si>
    <t>h2036_ON</t>
  </si>
  <si>
    <t>h2051_ON</t>
  </si>
  <si>
    <t>h2052_ON</t>
  </si>
  <si>
    <t>h2053_ON</t>
  </si>
  <si>
    <t>h2053_PN</t>
  </si>
  <si>
    <t>h2053_UNT</t>
  </si>
  <si>
    <t>h2056_PN</t>
  </si>
  <si>
    <t>h2060_ON</t>
  </si>
  <si>
    <t>h2074_ON</t>
  </si>
  <si>
    <t>h2077_ON</t>
  </si>
  <si>
    <t>h2078_ON</t>
  </si>
  <si>
    <t>h2080_ON</t>
  </si>
  <si>
    <t>h2087_ON</t>
  </si>
  <si>
    <t>h2091_ON</t>
  </si>
  <si>
    <t>h2093_ON</t>
  </si>
  <si>
    <t>h2095_PN</t>
  </si>
  <si>
    <t>h2098_ON</t>
  </si>
  <si>
    <t>h2099_ON</t>
  </si>
  <si>
    <t>h2101_ON</t>
  </si>
  <si>
    <t>h2104_ON</t>
  </si>
  <si>
    <t>h2106_ON</t>
  </si>
  <si>
    <t>h2109_ON</t>
  </si>
  <si>
    <t>h2113_ON</t>
  </si>
  <si>
    <t>h2114_ON</t>
  </si>
  <si>
    <t>h2123_ON</t>
  </si>
  <si>
    <t>h2135_ON</t>
  </si>
  <si>
    <t>h2143_ON</t>
  </si>
  <si>
    <t>h2149_UNT</t>
  </si>
  <si>
    <t>h2161_ON</t>
  </si>
  <si>
    <t>h2188_ON</t>
  </si>
  <si>
    <t>h2201_ON</t>
  </si>
  <si>
    <t>h2202_ON</t>
  </si>
  <si>
    <t>h2218_ON</t>
  </si>
  <si>
    <t>h2234_ON</t>
  </si>
  <si>
    <t>h2235_ON</t>
  </si>
  <si>
    <t>h2247_ON</t>
  </si>
  <si>
    <t>h2249_ON</t>
  </si>
  <si>
    <t>h2260_ON</t>
  </si>
  <si>
    <t>h2261_UNT</t>
  </si>
  <si>
    <t>h2267_ON</t>
  </si>
  <si>
    <t>h2315_ON</t>
  </si>
  <si>
    <t>h2322_ON</t>
  </si>
  <si>
    <t>h2324_ON</t>
  </si>
  <si>
    <t>h2326_ON</t>
  </si>
  <si>
    <t>h2327_ON</t>
  </si>
  <si>
    <t>h2331_ON</t>
  </si>
  <si>
    <t>h2359_ON</t>
  </si>
  <si>
    <t>h2379_ON</t>
  </si>
  <si>
    <t>h2382_ON</t>
  </si>
  <si>
    <t>h2411_ON</t>
  </si>
  <si>
    <t>h2418_ON</t>
  </si>
  <si>
    <t>h2422_ON</t>
  </si>
  <si>
    <t>h2423_ON</t>
  </si>
  <si>
    <t>h2426_ON</t>
  </si>
  <si>
    <t>h2429_ON</t>
  </si>
  <si>
    <t>h242_ON</t>
  </si>
  <si>
    <t>h2439_ON</t>
  </si>
  <si>
    <t>h243_ON</t>
  </si>
  <si>
    <t>h243_PNB</t>
  </si>
  <si>
    <t>h243_PNC</t>
  </si>
  <si>
    <t>h245_ON</t>
  </si>
  <si>
    <t>h245_PN</t>
  </si>
  <si>
    <t>h2460_PN</t>
  </si>
  <si>
    <t>h2462_ON</t>
  </si>
  <si>
    <t>h2469_ON</t>
  </si>
  <si>
    <t>h2471_ON</t>
  </si>
  <si>
    <t>h2480_ON</t>
  </si>
  <si>
    <t>h2482_ON</t>
  </si>
  <si>
    <t>h2484_ON</t>
  </si>
  <si>
    <t>h2490_ON</t>
  </si>
  <si>
    <t>h2491_ON</t>
  </si>
  <si>
    <t>h2492_ON</t>
  </si>
  <si>
    <t>h2496_ON</t>
  </si>
  <si>
    <t>h2500_ON</t>
  </si>
  <si>
    <t>h2503_ON</t>
  </si>
  <si>
    <t>h2506_ON</t>
  </si>
  <si>
    <t>h2507_ON</t>
  </si>
  <si>
    <t>h2510_ON</t>
  </si>
  <si>
    <t>h2511_ON</t>
  </si>
  <si>
    <t>h2518_ON</t>
  </si>
  <si>
    <t>h2520_PN</t>
  </si>
  <si>
    <t>h2523_ON</t>
  </si>
  <si>
    <t>h2528_ON</t>
  </si>
  <si>
    <t>h2529_ON</t>
  </si>
  <si>
    <t>h2533_ON</t>
  </si>
  <si>
    <t>h2537_ON</t>
  </si>
  <si>
    <t>h2540_ON</t>
  </si>
  <si>
    <t>h2545_ON</t>
  </si>
  <si>
    <t>h2549_ON</t>
  </si>
  <si>
    <t>h2550_ON</t>
  </si>
  <si>
    <t>h2552_ON</t>
  </si>
  <si>
    <t>h2553_ON</t>
  </si>
  <si>
    <t>h2555_ON</t>
  </si>
  <si>
    <t>h2558_ON</t>
  </si>
  <si>
    <t>h2568_ON</t>
  </si>
  <si>
    <t>h2570_ON</t>
  </si>
  <si>
    <t>h2571_ON</t>
  </si>
  <si>
    <t>h2576_ON</t>
  </si>
  <si>
    <t>h2578_ON</t>
  </si>
  <si>
    <t>h2586_UNT</t>
  </si>
  <si>
    <t>h2591_PN</t>
  </si>
  <si>
    <t>h2595_ON</t>
  </si>
  <si>
    <t>h2598_ON</t>
  </si>
  <si>
    <t>h2602_ON</t>
  </si>
  <si>
    <t>h2603_ON</t>
  </si>
  <si>
    <t>h2605_ON</t>
  </si>
  <si>
    <t>h2606_ON</t>
  </si>
  <si>
    <t>h2608_ON</t>
  </si>
  <si>
    <t>h2612_ON</t>
  </si>
  <si>
    <t>h2662_ON</t>
  </si>
  <si>
    <t>h2705_ON</t>
  </si>
  <si>
    <t>h2770_ON</t>
  </si>
  <si>
    <t>h2776_ON</t>
  </si>
  <si>
    <t>h2791_ON</t>
  </si>
  <si>
    <t>h306_PN</t>
  </si>
  <si>
    <t>h398_PN</t>
  </si>
  <si>
    <t>h403_ON</t>
  </si>
  <si>
    <t>h417_ON</t>
  </si>
  <si>
    <t>h466_ON</t>
  </si>
  <si>
    <t>h482_PNA</t>
  </si>
  <si>
    <t>h525_ON</t>
  </si>
  <si>
    <t>h541_ON</t>
  </si>
  <si>
    <t>h617_PN</t>
  </si>
  <si>
    <t>h621_ON</t>
  </si>
  <si>
    <t>h634_ON</t>
  </si>
  <si>
    <t>h650_ON</t>
  </si>
  <si>
    <t>h751_ON</t>
  </si>
  <si>
    <t>h761_ON</t>
  </si>
  <si>
    <t>h761_PN</t>
  </si>
  <si>
    <t>h787_ON</t>
  </si>
  <si>
    <t>h8018_BDR_N3_P</t>
  </si>
  <si>
    <t>h8021_BDR_N2_P</t>
  </si>
  <si>
    <t>h8023_BDR_N2_P</t>
  </si>
  <si>
    <t>h813_ON</t>
  </si>
  <si>
    <t>h845_ON</t>
  </si>
  <si>
    <t>h845_PN</t>
  </si>
  <si>
    <t>h857_ON</t>
  </si>
  <si>
    <t>h865_PN</t>
  </si>
  <si>
    <t>h867_UNT</t>
  </si>
  <si>
    <t>h90_ON</t>
  </si>
  <si>
    <t>h90_PN</t>
  </si>
  <si>
    <t>h934_ON</t>
  </si>
  <si>
    <t>h939_ON</t>
  </si>
  <si>
    <t>h951_ON</t>
  </si>
  <si>
    <t>h951_PN</t>
  </si>
  <si>
    <t>hUS0001691493_BDR_N1_NP</t>
  </si>
  <si>
    <t>hUS0001712807_BDR_N1_NP</t>
  </si>
  <si>
    <t>hUS0001745431_BDR_N1_NP</t>
  </si>
  <si>
    <t>hUS0001787425_BDR_N1_P</t>
  </si>
  <si>
    <t>hUS0001848309_BDR_N1_NP</t>
  </si>
  <si>
    <t>Soma de MF - Smll</t>
  </si>
  <si>
    <t>Soma de META</t>
  </si>
  <si>
    <t>Soma de MF - LP</t>
  </si>
  <si>
    <t>MF - Mandato</t>
  </si>
  <si>
    <t>MF - ISEE</t>
  </si>
  <si>
    <t>Soma de MF - ISEE</t>
  </si>
  <si>
    <t>Top Factors - Heuristic Allocation Comparison</t>
  </si>
  <si>
    <t>Relatório do Método de Combinação de Fatores</t>
  </si>
  <si>
    <t>Ticker</t>
  </si>
  <si>
    <t>Theme</t>
  </si>
  <si>
    <t>IR</t>
  </si>
  <si>
    <t>TE</t>
  </si>
  <si>
    <t>Avg W</t>
  </si>
  <si>
    <t>Final W</t>
  </si>
  <si>
    <t>Final W Norm</t>
  </si>
  <si>
    <t>EW</t>
  </si>
  <si>
    <t>RP</t>
  </si>
  <si>
    <t>HRP</t>
  </si>
  <si>
    <t>MOM</t>
  </si>
  <si>
    <t>VAL</t>
  </si>
  <si>
    <t>LT</t>
  </si>
  <si>
    <t>Overall</t>
  </si>
  <si>
    <t>MVO</t>
  </si>
  <si>
    <t>value</t>
  </si>
  <si>
    <t>momentum</t>
  </si>
  <si>
    <t>others</t>
  </si>
  <si>
    <t>profitability</t>
  </si>
  <si>
    <t>lotterydemand</t>
  </si>
  <si>
    <t>lowmktrisk</t>
  </si>
  <si>
    <t>quality</t>
  </si>
  <si>
    <t>ltreversal</t>
  </si>
  <si>
    <t>tradingfrictions</t>
  </si>
  <si>
    <t>seasonality</t>
  </si>
  <si>
    <t>growth</t>
  </si>
  <si>
    <t>lowfinrisk</t>
  </si>
  <si>
    <t>macro</t>
  </si>
  <si>
    <t>investment</t>
  </si>
  <si>
    <t>sentiment</t>
  </si>
  <si>
    <t>accruals</t>
  </si>
  <si>
    <t>forced</t>
  </si>
  <si>
    <t>Final Imp</t>
  </si>
  <si>
    <t>OLS</t>
  </si>
  <si>
    <t>Elastic Net</t>
  </si>
  <si>
    <t>Random Forest</t>
  </si>
  <si>
    <t>XGBoost</t>
  </si>
  <si>
    <t>NN1</t>
  </si>
  <si>
    <t>Top Factors - Feature Importance Comparison</t>
  </si>
  <si>
    <t>CSUD3</t>
  </si>
  <si>
    <t>SAUD3</t>
  </si>
  <si>
    <t>ESPA3</t>
  </si>
  <si>
    <t>EUCA4</t>
  </si>
  <si>
    <t>BIOM3</t>
  </si>
  <si>
    <t>(vazio)</t>
  </si>
  <si>
    <t>mandate_weights</t>
  </si>
  <si>
    <t>mf2_0_weights</t>
  </si>
  <si>
    <t>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</si>
</sst>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2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sz val="7"/>
      <color rgb="FFFFFFFF"/>
      <name val="Segoe U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indexed="8"/>
      <name val="Aptos Narrow"/>
      <family val="2"/>
      <scheme val="minor"/>
    </font>
    <font>
      <sz val="8"/>
      <color rgb="FFFFFFFF"/>
      <name val="Fixedsys"/>
      <family val="3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i/>
      <u/>
      <sz val="11"/>
      <name val="Calibri"/>
      <family val="2"/>
    </font>
    <font>
      <i/>
      <u/>
      <sz val="11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4E5C6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3">
    <xf numFmtId="0" fontId="0" fillId="0" borderId="0"/>
    <xf numFmtId="9" fontId="5" fillId="0" borderId="0" applyFont="0" applyFill="0" applyBorder="0" applyAlignment="0" applyProtection="0"/>
    <xf numFmtId="0" fontId="11" fillId="0" borderId="0"/>
    <xf numFmtId="0" fontId="3" fillId="0" borderId="0"/>
    <xf numFmtId="0" fontId="3" fillId="0" borderId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5" borderId="13" applyNumberFormat="0" applyAlignment="0" applyProtection="0"/>
    <xf numFmtId="0" fontId="19" fillId="16" borderId="14" applyNumberFormat="0" applyAlignment="0" applyProtection="0"/>
    <xf numFmtId="0" fontId="20" fillId="16" borderId="13" applyNumberFormat="0" applyAlignment="0" applyProtection="0"/>
    <xf numFmtId="0" fontId="21" fillId="0" borderId="15" applyNumberFormat="0" applyFill="0" applyAlignment="0" applyProtection="0"/>
    <xf numFmtId="0" fontId="22" fillId="17" borderId="16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8" applyNumberFormat="0" applyFill="0" applyAlignment="0" applyProtection="0"/>
    <xf numFmtId="0" fontId="26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6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6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6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6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6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0" borderId="0"/>
    <xf numFmtId="0" fontId="26" fillId="22" borderId="0" applyNumberFormat="0" applyBorder="0" applyAlignment="0" applyProtection="0"/>
    <xf numFmtId="0" fontId="26" fillId="26" borderId="0" applyNumberFormat="0" applyBorder="0" applyAlignment="0" applyProtection="0"/>
    <xf numFmtId="0" fontId="26" fillId="30" borderId="0" applyNumberFormat="0" applyBorder="0" applyAlignment="0" applyProtection="0"/>
    <xf numFmtId="0" fontId="26" fillId="34" borderId="0" applyNumberFormat="0" applyBorder="0" applyAlignment="0" applyProtection="0"/>
    <xf numFmtId="0" fontId="26" fillId="38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/>
    <xf numFmtId="0" fontId="29" fillId="14" borderId="0" applyNumberFormat="0" applyBorder="0" applyAlignment="0" applyProtection="0"/>
    <xf numFmtId="0" fontId="2" fillId="18" borderId="17" applyNumberFormat="0" applyFont="0" applyAlignment="0" applyProtection="0"/>
    <xf numFmtId="0" fontId="2" fillId="0" borderId="0"/>
    <xf numFmtId="0" fontId="28" fillId="0" borderId="0" applyNumberFormat="0" applyFill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18" borderId="17" applyNumberFormat="0" applyFont="0" applyAlignment="0" applyProtection="0"/>
  </cellStyleXfs>
  <cellXfs count="129">
    <xf numFmtId="0" fontId="0" fillId="0" borderId="0" xfId="0"/>
    <xf numFmtId="0" fontId="4" fillId="0" borderId="0" xfId="0" applyFont="1"/>
    <xf numFmtId="10" fontId="0" fillId="0" borderId="0" xfId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2" fontId="6" fillId="0" borderId="1" xfId="1" applyNumberFormat="1" applyFont="1" applyBorder="1" applyAlignment="1">
      <alignment horizontal="center"/>
    </xf>
    <xf numFmtId="2" fontId="6" fillId="0" borderId="0" xfId="1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6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vertical="center"/>
    </xf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  <xf numFmtId="0" fontId="9" fillId="0" borderId="0" xfId="0" applyFont="1"/>
    <xf numFmtId="10" fontId="6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6" fillId="0" borderId="7" xfId="1" applyNumberFormat="1" applyFont="1" applyBorder="1" applyAlignment="1">
      <alignment horizontal="center"/>
    </xf>
    <xf numFmtId="2" fontId="6" fillId="0" borderId="8" xfId="1" applyNumberFormat="1" applyFont="1" applyBorder="1" applyAlignment="1">
      <alignment horizontal="center"/>
    </xf>
    <xf numFmtId="2" fontId="6" fillId="0" borderId="9" xfId="1" applyNumberFormat="1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9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10" fontId="6" fillId="0" borderId="2" xfId="1" applyNumberFormat="1" applyFont="1" applyBorder="1" applyAlignment="1">
      <alignment horizontal="center"/>
    </xf>
    <xf numFmtId="10" fontId="6" fillId="0" borderId="7" xfId="1" applyNumberFormat="1" applyFont="1" applyBorder="1" applyAlignment="1">
      <alignment horizontal="center"/>
    </xf>
    <xf numFmtId="10" fontId="6" fillId="0" borderId="9" xfId="1" applyNumberFormat="1" applyFont="1" applyBorder="1" applyAlignment="1">
      <alignment horizontal="center"/>
    </xf>
    <xf numFmtId="0" fontId="10" fillId="7" borderId="0" xfId="0" applyFont="1" applyFill="1"/>
    <xf numFmtId="0" fontId="10" fillId="7" borderId="0" xfId="0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10" fontId="6" fillId="10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0" xfId="0" applyFont="1" applyFill="1"/>
    <xf numFmtId="0" fontId="10" fillId="11" borderId="0" xfId="0" applyFont="1" applyFill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8" xfId="1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12" fillId="5" borderId="0" xfId="0" applyFont="1" applyFill="1" applyAlignment="1">
      <alignment vertic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9" fontId="0" fillId="0" borderId="0" xfId="0" applyNumberFormat="1"/>
    <xf numFmtId="2" fontId="6" fillId="0" borderId="7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44" borderId="0" xfId="0" applyFill="1" applyAlignment="1">
      <alignment horizontal="center"/>
    </xf>
    <xf numFmtId="10" fontId="0" fillId="44" borderId="0" xfId="0" applyNumberFormat="1" applyFill="1" applyAlignment="1">
      <alignment horizontal="center"/>
    </xf>
    <xf numFmtId="2" fontId="6" fillId="44" borderId="0" xfId="0" applyNumberFormat="1" applyFont="1" applyFill="1" applyAlignment="1">
      <alignment horizontal="center"/>
    </xf>
    <xf numFmtId="0" fontId="0" fillId="44" borderId="0" xfId="0" applyFill="1" applyAlignment="1">
      <alignment horizontal="left"/>
    </xf>
    <xf numFmtId="0" fontId="0" fillId="44" borderId="0" xfId="0" applyFill="1"/>
    <xf numFmtId="10" fontId="0" fillId="44" borderId="0" xfId="1" applyNumberFormat="1" applyFont="1" applyFill="1" applyAlignment="1">
      <alignment horizontal="center"/>
    </xf>
    <xf numFmtId="1" fontId="6" fillId="44" borderId="0" xfId="0" applyNumberFormat="1" applyFont="1" applyFill="1" applyAlignment="1">
      <alignment horizontal="center"/>
    </xf>
    <xf numFmtId="10" fontId="0" fillId="44" borderId="1" xfId="1" applyNumberFormat="1" applyFont="1" applyFill="1" applyBorder="1" applyAlignment="1">
      <alignment horizontal="center"/>
    </xf>
    <xf numFmtId="10" fontId="0" fillId="44" borderId="0" xfId="1" applyNumberFormat="1" applyFont="1" applyFill="1" applyBorder="1" applyAlignment="1">
      <alignment horizontal="center"/>
    </xf>
    <xf numFmtId="10" fontId="0" fillId="44" borderId="2" xfId="1" applyNumberFormat="1" applyFont="1" applyFill="1" applyBorder="1" applyAlignment="1">
      <alignment horizontal="center"/>
    </xf>
    <xf numFmtId="2" fontId="6" fillId="44" borderId="1" xfId="0" applyNumberFormat="1" applyFont="1" applyFill="1" applyBorder="1" applyAlignment="1">
      <alignment horizontal="center"/>
    </xf>
    <xf numFmtId="2" fontId="0" fillId="44" borderId="2" xfId="0" applyNumberFormat="1" applyFill="1" applyBorder="1" applyAlignment="1">
      <alignment horizontal="center"/>
    </xf>
    <xf numFmtId="2" fontId="0" fillId="44" borderId="0" xfId="0" applyNumberFormat="1" applyFill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0" fillId="44" borderId="20" xfId="0" applyNumberForma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44" borderId="19" xfId="0" applyNumberFormat="1" applyFill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65" fontId="0" fillId="0" borderId="0" xfId="0" applyNumberFormat="1"/>
    <xf numFmtId="0" fontId="30" fillId="0" borderId="0" xfId="0" applyFont="1" applyAlignment="1">
      <alignment horizontal="center"/>
    </xf>
    <xf numFmtId="10" fontId="31" fillId="0" borderId="1" xfId="1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5" xfId="0" applyFont="1" applyBorder="1"/>
    <xf numFmtId="10" fontId="31" fillId="0" borderId="0" xfId="1" applyNumberFormat="1" applyFont="1" applyBorder="1" applyAlignment="1">
      <alignment horizontal="center"/>
    </xf>
    <xf numFmtId="165" fontId="6" fillId="10" borderId="0" xfId="0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164" fontId="0" fillId="0" borderId="1" xfId="1" applyNumberFormat="1" applyFont="1" applyBorder="1"/>
    <xf numFmtId="164" fontId="0" fillId="0" borderId="7" xfId="1" applyNumberFormat="1" applyFont="1" applyBorder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</cellXfs>
  <cellStyles count="63">
    <cellStyle name="20% - Ênfase1" xfId="20" builtinId="30" customBuiltin="1"/>
    <cellStyle name="20% - Ênfase1 2" xfId="50" xr:uid="{6FC6F2DC-44F0-45DD-975C-08E8F7CB17E4}"/>
    <cellStyle name="20% - Ênfase2" xfId="23" builtinId="34" customBuiltin="1"/>
    <cellStyle name="20% - Ênfase2 2" xfId="51" xr:uid="{523BF5FB-8D5C-4C97-BEBA-BD348878B4F2}"/>
    <cellStyle name="20% - Ênfase3" xfId="26" builtinId="38" customBuiltin="1"/>
    <cellStyle name="20% - Ênfase3 2" xfId="52" xr:uid="{DE57D615-4049-4983-9A17-3DAAD5562ED9}"/>
    <cellStyle name="20% - Ênfase4" xfId="29" builtinId="42" customBuiltin="1"/>
    <cellStyle name="20% - Ênfase4 2" xfId="53" xr:uid="{FFC1B030-94DD-4FBC-A50A-AF91B7815BED}"/>
    <cellStyle name="20% - Ênfase5" xfId="32" builtinId="46" customBuiltin="1"/>
    <cellStyle name="20% - Ênfase5 2" xfId="54" xr:uid="{6D3E48B0-F44E-44D9-A736-ADCB089A2A01}"/>
    <cellStyle name="20% - Ênfase6" xfId="35" builtinId="50" customBuiltin="1"/>
    <cellStyle name="20% - Ênfase6 2" xfId="55" xr:uid="{89C32C9F-BE98-4128-B6B7-B52D5096E578}"/>
    <cellStyle name="40% - Ênfase1" xfId="21" builtinId="31" customBuiltin="1"/>
    <cellStyle name="40% - Ênfase1 2" xfId="56" xr:uid="{FC5070EE-D2AC-40CD-AFCF-D2FA4BBA8659}"/>
    <cellStyle name="40% - Ênfase2" xfId="24" builtinId="35" customBuiltin="1"/>
    <cellStyle name="40% - Ênfase2 2" xfId="57" xr:uid="{BD66F350-DD7C-4E75-A230-4241C1C7D0B8}"/>
    <cellStyle name="40% - Ênfase3" xfId="27" builtinId="39" customBuiltin="1"/>
    <cellStyle name="40% - Ênfase3 2" xfId="58" xr:uid="{DFC807CD-9BAE-4076-B5CB-895B8F346D8E}"/>
    <cellStyle name="40% - Ênfase4" xfId="30" builtinId="43" customBuiltin="1"/>
    <cellStyle name="40% - Ênfase4 2" xfId="59" xr:uid="{C0273E43-799C-4F70-8E9E-501179DEBC60}"/>
    <cellStyle name="40% - Ênfase5" xfId="33" builtinId="47" customBuiltin="1"/>
    <cellStyle name="40% - Ênfase5 2" xfId="60" xr:uid="{0800702F-BAE7-48A2-9A6D-664ECF1CC9CD}"/>
    <cellStyle name="40% - Ênfase6" xfId="36" builtinId="51" customBuiltin="1"/>
    <cellStyle name="40% - Ênfase6 2" xfId="61" xr:uid="{891D270B-F690-4F15-B819-72B99C9C105E}"/>
    <cellStyle name="60% - Ênfase1 2" xfId="38" xr:uid="{7CFC696D-E51E-41A2-8121-B3F7B56DDE6F}"/>
    <cellStyle name="60% - Ênfase2 2" xfId="39" xr:uid="{3E7C0EF4-4254-4A8A-8D07-72E2BF5BC1A6}"/>
    <cellStyle name="60% - Ênfase3 2" xfId="40" xr:uid="{D267F0C8-F25C-4778-9CD1-1ADA390E201F}"/>
    <cellStyle name="60% - Ênfase4 2" xfId="41" xr:uid="{996EDB7A-CCB1-4418-8B71-D3B0E29C9587}"/>
    <cellStyle name="60% - Ênfase5 2" xfId="42" xr:uid="{382D0989-6A3D-47A5-AF8D-515CDA19BF0A}"/>
    <cellStyle name="60% - Ênfase6 2" xfId="43" xr:uid="{6C4DA536-A28C-4EBC-ADC9-FFA5FD521904}"/>
    <cellStyle name="blp_column_header" xfId="44" xr:uid="{E37A9EF9-EC72-430F-AEB7-5B1ED7CF1A17}"/>
    <cellStyle name="Bom" xfId="9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19" builtinId="29" customBuiltin="1"/>
    <cellStyle name="Ênfase2" xfId="22" builtinId="33" customBuiltin="1"/>
    <cellStyle name="Ênfase3" xfId="25" builtinId="37" customBuiltin="1"/>
    <cellStyle name="Ênfase4" xfId="28" builtinId="41" customBuiltin="1"/>
    <cellStyle name="Ênfase5" xfId="31" builtinId="45" customBuiltin="1"/>
    <cellStyle name="Ênfase6" xfId="34" builtinId="49" customBuiltin="1"/>
    <cellStyle name="Entrada" xfId="11" builtinId="20" customBuiltin="1"/>
    <cellStyle name="Neutro 2" xfId="45" xr:uid="{CF36E471-E83E-4421-8EC5-4ECF82B8D901}"/>
    <cellStyle name="Normal" xfId="0" builtinId="0"/>
    <cellStyle name="Normal 2" xfId="2" xr:uid="{C2E94976-1DB1-4C8C-9806-EEEAD2D7DDD1}"/>
    <cellStyle name="Normal 3" xfId="3" xr:uid="{79BE2CC6-B0E5-4156-9D24-A5838472FAC8}"/>
    <cellStyle name="Normal 4" xfId="37" xr:uid="{D65318D7-9BE6-41AD-AA00-6DD1CDACC1AE}"/>
    <cellStyle name="Normal 5" xfId="49" xr:uid="{BA53F8F6-88CC-4242-8D9D-266E01619E98}"/>
    <cellStyle name="Normal 8 2" xfId="4" xr:uid="{AE3DAC62-060F-46E2-9E5B-E0B8EAA48401}"/>
    <cellStyle name="Normal 8 2 2" xfId="47" xr:uid="{65A5E872-2CDD-4BA2-B3F4-3977D95B5767}"/>
    <cellStyle name="Nota 2" xfId="46" xr:uid="{905B8138-FF7C-4BA7-966F-649C403FC155}"/>
    <cellStyle name="Nota 3" xfId="62" xr:uid="{29E03409-F048-476E-9E4A-46E7E9A210A9}"/>
    <cellStyle name="Porcentagem" xfId="1" builtinId="5"/>
    <cellStyle name="Ruim" xfId="10" builtinId="27" customBuiltin="1"/>
    <cellStyle name="Saída" xfId="12" builtinId="21" customBuiltin="1"/>
    <cellStyle name="Texto de Aviso" xfId="16" builtinId="11" customBuiltin="1"/>
    <cellStyle name="Texto Explicativo" xfId="17" builtinId="53" customBuiltin="1"/>
    <cellStyle name="Título 1" xfId="5" builtinId="16" customBuiltin="1"/>
    <cellStyle name="Título 2" xfId="6" builtinId="17" customBuiltin="1"/>
    <cellStyle name="Título 3" xfId="7" builtinId="18" customBuiltin="1"/>
    <cellStyle name="Título 4" xfId="8" builtinId="19" customBuiltin="1"/>
    <cellStyle name="Título 5" xfId="48" xr:uid="{21AD32CB-F713-414A-BD0B-3D0330B13D86}"/>
    <cellStyle name="Total" xfId="18" builtinId="25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60.443314930555" createdVersion="8" refreshedVersion="8" minRefreshableVersion="3" recordCount="214" xr:uid="{41608056-0690-49F7-BD3F-48E1D1FD06EE}">
  <cacheSource type="worksheet">
    <worksheetSource ref="B8:Q222" sheet="37 - ISEE"/>
  </cacheSource>
  <cacheFields count="16">
    <cacheField name="MF" numFmtId="10">
      <sharedItems containsString="0" containsBlank="1" containsNumber="1" minValue="0" maxValue="5.5E-2"/>
    </cacheField>
    <cacheField name="MF - ISEE" numFmtId="10">
      <sharedItems containsString="0" containsBlank="1" containsNumber="1" minValue="-2.8000000000000001E-2" maxValue="3.4000000000000002E-2"/>
    </cacheField>
    <cacheField name="MF - META" numFmtId="10">
      <sharedItems containsString="0" containsBlank="1" containsNumber="1" minValue="0" maxValue="5.0000000000000001E-3"/>
    </cacheField>
    <cacheField name="Bmk" numFmtId="10">
      <sharedItems containsString="0" containsBlank="1" containsNumber="1" minValue="0" maxValue="0.03"/>
    </cacheField>
    <cacheField name="exp_ret_score_raw" numFmtId="2">
      <sharedItems containsString="0" containsBlank="1" containsNumber="1" minValue="0.47699999999999998" maxValue="3.6120000000000001"/>
    </cacheField>
    <cacheField name="exp_ret_score" numFmtId="0">
      <sharedItems containsString="0" containsBlank="1" containsNumber="1" minValue="0.33500000000000002" maxValue="4.1559999999999997"/>
    </cacheField>
    <cacheField name="sectors_c2" numFmtId="0">
      <sharedItems containsBlank="1" count="6">
        <s v="pro_cyclicals"/>
        <s v="bond_proxies"/>
        <s v="defensives"/>
        <s v="industrials"/>
        <s v="commodities"/>
        <m/>
      </sharedItems>
    </cacheField>
    <cacheField name="sectors_c1" numFmtId="0">
      <sharedItems containsBlank="1" count="22">
        <s v="homebuilders"/>
        <s v="real_estate"/>
        <s v="financial_services"/>
        <s v="banks"/>
        <s v="consumer_durables"/>
        <s v="telecom"/>
        <s v="apparel"/>
        <s v="capital_goods"/>
        <s v="tech"/>
        <s v="basic_materials"/>
        <s v="building_materials"/>
        <s v="education"/>
        <s v="crude_oil"/>
        <s v="consumer_services"/>
        <s v="healthcare"/>
        <s v="utilities"/>
        <s v="float_financials"/>
        <s v="transportation"/>
        <s v="food"/>
        <s v="consumer_staples"/>
        <s v="chemicals"/>
        <m/>
      </sharedItems>
    </cacheField>
    <cacheField name="sectors_dyn" numFmtId="0">
      <sharedItems containsBlank="1"/>
    </cacheField>
    <cacheField name="META" numFmtId="0">
      <sharedItems containsString="0" containsBlank="1" containsNumber="1" minValue="0" maxValue="5.5E-2"/>
    </cacheField>
    <cacheField name="act_weights" numFmtId="10">
      <sharedItems containsString="0" containsBlank="1" containsNumber="1" minValue="-2.8000000000000001E-2" maxValue="3.3000000000000002E-2"/>
    </cacheField>
    <cacheField name="isee_bench_weights" numFmtId="0">
      <sharedItems containsString="0" containsBlank="1" containsNumber="1" minValue="0" maxValue="0.03"/>
    </cacheField>
    <cacheField name="mandato" numFmtId="10">
      <sharedItems containsString="0" containsBlank="1" containsNumber="1" minValue="0" maxValue="0.108765258318773"/>
    </cacheField>
    <cacheField name="Meta - Mandato" numFmtId="10">
      <sharedItems containsString="0" containsBlank="1" containsNumber="1" minValue="-7.5119876961920004E-2" maxValue="5.2999999999999999E-2"/>
    </cacheField>
    <cacheField name="modelo 2.0" numFmtId="10">
      <sharedItems containsString="0" containsBlank="1" containsNumber="1" minValue="0" maxValue="0.102823892186516"/>
    </cacheField>
    <cacheField name="Meta - 2.0" numFmtId="10">
      <sharedItems containsString="0" containsBlank="1" containsNumber="1" minValue="-9.2898533903836303E-2" maxValue="5.299999999999999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60.453703587962" createdVersion="8" refreshedVersion="8" minRefreshableVersion="3" recordCount="214" xr:uid="{B0C7F0E8-1E81-4BCF-8730-196FEBC42A93}">
  <cacheSource type="worksheet">
    <worksheetSource ref="B8:Q222" sheet="29 - FIA"/>
  </cacheSource>
  <cacheFields count="16">
    <cacheField name="MF" numFmtId="10">
      <sharedItems containsString="0" containsBlank="1" containsNumber="1" minValue="0" maxValue="0.06"/>
    </cacheField>
    <cacheField name="MF - Ibov" numFmtId="10">
      <sharedItems containsString="0" containsBlank="1" containsNumber="1" minValue="-5.800000000000001E-2" maxValue="2.3E-2"/>
    </cacheField>
    <cacheField name="MF - META" numFmtId="10">
      <sharedItems containsString="0" containsBlank="1" containsNumber="1" minValue="-2.4E-2" maxValue="2.0000000000000004E-2"/>
    </cacheField>
    <cacheField name="Bmk" numFmtId="10">
      <sharedItems containsString="0" containsBlank="1" containsNumber="1" minValue="0" maxValue="0.11800000000000001"/>
    </cacheField>
    <cacheField name="exp_ret_score_raw" numFmtId="2">
      <sharedItems containsString="0" containsBlank="1" containsNumber="1" minValue="0.47699999999999998" maxValue="3.6120000000000001"/>
    </cacheField>
    <cacheField name="exp_ret_score" numFmtId="0">
      <sharedItems containsString="0" containsBlank="1" containsNumber="1" minValue="0.33400000000000002" maxValue="5.077"/>
    </cacheField>
    <cacheField name="sectors_c2" numFmtId="0">
      <sharedItems containsBlank="1" count="6">
        <s v="bond_proxies"/>
        <s v="pro_cyclicals"/>
        <s v="defensives"/>
        <s v="industrials"/>
        <s v="commodities"/>
        <m/>
      </sharedItems>
    </cacheField>
    <cacheField name="sectors_c1" numFmtId="0">
      <sharedItems containsBlank="1" count="22">
        <s v="real_estate"/>
        <s v="telecom"/>
        <s v="banks"/>
        <s v="financial_services"/>
        <s v="homebuilders"/>
        <s v="consumer_durables"/>
        <s v="apparel"/>
        <s v="capital_goods"/>
        <s v="tech"/>
        <s v="basic_materials"/>
        <s v="building_materials"/>
        <s v="education"/>
        <s v="crude_oil"/>
        <s v="consumer_services"/>
        <s v="healthcare"/>
        <s v="utilities"/>
        <s v="float_financials"/>
        <s v="transportation"/>
        <s v="food"/>
        <s v="consumer_staples"/>
        <s v="chemicals"/>
        <m/>
      </sharedItems>
    </cacheField>
    <cacheField name="sectors_dyn" numFmtId="0">
      <sharedItems containsBlank="1"/>
    </cacheField>
    <cacheField name="META" numFmtId="10">
      <sharedItems containsString="0" containsBlank="1" containsNumber="1" minValue="0" maxValue="6.8000000000000005E-2"/>
    </cacheField>
    <cacheField name="act_weights" numFmtId="10">
      <sharedItems containsString="0" containsBlank="1" containsNumber="1" minValue="-0.05" maxValue="2.4E-2"/>
    </cacheField>
    <cacheField name="mandato" numFmtId="10">
      <sharedItems containsString="0" containsBlank="1" containsNumber="1" minValue="0" maxValue="6.6604102001668497E-2"/>
    </cacheField>
    <cacheField name="META - Mandato" numFmtId="10">
      <sharedItems containsString="0" containsBlank="1" containsNumber="1" minValue="-3.6604102001668498E-2" maxValue="6.8000000000000005E-2"/>
    </cacheField>
    <cacheField name="MF - Mandao" numFmtId="10">
      <sharedItems containsString="0" containsBlank="1" containsNumber="1" minValue="-1.9329873560453695E-2" maxValue="0.06"/>
    </cacheField>
    <cacheField name="modelo 2.0" numFmtId="10">
      <sharedItems containsString="0" containsBlank="1" containsNumber="1" minValue="0" maxValue="7.3419562520658302E-2"/>
    </cacheField>
    <cacheField name="Meta - 2.0" numFmtId="10">
      <sharedItems containsString="0" containsBlank="1" containsNumber="1" minValue="-4.3419562520658303E-2" maxValue="6.800000000000000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60.524649421299" createdVersion="8" refreshedVersion="8" minRefreshableVersion="3" recordCount="214" xr:uid="{1BC58F62-04C6-4D9C-9D3A-4B4CC9455614}">
  <cacheSource type="worksheet">
    <worksheetSource ref="B8:R222" sheet="36 - LP"/>
  </cacheSource>
  <cacheFields count="17">
    <cacheField name="MF" numFmtId="10">
      <sharedItems containsString="0" containsBlank="1" containsNumber="1" minValue="0" maxValue="0.05"/>
    </cacheField>
    <cacheField name="MF - LP" numFmtId="10">
      <sharedItems containsString="0" containsBlank="1" containsNumber="1" minValue="-4.4000000000000004E-2" maxValue="3.5000000000000003E-2"/>
    </cacheField>
    <cacheField name="MF - META" numFmtId="10">
      <sharedItems containsString="0" containsBlank="1" containsNumber="1" minValue="-3.1E-2" maxValue="1.4999999999999999E-2"/>
    </cacheField>
    <cacheField name="Bmk" numFmtId="10">
      <sharedItems containsString="0" containsBlank="1" containsNumber="1" minValue="0" maxValue="6.9000000000000006E-2"/>
    </cacheField>
    <cacheField name="exp_ret_score_raw" numFmtId="2">
      <sharedItems containsString="0" containsBlank="1" containsNumber="1" minValue="0.47699999999999998" maxValue="3.6120000000000001"/>
    </cacheField>
    <cacheField name="exp_ret_score" numFmtId="0">
      <sharedItems containsString="0" containsBlank="1" containsNumber="1" minValue="0.33600000000000002" maxValue="4.95"/>
    </cacheField>
    <cacheField name="sectors_c2" numFmtId="0">
      <sharedItems containsBlank="1" count="6">
        <s v="defensives"/>
        <s v="pro_cyclicals"/>
        <s v="bond_proxies"/>
        <s v="industrials"/>
        <s v="commodities"/>
        <m/>
      </sharedItems>
    </cacheField>
    <cacheField name="sectors_c1" numFmtId="0">
      <sharedItems containsBlank="1" count="22">
        <s v="financial_services"/>
        <s v="banks"/>
        <s v="real_estate"/>
        <s v="telecom"/>
        <s v="homebuilders"/>
        <s v="consumer_durables"/>
        <s v="apparel"/>
        <s v="capital_goods"/>
        <s v="tech"/>
        <s v="basic_materials"/>
        <s v="building_materials"/>
        <s v="education"/>
        <s v="crude_oil"/>
        <s v="consumer_services"/>
        <s v="healthcare"/>
        <s v="utilities"/>
        <s v="float_financials"/>
        <s v="transportation"/>
        <s v="food"/>
        <s v="consumer_staples"/>
        <s v="chemicals"/>
        <m/>
      </sharedItems>
    </cacheField>
    <cacheField name="sectors_dyn" numFmtId="0">
      <sharedItems containsBlank="1"/>
    </cacheField>
    <cacheField name="META" numFmtId="164">
      <sharedItems containsString="0" containsBlank="1" containsNumber="1" minValue="0" maxValue="3.5999999999999997E-2"/>
    </cacheField>
    <cacheField name="act_weights" numFmtId="10">
      <sharedItems containsString="0" containsBlank="1" containsNumber="1" minValue="-4.1000000000000002E-2" maxValue="3.1E-2"/>
    </cacheField>
    <cacheField name="mean_dps_36m" numFmtId="2">
      <sharedItems containsString="0" containsBlank="1" containsNumber="1" minValue="0" maxValue="5.9948431111833296"/>
    </cacheField>
    <cacheField name="mandato" numFmtId="10">
      <sharedItems containsString="0" containsBlank="1" containsNumber="1" minValue="0" maxValue="5.7024041984050797E-2"/>
    </cacheField>
    <cacheField name="Meta - Mandato" numFmtId="10">
      <sharedItems containsString="0" containsBlank="1" containsNumber="1" minValue="-2.1024041984050799E-2" maxValue="2.8000000000000001E-2"/>
    </cacheField>
    <cacheField name="MF - Mandato" numFmtId="10">
      <sharedItems containsString="0" containsBlank="1" containsNumber="1" minValue="-1.3098416348317201E-2" maxValue="2.5000000000000001E-2"/>
    </cacheField>
    <cacheField name="modelo 2.0" numFmtId="10">
      <sharedItems containsString="0" containsBlank="1" containsNumber="1" minValue="0" maxValue="6.5960829890523598E-2"/>
    </cacheField>
    <cacheField name="Meta - 2.0" numFmtId="10">
      <sharedItems containsString="0" containsBlank="1" containsNumber="1" minValue="-3.5044724107550801E-2" maxValue="0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Roberto Fonteles Guimaraes" refreshedDate="46160.524882060185" createdVersion="8" refreshedVersion="8" minRefreshableVersion="3" recordCount="214" xr:uid="{F32D04DD-6819-462A-89D3-DC9F0EA3C45E}">
  <cacheSource type="worksheet">
    <worksheetSource ref="B8:R222" sheet="35 - SMLL"/>
  </cacheSource>
  <cacheFields count="17">
    <cacheField name="MF" numFmtId="0">
      <sharedItems containsString="0" containsBlank="1" containsNumber="1" minValue="0" maxValue="3.5000000000000003E-2"/>
    </cacheField>
    <cacheField name="MF - Smll" numFmtId="0">
      <sharedItems containsString="0" containsBlank="1" containsNumber="1" minValue="-0.05" maxValue="2.1000000000000001E-2"/>
    </cacheField>
    <cacheField name="MF - META" numFmtId="0">
      <sharedItems containsString="0" containsBlank="1" containsNumber="1" minValue="-2.1999999999999999E-2" maxValue="1.6E-2"/>
    </cacheField>
    <cacheField name="Bmk" numFmtId="0">
      <sharedItems containsString="0" containsBlank="1" containsNumber="1" minValue="0" maxValue="0.05"/>
    </cacheField>
    <cacheField name="exp_ret_score_raw" numFmtId="2">
      <sharedItems containsString="0" containsBlank="1" containsNumber="1" minValue="0.47699999999999998" maxValue="3.6120000000000001"/>
    </cacheField>
    <cacheField name="exp_ret_score" numFmtId="0">
      <sharedItems containsString="0" containsBlank="1" containsNumber="1" minValue="0.32600000000000001" maxValue="5.508"/>
    </cacheField>
    <cacheField name="sectors_c2" numFmtId="0">
      <sharedItems containsBlank="1" count="6">
        <s v="pro_cyclicals"/>
        <s v="defensives"/>
        <s v="bond_proxies"/>
        <s v="industrials"/>
        <s v="commodities"/>
        <m/>
      </sharedItems>
    </cacheField>
    <cacheField name="sectors_c1" numFmtId="0">
      <sharedItems containsBlank="1" count="22">
        <s v="homebuilders"/>
        <s v="financial_services"/>
        <s v="real_estate"/>
        <s v="telecom"/>
        <s v="banks"/>
        <s v="consumer_durables"/>
        <s v="apparel"/>
        <s v="capital_goods"/>
        <s v="tech"/>
        <s v="basic_materials"/>
        <s v="building_materials"/>
        <s v="education"/>
        <s v="crude_oil"/>
        <s v="consumer_services"/>
        <s v="healthcare"/>
        <s v="utilities"/>
        <s v="float_financials"/>
        <s v="transportation"/>
        <s v="food"/>
        <s v="consumer_staples"/>
        <s v="chemicals"/>
        <m/>
      </sharedItems>
    </cacheField>
    <cacheField name="sectors_dyn" numFmtId="0">
      <sharedItems containsBlank="1"/>
    </cacheField>
    <cacheField name="META" numFmtId="10">
      <sharedItems containsString="0" containsBlank="1" containsNumber="1" minValue="0" maxValue="3.1E-2"/>
    </cacheField>
    <cacheField name="act_weights" numFmtId="10">
      <sharedItems containsString="0" containsBlank="1" containsNumber="1" minValue="-0.05" maxValue="2.1999999999999999E-2"/>
    </cacheField>
    <cacheField name="ibov_rank" numFmtId="1">
      <sharedItems containsString="0" containsBlank="1" containsNumber="1" containsInteger="1" minValue="1" maxValue="80"/>
    </cacheField>
    <cacheField name="mandato" numFmtId="10">
      <sharedItems containsString="0" containsBlank="1" containsNumber="1" minValue="0" maxValue="4.9025164314406601E-2"/>
    </cacheField>
    <cacheField name="Meta - Mandato" numFmtId="10">
      <sharedItems containsString="0" containsBlank="1" containsNumber="1" minValue="-2.9823417122327799E-2" maxValue="1.43060068806344E-2"/>
    </cacheField>
    <cacheField name="MF - Mandao" numFmtId="10">
      <sharedItems containsString="0" containsBlank="1" containsNumber="1" minValue="-1.8453377663411898E-2" maxValue="1.43060068806344E-2"/>
    </cacheField>
    <cacheField name="modelo 2.0" numFmtId="10">
      <sharedItems containsString="0" containsBlank="1" containsNumber="1" minValue="0" maxValue="5.7787622874315797E-2"/>
    </cacheField>
    <cacheField name="Meta - 2.0" numFmtId="10">
      <sharedItems containsString="0" containsBlank="1" containsNumber="1" minValue="-5.7787622874315797E-2" maxValue="2.599999999999999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5.0000000000000001E-3"/>
    <n v="5.0000000000000001E-3"/>
    <n v="5.0000000000000001E-3"/>
    <n v="0"/>
    <n v="3.6120000000000001"/>
    <n v="3.3759999999999999"/>
    <x v="0"/>
    <x v="0"/>
    <s v="very_high_beta"/>
    <n v="0"/>
    <n v="0"/>
    <n v="0"/>
    <n v="0"/>
    <n v="0"/>
    <n v="0"/>
    <n v="0"/>
  </r>
  <r>
    <n v="0"/>
    <n v="0"/>
    <n v="0"/>
    <n v="0"/>
    <n v="3.6120000000000001"/>
    <n v="3.8650000000000002"/>
    <x v="1"/>
    <x v="1"/>
    <s v="neutral_beta"/>
    <n v="0"/>
    <n v="0"/>
    <n v="0"/>
    <n v="0"/>
    <n v="0"/>
    <n v="0"/>
    <n v="0"/>
  </r>
  <r>
    <n v="0"/>
    <n v="0"/>
    <n v="0"/>
    <n v="0"/>
    <n v="3.6120000000000001"/>
    <n v="3.5550000000000002"/>
    <x v="2"/>
    <x v="2"/>
    <s v="very_low_beta"/>
    <n v="0"/>
    <n v="0"/>
    <n v="0"/>
    <n v="0"/>
    <n v="0"/>
    <n v="0"/>
    <n v="0"/>
  </r>
  <r>
    <n v="0"/>
    <n v="0"/>
    <n v="0"/>
    <n v="0"/>
    <n v="3.6120000000000001"/>
    <n v="3.597"/>
    <x v="0"/>
    <x v="3"/>
    <s v="high_beta"/>
    <n v="0"/>
    <n v="0"/>
    <n v="0"/>
    <n v="0"/>
    <n v="0"/>
    <n v="0"/>
    <n v="0"/>
  </r>
  <r>
    <n v="0"/>
    <n v="0"/>
    <n v="0"/>
    <n v="0"/>
    <n v="3.6120000000000001"/>
    <n v="2.7629999999999999"/>
    <x v="0"/>
    <x v="4"/>
    <s v="very_low_beta"/>
    <n v="0"/>
    <n v="0"/>
    <n v="0"/>
    <n v="0"/>
    <n v="0"/>
    <n v="0"/>
    <n v="0"/>
  </r>
  <r>
    <n v="0"/>
    <n v="0"/>
    <n v="0"/>
    <n v="0"/>
    <n v="3.6120000000000001"/>
    <n v="3.6219999999999999"/>
    <x v="1"/>
    <x v="5"/>
    <s v="low_beta"/>
    <n v="0"/>
    <n v="0"/>
    <n v="0"/>
    <n v="0"/>
    <n v="0"/>
    <n v="0"/>
    <n v="0"/>
  </r>
  <r>
    <n v="1.6E-2"/>
    <n v="1.4999999999999999E-2"/>
    <n v="0"/>
    <n v="1E-3"/>
    <n v="3.5289999999999999"/>
    <n v="2.754"/>
    <x v="0"/>
    <x v="6"/>
    <s v="very_high_beta"/>
    <n v="1.6E-2"/>
    <n v="1.4E-2"/>
    <n v="1E-3"/>
    <n v="4.6826126039753203E-2"/>
    <n v="-3.0826126039753203E-2"/>
    <n v="2.5488817338611899E-2"/>
    <n v="-9.488817338611899E-3"/>
  </r>
  <r>
    <n v="5.0000000000000001E-3"/>
    <n v="5.0000000000000001E-3"/>
    <n v="5.0000000000000001E-3"/>
    <n v="0"/>
    <n v="3.4969999999999999"/>
    <n v="3.72"/>
    <x v="0"/>
    <x v="6"/>
    <s v="very_low_beta"/>
    <n v="0"/>
    <n v="0"/>
    <n v="0"/>
    <n v="0"/>
    <n v="0"/>
    <n v="0"/>
    <n v="0"/>
  </r>
  <r>
    <n v="0"/>
    <n v="0"/>
    <n v="0"/>
    <n v="0"/>
    <n v="3.3780000000000001"/>
    <n v="2.577"/>
    <x v="1"/>
    <x v="1"/>
    <s v="very_high_beta"/>
    <n v="0"/>
    <n v="0"/>
    <n v="0"/>
    <n v="0"/>
    <n v="0"/>
    <n v="0"/>
    <n v="0"/>
  </r>
  <r>
    <n v="0"/>
    <n v="0"/>
    <n v="0"/>
    <n v="0"/>
    <n v="3.3239999999999998"/>
    <n v="2.9630000000000001"/>
    <x v="3"/>
    <x v="7"/>
    <s v="neutral_beta"/>
    <n v="0"/>
    <n v="0"/>
    <n v="0"/>
    <n v="0"/>
    <n v="0"/>
    <n v="0"/>
    <n v="0"/>
  </r>
  <r>
    <n v="3.4000000000000002E-2"/>
    <n v="3.4000000000000002E-2"/>
    <n v="0"/>
    <n v="0"/>
    <n v="3.23"/>
    <n v="3.5339999999999998"/>
    <x v="0"/>
    <x v="0"/>
    <s v="low_beta"/>
    <n v="3.4000000000000002E-2"/>
    <n v="3.3000000000000002E-2"/>
    <n v="0"/>
    <n v="4.0785259116309501E-2"/>
    <n v="-6.7852591163094986E-3"/>
    <n v="1.8467465940933198E-2"/>
    <n v="1.5532534059066804E-2"/>
  </r>
  <r>
    <n v="0"/>
    <n v="0"/>
    <n v="0"/>
    <n v="0"/>
    <n v="2.9369999999999998"/>
    <n v="2.169"/>
    <x v="0"/>
    <x v="8"/>
    <s v="high_beta"/>
    <n v="0"/>
    <n v="0"/>
    <n v="0"/>
    <n v="0"/>
    <n v="0"/>
    <n v="0"/>
    <n v="0"/>
  </r>
  <r>
    <n v="0"/>
    <n v="0"/>
    <n v="0"/>
    <n v="0"/>
    <n v="2.92"/>
    <n v="3.6709999999999998"/>
    <x v="4"/>
    <x v="9"/>
    <s v="low_beta"/>
    <n v="0"/>
    <n v="0"/>
    <n v="0"/>
    <n v="0"/>
    <n v="0"/>
    <n v="0"/>
    <n v="0"/>
  </r>
  <r>
    <n v="0"/>
    <n v="0"/>
    <n v="0"/>
    <n v="0"/>
    <n v="2.9009999999999998"/>
    <n v="2.2559999999999998"/>
    <x v="1"/>
    <x v="1"/>
    <s v="low_beta"/>
    <n v="0"/>
    <n v="0"/>
    <n v="0"/>
    <n v="0"/>
    <n v="0"/>
    <n v="0"/>
    <n v="0"/>
  </r>
  <r>
    <n v="5.0000000000000001E-3"/>
    <n v="5.0000000000000001E-3"/>
    <n v="5.0000000000000001E-3"/>
    <n v="0"/>
    <n v="2.8340000000000001"/>
    <n v="2.9750000000000001"/>
    <x v="0"/>
    <x v="3"/>
    <s v="neutral_beta"/>
    <n v="0"/>
    <n v="0"/>
    <n v="0"/>
    <n v="0"/>
    <n v="0"/>
    <n v="0"/>
    <n v="0"/>
  </r>
  <r>
    <n v="2.7E-2"/>
    <n v="2.4E-2"/>
    <n v="0"/>
    <n v="3.0000000000000001E-3"/>
    <n v="2.64"/>
    <n v="3.544"/>
    <x v="3"/>
    <x v="10"/>
    <s v="neutral_beta"/>
    <n v="2.7E-2"/>
    <n v="2.4E-2"/>
    <n v="3.0000000000000001E-3"/>
    <n v="3.8757149386853901E-2"/>
    <n v="-1.1757149386853901E-2"/>
    <n v="1.7070737931926601E-2"/>
    <n v="9.9292620680733988E-3"/>
  </r>
  <r>
    <n v="0"/>
    <n v="0"/>
    <n v="0"/>
    <n v="0"/>
    <n v="2.6240000000000001"/>
    <n v="1.87"/>
    <x v="4"/>
    <x v="9"/>
    <s v="very_high_beta"/>
    <n v="0"/>
    <n v="0"/>
    <n v="0"/>
    <n v="0"/>
    <n v="0"/>
    <n v="0"/>
    <n v="0"/>
  </r>
  <r>
    <n v="0"/>
    <n v="0"/>
    <n v="0"/>
    <n v="0"/>
    <n v="2.61"/>
    <n v="3.2120000000000002"/>
    <x v="4"/>
    <x v="9"/>
    <s v="neutral_beta"/>
    <n v="0"/>
    <n v="0"/>
    <n v="0"/>
    <n v="0"/>
    <n v="0"/>
    <n v="0"/>
    <n v="0"/>
  </r>
  <r>
    <n v="5.0000000000000001E-3"/>
    <n v="5.0000000000000001E-3"/>
    <n v="5.0000000000000001E-3"/>
    <n v="0"/>
    <n v="2.6019999999999999"/>
    <n v="2.246"/>
    <x v="0"/>
    <x v="8"/>
    <s v="high_beta"/>
    <n v="0"/>
    <n v="0"/>
    <n v="0"/>
    <n v="0"/>
    <n v="0"/>
    <n v="0"/>
    <n v="0"/>
  </r>
  <r>
    <n v="0"/>
    <n v="0"/>
    <n v="0"/>
    <n v="0"/>
    <n v="2.593"/>
    <n v="1.8620000000000001"/>
    <x v="0"/>
    <x v="11"/>
    <s v="high_beta"/>
    <n v="0"/>
    <n v="0"/>
    <n v="0"/>
    <n v="0"/>
    <n v="0"/>
    <n v="0"/>
    <n v="0"/>
  </r>
  <r>
    <n v="0"/>
    <n v="0"/>
    <n v="0"/>
    <n v="0"/>
    <n v="2.5590000000000002"/>
    <n v="2.8250000000000002"/>
    <x v="4"/>
    <x v="12"/>
    <s v="very_low_beta"/>
    <n v="0"/>
    <n v="0"/>
    <n v="0"/>
    <n v="0"/>
    <n v="0"/>
    <n v="0"/>
    <n v="0"/>
  </r>
  <r>
    <n v="0"/>
    <n v="0"/>
    <n v="0"/>
    <n v="0"/>
    <n v="2.5230000000000001"/>
    <n v="1.9319999999999999"/>
    <x v="0"/>
    <x v="3"/>
    <s v="neutral_beta"/>
    <n v="0"/>
    <n v="0"/>
    <n v="0"/>
    <n v="0"/>
    <n v="0"/>
    <n v="0"/>
    <n v="0"/>
  </r>
  <r>
    <n v="5.0000000000000001E-3"/>
    <n v="5.0000000000000001E-3"/>
    <n v="5.0000000000000001E-3"/>
    <n v="0"/>
    <n v="2.5179999999999998"/>
    <n v="2.327"/>
    <x v="3"/>
    <x v="7"/>
    <s v="high_beta"/>
    <n v="0"/>
    <n v="0"/>
    <n v="0"/>
    <n v="0"/>
    <n v="0"/>
    <n v="0"/>
    <n v="0"/>
  </r>
  <r>
    <n v="0"/>
    <n v="0"/>
    <n v="0"/>
    <n v="0"/>
    <n v="2.4710000000000001"/>
    <n v="2.472"/>
    <x v="4"/>
    <x v="12"/>
    <s v="very_low_beta"/>
    <n v="0"/>
    <n v="0"/>
    <n v="0"/>
    <n v="0"/>
    <n v="0"/>
    <n v="0"/>
    <n v="0"/>
  </r>
  <r>
    <n v="0"/>
    <n v="0"/>
    <n v="0"/>
    <n v="0"/>
    <n v="2.4249999999999998"/>
    <n v="1.841"/>
    <x v="0"/>
    <x v="11"/>
    <s v="very_high_beta"/>
    <n v="0"/>
    <n v="0"/>
    <n v="0"/>
    <n v="0"/>
    <n v="0"/>
    <n v="0"/>
    <n v="0"/>
  </r>
  <r>
    <n v="2.5000000000000001E-2"/>
    <n v="2.2000000000000002E-2"/>
    <n v="0"/>
    <n v="3.0000000000000001E-3"/>
    <n v="2.3660000000000001"/>
    <n v="2.74"/>
    <x v="4"/>
    <x v="12"/>
    <s v="very_low_beta"/>
    <n v="2.5000000000000001E-2"/>
    <n v="2.1999999999999999E-2"/>
    <n v="3.0000000000000001E-3"/>
    <n v="3.3940159743544598E-2"/>
    <n v="-8.940159743544597E-3"/>
    <n v="3.11436752183629E-2"/>
    <n v="-6.1436752183628984E-3"/>
  </r>
  <r>
    <n v="0"/>
    <n v="0"/>
    <n v="0"/>
    <n v="0"/>
    <n v="2.359"/>
    <n v="1.746"/>
    <x v="0"/>
    <x v="13"/>
    <s v="very_low_beta"/>
    <n v="0"/>
    <n v="0"/>
    <n v="0"/>
    <n v="0"/>
    <n v="0"/>
    <n v="0"/>
    <n v="0"/>
  </r>
  <r>
    <n v="0"/>
    <n v="0"/>
    <n v="0"/>
    <n v="0"/>
    <n v="2.3580000000000001"/>
    <n v="1.8340000000000001"/>
    <x v="0"/>
    <x v="11"/>
    <s v="neutral_beta"/>
    <n v="0"/>
    <n v="0"/>
    <n v="0"/>
    <n v="0"/>
    <n v="0"/>
    <n v="0"/>
    <n v="0"/>
  </r>
  <r>
    <n v="0"/>
    <n v="0"/>
    <n v="0"/>
    <n v="0"/>
    <n v="2.34"/>
    <n v="3.1379999999999999"/>
    <x v="0"/>
    <x v="3"/>
    <s v="neutral_beta"/>
    <n v="0"/>
    <n v="0"/>
    <n v="0"/>
    <n v="0"/>
    <n v="0"/>
    <n v="0"/>
    <n v="0"/>
  </r>
  <r>
    <n v="5.0000000000000001E-3"/>
    <n v="5.0000000000000001E-3"/>
    <n v="5.0000000000000001E-3"/>
    <n v="0"/>
    <n v="2.2639999999999998"/>
    <n v="2.93"/>
    <x v="0"/>
    <x v="3"/>
    <s v="low_beta"/>
    <n v="0"/>
    <n v="0"/>
    <n v="0"/>
    <n v="0"/>
    <n v="0"/>
    <n v="0"/>
    <n v="0"/>
  </r>
  <r>
    <n v="0"/>
    <n v="0"/>
    <n v="0"/>
    <n v="0"/>
    <n v="2.2480000000000002"/>
    <n v="2.4289999999999998"/>
    <x v="0"/>
    <x v="0"/>
    <s v="low_beta"/>
    <n v="0"/>
    <n v="0"/>
    <n v="0"/>
    <n v="0"/>
    <n v="0"/>
    <n v="0"/>
    <n v="0"/>
  </r>
  <r>
    <n v="0"/>
    <n v="0"/>
    <n v="0"/>
    <n v="0"/>
    <n v="2.2050000000000001"/>
    <n v="2.1320000000000001"/>
    <x v="0"/>
    <x v="8"/>
    <s v="neutral_beta"/>
    <n v="0"/>
    <n v="0"/>
    <n v="0"/>
    <n v="0"/>
    <n v="0"/>
    <n v="0"/>
    <n v="0"/>
  </r>
  <r>
    <n v="5.0000000000000001E-3"/>
    <n v="5.0000000000000001E-3"/>
    <n v="5.0000000000000001E-3"/>
    <n v="0"/>
    <n v="2.1789999999999998"/>
    <n v="2.5329999999999999"/>
    <x v="3"/>
    <x v="7"/>
    <s v="very_low_beta"/>
    <n v="0"/>
    <n v="0"/>
    <n v="0"/>
    <n v="0"/>
    <n v="0"/>
    <n v="0"/>
    <n v="0"/>
  </r>
  <r>
    <n v="0"/>
    <n v="0"/>
    <n v="0"/>
    <n v="0"/>
    <n v="2.1739999999999999"/>
    <n v="2.3119999999999998"/>
    <x v="3"/>
    <x v="10"/>
    <s v="very_low_beta"/>
    <n v="0"/>
    <n v="0"/>
    <n v="0"/>
    <n v="0"/>
    <n v="0"/>
    <n v="0"/>
    <n v="0"/>
  </r>
  <r>
    <n v="0"/>
    <n v="0"/>
    <n v="0"/>
    <n v="0"/>
    <n v="2.1589999999999998"/>
    <n v="2.274"/>
    <x v="0"/>
    <x v="2"/>
    <s v="very_low_beta"/>
    <n v="0"/>
    <n v="0"/>
    <n v="0"/>
    <n v="0"/>
    <n v="0"/>
    <n v="0"/>
    <n v="0"/>
  </r>
  <r>
    <n v="0"/>
    <n v="0"/>
    <n v="0"/>
    <n v="0"/>
    <n v="2.105"/>
    <n v="2.1869999999999998"/>
    <x v="2"/>
    <x v="14"/>
    <s v="high_beta"/>
    <n v="0"/>
    <n v="0"/>
    <n v="0"/>
    <n v="0"/>
    <n v="0"/>
    <n v="0"/>
    <n v="0"/>
  </r>
  <r>
    <n v="0"/>
    <n v="0"/>
    <n v="0"/>
    <n v="0"/>
    <n v="2.0529999999999999"/>
    <n v="1.7030000000000001"/>
    <x v="1"/>
    <x v="15"/>
    <s v="high_beta"/>
    <n v="0"/>
    <n v="0"/>
    <n v="0"/>
    <n v="0"/>
    <n v="0"/>
    <n v="0"/>
    <n v="0"/>
  </r>
  <r>
    <n v="0"/>
    <n v="0"/>
    <n v="0"/>
    <n v="0"/>
    <n v="2.016"/>
    <n v="1.5580000000000001"/>
    <x v="0"/>
    <x v="0"/>
    <s v="very_high_beta"/>
    <n v="0"/>
    <n v="0"/>
    <n v="0"/>
    <n v="0"/>
    <n v="0"/>
    <n v="0"/>
    <n v="0"/>
  </r>
  <r>
    <n v="0"/>
    <n v="0"/>
    <n v="0"/>
    <n v="0"/>
    <n v="1.992"/>
    <n v="2.3969999999999998"/>
    <x v="3"/>
    <x v="7"/>
    <s v="low_beta"/>
    <n v="0"/>
    <n v="0"/>
    <n v="0"/>
    <n v="0"/>
    <n v="0"/>
    <n v="0"/>
    <n v="0"/>
  </r>
  <r>
    <n v="0"/>
    <n v="0"/>
    <n v="0"/>
    <n v="0"/>
    <n v="1.9890000000000001"/>
    <n v="1.637"/>
    <x v="0"/>
    <x v="8"/>
    <s v="neutral_beta"/>
    <n v="0"/>
    <n v="0"/>
    <n v="0"/>
    <n v="0"/>
    <n v="0"/>
    <n v="0"/>
    <n v="0"/>
  </r>
  <r>
    <n v="0"/>
    <n v="0"/>
    <n v="0"/>
    <n v="0"/>
    <n v="1.97"/>
    <n v="1.5449999999999999"/>
    <x v="2"/>
    <x v="14"/>
    <s v="high_beta"/>
    <n v="0"/>
    <n v="0"/>
    <n v="0"/>
    <n v="0"/>
    <n v="0"/>
    <n v="0"/>
    <n v="0"/>
  </r>
  <r>
    <n v="0"/>
    <n v="0"/>
    <n v="0"/>
    <n v="0"/>
    <n v="1.9690000000000001"/>
    <n v="2.2210000000000001"/>
    <x v="4"/>
    <x v="9"/>
    <s v="low_beta"/>
    <n v="0"/>
    <n v="0"/>
    <n v="0"/>
    <n v="0"/>
    <n v="0"/>
    <n v="0"/>
    <n v="0"/>
  </r>
  <r>
    <n v="5.5E-2"/>
    <n v="2.7E-2"/>
    <n v="0"/>
    <n v="2.8000000000000001E-2"/>
    <n v="1.9079999999999999"/>
    <n v="4.1559999999999997"/>
    <x v="0"/>
    <x v="3"/>
    <s v="neutral_beta"/>
    <n v="5.5E-2"/>
    <n v="2.7E-2"/>
    <n v="2.8000000000000001E-2"/>
    <n v="0.108765258318773"/>
    <n v="-5.3765258318772997E-2"/>
    <n v="6.1718063583087998E-2"/>
    <n v="-6.7180635830879978E-3"/>
  </r>
  <r>
    <n v="0"/>
    <n v="0"/>
    <n v="0"/>
    <n v="0"/>
    <n v="1.9039999999999999"/>
    <n v="1.556"/>
    <x v="0"/>
    <x v="6"/>
    <s v="high_beta"/>
    <n v="0"/>
    <n v="0"/>
    <n v="0"/>
    <n v="0"/>
    <n v="0"/>
    <n v="0"/>
    <n v="0"/>
  </r>
  <r>
    <n v="0"/>
    <n v="0"/>
    <n v="0"/>
    <n v="0"/>
    <n v="1.8919999999999999"/>
    <n v="1.9830000000000001"/>
    <x v="1"/>
    <x v="15"/>
    <s v="neutral_beta"/>
    <n v="0"/>
    <n v="0"/>
    <n v="0"/>
    <n v="0"/>
    <n v="0"/>
    <n v="0"/>
    <n v="0"/>
  </r>
  <r>
    <n v="3.2000000000000001E-2"/>
    <n v="4.0000000000000001E-3"/>
    <n v="0"/>
    <n v="2.8000000000000001E-2"/>
    <n v="1.88"/>
    <n v="3.484"/>
    <x v="1"/>
    <x v="5"/>
    <s v="very_low_beta"/>
    <n v="3.2000000000000001E-2"/>
    <n v="3.0000000000000001E-3"/>
    <n v="2.8000000000000001E-2"/>
    <n v="0.10711987696192"/>
    <n v="-7.5119876961920004E-2"/>
    <n v="0"/>
    <n v="3.2000000000000001E-2"/>
  </r>
  <r>
    <n v="0"/>
    <n v="0"/>
    <n v="0"/>
    <n v="0"/>
    <n v="1.865"/>
    <n v="2.4929999999999999"/>
    <x v="2"/>
    <x v="16"/>
    <s v="very_low_beta"/>
    <n v="0"/>
    <n v="0"/>
    <n v="0"/>
    <n v="0"/>
    <n v="0"/>
    <n v="0"/>
    <n v="0"/>
  </r>
  <r>
    <n v="0"/>
    <n v="0"/>
    <n v="0"/>
    <n v="0"/>
    <n v="1.851"/>
    <n v="1.7250000000000001"/>
    <x v="0"/>
    <x v="0"/>
    <s v="high_beta"/>
    <n v="0"/>
    <n v="0"/>
    <n v="0"/>
    <n v="0"/>
    <n v="0"/>
    <n v="0"/>
    <n v="0"/>
  </r>
  <r>
    <n v="4.1000000000000002E-2"/>
    <n v="3.0000000000000002E-2"/>
    <n v="0"/>
    <n v="1.0999999999999999E-2"/>
    <n v="1.8089999999999999"/>
    <n v="3.1840000000000002"/>
    <x v="1"/>
    <x v="1"/>
    <s v="high_beta"/>
    <n v="4.1000000000000002E-2"/>
    <n v="0.03"/>
    <n v="1.0999999999999999E-2"/>
    <n v="5.3679352481425302E-2"/>
    <n v="-1.26793524814253E-2"/>
    <n v="4.8004570954045402E-2"/>
    <n v="-7.0045709540453999E-3"/>
  </r>
  <r>
    <n v="2.7E-2"/>
    <n v="9.0000000000000011E-3"/>
    <n v="0"/>
    <n v="1.7999999999999999E-2"/>
    <n v="1.7310000000000001"/>
    <n v="2.9950000000000001"/>
    <x v="2"/>
    <x v="16"/>
    <s v="very_low_beta"/>
    <n v="2.7E-2"/>
    <n v="8.9999999999999993E-3"/>
    <n v="1.7999999999999999E-2"/>
    <n v="7.3280821500735796E-2"/>
    <n v="-4.62808215007358E-2"/>
    <n v="6.1629947944613801E-2"/>
    <n v="-3.4629947944613798E-2"/>
  </r>
  <r>
    <n v="1.2E-2"/>
    <n v="1.0999999999999999E-2"/>
    <n v="0"/>
    <n v="1E-3"/>
    <n v="1.71"/>
    <n v="1.264"/>
    <x v="0"/>
    <x v="17"/>
    <s v="very_high_beta"/>
    <n v="1.2E-2"/>
    <n v="1.0999999999999999E-2"/>
    <n v="1E-3"/>
    <n v="2.2304301798836398E-2"/>
    <n v="-1.0304301798836398E-2"/>
    <n v="0"/>
    <n v="1.2E-2"/>
  </r>
  <r>
    <n v="0"/>
    <n v="0"/>
    <n v="0"/>
    <n v="0"/>
    <n v="1.71"/>
    <n v="1.266"/>
    <x v="0"/>
    <x v="3"/>
    <s v="high_beta"/>
    <n v="0"/>
    <n v="0"/>
    <n v="0"/>
    <n v="0"/>
    <n v="0"/>
    <n v="0"/>
    <n v="0"/>
  </r>
  <r>
    <n v="2.4E-2"/>
    <n v="6.9999999999999993E-3"/>
    <n v="0"/>
    <n v="1.7000000000000001E-2"/>
    <n v="1.603"/>
    <n v="2.532"/>
    <x v="1"/>
    <x v="15"/>
    <s v="neutral_beta"/>
    <n v="2.4E-2"/>
    <n v="7.0000000000000001E-3"/>
    <n v="1.7000000000000001E-2"/>
    <n v="6.4198713405221305E-2"/>
    <n v="-4.0198713405221305E-2"/>
    <n v="0"/>
    <n v="2.4E-2"/>
  </r>
  <r>
    <n v="0"/>
    <n v="0"/>
    <n v="0"/>
    <n v="0"/>
    <n v="1.573"/>
    <n v="1.456"/>
    <x v="0"/>
    <x v="0"/>
    <s v="neutral_beta"/>
    <n v="0"/>
    <n v="0"/>
    <n v="0"/>
    <n v="0"/>
    <n v="0"/>
    <n v="0"/>
    <n v="0"/>
  </r>
  <r>
    <n v="0"/>
    <n v="0"/>
    <n v="0"/>
    <n v="0"/>
    <n v="1.4990000000000001"/>
    <n v="1.8460000000000001"/>
    <x v="1"/>
    <x v="15"/>
    <s v="high_beta"/>
    <n v="0"/>
    <n v="0"/>
    <n v="0"/>
    <n v="0"/>
    <n v="0"/>
    <n v="0"/>
    <n v="0"/>
  </r>
  <r>
    <n v="4.4999999999999998E-2"/>
    <n v="2.0999999999999998E-2"/>
    <n v="0"/>
    <n v="2.4E-2"/>
    <n v="1.488"/>
    <n v="3.2269999999999999"/>
    <x v="1"/>
    <x v="1"/>
    <s v="high_beta"/>
    <n v="4.4999999999999998E-2"/>
    <n v="2.1000000000000001E-2"/>
    <n v="2.4E-2"/>
    <n v="7.9504344986672595E-2"/>
    <n v="-3.4504344986672597E-2"/>
    <n v="0"/>
    <n v="4.4999999999999998E-2"/>
  </r>
  <r>
    <n v="0"/>
    <n v="0"/>
    <n v="0"/>
    <n v="0"/>
    <n v="1.4590000000000001"/>
    <n v="1.425"/>
    <x v="4"/>
    <x v="12"/>
    <s v="very_low_beta"/>
    <n v="0"/>
    <n v="0"/>
    <n v="0"/>
    <n v="0"/>
    <n v="0"/>
    <n v="0"/>
    <n v="0"/>
  </r>
  <r>
    <n v="0"/>
    <n v="0"/>
    <n v="0"/>
    <n v="0"/>
    <n v="1.44"/>
    <n v="1.1100000000000001"/>
    <x v="4"/>
    <x v="18"/>
    <s v="very_low_beta"/>
    <n v="0"/>
    <n v="0"/>
    <n v="0"/>
    <n v="0"/>
    <n v="0"/>
    <n v="0"/>
    <n v="0"/>
  </r>
  <r>
    <n v="3.7999999999999999E-2"/>
    <n v="1.0999999999999999E-2"/>
    <n v="0"/>
    <n v="2.7E-2"/>
    <n v="1.4330000000000001"/>
    <n v="2.84"/>
    <x v="0"/>
    <x v="2"/>
    <s v="very_high_beta"/>
    <n v="3.7999999999999999E-2"/>
    <n v="1.0999999999999999E-2"/>
    <n v="2.7E-2"/>
    <n v="8.1669708565292806E-2"/>
    <n v="-4.3669708565292807E-2"/>
    <n v="6.2975261973117896E-2"/>
    <n v="-2.4975261973117897E-2"/>
  </r>
  <r>
    <n v="3.3000000000000002E-2"/>
    <n v="9.0000000000000011E-3"/>
    <n v="0"/>
    <n v="2.4E-2"/>
    <n v="1.381"/>
    <n v="2.6760000000000002"/>
    <x v="0"/>
    <x v="13"/>
    <s v="low_beta"/>
    <n v="3.3000000000000002E-2"/>
    <n v="8.9999999999999993E-3"/>
    <n v="2.4E-2"/>
    <n v="7.3822707779039307E-2"/>
    <n v="-4.0822707779039305E-2"/>
    <n v="0.102823892186516"/>
    <n v="-6.9823892186515996E-2"/>
  </r>
  <r>
    <n v="3.5000000000000003E-2"/>
    <n v="1.0000000000000002E-2"/>
    <n v="0"/>
    <n v="2.5000000000000001E-2"/>
    <n v="1.349"/>
    <n v="2.4180000000000001"/>
    <x v="0"/>
    <x v="13"/>
    <s v="very_low_beta"/>
    <n v="3.5000000000000003E-2"/>
    <n v="0.01"/>
    <n v="2.5000000000000001E-2"/>
    <n v="7.5533963794598799E-2"/>
    <n v="-4.0533963794598796E-2"/>
    <n v="8.7366035367514305E-2"/>
    <n v="-5.2366035367514302E-2"/>
  </r>
  <r>
    <n v="0"/>
    <n v="0"/>
    <n v="0"/>
    <n v="0"/>
    <n v="1.3220000000000001"/>
    <n v="1.004"/>
    <x v="0"/>
    <x v="0"/>
    <s v="high_beta"/>
    <n v="0"/>
    <n v="0"/>
    <n v="0"/>
    <n v="0"/>
    <n v="0"/>
    <n v="0"/>
    <n v="0"/>
  </r>
  <r>
    <n v="0"/>
    <n v="0"/>
    <n v="0"/>
    <n v="0"/>
    <n v="1.3080000000000001"/>
    <n v="1.6930000000000001"/>
    <x v="2"/>
    <x v="16"/>
    <s v="very_low_beta"/>
    <n v="0"/>
    <n v="0"/>
    <n v="0"/>
    <n v="0"/>
    <n v="0"/>
    <n v="0"/>
    <n v="0"/>
  </r>
  <r>
    <n v="3.7999999999999999E-2"/>
    <n v="8.0000000000000002E-3"/>
    <n v="0"/>
    <n v="0.03"/>
    <n v="1.306"/>
    <n v="2.649"/>
    <x v="1"/>
    <x v="5"/>
    <s v="very_low_beta"/>
    <n v="3.7999999999999999E-2"/>
    <n v="8.0000000000000002E-3"/>
    <n v="0.03"/>
    <n v="7.4430184898375704E-2"/>
    <n v="-3.6430184898375705E-2"/>
    <n v="4.9028047788409898E-2"/>
    <n v="-1.1028047788409899E-2"/>
  </r>
  <r>
    <n v="0"/>
    <n v="0"/>
    <n v="0"/>
    <n v="0"/>
    <n v="1.2529999999999999"/>
    <n v="1.476"/>
    <x v="0"/>
    <x v="6"/>
    <s v="low_beta"/>
    <n v="0"/>
    <n v="0"/>
    <n v="0"/>
    <n v="0"/>
    <n v="0"/>
    <n v="0"/>
    <n v="0"/>
  </r>
  <r>
    <n v="0"/>
    <n v="0"/>
    <n v="0"/>
    <n v="0"/>
    <n v="1.2310000000000001"/>
    <n v="0.89700000000000002"/>
    <x v="0"/>
    <x v="0"/>
    <s v="very_high_beta"/>
    <n v="0"/>
    <n v="0"/>
    <n v="0"/>
    <n v="0"/>
    <n v="0"/>
    <n v="0"/>
    <n v="0"/>
  </r>
  <r>
    <n v="0"/>
    <n v="0"/>
    <n v="0"/>
    <n v="0"/>
    <n v="1.228"/>
    <n v="1.272"/>
    <x v="1"/>
    <x v="15"/>
    <s v="very_low_beta"/>
    <n v="0"/>
    <n v="0"/>
    <n v="0"/>
    <n v="0"/>
    <n v="0"/>
    <n v="0"/>
    <n v="0"/>
  </r>
  <r>
    <n v="0"/>
    <n v="0"/>
    <n v="0"/>
    <n v="0"/>
    <n v="1.1910000000000001"/>
    <n v="1.5980000000000001"/>
    <x v="0"/>
    <x v="3"/>
    <s v="low_beta"/>
    <n v="0"/>
    <n v="0"/>
    <n v="0"/>
    <n v="0"/>
    <n v="0"/>
    <n v="0"/>
    <n v="0"/>
  </r>
  <r>
    <n v="2.1000000000000001E-2"/>
    <n v="1.4000000000000002E-2"/>
    <n v="0"/>
    <n v="7.0000000000000001E-3"/>
    <n v="1.1519999999999999"/>
    <n v="1.2490000000000001"/>
    <x v="2"/>
    <x v="14"/>
    <s v="low_beta"/>
    <n v="2.1000000000000001E-2"/>
    <n v="1.2999999999999999E-2"/>
    <n v="7.0000000000000001E-3"/>
    <n v="2.5382071222647601E-2"/>
    <n v="-4.3820712226475995E-3"/>
    <n v="3.05244653829282E-2"/>
    <n v="-9.5244653829281989E-3"/>
  </r>
  <r>
    <n v="0"/>
    <n v="0"/>
    <n v="0"/>
    <n v="0"/>
    <n v="1.151"/>
    <n v="0.86099999999999999"/>
    <x v="0"/>
    <x v="2"/>
    <s v="neutral_beta"/>
    <n v="0"/>
    <n v="0"/>
    <n v="0"/>
    <n v="0"/>
    <n v="0"/>
    <n v="0"/>
    <n v="0"/>
  </r>
  <r>
    <n v="0"/>
    <n v="0"/>
    <n v="0"/>
    <n v="0"/>
    <n v="1.143"/>
    <n v="0.97"/>
    <x v="2"/>
    <x v="14"/>
    <s v="low_beta"/>
    <n v="0"/>
    <n v="0"/>
    <n v="0"/>
    <n v="0"/>
    <n v="0"/>
    <n v="0"/>
    <n v="0"/>
  </r>
  <r>
    <n v="0"/>
    <n v="0"/>
    <n v="0"/>
    <n v="0"/>
    <n v="1.1279999999999999"/>
    <n v="0.85099999999999998"/>
    <x v="4"/>
    <x v="9"/>
    <s v="neutral_beta"/>
    <n v="0"/>
    <n v="0"/>
    <n v="0"/>
    <n v="0"/>
    <n v="0"/>
    <n v="0"/>
    <n v="0"/>
  </r>
  <r>
    <n v="0"/>
    <n v="0"/>
    <n v="0"/>
    <n v="0"/>
    <n v="1.111"/>
    <n v="1.131"/>
    <x v="0"/>
    <x v="0"/>
    <s v="neutral_beta"/>
    <n v="0"/>
    <n v="0"/>
    <n v="0"/>
    <n v="0"/>
    <n v="0"/>
    <n v="0"/>
    <n v="0"/>
  </r>
  <r>
    <n v="0"/>
    <n v="0"/>
    <n v="0"/>
    <n v="0"/>
    <n v="1.097"/>
    <n v="0.76900000000000002"/>
    <x v="2"/>
    <x v="14"/>
    <s v="very_high_beta"/>
    <n v="0"/>
    <n v="0"/>
    <n v="0"/>
    <n v="0"/>
    <n v="0"/>
    <n v="0"/>
    <n v="0"/>
  </r>
  <r>
    <n v="2.7E-2"/>
    <n v="2.4E-2"/>
    <n v="0"/>
    <n v="3.0000000000000001E-3"/>
    <n v="1.093"/>
    <n v="1.2490000000000001"/>
    <x v="3"/>
    <x v="7"/>
    <s v="neutral_beta"/>
    <n v="2.7E-2"/>
    <n v="2.4E-2"/>
    <n v="3.0000000000000001E-3"/>
    <n v="0"/>
    <n v="2.7E-2"/>
    <n v="0"/>
    <n v="2.7E-2"/>
  </r>
  <r>
    <n v="4.2000000000000003E-2"/>
    <n v="2.7000000000000003E-2"/>
    <n v="0"/>
    <n v="1.4999999999999999E-2"/>
    <n v="1.08"/>
    <n v="1.734"/>
    <x v="2"/>
    <x v="14"/>
    <s v="low_beta"/>
    <n v="4.2000000000000003E-2"/>
    <n v="2.8000000000000001E-2"/>
    <n v="1.4999999999999999E-2"/>
    <n v="0"/>
    <n v="4.2000000000000003E-2"/>
    <n v="0"/>
    <n v="4.2000000000000003E-2"/>
  </r>
  <r>
    <n v="0.02"/>
    <n v="1.7000000000000001E-2"/>
    <n v="0"/>
    <n v="3.0000000000000001E-3"/>
    <n v="1.08"/>
    <n v="0.91400000000000003"/>
    <x v="2"/>
    <x v="14"/>
    <s v="high_beta"/>
    <n v="0.02"/>
    <n v="1.7000000000000001E-2"/>
    <n v="3.0000000000000001E-3"/>
    <n v="0"/>
    <n v="0.02"/>
    <n v="0"/>
    <n v="0.02"/>
  </r>
  <r>
    <n v="0"/>
    <n v="0"/>
    <n v="0"/>
    <n v="0"/>
    <n v="1.0720000000000001"/>
    <n v="0.81200000000000006"/>
    <x v="0"/>
    <x v="4"/>
    <s v="high_beta"/>
    <n v="0"/>
    <n v="0"/>
    <n v="0"/>
    <n v="0"/>
    <n v="0"/>
    <n v="0"/>
    <n v="0"/>
  </r>
  <r>
    <n v="0"/>
    <n v="0"/>
    <n v="0"/>
    <n v="0"/>
    <n v="1.052"/>
    <n v="1.401"/>
    <x v="1"/>
    <x v="1"/>
    <s v="high_beta"/>
    <n v="0"/>
    <n v="0"/>
    <n v="0"/>
    <n v="0"/>
    <n v="0"/>
    <n v="0"/>
    <n v="0"/>
  </r>
  <r>
    <n v="0"/>
    <n v="0"/>
    <n v="0"/>
    <n v="0"/>
    <n v="1.046"/>
    <n v="0.76300000000000001"/>
    <x v="0"/>
    <x v="11"/>
    <s v="very_high_beta"/>
    <n v="0"/>
    <n v="0"/>
    <n v="0"/>
    <n v="0"/>
    <n v="0"/>
    <n v="0"/>
    <n v="0"/>
  </r>
  <r>
    <n v="0"/>
    <n v="0"/>
    <n v="0"/>
    <n v="0"/>
    <n v="1.0429999999999999"/>
    <n v="1.391"/>
    <x v="1"/>
    <x v="15"/>
    <s v="low_beta"/>
    <n v="0"/>
    <n v="0"/>
    <n v="0"/>
    <n v="0"/>
    <n v="0"/>
    <n v="0"/>
    <n v="0"/>
  </r>
  <r>
    <n v="1.7999999999999999E-2"/>
    <n v="1.6E-2"/>
    <n v="0"/>
    <n v="2E-3"/>
    <n v="1.0409999999999999"/>
    <n v="1.2"/>
    <x v="0"/>
    <x v="17"/>
    <s v="neutral_beta"/>
    <n v="1.7999999999999999E-2"/>
    <n v="1.6E-2"/>
    <n v="2E-3"/>
    <n v="0"/>
    <n v="1.7999999999999999E-2"/>
    <n v="0"/>
    <n v="1.7999999999999999E-2"/>
  </r>
  <r>
    <n v="1.9E-2"/>
    <n v="1.6E-2"/>
    <n v="0"/>
    <n v="3.0000000000000001E-3"/>
    <n v="1"/>
    <n v="0.84099999999999997"/>
    <x v="2"/>
    <x v="19"/>
    <s v="low_beta"/>
    <n v="1.9E-2"/>
    <n v="1.6E-2"/>
    <n v="3.0000000000000001E-3"/>
    <n v="0"/>
    <n v="1.9E-2"/>
    <n v="0"/>
    <n v="1.9E-2"/>
  </r>
  <r>
    <n v="0"/>
    <n v="0"/>
    <n v="0"/>
    <n v="0"/>
    <n v="0.98599999999999999"/>
    <n v="1.2969999999999999"/>
    <x v="1"/>
    <x v="15"/>
    <s v="very_low_beta"/>
    <n v="0"/>
    <n v="0"/>
    <n v="0"/>
    <n v="0"/>
    <n v="0"/>
    <n v="0"/>
    <n v="0"/>
  </r>
  <r>
    <n v="5.0999999999999997E-2"/>
    <n v="2.2999999999999996E-2"/>
    <n v="0"/>
    <n v="2.8000000000000001E-2"/>
    <n v="0.97299999999999998"/>
    <n v="2.1179999999999999"/>
    <x v="1"/>
    <x v="15"/>
    <s v="neutral_beta"/>
    <n v="5.0999999999999997E-2"/>
    <n v="2.3E-2"/>
    <n v="2.8000000000000001E-2"/>
    <n v="0"/>
    <n v="5.0999999999999997E-2"/>
    <n v="9.4957380248814394E-2"/>
    <n v="-4.3957380248814397E-2"/>
  </r>
  <r>
    <n v="4.3999999999999997E-2"/>
    <n v="1.7999999999999999E-2"/>
    <n v="0"/>
    <n v="2.5999999999999999E-2"/>
    <n v="0.97"/>
    <n v="2.0950000000000002"/>
    <x v="1"/>
    <x v="15"/>
    <s v="low_beta"/>
    <n v="4.3999999999999997E-2"/>
    <n v="1.7999999999999999E-2"/>
    <n v="2.5999999999999999E-2"/>
    <n v="0"/>
    <n v="4.3999999999999997E-2"/>
    <n v="0"/>
    <n v="4.3999999999999997E-2"/>
  </r>
  <r>
    <n v="0"/>
    <n v="0"/>
    <n v="0"/>
    <n v="0"/>
    <n v="0.92800000000000005"/>
    <n v="1.0469999999999999"/>
    <x v="0"/>
    <x v="0"/>
    <s v="high_beta"/>
    <n v="0"/>
    <n v="0"/>
    <n v="0"/>
    <n v="0"/>
    <n v="0"/>
    <n v="0"/>
    <n v="0"/>
  </r>
  <r>
    <n v="0"/>
    <n v="0"/>
    <n v="0"/>
    <n v="0"/>
    <n v="0.90800000000000003"/>
    <n v="0.95099999999999996"/>
    <x v="2"/>
    <x v="14"/>
    <s v="very_low_beta"/>
    <n v="0"/>
    <n v="0"/>
    <n v="0"/>
    <n v="0"/>
    <n v="0"/>
    <n v="0"/>
    <n v="0"/>
  </r>
  <r>
    <n v="4.8000000000000001E-2"/>
    <n v="2.4E-2"/>
    <n v="0"/>
    <n v="2.4E-2"/>
    <n v="0.89200000000000002"/>
    <n v="1.8089999999999999"/>
    <x v="1"/>
    <x v="15"/>
    <s v="high_beta"/>
    <n v="4.8000000000000001E-2"/>
    <n v="2.4E-2"/>
    <n v="2.4E-2"/>
    <n v="0"/>
    <n v="4.8000000000000001E-2"/>
    <n v="8.0758175128726906E-2"/>
    <n v="-3.2758175128726905E-2"/>
  </r>
  <r>
    <n v="0"/>
    <n v="0"/>
    <n v="0"/>
    <n v="0"/>
    <n v="0.88500000000000001"/>
    <n v="0.79700000000000004"/>
    <x v="2"/>
    <x v="19"/>
    <s v="very_high_beta"/>
    <n v="0"/>
    <n v="0"/>
    <n v="0"/>
    <n v="0"/>
    <n v="0"/>
    <n v="0"/>
    <n v="0"/>
  </r>
  <r>
    <n v="0"/>
    <n v="0"/>
    <n v="0"/>
    <n v="0"/>
    <n v="0.88"/>
    <n v="1.18"/>
    <x v="0"/>
    <x v="3"/>
    <s v="neutral_beta"/>
    <n v="0"/>
    <n v="0"/>
    <n v="0"/>
    <n v="0"/>
    <n v="0"/>
    <n v="0"/>
    <n v="0"/>
  </r>
  <r>
    <n v="0"/>
    <n v="0"/>
    <n v="0"/>
    <n v="0"/>
    <n v="0.85699999999999998"/>
    <n v="1.0249999999999999"/>
    <x v="1"/>
    <x v="15"/>
    <s v="very_high_beta"/>
    <n v="0"/>
    <n v="0"/>
    <n v="0"/>
    <n v="0"/>
    <n v="0"/>
    <n v="0"/>
    <n v="0"/>
  </r>
  <r>
    <n v="0"/>
    <n v="0"/>
    <n v="0"/>
    <n v="0"/>
    <n v="0.85"/>
    <n v="0.60299999999999998"/>
    <x v="0"/>
    <x v="4"/>
    <s v="high_beta"/>
    <n v="0"/>
    <n v="0"/>
    <n v="0"/>
    <n v="0"/>
    <n v="0"/>
    <n v="0"/>
    <n v="0"/>
  </r>
  <r>
    <n v="0"/>
    <n v="0"/>
    <n v="0"/>
    <n v="0"/>
    <n v="0.84799999999999998"/>
    <n v="0.79200000000000004"/>
    <x v="0"/>
    <x v="0"/>
    <s v="very_high_beta"/>
    <n v="0"/>
    <n v="0"/>
    <n v="0"/>
    <n v="0"/>
    <n v="0"/>
    <n v="0"/>
    <n v="0"/>
  </r>
  <r>
    <n v="0"/>
    <n v="0"/>
    <n v="0"/>
    <n v="0"/>
    <n v="0.84499999999999997"/>
    <n v="0.82299999999999995"/>
    <x v="4"/>
    <x v="9"/>
    <s v="low_beta"/>
    <n v="0"/>
    <n v="0"/>
    <n v="0"/>
    <n v="0"/>
    <n v="0"/>
    <n v="0"/>
    <n v="0"/>
  </r>
  <r>
    <n v="4.2999999999999997E-2"/>
    <n v="2.4999999999999998E-2"/>
    <n v="0"/>
    <n v="1.7999999999999999E-2"/>
    <n v="0.84299999999999997"/>
    <n v="1.5880000000000001"/>
    <x v="1"/>
    <x v="15"/>
    <s v="neutral_beta"/>
    <n v="4.2999999999999997E-2"/>
    <n v="2.5999999999999999E-2"/>
    <n v="1.7999999999999999E-2"/>
    <n v="0"/>
    <n v="4.2999999999999997E-2"/>
    <n v="0"/>
    <n v="4.2999999999999997E-2"/>
  </r>
  <r>
    <n v="5.2999999999999999E-2"/>
    <n v="2.4999999999999998E-2"/>
    <n v="0"/>
    <n v="2.8000000000000001E-2"/>
    <n v="0.84099999999999997"/>
    <n v="1.8320000000000001"/>
    <x v="0"/>
    <x v="3"/>
    <s v="neutral_beta"/>
    <n v="5.2999999999999999E-2"/>
    <n v="2.5000000000000001E-2"/>
    <n v="2.8000000000000001E-2"/>
    <n v="0"/>
    <n v="5.2999999999999999E-2"/>
    <n v="0"/>
    <n v="5.2999999999999999E-2"/>
  </r>
  <r>
    <n v="0"/>
    <n v="0"/>
    <n v="0"/>
    <n v="0"/>
    <n v="0.83599999999999997"/>
    <n v="0.98799999999999999"/>
    <x v="4"/>
    <x v="9"/>
    <s v="low_beta"/>
    <n v="0"/>
    <n v="0"/>
    <n v="0"/>
    <n v="0"/>
    <n v="0"/>
    <n v="0"/>
    <n v="0"/>
  </r>
  <r>
    <n v="0"/>
    <n v="0"/>
    <n v="0"/>
    <n v="0"/>
    <n v="0.83399999999999996"/>
    <n v="0.77200000000000002"/>
    <x v="0"/>
    <x v="3"/>
    <s v="very_low_beta"/>
    <n v="0"/>
    <n v="0"/>
    <n v="0"/>
    <n v="0"/>
    <n v="0"/>
    <n v="0"/>
    <n v="0"/>
  </r>
  <r>
    <n v="1.7000000000000001E-2"/>
    <n v="6.0000000000000019E-3"/>
    <n v="0"/>
    <n v="1.0999999999999999E-2"/>
    <n v="0.80600000000000005"/>
    <n v="0.69899999999999995"/>
    <x v="4"/>
    <x v="9"/>
    <s v="neutral_beta"/>
    <n v="1.7000000000000001E-2"/>
    <n v="6.0000000000000001E-3"/>
    <n v="1.0999999999999999E-2"/>
    <n v="0"/>
    <n v="1.7000000000000001E-2"/>
    <n v="0"/>
    <n v="1.7000000000000001E-2"/>
  </r>
  <r>
    <n v="3.2000000000000001E-2"/>
    <n v="0.03"/>
    <n v="0"/>
    <n v="2E-3"/>
    <n v="0.80300000000000005"/>
    <n v="0.97499999999999998"/>
    <x v="2"/>
    <x v="19"/>
    <s v="very_low_beta"/>
    <n v="3.2000000000000001E-2"/>
    <n v="3.1E-2"/>
    <n v="2E-3"/>
    <n v="0"/>
    <n v="3.2000000000000001E-2"/>
    <n v="0"/>
    <n v="3.2000000000000001E-2"/>
  </r>
  <r>
    <n v="1.9E-2"/>
    <n v="8.9999999999999993E-3"/>
    <n v="0"/>
    <n v="0.01"/>
    <n v="0.8"/>
    <n v="0.73499999999999999"/>
    <x v="0"/>
    <x v="11"/>
    <s v="high_beta"/>
    <n v="1.9E-2"/>
    <n v="8.0000000000000002E-3"/>
    <n v="0.01"/>
    <n v="0"/>
    <n v="1.9E-2"/>
    <n v="0"/>
    <n v="1.9E-2"/>
  </r>
  <r>
    <n v="3.1E-2"/>
    <n v="1.0999999999999999E-2"/>
    <n v="0"/>
    <n v="0.02"/>
    <n v="0.78600000000000003"/>
    <n v="1.323"/>
    <x v="1"/>
    <x v="15"/>
    <s v="low_beta"/>
    <n v="3.1E-2"/>
    <n v="0.01"/>
    <n v="0.02"/>
    <n v="0"/>
    <n v="3.1E-2"/>
    <n v="5.8870500405884103E-2"/>
    <n v="-2.7870500405884104E-2"/>
  </r>
  <r>
    <n v="0"/>
    <n v="0"/>
    <n v="0"/>
    <n v="0"/>
    <n v="0.77900000000000003"/>
    <n v="0.86799999999999999"/>
    <x v="2"/>
    <x v="19"/>
    <s v="low_beta"/>
    <n v="0"/>
    <n v="0"/>
    <n v="0"/>
    <n v="0"/>
    <n v="0"/>
    <n v="0"/>
    <n v="0"/>
  </r>
  <r>
    <n v="3.5999999999999997E-2"/>
    <n v="7.9999999999999967E-3"/>
    <n v="0"/>
    <n v="2.8000000000000001E-2"/>
    <n v="0.76900000000000002"/>
    <n v="1.236"/>
    <x v="0"/>
    <x v="6"/>
    <s v="neutral_beta"/>
    <n v="3.5999999999999997E-2"/>
    <n v="8.0000000000000002E-3"/>
    <n v="2.8000000000000001E-2"/>
    <n v="0"/>
    <n v="3.5999999999999997E-2"/>
    <n v="0"/>
    <n v="3.5999999999999997E-2"/>
  </r>
  <r>
    <n v="0"/>
    <n v="0"/>
    <n v="0"/>
    <n v="0"/>
    <n v="0.749"/>
    <n v="0.84399999999999997"/>
    <x v="4"/>
    <x v="9"/>
    <s v="low_beta"/>
    <n v="0"/>
    <n v="0"/>
    <n v="0"/>
    <n v="0"/>
    <n v="0"/>
    <n v="0"/>
    <n v="0"/>
  </r>
  <r>
    <n v="0"/>
    <n v="0"/>
    <n v="0"/>
    <n v="0"/>
    <n v="0.74199999999999999"/>
    <n v="0.53800000000000003"/>
    <x v="1"/>
    <x v="15"/>
    <s v="low_beta"/>
    <n v="0"/>
    <n v="0"/>
    <n v="0"/>
    <n v="0"/>
    <n v="0"/>
    <n v="0"/>
    <n v="0"/>
  </r>
  <r>
    <n v="0"/>
    <n v="0"/>
    <n v="0"/>
    <n v="0"/>
    <n v="0.72399999999999998"/>
    <n v="0.65700000000000003"/>
    <x v="3"/>
    <x v="20"/>
    <s v="low_beta"/>
    <n v="0"/>
    <n v="0"/>
    <n v="0"/>
    <n v="0"/>
    <n v="0"/>
    <n v="0"/>
    <n v="0"/>
  </r>
  <r>
    <n v="0"/>
    <n v="-2.5000000000000001E-2"/>
    <n v="0"/>
    <n v="2.5000000000000001E-2"/>
    <n v="0.71499999999999997"/>
    <n v="1.133"/>
    <x v="1"/>
    <x v="15"/>
    <s v="high_beta"/>
    <n v="0"/>
    <n v="-2.5000000000000001E-2"/>
    <n v="2.5000000000000001E-2"/>
    <n v="0"/>
    <n v="0"/>
    <n v="9.2898533903836303E-2"/>
    <n v="-9.2898533903836303E-2"/>
  </r>
  <r>
    <n v="0"/>
    <n v="-2.8000000000000001E-2"/>
    <n v="0"/>
    <n v="2.8000000000000001E-2"/>
    <n v="0.70799999999999996"/>
    <n v="1.5409999999999999"/>
    <x v="0"/>
    <x v="3"/>
    <s v="neutral_beta"/>
    <n v="0"/>
    <n v="-2.8000000000000001E-2"/>
    <n v="2.8000000000000001E-2"/>
    <n v="0"/>
    <n v="0"/>
    <n v="0"/>
    <n v="0"/>
  </r>
  <r>
    <n v="0"/>
    <n v="0"/>
    <n v="0"/>
    <n v="0"/>
    <n v="0.69899999999999995"/>
    <n v="0.93799999999999994"/>
    <x v="1"/>
    <x v="15"/>
    <s v="low_beta"/>
    <n v="0"/>
    <n v="0"/>
    <n v="0"/>
    <n v="0"/>
    <n v="0"/>
    <n v="0"/>
    <n v="0"/>
  </r>
  <r>
    <n v="0"/>
    <n v="-2.5000000000000001E-2"/>
    <n v="0"/>
    <n v="2.5000000000000001E-2"/>
    <n v="0.69799999999999995"/>
    <n v="1.3740000000000001"/>
    <x v="0"/>
    <x v="3"/>
    <s v="high_beta"/>
    <n v="0"/>
    <n v="-2.5000000000000001E-2"/>
    <n v="2.5000000000000001E-2"/>
    <n v="0"/>
    <n v="0"/>
    <n v="0"/>
    <n v="0"/>
  </r>
  <r>
    <n v="0"/>
    <n v="-4.0000000000000001E-3"/>
    <n v="0"/>
    <n v="4.0000000000000001E-3"/>
    <n v="0.69699999999999995"/>
    <n v="0.52600000000000002"/>
    <x v="4"/>
    <x v="9"/>
    <s v="very_low_beta"/>
    <n v="0"/>
    <n v="-4.0000000000000001E-3"/>
    <n v="4.0000000000000001E-3"/>
    <n v="0"/>
    <n v="0"/>
    <n v="1.8320873108107E-2"/>
    <n v="-1.8320873108107E-2"/>
  </r>
  <r>
    <n v="0"/>
    <n v="0"/>
    <n v="0"/>
    <n v="0"/>
    <n v="0.69599999999999995"/>
    <n v="0.49299999999999999"/>
    <x v="1"/>
    <x v="5"/>
    <s v="low_beta"/>
    <n v="0"/>
    <n v="0"/>
    <n v="0"/>
    <n v="0"/>
    <n v="0"/>
    <n v="0"/>
    <n v="0"/>
  </r>
  <r>
    <n v="0"/>
    <n v="0"/>
    <n v="0"/>
    <n v="0"/>
    <n v="0.68400000000000005"/>
    <n v="0.90400000000000003"/>
    <x v="1"/>
    <x v="15"/>
    <s v="low_beta"/>
    <n v="0"/>
    <n v="0"/>
    <n v="0"/>
    <n v="0"/>
    <n v="0"/>
    <n v="0"/>
    <n v="0"/>
  </r>
  <r>
    <n v="0"/>
    <n v="0"/>
    <n v="0"/>
    <n v="0"/>
    <n v="0.67600000000000005"/>
    <n v="0.52400000000000002"/>
    <x v="0"/>
    <x v="8"/>
    <s v="high_beta"/>
    <n v="0"/>
    <n v="0"/>
    <n v="0"/>
    <n v="0"/>
    <n v="0"/>
    <n v="0"/>
    <n v="0"/>
  </r>
  <r>
    <n v="0"/>
    <n v="-2.5000000000000001E-2"/>
    <n v="0"/>
    <n v="2.5000000000000001E-2"/>
    <n v="0.67400000000000004"/>
    <n v="1.4670000000000001"/>
    <x v="1"/>
    <x v="15"/>
    <s v="low_beta"/>
    <n v="0"/>
    <n v="-2.5000000000000001E-2"/>
    <n v="2.5000000000000001E-2"/>
    <n v="0"/>
    <n v="0"/>
    <n v="0"/>
    <n v="0"/>
  </r>
  <r>
    <n v="0"/>
    <n v="0"/>
    <n v="0"/>
    <n v="0"/>
    <n v="0.66400000000000003"/>
    <n v="0.69599999999999995"/>
    <x v="2"/>
    <x v="16"/>
    <s v="low_beta"/>
    <n v="0"/>
    <n v="0"/>
    <n v="0"/>
    <n v="0"/>
    <n v="0"/>
    <n v="0"/>
    <n v="0"/>
  </r>
  <r>
    <n v="0"/>
    <n v="-2.4E-2"/>
    <n v="0"/>
    <n v="2.4E-2"/>
    <n v="0.66300000000000003"/>
    <n v="1.282"/>
    <x v="1"/>
    <x v="15"/>
    <s v="low_beta"/>
    <n v="0"/>
    <n v="-2.4E-2"/>
    <n v="2.4E-2"/>
    <n v="0"/>
    <n v="0"/>
    <n v="0"/>
    <n v="0"/>
  </r>
  <r>
    <n v="0"/>
    <n v="0"/>
    <n v="0"/>
    <n v="0"/>
    <n v="0.65"/>
    <n v="0.499"/>
    <x v="4"/>
    <x v="18"/>
    <s v="very_low_beta"/>
    <n v="0"/>
    <n v="0"/>
    <n v="0"/>
    <n v="0"/>
    <n v="0"/>
    <n v="0"/>
    <n v="0"/>
  </r>
  <r>
    <n v="0"/>
    <n v="0"/>
    <n v="0"/>
    <n v="0"/>
    <n v="0.63200000000000001"/>
    <n v="0.60599999999999998"/>
    <x v="0"/>
    <x v="8"/>
    <s v="very_low_beta"/>
    <n v="0"/>
    <n v="0"/>
    <n v="0"/>
    <n v="0"/>
    <n v="0"/>
    <n v="0"/>
    <n v="0"/>
  </r>
  <r>
    <n v="0"/>
    <n v="0"/>
    <n v="0"/>
    <n v="0"/>
    <n v="0.628"/>
    <n v="0.69499999999999995"/>
    <x v="0"/>
    <x v="6"/>
    <s v="high_beta"/>
    <n v="0"/>
    <n v="0"/>
    <n v="0"/>
    <n v="0"/>
    <n v="0"/>
    <n v="0"/>
    <n v="0"/>
  </r>
  <r>
    <n v="0"/>
    <n v="0"/>
    <n v="0"/>
    <n v="0"/>
    <n v="0.627"/>
    <n v="0.499"/>
    <x v="4"/>
    <x v="12"/>
    <s v="very_low_beta"/>
    <n v="0"/>
    <n v="0"/>
    <n v="0"/>
    <n v="0"/>
    <n v="0"/>
    <n v="0"/>
    <n v="0"/>
  </r>
  <r>
    <n v="0"/>
    <n v="-2.5000000000000001E-2"/>
    <n v="0"/>
    <n v="2.5000000000000001E-2"/>
    <n v="0.626"/>
    <n v="1.056"/>
    <x v="3"/>
    <x v="7"/>
    <s v="very_low_beta"/>
    <n v="0"/>
    <n v="-2.5000000000000001E-2"/>
    <n v="2.5000000000000001E-2"/>
    <n v="0"/>
    <n v="0"/>
    <n v="0"/>
    <n v="0"/>
  </r>
  <r>
    <n v="0"/>
    <n v="0"/>
    <n v="0"/>
    <n v="0"/>
    <n v="0.61899999999999999"/>
    <n v="0.81299999999999994"/>
    <x v="1"/>
    <x v="15"/>
    <s v="high_beta"/>
    <n v="0"/>
    <n v="0"/>
    <n v="0"/>
    <n v="0"/>
    <n v="0"/>
    <n v="0"/>
    <n v="0"/>
  </r>
  <r>
    <n v="0"/>
    <n v="0"/>
    <n v="0"/>
    <n v="0"/>
    <n v="0.61899999999999999"/>
    <n v="0.443"/>
    <x v="3"/>
    <x v="7"/>
    <s v="very_high_beta"/>
    <n v="0"/>
    <n v="0"/>
    <n v="0"/>
    <n v="0"/>
    <n v="0"/>
    <n v="0"/>
    <n v="0"/>
  </r>
  <r>
    <n v="0"/>
    <n v="-4.0000000000000001E-3"/>
    <n v="0"/>
    <n v="4.0000000000000001E-3"/>
    <n v="0.61799999999999999"/>
    <n v="0.51100000000000001"/>
    <x v="0"/>
    <x v="6"/>
    <s v="low_beta"/>
    <n v="0"/>
    <n v="-4.0000000000000001E-3"/>
    <n v="4.0000000000000001E-3"/>
    <n v="0"/>
    <n v="0"/>
    <n v="0"/>
    <n v="0"/>
  </r>
  <r>
    <n v="0"/>
    <n v="0"/>
    <n v="0"/>
    <n v="0"/>
    <n v="0.61699999999999999"/>
    <n v="0.75900000000000001"/>
    <x v="4"/>
    <x v="9"/>
    <s v="low_beta"/>
    <n v="0"/>
    <n v="0"/>
    <n v="0"/>
    <n v="0"/>
    <n v="0"/>
    <n v="0"/>
    <n v="0"/>
  </r>
  <r>
    <n v="0"/>
    <n v="0"/>
    <n v="0"/>
    <n v="0"/>
    <n v="0.61699999999999999"/>
    <n v="0.76900000000000002"/>
    <x v="4"/>
    <x v="9"/>
    <s v="low_beta"/>
    <n v="0"/>
    <n v="0"/>
    <n v="0"/>
    <n v="0"/>
    <n v="0"/>
    <n v="0"/>
    <n v="0"/>
  </r>
  <r>
    <n v="0"/>
    <n v="-8.0000000000000002E-3"/>
    <n v="0"/>
    <n v="8.0000000000000002E-3"/>
    <n v="0.61699999999999999"/>
    <n v="0.93400000000000005"/>
    <x v="4"/>
    <x v="18"/>
    <s v="very_low_beta"/>
    <n v="0"/>
    <n v="-8.0000000000000002E-3"/>
    <n v="8.0000000000000002E-3"/>
    <n v="0"/>
    <n v="0"/>
    <n v="0"/>
    <n v="0"/>
  </r>
  <r>
    <n v="0"/>
    <n v="0"/>
    <n v="0"/>
    <n v="0"/>
    <n v="0.61599999999999999"/>
    <n v="0.749"/>
    <x v="0"/>
    <x v="3"/>
    <s v="neutral_beta"/>
    <n v="0"/>
    <n v="0"/>
    <n v="0"/>
    <n v="0"/>
    <n v="0"/>
    <n v="0"/>
    <n v="0"/>
  </r>
  <r>
    <n v="0"/>
    <n v="0"/>
    <n v="0"/>
    <n v="0"/>
    <n v="0.61099999999999999"/>
    <n v="0.499"/>
    <x v="3"/>
    <x v="7"/>
    <s v="very_high_beta"/>
    <n v="0"/>
    <n v="0"/>
    <n v="0"/>
    <n v="0"/>
    <n v="0"/>
    <n v="0"/>
    <n v="0"/>
  </r>
  <r>
    <n v="0"/>
    <n v="0"/>
    <n v="0"/>
    <n v="0"/>
    <n v="0.60799999999999998"/>
    <n v="0.71299999999999997"/>
    <x v="0"/>
    <x v="3"/>
    <s v="neutral_beta"/>
    <n v="0"/>
    <n v="0"/>
    <n v="0"/>
    <n v="0"/>
    <n v="0"/>
    <n v="0"/>
    <n v="0"/>
  </r>
  <r>
    <n v="0"/>
    <n v="-4.0000000000000001E-3"/>
    <n v="0"/>
    <n v="4.0000000000000001E-3"/>
    <n v="0.60699999999999998"/>
    <n v="0.65700000000000003"/>
    <x v="3"/>
    <x v="10"/>
    <s v="very_high_beta"/>
    <n v="0"/>
    <n v="-4.0000000000000001E-3"/>
    <n v="4.0000000000000001E-3"/>
    <n v="0"/>
    <n v="0"/>
    <n v="0"/>
    <n v="0"/>
  </r>
  <r>
    <n v="0"/>
    <n v="0"/>
    <n v="0"/>
    <n v="0"/>
    <n v="0.60299999999999998"/>
    <n v="0.44700000000000001"/>
    <x v="2"/>
    <x v="14"/>
    <s v="very_high_beta"/>
    <n v="0"/>
    <n v="0"/>
    <n v="0"/>
    <n v="0"/>
    <n v="0"/>
    <n v="0"/>
    <n v="0"/>
  </r>
  <r>
    <n v="0"/>
    <n v="-2.8000000000000001E-2"/>
    <n v="0"/>
    <n v="2.8000000000000001E-2"/>
    <n v="0.59299999999999997"/>
    <n v="1.2070000000000001"/>
    <x v="4"/>
    <x v="9"/>
    <s v="low_beta"/>
    <n v="0"/>
    <n v="-2.8000000000000001E-2"/>
    <n v="2.8000000000000001E-2"/>
    <n v="0"/>
    <n v="0"/>
    <n v="0"/>
    <n v="0"/>
  </r>
  <r>
    <n v="0"/>
    <n v="-2.5999999999999999E-2"/>
    <n v="0"/>
    <n v="2.5999999999999999E-2"/>
    <n v="0.59099999999999997"/>
    <n v="1.26"/>
    <x v="1"/>
    <x v="17"/>
    <s v="high_beta"/>
    <n v="0"/>
    <n v="-2.5999999999999999E-2"/>
    <n v="2.5999999999999999E-2"/>
    <n v="0"/>
    <n v="0"/>
    <n v="0"/>
    <n v="0"/>
  </r>
  <r>
    <n v="0"/>
    <n v="0"/>
    <n v="0"/>
    <n v="0"/>
    <n v="0.59099999999999997"/>
    <n v="0.52600000000000002"/>
    <x v="3"/>
    <x v="7"/>
    <s v="high_beta"/>
    <n v="0"/>
    <n v="0"/>
    <n v="0"/>
    <n v="0"/>
    <n v="0"/>
    <n v="0"/>
    <n v="0"/>
  </r>
  <r>
    <n v="0"/>
    <n v="0"/>
    <n v="0"/>
    <n v="0"/>
    <n v="0.58599999999999997"/>
    <n v="0.78600000000000003"/>
    <x v="1"/>
    <x v="15"/>
    <s v="neutral_beta"/>
    <n v="0"/>
    <n v="0"/>
    <n v="0"/>
    <n v="0"/>
    <n v="0"/>
    <n v="0"/>
    <n v="0"/>
  </r>
  <r>
    <n v="0"/>
    <n v="-2.5999999999999999E-2"/>
    <n v="0"/>
    <n v="2.5999999999999999E-2"/>
    <n v="0.58599999999999997"/>
    <n v="0.47499999999999998"/>
    <x v="4"/>
    <x v="18"/>
    <s v="very_low_beta"/>
    <n v="0"/>
    <n v="-2.5999999999999999E-2"/>
    <n v="2.5999999999999999E-2"/>
    <n v="0"/>
    <n v="0"/>
    <n v="0"/>
    <n v="0"/>
  </r>
  <r>
    <n v="0"/>
    <n v="-0.02"/>
    <n v="0"/>
    <n v="0.02"/>
    <n v="0.58299999999999996"/>
    <n v="1.149"/>
    <x v="0"/>
    <x v="3"/>
    <s v="neutral_beta"/>
    <n v="0"/>
    <n v="-0.02"/>
    <n v="0.02"/>
    <n v="0"/>
    <n v="0"/>
    <n v="0"/>
    <n v="0"/>
  </r>
  <r>
    <n v="0"/>
    <n v="-2.8000000000000001E-2"/>
    <n v="0"/>
    <n v="2.8000000000000001E-2"/>
    <n v="0.58199999999999996"/>
    <n v="1.0620000000000001"/>
    <x v="0"/>
    <x v="3"/>
    <s v="neutral_beta"/>
    <n v="0"/>
    <n v="-2.8000000000000001E-2"/>
    <n v="2.8000000000000001E-2"/>
    <n v="0"/>
    <n v="0"/>
    <n v="0"/>
    <n v="0"/>
  </r>
  <r>
    <n v="0"/>
    <n v="0"/>
    <n v="0"/>
    <n v="0"/>
    <n v="0.58099999999999996"/>
    <n v="0.61599999999999999"/>
    <x v="4"/>
    <x v="9"/>
    <s v="neutral_beta"/>
    <n v="0"/>
    <n v="0"/>
    <n v="0"/>
    <n v="0"/>
    <n v="0"/>
    <n v="0"/>
    <n v="0"/>
  </r>
  <r>
    <n v="0"/>
    <n v="0"/>
    <n v="0"/>
    <n v="0"/>
    <n v="0.57899999999999996"/>
    <n v="0.50700000000000001"/>
    <x v="2"/>
    <x v="14"/>
    <s v="neutral_beta"/>
    <n v="0"/>
    <n v="0"/>
    <n v="0"/>
    <n v="0"/>
    <n v="0"/>
    <n v="0"/>
    <n v="0"/>
  </r>
  <r>
    <n v="0"/>
    <n v="-5.0000000000000001E-3"/>
    <n v="0"/>
    <n v="5.0000000000000001E-3"/>
    <n v="0.57799999999999996"/>
    <n v="0.48"/>
    <x v="0"/>
    <x v="11"/>
    <s v="high_beta"/>
    <n v="0"/>
    <n v="-5.0000000000000001E-3"/>
    <n v="5.0000000000000001E-3"/>
    <n v="0"/>
    <n v="0"/>
    <n v="1.6730993243305001E-2"/>
    <n v="-1.6730993243305001E-2"/>
  </r>
  <r>
    <n v="0"/>
    <n v="0"/>
    <n v="0"/>
    <n v="0"/>
    <n v="0.57599999999999996"/>
    <n v="0.69299999999999995"/>
    <x v="3"/>
    <x v="7"/>
    <s v="very_low_beta"/>
    <n v="0"/>
    <n v="0"/>
    <n v="0"/>
    <n v="0"/>
    <n v="0"/>
    <n v="0"/>
    <n v="0"/>
  </r>
  <r>
    <n v="0"/>
    <n v="-3.0000000000000001E-3"/>
    <n v="0"/>
    <n v="3.0000000000000001E-3"/>
    <n v="0.57399999999999995"/>
    <n v="0.42"/>
    <x v="0"/>
    <x v="13"/>
    <s v="very_high_beta"/>
    <n v="0"/>
    <n v="-3.0000000000000001E-3"/>
    <n v="3.0000000000000001E-3"/>
    <n v="0"/>
    <n v="0"/>
    <n v="0"/>
    <n v="0"/>
  </r>
  <r>
    <n v="0"/>
    <n v="0"/>
    <n v="0"/>
    <n v="0"/>
    <n v="0.57399999999999995"/>
    <n v="0.68400000000000005"/>
    <x v="3"/>
    <x v="7"/>
    <s v="low_beta"/>
    <n v="0"/>
    <n v="0"/>
    <n v="0"/>
    <n v="0"/>
    <n v="0"/>
    <n v="0"/>
    <n v="0"/>
  </r>
  <r>
    <n v="0"/>
    <n v="-0.02"/>
    <n v="0"/>
    <n v="0.02"/>
    <n v="0.56999999999999995"/>
    <n v="1.0960000000000001"/>
    <x v="1"/>
    <x v="15"/>
    <s v="low_beta"/>
    <n v="0"/>
    <n v="-0.02"/>
    <n v="0.02"/>
    <n v="0"/>
    <n v="0"/>
    <n v="4.1222562351258103E-2"/>
    <n v="-4.1222562351258103E-2"/>
  </r>
  <r>
    <n v="0"/>
    <n v="-2.5999999999999999E-2"/>
    <n v="0"/>
    <n v="2.5999999999999999E-2"/>
    <n v="0.56999999999999995"/>
    <n v="0.90500000000000003"/>
    <x v="0"/>
    <x v="17"/>
    <s v="neutral_beta"/>
    <n v="0"/>
    <n v="-2.5999999999999999E-2"/>
    <n v="2.5999999999999999E-2"/>
    <n v="0"/>
    <n v="0"/>
    <n v="0"/>
    <n v="0"/>
  </r>
  <r>
    <n v="0"/>
    <n v="0"/>
    <n v="0"/>
    <n v="0"/>
    <n v="0.56899999999999995"/>
    <n v="0.58499999999999996"/>
    <x v="4"/>
    <x v="9"/>
    <s v="very_low_beta"/>
    <n v="0"/>
    <n v="0"/>
    <n v="0"/>
    <n v="0"/>
    <n v="0"/>
    <n v="0"/>
    <n v="0"/>
  </r>
  <r>
    <n v="0"/>
    <n v="0"/>
    <n v="0"/>
    <n v="0"/>
    <n v="0.56799999999999995"/>
    <n v="0.48699999999999999"/>
    <x v="4"/>
    <x v="12"/>
    <s v="very_low_beta"/>
    <n v="0"/>
    <n v="0"/>
    <n v="0"/>
    <n v="0"/>
    <n v="0"/>
    <n v="0"/>
    <n v="0"/>
  </r>
  <r>
    <n v="0"/>
    <n v="0"/>
    <n v="0"/>
    <n v="0"/>
    <n v="0.56699999999999995"/>
    <n v="0.54400000000000004"/>
    <x v="0"/>
    <x v="2"/>
    <s v="very_high_beta"/>
    <n v="0"/>
    <n v="0"/>
    <n v="0"/>
    <n v="0"/>
    <n v="0"/>
    <n v="0"/>
    <n v="0"/>
  </r>
  <r>
    <n v="0"/>
    <n v="-8.0000000000000002E-3"/>
    <n v="0"/>
    <n v="8.0000000000000002E-3"/>
    <n v="0.56399999999999995"/>
    <n v="0.72"/>
    <x v="1"/>
    <x v="15"/>
    <s v="high_beta"/>
    <n v="0"/>
    <n v="-8.0000000000000002E-3"/>
    <n v="8.0000000000000002E-3"/>
    <n v="0"/>
    <n v="0"/>
    <n v="0"/>
    <n v="0"/>
  </r>
  <r>
    <n v="0"/>
    <n v="-2.5000000000000001E-2"/>
    <n v="0"/>
    <n v="2.5000000000000001E-2"/>
    <n v="0.56299999999999994"/>
    <n v="1.226"/>
    <x v="1"/>
    <x v="15"/>
    <s v="high_beta"/>
    <n v="0"/>
    <n v="-2.5000000000000001E-2"/>
    <n v="2.5000000000000001E-2"/>
    <n v="0"/>
    <n v="0"/>
    <n v="0"/>
    <n v="0"/>
  </r>
  <r>
    <n v="0"/>
    <n v="0"/>
    <n v="0"/>
    <n v="0"/>
    <n v="0.56299999999999994"/>
    <n v="0.56399999999999995"/>
    <x v="1"/>
    <x v="5"/>
    <s v="low_beta"/>
    <n v="0"/>
    <n v="0"/>
    <n v="0"/>
    <n v="0"/>
    <n v="0"/>
    <n v="0"/>
    <n v="0"/>
  </r>
  <r>
    <n v="0"/>
    <n v="0"/>
    <n v="0"/>
    <n v="0"/>
    <n v="0.56200000000000006"/>
    <n v="0.39400000000000002"/>
    <x v="3"/>
    <x v="20"/>
    <s v="very_high_beta"/>
    <n v="0"/>
    <n v="0"/>
    <n v="0"/>
    <n v="0"/>
    <n v="0"/>
    <n v="0"/>
    <n v="0"/>
  </r>
  <r>
    <n v="0"/>
    <n v="0"/>
    <n v="0"/>
    <n v="0"/>
    <n v="0.56100000000000005"/>
    <n v="0.58599999999999997"/>
    <x v="0"/>
    <x v="13"/>
    <s v="very_high_beta"/>
    <n v="0"/>
    <n v="0"/>
    <n v="0"/>
    <n v="0"/>
    <n v="0"/>
    <n v="0"/>
    <n v="0"/>
  </r>
  <r>
    <n v="0"/>
    <n v="-4.0000000000000001E-3"/>
    <n v="0"/>
    <n v="4.0000000000000001E-3"/>
    <n v="0.55900000000000005"/>
    <n v="0.442"/>
    <x v="4"/>
    <x v="18"/>
    <s v="low_beta"/>
    <n v="0"/>
    <n v="-4.0000000000000001E-3"/>
    <n v="4.0000000000000001E-3"/>
    <n v="0"/>
    <n v="0"/>
    <n v="0"/>
    <n v="0"/>
  </r>
  <r>
    <n v="0"/>
    <n v="-1.7000000000000001E-2"/>
    <n v="0"/>
    <n v="1.7000000000000001E-2"/>
    <n v="0.55800000000000005"/>
    <n v="0.84499999999999997"/>
    <x v="2"/>
    <x v="19"/>
    <s v="high_beta"/>
    <n v="0"/>
    <n v="-1.7000000000000001E-2"/>
    <n v="1.7000000000000001E-2"/>
    <n v="0"/>
    <n v="0"/>
    <n v="0"/>
    <n v="0"/>
  </r>
  <r>
    <n v="0"/>
    <n v="-5.0000000000000001E-3"/>
    <n v="0"/>
    <n v="5.0000000000000001E-3"/>
    <n v="0.55700000000000005"/>
    <n v="0.59099999999999997"/>
    <x v="1"/>
    <x v="17"/>
    <s v="very_high_beta"/>
    <n v="0"/>
    <n v="-5.0000000000000001E-3"/>
    <n v="5.0000000000000001E-3"/>
    <n v="0"/>
    <n v="0"/>
    <n v="0"/>
    <n v="0"/>
  </r>
  <r>
    <n v="0"/>
    <n v="0"/>
    <n v="0"/>
    <n v="0"/>
    <n v="0.55700000000000005"/>
    <n v="0.48299999999999998"/>
    <x v="4"/>
    <x v="18"/>
    <s v="very_low_beta"/>
    <n v="0"/>
    <n v="0"/>
    <n v="0"/>
    <n v="0"/>
    <n v="0"/>
    <n v="0"/>
    <n v="0"/>
  </r>
  <r>
    <n v="0"/>
    <n v="-1.2999999999999999E-2"/>
    <n v="0"/>
    <n v="1.2999999999999999E-2"/>
    <n v="0.55500000000000005"/>
    <n v="0.80600000000000005"/>
    <x v="0"/>
    <x v="0"/>
    <s v="very_high_beta"/>
    <n v="0"/>
    <n v="-1.2999999999999999E-2"/>
    <n v="1.2999999999999999E-2"/>
    <n v="0"/>
    <n v="0"/>
    <n v="0"/>
    <n v="0"/>
  </r>
  <r>
    <n v="0"/>
    <n v="-2.4E-2"/>
    <n v="0"/>
    <n v="2.4E-2"/>
    <n v="0.55200000000000005"/>
    <n v="0.59799999999999998"/>
    <x v="2"/>
    <x v="19"/>
    <s v="very_high_beta"/>
    <n v="0"/>
    <n v="-2.4E-2"/>
    <n v="2.4E-2"/>
    <n v="0"/>
    <n v="0"/>
    <n v="0"/>
    <n v="0"/>
  </r>
  <r>
    <n v="0"/>
    <n v="0"/>
    <n v="0"/>
    <n v="0"/>
    <n v="0.55000000000000004"/>
    <n v="0.44"/>
    <x v="3"/>
    <x v="7"/>
    <s v="very_low_beta"/>
    <n v="0"/>
    <n v="0"/>
    <n v="0"/>
    <n v="0"/>
    <n v="0"/>
    <n v="0"/>
    <n v="0"/>
  </r>
  <r>
    <n v="0"/>
    <n v="0"/>
    <n v="0"/>
    <n v="0"/>
    <n v="0.54800000000000004"/>
    <n v="0.40699999999999997"/>
    <x v="0"/>
    <x v="2"/>
    <s v="high_beta"/>
    <n v="0"/>
    <n v="0"/>
    <n v="0"/>
    <n v="0"/>
    <n v="0"/>
    <n v="0"/>
    <n v="0"/>
  </r>
  <r>
    <n v="0"/>
    <n v="-5.0000000000000001E-3"/>
    <n v="0"/>
    <n v="5.0000000000000001E-3"/>
    <n v="0.54500000000000004"/>
    <n v="0.41699999999999998"/>
    <x v="0"/>
    <x v="6"/>
    <s v="very_high_beta"/>
    <n v="0"/>
    <n v="-5.0000000000000001E-3"/>
    <n v="5.0000000000000001E-3"/>
    <n v="0"/>
    <n v="0"/>
    <n v="0"/>
    <n v="0"/>
  </r>
  <r>
    <n v="0"/>
    <n v="-2.5999999999999999E-2"/>
    <n v="0"/>
    <n v="2.5999999999999999E-2"/>
    <n v="0.54400000000000004"/>
    <n v="0.66200000000000003"/>
    <x v="2"/>
    <x v="14"/>
    <s v="low_beta"/>
    <n v="0"/>
    <n v="-2.5999999999999999E-2"/>
    <n v="2.5999999999999999E-2"/>
    <n v="0"/>
    <n v="0"/>
    <n v="0"/>
    <n v="0"/>
  </r>
  <r>
    <n v="0"/>
    <n v="0"/>
    <n v="0"/>
    <n v="0"/>
    <n v="0.54300000000000004"/>
    <n v="0.60599999999999998"/>
    <x v="2"/>
    <x v="14"/>
    <s v="low_beta"/>
    <n v="0"/>
    <n v="0"/>
    <n v="0"/>
    <n v="0"/>
    <n v="0"/>
    <n v="0"/>
    <n v="0"/>
  </r>
  <r>
    <n v="0"/>
    <n v="0"/>
    <n v="0"/>
    <n v="0"/>
    <n v="0.54"/>
    <n v="0.54400000000000004"/>
    <x v="0"/>
    <x v="0"/>
    <s v="very_high_beta"/>
    <n v="0"/>
    <n v="0"/>
    <n v="0"/>
    <n v="0"/>
    <n v="0"/>
    <n v="0"/>
    <n v="0"/>
  </r>
  <r>
    <n v="0"/>
    <n v="0"/>
    <n v="0"/>
    <n v="0"/>
    <n v="0.54"/>
    <n v="0.46400000000000002"/>
    <x v="3"/>
    <x v="7"/>
    <s v="high_beta"/>
    <n v="0"/>
    <n v="0"/>
    <n v="0"/>
    <n v="0"/>
    <n v="0"/>
    <n v="0"/>
    <n v="0"/>
  </r>
  <r>
    <n v="0"/>
    <n v="0"/>
    <n v="0"/>
    <n v="0"/>
    <n v="0.53600000000000003"/>
    <n v="0.45300000000000001"/>
    <x v="0"/>
    <x v="4"/>
    <s v="very_high_beta"/>
    <n v="0"/>
    <n v="0"/>
    <n v="0"/>
    <n v="0"/>
    <n v="0"/>
    <n v="0"/>
    <n v="0"/>
  </r>
  <r>
    <n v="0"/>
    <n v="0"/>
    <n v="0"/>
    <n v="0"/>
    <n v="0.53500000000000003"/>
    <n v="0.502"/>
    <x v="0"/>
    <x v="13"/>
    <s v="very_high_beta"/>
    <n v="0"/>
    <n v="0"/>
    <n v="0"/>
    <n v="0"/>
    <n v="0"/>
    <n v="0"/>
    <n v="0"/>
  </r>
  <r>
    <n v="0"/>
    <n v="-3.0000000000000001E-3"/>
    <n v="0"/>
    <n v="3.0000000000000001E-3"/>
    <n v="0.53400000000000003"/>
    <n v="0.40400000000000003"/>
    <x v="0"/>
    <x v="17"/>
    <s v="very_high_beta"/>
    <n v="0"/>
    <n v="-3.0000000000000001E-3"/>
    <n v="3.0000000000000001E-3"/>
    <n v="0"/>
    <n v="0"/>
    <n v="0"/>
    <n v="0"/>
  </r>
  <r>
    <n v="0"/>
    <n v="0"/>
    <n v="0"/>
    <n v="0"/>
    <n v="0.53400000000000003"/>
    <n v="0.374"/>
    <x v="1"/>
    <x v="15"/>
    <s v="neutral_beta"/>
    <n v="0"/>
    <n v="0"/>
    <n v="0"/>
    <n v="0"/>
    <n v="0"/>
    <n v="0"/>
    <n v="0"/>
  </r>
  <r>
    <n v="0"/>
    <n v="-4.0000000000000001E-3"/>
    <n v="0"/>
    <n v="4.0000000000000001E-3"/>
    <n v="0.53400000000000003"/>
    <n v="0.57399999999999995"/>
    <x v="4"/>
    <x v="18"/>
    <s v="very_low_beta"/>
    <n v="0"/>
    <n v="-4.0000000000000001E-3"/>
    <n v="4.0000000000000001E-3"/>
    <n v="0"/>
    <n v="0"/>
    <n v="0"/>
    <n v="0"/>
  </r>
  <r>
    <n v="0"/>
    <n v="0"/>
    <n v="0"/>
    <n v="0"/>
    <n v="0.53300000000000003"/>
    <n v="0.46"/>
    <x v="2"/>
    <x v="19"/>
    <s v="very_low_beta"/>
    <n v="0"/>
    <n v="0"/>
    <n v="0"/>
    <n v="0"/>
    <n v="0"/>
    <n v="0"/>
    <n v="0"/>
  </r>
  <r>
    <n v="0"/>
    <n v="-5.0000000000000001E-3"/>
    <n v="0"/>
    <n v="5.0000000000000001E-3"/>
    <n v="0.53200000000000003"/>
    <n v="0.40899999999999997"/>
    <x v="0"/>
    <x v="4"/>
    <s v="high_beta"/>
    <n v="0"/>
    <n v="-5.0000000000000001E-3"/>
    <n v="5.0000000000000001E-3"/>
    <n v="0"/>
    <n v="0"/>
    <n v="0"/>
    <n v="0"/>
  </r>
  <r>
    <n v="0"/>
    <n v="0"/>
    <n v="0"/>
    <n v="0"/>
    <n v="0.53100000000000003"/>
    <n v="0.56499999999999995"/>
    <x v="3"/>
    <x v="7"/>
    <s v="high_beta"/>
    <n v="0"/>
    <n v="0"/>
    <n v="0"/>
    <n v="0"/>
    <n v="0"/>
    <n v="0"/>
    <n v="0"/>
  </r>
  <r>
    <n v="0"/>
    <n v="0"/>
    <n v="0"/>
    <n v="0"/>
    <n v="0.53"/>
    <n v="0.62"/>
    <x v="4"/>
    <x v="18"/>
    <s v="very_low_beta"/>
    <n v="0"/>
    <n v="0"/>
    <n v="0"/>
    <n v="0"/>
    <n v="0"/>
    <n v="0"/>
    <n v="0"/>
  </r>
  <r>
    <n v="0"/>
    <n v="0"/>
    <n v="0"/>
    <n v="0"/>
    <n v="0.52800000000000002"/>
    <n v="0.371"/>
    <x v="0"/>
    <x v="0"/>
    <s v="very_high_beta"/>
    <n v="0"/>
    <n v="0"/>
    <n v="0"/>
    <n v="0"/>
    <n v="0"/>
    <n v="0"/>
    <n v="0"/>
  </r>
  <r>
    <n v="0"/>
    <n v="0"/>
    <n v="0"/>
    <n v="0"/>
    <n v="0.52300000000000002"/>
    <n v="0.57899999999999996"/>
    <x v="3"/>
    <x v="7"/>
    <s v="neutral_beta"/>
    <n v="0"/>
    <n v="0"/>
    <n v="0"/>
    <n v="0"/>
    <n v="0"/>
    <n v="0"/>
    <n v="0"/>
  </r>
  <r>
    <n v="0"/>
    <n v="0"/>
    <n v="0"/>
    <n v="0"/>
    <n v="0.52100000000000002"/>
    <n v="0.435"/>
    <x v="4"/>
    <x v="18"/>
    <s v="very_low_beta"/>
    <n v="0"/>
    <n v="0"/>
    <n v="0"/>
    <n v="0"/>
    <n v="0"/>
    <n v="0"/>
    <n v="0"/>
  </r>
  <r>
    <n v="0"/>
    <n v="0"/>
    <n v="0"/>
    <n v="0"/>
    <n v="0.51900000000000002"/>
    <n v="0.36399999999999999"/>
    <x v="2"/>
    <x v="14"/>
    <s v="very_high_beta"/>
    <n v="0"/>
    <n v="0"/>
    <n v="0"/>
    <n v="0"/>
    <n v="0"/>
    <n v="0"/>
    <n v="0"/>
  </r>
  <r>
    <n v="0"/>
    <n v="0"/>
    <n v="0"/>
    <n v="0"/>
    <n v="0.51900000000000002"/>
    <n v="0.48399999999999999"/>
    <x v="0"/>
    <x v="13"/>
    <s v="neutral_beta"/>
    <n v="0"/>
    <n v="0"/>
    <n v="0"/>
    <n v="0"/>
    <n v="0"/>
    <n v="0"/>
    <n v="0"/>
  </r>
  <r>
    <n v="0"/>
    <n v="0"/>
    <n v="0"/>
    <n v="0"/>
    <n v="0.51800000000000002"/>
    <n v="0.42799999999999999"/>
    <x v="0"/>
    <x v="6"/>
    <s v="neutral_beta"/>
    <n v="0"/>
    <n v="0"/>
    <n v="0"/>
    <n v="0"/>
    <n v="0"/>
    <n v="0"/>
    <n v="0"/>
  </r>
  <r>
    <n v="0"/>
    <n v="0"/>
    <n v="0"/>
    <n v="0"/>
    <n v="0.51800000000000002"/>
    <n v="0.42899999999999999"/>
    <x v="0"/>
    <x v="3"/>
    <s v="neutral_beta"/>
    <n v="0"/>
    <n v="0"/>
    <n v="0"/>
    <n v="0"/>
    <n v="0"/>
    <n v="0"/>
    <n v="0"/>
  </r>
  <r>
    <n v="0"/>
    <n v="-5.0000000000000001E-3"/>
    <n v="0"/>
    <n v="5.0000000000000001E-3"/>
    <n v="0.51600000000000001"/>
    <n v="0.42199999999999999"/>
    <x v="0"/>
    <x v="0"/>
    <s v="high_beta"/>
    <n v="0"/>
    <n v="-5.0000000000000001E-3"/>
    <n v="5.0000000000000001E-3"/>
    <n v="0"/>
    <n v="0"/>
    <n v="0"/>
    <n v="0"/>
  </r>
  <r>
    <n v="0"/>
    <n v="-4.0000000000000001E-3"/>
    <n v="0"/>
    <n v="4.0000000000000001E-3"/>
    <n v="0.51500000000000001"/>
    <n v="0.44900000000000001"/>
    <x v="0"/>
    <x v="17"/>
    <s v="neutral_beta"/>
    <n v="0"/>
    <n v="-4.0000000000000001E-3"/>
    <n v="4.0000000000000001E-3"/>
    <n v="0"/>
    <n v="0"/>
    <n v="0"/>
    <n v="0"/>
  </r>
  <r>
    <n v="0"/>
    <n v="0"/>
    <n v="0"/>
    <n v="0"/>
    <n v="0.51400000000000001"/>
    <n v="0.45500000000000002"/>
    <x v="0"/>
    <x v="3"/>
    <s v="very_low_beta"/>
    <n v="0"/>
    <n v="0"/>
    <n v="0"/>
    <n v="0"/>
    <n v="0"/>
    <n v="0"/>
    <n v="0"/>
  </r>
  <r>
    <n v="0"/>
    <n v="-2.1999999999999999E-2"/>
    <n v="0"/>
    <n v="2.1999999999999999E-2"/>
    <n v="0.51200000000000001"/>
    <n v="0.53100000000000003"/>
    <x v="0"/>
    <x v="13"/>
    <s v="very_high_beta"/>
    <n v="0"/>
    <n v="-2.1999999999999999E-2"/>
    <n v="2.1999999999999999E-2"/>
    <n v="0"/>
    <n v="0"/>
    <n v="0"/>
    <n v="0"/>
  </r>
  <r>
    <n v="0"/>
    <n v="0"/>
    <n v="0"/>
    <n v="0"/>
    <n v="0.50800000000000001"/>
    <n v="0.38800000000000001"/>
    <x v="4"/>
    <x v="9"/>
    <s v="very_high_beta"/>
    <n v="0"/>
    <n v="0"/>
    <n v="0"/>
    <n v="0"/>
    <n v="0"/>
    <n v="0"/>
    <n v="0"/>
  </r>
  <r>
    <n v="0"/>
    <n v="0"/>
    <n v="0"/>
    <n v="0"/>
    <n v="0.50700000000000001"/>
    <n v="0.38700000000000001"/>
    <x v="0"/>
    <x v="0"/>
    <s v="low_beta"/>
    <n v="0"/>
    <n v="0"/>
    <n v="0"/>
    <n v="0"/>
    <n v="0"/>
    <n v="0"/>
    <n v="0"/>
  </r>
  <r>
    <n v="0"/>
    <n v="0"/>
    <n v="0"/>
    <n v="0"/>
    <n v="0.50600000000000001"/>
    <n v="0.39700000000000002"/>
    <x v="3"/>
    <x v="7"/>
    <s v="very_high_beta"/>
    <n v="0"/>
    <n v="0"/>
    <n v="0"/>
    <n v="0"/>
    <n v="0"/>
    <n v="0"/>
    <n v="0"/>
  </r>
  <r>
    <n v="0"/>
    <n v="0"/>
    <n v="0"/>
    <n v="0"/>
    <n v="0.505"/>
    <n v="0.46700000000000003"/>
    <x v="0"/>
    <x v="8"/>
    <s v="neutral_beta"/>
    <n v="0"/>
    <n v="0"/>
    <n v="0"/>
    <n v="0"/>
    <n v="0"/>
    <n v="0"/>
    <n v="0"/>
  </r>
  <r>
    <n v="0"/>
    <n v="0"/>
    <n v="0"/>
    <n v="0"/>
    <n v="0.501"/>
    <n v="0.35099999999999998"/>
    <x v="4"/>
    <x v="9"/>
    <s v="very_high_beta"/>
    <n v="0"/>
    <n v="0"/>
    <n v="0"/>
    <n v="0"/>
    <n v="0"/>
    <n v="0"/>
    <n v="0"/>
  </r>
  <r>
    <n v="0"/>
    <n v="-3.0000000000000001E-3"/>
    <n v="0"/>
    <n v="3.0000000000000001E-3"/>
    <n v="0.5"/>
    <n v="0.376"/>
    <x v="0"/>
    <x v="13"/>
    <s v="very_high_beta"/>
    <n v="0"/>
    <n v="-3.0000000000000001E-3"/>
    <n v="3.0000000000000001E-3"/>
    <n v="0"/>
    <n v="0"/>
    <n v="0"/>
    <n v="0"/>
  </r>
  <r>
    <n v="0"/>
    <n v="0"/>
    <n v="0"/>
    <n v="0"/>
    <n v="0.499"/>
    <n v="0.35099999999999998"/>
    <x v="2"/>
    <x v="14"/>
    <s v="very_high_beta"/>
    <n v="0"/>
    <n v="0"/>
    <n v="0"/>
    <n v="0"/>
    <n v="0"/>
    <n v="0"/>
    <n v="0"/>
  </r>
  <r>
    <n v="0"/>
    <n v="-1E-3"/>
    <n v="0"/>
    <n v="1E-3"/>
    <n v="0.497"/>
    <n v="0.36299999999999999"/>
    <x v="0"/>
    <x v="4"/>
    <s v="very_high_beta"/>
    <n v="0"/>
    <n v="-1E-3"/>
    <n v="1E-3"/>
    <n v="0"/>
    <n v="0"/>
    <n v="0"/>
    <n v="0"/>
  </r>
  <r>
    <n v="0"/>
    <n v="0"/>
    <n v="0"/>
    <n v="0"/>
    <n v="0.49199999999999999"/>
    <n v="0.34499999999999997"/>
    <x v="0"/>
    <x v="13"/>
    <s v="high_beta"/>
    <n v="0"/>
    <n v="0"/>
    <n v="0"/>
    <n v="0"/>
    <n v="0"/>
    <n v="0"/>
    <n v="0"/>
  </r>
  <r>
    <n v="0"/>
    <n v="0"/>
    <n v="0"/>
    <n v="0"/>
    <n v="0.49199999999999999"/>
    <n v="0.34499999999999997"/>
    <x v="0"/>
    <x v="4"/>
    <s v="very_high_beta"/>
    <n v="0"/>
    <n v="0"/>
    <n v="0"/>
    <n v="0"/>
    <n v="0"/>
    <n v="0"/>
    <n v="0"/>
  </r>
  <r>
    <n v="0"/>
    <n v="0"/>
    <n v="0"/>
    <n v="0"/>
    <n v="0.48899999999999999"/>
    <n v="0.51200000000000001"/>
    <x v="0"/>
    <x v="11"/>
    <s v="neutral_beta"/>
    <n v="0"/>
    <n v="0"/>
    <n v="0"/>
    <n v="0"/>
    <n v="0"/>
    <n v="0"/>
    <n v="0"/>
  </r>
  <r>
    <n v="0"/>
    <n v="0"/>
    <n v="0"/>
    <n v="0"/>
    <n v="0.48499999999999999"/>
    <n v="0.36199999999999999"/>
    <x v="3"/>
    <x v="10"/>
    <s v="very_low_beta"/>
    <n v="0"/>
    <n v="0"/>
    <n v="0"/>
    <n v="0"/>
    <n v="0"/>
    <n v="0"/>
    <n v="0"/>
  </r>
  <r>
    <n v="0"/>
    <n v="0"/>
    <n v="0"/>
    <n v="0"/>
    <n v="0.48199999999999998"/>
    <n v="0.34200000000000003"/>
    <x v="0"/>
    <x v="13"/>
    <s v="high_beta"/>
    <n v="0"/>
    <n v="0"/>
    <n v="0"/>
    <n v="0"/>
    <n v="0"/>
    <n v="0"/>
    <n v="0"/>
  </r>
  <r>
    <n v="0"/>
    <n v="-7.0000000000000001E-3"/>
    <n v="0"/>
    <n v="7.0000000000000001E-3"/>
    <n v="0.47799999999999998"/>
    <n v="0.34399999999999997"/>
    <x v="3"/>
    <x v="20"/>
    <s v="very_low_beta"/>
    <n v="0"/>
    <n v="-7.0000000000000001E-3"/>
    <n v="7.0000000000000001E-3"/>
    <n v="0"/>
    <n v="0"/>
    <n v="0"/>
    <n v="0"/>
  </r>
  <r>
    <n v="0"/>
    <n v="0"/>
    <n v="0"/>
    <n v="0"/>
    <n v="0.47699999999999998"/>
    <n v="0.33500000000000002"/>
    <x v="3"/>
    <x v="7"/>
    <s v="very_low_beta"/>
    <n v="0"/>
    <n v="0"/>
    <n v="0"/>
    <n v="0"/>
    <n v="0"/>
    <n v="0"/>
    <n v="0"/>
  </r>
  <r>
    <n v="0"/>
    <n v="0"/>
    <n v="0"/>
    <n v="0"/>
    <n v="0.47699999999999998"/>
    <n v="0.33900000000000002"/>
    <x v="2"/>
    <x v="19"/>
    <s v="very_high_beta"/>
    <n v="0"/>
    <n v="0"/>
    <n v="0"/>
    <n v="0"/>
    <n v="0"/>
    <n v="0"/>
    <n v="0"/>
  </r>
  <r>
    <n v="0"/>
    <n v="0"/>
    <n v="0"/>
    <n v="0"/>
    <n v="0.47699999999999998"/>
    <n v="0.33500000000000002"/>
    <x v="0"/>
    <x v="0"/>
    <s v="low_beta"/>
    <n v="0"/>
    <n v="0"/>
    <n v="0"/>
    <n v="0"/>
    <n v="0"/>
    <n v="0"/>
    <n v="0"/>
  </r>
  <r>
    <n v="0"/>
    <n v="0"/>
    <n v="0"/>
    <n v="0"/>
    <n v="0.47699999999999998"/>
    <n v="0.33700000000000002"/>
    <x v="0"/>
    <x v="8"/>
    <s v="high_beta"/>
    <n v="0"/>
    <n v="0"/>
    <n v="0"/>
    <n v="0"/>
    <n v="0"/>
    <n v="0"/>
    <n v="0"/>
  </r>
  <r>
    <n v="0"/>
    <n v="0"/>
    <n v="0"/>
    <n v="0"/>
    <n v="0.47699999999999998"/>
    <n v="0.33500000000000002"/>
    <x v="2"/>
    <x v="14"/>
    <s v="very_high_beta"/>
    <n v="0"/>
    <n v="0"/>
    <n v="0"/>
    <n v="0"/>
    <n v="0"/>
    <n v="0"/>
    <n v="0"/>
  </r>
  <r>
    <n v="0"/>
    <n v="0"/>
    <n v="0"/>
    <n v="0"/>
    <n v="0.47699999999999998"/>
    <n v="0.33500000000000002"/>
    <x v="4"/>
    <x v="9"/>
    <s v="high_beta"/>
    <n v="0"/>
    <n v="0"/>
    <n v="0"/>
    <n v="0"/>
    <n v="0"/>
    <n v="0"/>
    <n v="0"/>
  </r>
  <r>
    <m/>
    <m/>
    <m/>
    <m/>
    <m/>
    <m/>
    <x v="5"/>
    <x v="21"/>
    <m/>
    <m/>
    <m/>
    <m/>
    <m/>
    <m/>
    <m/>
    <m/>
  </r>
  <r>
    <m/>
    <m/>
    <m/>
    <m/>
    <m/>
    <m/>
    <x v="5"/>
    <x v="21"/>
    <m/>
    <m/>
    <m/>
    <m/>
    <m/>
    <m/>
    <m/>
    <m/>
  </r>
  <r>
    <m/>
    <m/>
    <m/>
    <m/>
    <m/>
    <m/>
    <x v="5"/>
    <x v="2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0.01"/>
    <n v="0.01"/>
    <n v="0"/>
    <n v="0"/>
    <n v="3.6120000000000001"/>
    <n v="3.907"/>
    <x v="0"/>
    <x v="0"/>
    <s v="neutral_beta"/>
    <n v="0.01"/>
    <n v="0.01"/>
    <n v="1.7075746070312099E-2"/>
    <n v="-7.075746070312099E-3"/>
    <n v="-7.075746070312099E-3"/>
    <n v="9.4309657753094706E-3"/>
    <n v="5.6903422469052958E-4"/>
  </r>
  <r>
    <n v="1.0999999999999999E-2"/>
    <n v="1.0999999999999999E-2"/>
    <n v="0"/>
    <n v="0"/>
    <n v="3.6120000000000001"/>
    <n v="3.66"/>
    <x v="0"/>
    <x v="1"/>
    <s v="low_beta"/>
    <n v="1.0999999999999999E-2"/>
    <n v="1.0999999999999999E-2"/>
    <n v="1.7075746070312099E-2"/>
    <n v="-6.0757460703120998E-3"/>
    <n v="-6.0757460703120998E-3"/>
    <n v="1.33335221956458E-2"/>
    <n v="-2.333522195645801E-3"/>
  </r>
  <r>
    <n v="1.2E-2"/>
    <n v="1.2E-2"/>
    <n v="0"/>
    <n v="0"/>
    <n v="3.6120000000000001"/>
    <n v="3.6339999999999999"/>
    <x v="1"/>
    <x v="2"/>
    <s v="high_beta"/>
    <n v="1.2E-2"/>
    <n v="1.2E-2"/>
    <n v="1.7075746070312099E-2"/>
    <n v="-5.0757460703120989E-3"/>
    <n v="-5.0757460703120989E-3"/>
    <n v="1.33335221956458E-2"/>
    <n v="-1.3335221956458001E-3"/>
  </r>
  <r>
    <n v="1.2999999999999999E-2"/>
    <n v="1.2999999999999999E-2"/>
    <n v="0"/>
    <n v="0"/>
    <n v="3.6120000000000001"/>
    <n v="3.59"/>
    <x v="2"/>
    <x v="3"/>
    <s v="very_low_beta"/>
    <n v="1.2999999999999999E-2"/>
    <n v="1.2999999999999999E-2"/>
    <n v="1.7075746070312099E-2"/>
    <n v="-4.0757460703120998E-3"/>
    <n v="-4.0757460703120998E-3"/>
    <n v="1.2109688947626001E-2"/>
    <n v="8.9031105237399877E-4"/>
  </r>
  <r>
    <n v="8.9999999999999993E-3"/>
    <n v="8.9999999999999993E-3"/>
    <n v="0"/>
    <n v="0"/>
    <n v="3.6120000000000001"/>
    <n v="3.4009999999999998"/>
    <x v="1"/>
    <x v="4"/>
    <s v="very_high_beta"/>
    <n v="8.9999999999999993E-3"/>
    <n v="8.9999999999999993E-3"/>
    <n v="1.7075746070312099E-2"/>
    <n v="-8.0757460703120999E-3"/>
    <n v="-8.0757460703120999E-3"/>
    <n v="1.33335221956458E-2"/>
    <n v="-4.333522195645801E-3"/>
  </r>
  <r>
    <n v="7.0000000000000001E-3"/>
    <n v="7.0000000000000001E-3"/>
    <n v="0"/>
    <n v="0"/>
    <n v="3.6120000000000001"/>
    <n v="2.7650000000000001"/>
    <x v="1"/>
    <x v="5"/>
    <s v="very_low_beta"/>
    <n v="7.0000000000000001E-3"/>
    <n v="7.0000000000000001E-3"/>
    <n v="1.7075746070312099E-2"/>
    <n v="-1.00757460703121E-2"/>
    <n v="-1.00757460703121E-2"/>
    <n v="1.33335221956458E-2"/>
    <n v="-6.3335221956458002E-3"/>
  </r>
  <r>
    <n v="0.01"/>
    <n v="0.01"/>
    <n v="0"/>
    <n v="0"/>
    <n v="3.5289999999999999"/>
    <n v="2.7269999999999999"/>
    <x v="1"/>
    <x v="6"/>
    <s v="very_high_beta"/>
    <n v="0.01"/>
    <n v="0.01"/>
    <n v="1.6684757267521499E-2"/>
    <n v="-6.6847572675214992E-3"/>
    <n v="-6.6847572675214992E-3"/>
    <n v="9.8152608532596896E-3"/>
    <n v="1.8473914674031061E-4"/>
  </r>
  <r>
    <n v="1.2E-2"/>
    <n v="1.2E-2"/>
    <n v="0"/>
    <n v="0"/>
    <n v="3.4969999999999999"/>
    <n v="3.76"/>
    <x v="1"/>
    <x v="6"/>
    <s v="very_low_beta"/>
    <n v="1.2E-2"/>
    <n v="1.2E-2"/>
    <n v="1.6533418440866501E-2"/>
    <n v="-4.5334184408665004E-3"/>
    <n v="-4.5334184408665004E-3"/>
    <n v="1.0017891708938799E-2"/>
    <n v="1.982108291061201E-3"/>
  </r>
  <r>
    <n v="8.0000000000000002E-3"/>
    <n v="8.0000000000000002E-3"/>
    <n v="0"/>
    <n v="0"/>
    <n v="3.3780000000000001"/>
    <n v="2.5790000000000002"/>
    <x v="0"/>
    <x v="0"/>
    <s v="very_high_beta"/>
    <n v="8.0000000000000002E-3"/>
    <n v="8.0000000000000002E-3"/>
    <n v="1.59697112139294E-2"/>
    <n v="-7.9697112139293994E-3"/>
    <n v="-7.9697112139293994E-3"/>
    <n v="6.2313314400576298E-3"/>
    <n v="1.7686685599423704E-3"/>
  </r>
  <r>
    <n v="8.9999999999999993E-3"/>
    <n v="8.9999999999999993E-3"/>
    <n v="0"/>
    <n v="0"/>
    <n v="3.3239999999999998"/>
    <n v="2.9790000000000001"/>
    <x v="3"/>
    <x v="7"/>
    <s v="neutral_beta"/>
    <n v="8.9999999999999993E-3"/>
    <n v="8.9999999999999993E-3"/>
    <n v="1.5715049155014E-2"/>
    <n v="-6.7150491550140006E-3"/>
    <n v="-6.7150491550140006E-3"/>
    <n v="1.0094922437337801E-2"/>
    <n v="-1.0949224373378013E-3"/>
  </r>
  <r>
    <n v="1.7000000000000001E-2"/>
    <n v="1.7000000000000001E-2"/>
    <n v="0"/>
    <n v="0"/>
    <n v="3.23"/>
    <n v="3.5329999999999999"/>
    <x v="1"/>
    <x v="4"/>
    <s v="low_beta"/>
    <n v="1.7000000000000001E-2"/>
    <n v="1.7000000000000001E-2"/>
    <n v="1.52716973157744E-2"/>
    <n v="1.7283026842256008E-3"/>
    <n v="1.7283026842256008E-3"/>
    <n v="1.18769626101E-2"/>
    <n v="5.1230373899000016E-3"/>
  </r>
  <r>
    <n v="6.0000000000000001E-3"/>
    <n v="6.0000000000000001E-3"/>
    <n v="0"/>
    <n v="0"/>
    <n v="2.9369999999999998"/>
    <n v="2.169"/>
    <x v="1"/>
    <x v="8"/>
    <s v="high_beta"/>
    <n v="6.0000000000000001E-3"/>
    <n v="6.0000000000000001E-3"/>
    <n v="1.3885916398949099E-2"/>
    <n v="-7.8859163989490992E-3"/>
    <n v="-7.8859163989490992E-3"/>
    <n v="1.03883734260633E-2"/>
    <n v="-4.3883734260633002E-3"/>
  </r>
  <r>
    <n v="0"/>
    <n v="0"/>
    <n v="0"/>
    <n v="0"/>
    <n v="2.92"/>
    <n v="3.7149999999999999"/>
    <x v="4"/>
    <x v="9"/>
    <s v="low_beta"/>
    <n v="0"/>
    <n v="0"/>
    <n v="1.3805492359958199E-2"/>
    <n v="-1.3805492359958199E-2"/>
    <n v="-1.3805492359958199E-2"/>
    <n v="8.7249884552245208E-3"/>
    <n v="-8.7249884552245208E-3"/>
  </r>
  <r>
    <n v="8.9999999999999993E-3"/>
    <n v="8.9999999999999993E-3"/>
    <n v="0"/>
    <n v="0"/>
    <n v="2.9009999999999998"/>
    <n v="2.258"/>
    <x v="0"/>
    <x v="0"/>
    <s v="low_beta"/>
    <n v="8.9999999999999993E-3"/>
    <n v="8.9999999999999993E-3"/>
    <n v="1.3712912719449801E-2"/>
    <n v="-4.7129127194498015E-3"/>
    <n v="-4.7129127194498015E-3"/>
    <n v="8.2322200544840494E-3"/>
    <n v="7.6777994551594994E-4"/>
  </r>
  <r>
    <n v="1.2E-2"/>
    <n v="1.2E-2"/>
    <n v="0"/>
    <n v="0"/>
    <n v="2.8340000000000001"/>
    <n v="3.0070000000000001"/>
    <x v="1"/>
    <x v="2"/>
    <s v="neutral_beta"/>
    <n v="1.2E-2"/>
    <n v="1.2E-2"/>
    <n v="1.33957637248382E-2"/>
    <n v="-1.3957637248381994E-3"/>
    <n v="-1.3957637248381994E-3"/>
    <n v="8.6331965293741098E-3"/>
    <n v="3.3668034706258905E-3"/>
  </r>
  <r>
    <n v="1.4E-2"/>
    <n v="1.4E-2"/>
    <n v="0"/>
    <n v="0"/>
    <n v="2.64"/>
    <n v="3.3180000000000001"/>
    <x v="3"/>
    <x v="10"/>
    <s v="neutral_beta"/>
    <n v="1.4E-2"/>
    <n v="1.4E-2"/>
    <n v="1.24790436857528E-2"/>
    <n v="1.5209563142471998E-3"/>
    <n v="1.5209563142471998E-3"/>
    <n v="6.5569513623760503E-3"/>
    <n v="7.44304863762395E-3"/>
  </r>
  <r>
    <n v="5.0000000000000001E-3"/>
    <n v="5.0000000000000001E-3"/>
    <n v="0"/>
    <n v="0"/>
    <n v="2.6240000000000001"/>
    <n v="1.869"/>
    <x v="4"/>
    <x v="9"/>
    <s v="very_high_beta"/>
    <n v="5.0000000000000001E-3"/>
    <n v="5.0000000000000001E-3"/>
    <n v="1.24071191852617E-2"/>
    <n v="-7.4071191852616994E-3"/>
    <n v="-7.4071191852616994E-3"/>
    <n v="1.1528511670401E-2"/>
    <n v="-6.5285116704010002E-3"/>
  </r>
  <r>
    <n v="1.15E-2"/>
    <n v="9.4999999999999998E-3"/>
    <n v="1.15E-2"/>
    <n v="2E-3"/>
    <n v="2.61"/>
    <n v="3.5169999999999999"/>
    <x v="4"/>
    <x v="9"/>
    <s v="neutral_beta"/>
    <n v="0"/>
    <n v="-2E-3"/>
    <n v="1.47029891631534E-2"/>
    <n v="-1.47029891631534E-2"/>
    <n v="-3.2029891631534003E-3"/>
    <n v="1.0668914485443E-2"/>
    <n v="-1.0668914485443E-2"/>
  </r>
  <r>
    <n v="8.9999999999999993E-3"/>
    <n v="8.9999999999999993E-3"/>
    <n v="0"/>
    <n v="0"/>
    <n v="2.6019999999999999"/>
    <n v="2.2549999999999999"/>
    <x v="1"/>
    <x v="8"/>
    <s v="high_beta"/>
    <n v="8.9999999999999993E-3"/>
    <n v="8.9999999999999993E-3"/>
    <n v="1.2303014550779E-2"/>
    <n v="-3.3030145507790005E-3"/>
    <n v="-3.3030145507790005E-3"/>
    <n v="8.8324623825414405E-3"/>
    <n v="1.6753761745855883E-4"/>
  </r>
  <r>
    <n v="7.0000000000000001E-3"/>
    <n v="7.0000000000000001E-3"/>
    <n v="0"/>
    <n v="0"/>
    <n v="2.593"/>
    <n v="1.861"/>
    <x v="1"/>
    <x v="11"/>
    <s v="high_beta"/>
    <n v="7.0000000000000001E-3"/>
    <n v="7.0000000000000001E-3"/>
    <n v="1.2257286910069901E-2"/>
    <n v="-5.2572869100699004E-3"/>
    <n v="-5.2572869100699004E-3"/>
    <n v="8.4407640030692496E-3"/>
    <n v="-1.4407640030692495E-3"/>
  </r>
  <r>
    <n v="0.05"/>
    <n v="-0.03"/>
    <n v="2.0000000000000004E-2"/>
    <n v="0.08"/>
    <n v="2.5590000000000002"/>
    <n v="5.077"/>
    <x v="4"/>
    <x v="12"/>
    <s v="very_low_beta"/>
    <n v="0.03"/>
    <n v="-0.05"/>
    <n v="6.6604102001668497E-2"/>
    <n v="-3.6604102001668498E-2"/>
    <n v="-1.6604102001668494E-2"/>
    <n v="7.3419562520658302E-2"/>
    <n v="-4.3419562520658303E-2"/>
  </r>
  <r>
    <n v="8.0000000000000002E-3"/>
    <n v="8.0000000000000002E-3"/>
    <n v="0"/>
    <n v="0"/>
    <n v="2.5230000000000001"/>
    <n v="1.9339999999999999"/>
    <x v="1"/>
    <x v="2"/>
    <s v="neutral_beta"/>
    <n v="8.0000000000000002E-3"/>
    <n v="8.0000000000000002E-3"/>
    <n v="1.1926820688697199E-2"/>
    <n v="-3.9268206886971992E-3"/>
    <n v="-3.9268206886971992E-3"/>
    <n v="1.33335221956458E-2"/>
    <n v="-5.3335221956458002E-3"/>
  </r>
  <r>
    <n v="1.0999999999999999E-2"/>
    <n v="8.9999999999999993E-3"/>
    <n v="0"/>
    <n v="2E-3"/>
    <n v="2.5179999999999998"/>
    <n v="2.4710000000000001"/>
    <x v="3"/>
    <x v="7"/>
    <s v="high_beta"/>
    <n v="1.0999999999999999E-2"/>
    <n v="8.9999999999999993E-3"/>
    <n v="1.3461488107040899E-2"/>
    <n v="-2.4614881070409E-3"/>
    <n v="-2.4614881070409E-3"/>
    <n v="8.3488414747326205E-3"/>
    <n v="2.6511585252673789E-3"/>
  </r>
  <r>
    <n v="4.4999999999999998E-2"/>
    <n v="1.0000000000000009E-3"/>
    <n v="1.4999999999999999E-2"/>
    <n v="4.3999999999999997E-2"/>
    <n v="2.4710000000000001"/>
    <n v="4.4909999999999997"/>
    <x v="4"/>
    <x v="12"/>
    <s v="very_low_beta"/>
    <n v="0.03"/>
    <n v="-1.4E-2"/>
    <n v="6.4329873560453693E-2"/>
    <n v="-3.4329873560453694E-2"/>
    <n v="-1.9329873560453695E-2"/>
    <n v="7.2962312421611497E-2"/>
    <n v="-4.2962312421611498E-2"/>
  </r>
  <r>
    <n v="8.9999999999999993E-3"/>
    <n v="8.9999999999999993E-3"/>
    <n v="0"/>
    <n v="0"/>
    <n v="2.4249999999999998"/>
    <n v="1.8420000000000001"/>
    <x v="1"/>
    <x v="11"/>
    <s v="very_high_beta"/>
    <n v="8.9999999999999993E-3"/>
    <n v="8.9999999999999993E-3"/>
    <n v="1.1465594682522401E-2"/>
    <n v="-2.4655946825224012E-3"/>
    <n v="-2.4655946825224012E-3"/>
    <n v="8.9832565085435599E-3"/>
    <n v="1.6743491456439399E-5"/>
  </r>
  <r>
    <n v="1.2999999999999999E-2"/>
    <n v="1.2999999999999999E-2"/>
    <n v="0"/>
    <n v="0"/>
    <n v="2.3660000000000001"/>
    <n v="2.5790000000000002"/>
    <x v="4"/>
    <x v="12"/>
    <s v="very_low_beta"/>
    <n v="1.2999999999999999E-2"/>
    <n v="1.2999999999999999E-2"/>
    <n v="1.11870247999256E-2"/>
    <n v="1.8129752000743994E-3"/>
    <n v="1.8129752000743994E-3"/>
    <n v="1.08942287325997E-2"/>
    <n v="2.1057712674002992E-3"/>
  </r>
  <r>
    <n v="5.0000000000000001E-3"/>
    <n v="5.0000000000000001E-3"/>
    <n v="-5.0000000000000001E-3"/>
    <n v="0"/>
    <n v="2.359"/>
    <n v="1.7470000000000001"/>
    <x v="1"/>
    <x v="13"/>
    <s v="very_low_beta"/>
    <n v="0.01"/>
    <n v="0.01"/>
    <n v="1.11506274582279E-2"/>
    <n v="-1.1506274582278996E-3"/>
    <n v="-6.1506274582278997E-3"/>
    <n v="0"/>
    <n v="0.01"/>
  </r>
  <r>
    <n v="7.0000000000000001E-3"/>
    <n v="7.0000000000000001E-3"/>
    <n v="0"/>
    <n v="0"/>
    <n v="2.3580000000000001"/>
    <n v="1.8360000000000001"/>
    <x v="1"/>
    <x v="11"/>
    <s v="neutral_beta"/>
    <n v="7.0000000000000001E-3"/>
    <n v="7.0000000000000001E-3"/>
    <n v="1.1147111136295899E-2"/>
    <n v="-4.1471111362958992E-3"/>
    <n v="-4.1471111362958992E-3"/>
    <n v="1.05868248139467E-2"/>
    <n v="-3.5868248139466997E-3"/>
  </r>
  <r>
    <n v="0"/>
    <n v="0"/>
    <n v="-2.4E-2"/>
    <n v="0"/>
    <n v="2.34"/>
    <n v="3.177"/>
    <x v="1"/>
    <x v="2"/>
    <s v="neutral_beta"/>
    <n v="2.4E-2"/>
    <n v="2.4E-2"/>
    <n v="1.10608129800272E-2"/>
    <n v="1.2939187019972801E-2"/>
    <n v="-1.10608129800272E-2"/>
    <n v="7.1802677208213702E-3"/>
    <n v="1.6819732279178629E-2"/>
  </r>
  <r>
    <n v="1.6E-2"/>
    <n v="1.6E-2"/>
    <n v="0"/>
    <n v="0"/>
    <n v="2.2639999999999998"/>
    <n v="2.9649999999999999"/>
    <x v="1"/>
    <x v="2"/>
    <s v="low_beta"/>
    <n v="1.6E-2"/>
    <n v="1.6E-2"/>
    <n v="1.0702295883290301E-2"/>
    <n v="5.2977041167096995E-3"/>
    <n v="5.2977041167096995E-3"/>
    <n v="5.5117039047472699E-3"/>
    <n v="1.048829609525273E-2"/>
  </r>
  <r>
    <n v="1.4E-2"/>
    <n v="1.4E-2"/>
    <n v="0"/>
    <n v="0"/>
    <n v="2.2480000000000002"/>
    <n v="2.456"/>
    <x v="1"/>
    <x v="4"/>
    <s v="low_beta"/>
    <n v="1.4E-2"/>
    <n v="1.4E-2"/>
    <n v="1.0627200068774901E-2"/>
    <n v="3.3727999312250997E-3"/>
    <n v="3.3727999312250997E-3"/>
    <n v="8.7400116095888193E-3"/>
    <n v="5.259988390411181E-3"/>
  </r>
  <r>
    <n v="1.4E-2"/>
    <n v="1.4E-2"/>
    <n v="0"/>
    <n v="0"/>
    <n v="2.2050000000000001"/>
    <n v="2.1509999999999998"/>
    <x v="1"/>
    <x v="8"/>
    <s v="neutral_beta"/>
    <n v="1.4E-2"/>
    <n v="1.4E-2"/>
    <n v="1.0425587748621099E-2"/>
    <n v="3.5744122513789011E-3"/>
    <n v="3.5744122513789011E-3"/>
    <n v="9.1537293884835398E-3"/>
    <n v="4.8462706115164605E-3"/>
  </r>
  <r>
    <n v="1.2E-2"/>
    <n v="1.2E-2"/>
    <n v="0"/>
    <n v="0"/>
    <n v="2.1789999999999998"/>
    <n v="2.5619999999999998"/>
    <x v="3"/>
    <x v="7"/>
    <s v="very_low_beta"/>
    <n v="1.2E-2"/>
    <n v="1.2E-2"/>
    <n v="1.0299107233462199E-2"/>
    <n v="1.700892766537801E-3"/>
    <n v="1.700892766537801E-3"/>
    <n v="1.16008431051586E-2"/>
    <n v="3.991568948414001E-4"/>
  </r>
  <r>
    <n v="8.9999999999999993E-3"/>
    <n v="8.9999999999999993E-3"/>
    <n v="0"/>
    <n v="0"/>
    <n v="2.1739999999999999"/>
    <n v="2.3370000000000002"/>
    <x v="3"/>
    <x v="10"/>
    <s v="very_low_beta"/>
    <n v="8.9999999999999993E-3"/>
    <n v="8.9999999999999993E-3"/>
    <n v="1.0277042356205E-2"/>
    <n v="-1.2770423562050003E-3"/>
    <n v="-1.2770423562050003E-3"/>
    <n v="8.0345058420280002E-3"/>
    <n v="9.654941579719991E-4"/>
  </r>
  <r>
    <n v="1.2999999999999999E-2"/>
    <n v="1.2999999999999999E-2"/>
    <n v="0"/>
    <n v="0"/>
    <n v="2.1589999999999998"/>
    <n v="2.298"/>
    <x v="1"/>
    <x v="3"/>
    <s v="very_low_beta"/>
    <n v="1.2999999999999999E-2"/>
    <n v="1.2999999999999999E-2"/>
    <n v="1.0205891534610699E-2"/>
    <n v="2.7941084653893E-3"/>
    <n v="2.7941084653893E-3"/>
    <n v="6.2863822606588999E-3"/>
    <n v="6.7136177393410995E-3"/>
  </r>
  <r>
    <n v="1.0999999999999999E-2"/>
    <n v="1.0999999999999999E-2"/>
    <n v="0"/>
    <n v="0"/>
    <n v="2.105"/>
    <n v="2.21"/>
    <x v="2"/>
    <x v="14"/>
    <s v="high_beta"/>
    <n v="1.0999999999999999E-2"/>
    <n v="1.0999999999999999E-2"/>
    <n v="9.9530478391366296E-3"/>
    <n v="1.0469521608633698E-3"/>
    <n v="1.0469521608633698E-3"/>
    <n v="8.3576655835055393E-3"/>
    <n v="2.6423344164944601E-3"/>
  </r>
  <r>
    <n v="0"/>
    <n v="0"/>
    <n v="-8.0000000000000002E-3"/>
    <n v="0"/>
    <n v="2.0529999999999999"/>
    <n v="1.708"/>
    <x v="0"/>
    <x v="15"/>
    <s v="high_beta"/>
    <n v="8.0000000000000002E-3"/>
    <n v="8.0000000000000002E-3"/>
    <n v="9.7034553948081199E-3"/>
    <n v="-1.7034553948081198E-3"/>
    <n v="-9.7034553948081199E-3"/>
    <n v="0"/>
    <n v="8.0000000000000002E-3"/>
  </r>
  <r>
    <n v="7.0000000000000001E-3"/>
    <n v="7.0000000000000001E-3"/>
    <n v="0"/>
    <n v="0"/>
    <n v="2.016"/>
    <n v="1.5589999999999999"/>
    <x v="1"/>
    <x v="4"/>
    <s v="very_high_beta"/>
    <n v="7.0000000000000001E-3"/>
    <n v="7.0000000000000001E-3"/>
    <n v="9.5300222819630197E-3"/>
    <n v="-2.5300222819630196E-3"/>
    <n v="-2.5300222819630196E-3"/>
    <n v="7.8945348654157997E-3"/>
    <n v="-8.9453486541579957E-4"/>
  </r>
  <r>
    <n v="1.2E-2"/>
    <n v="1.2E-2"/>
    <n v="0"/>
    <n v="0"/>
    <n v="1.992"/>
    <n v="2.4249999999999998"/>
    <x v="3"/>
    <x v="7"/>
    <s v="low_beta"/>
    <n v="1.2E-2"/>
    <n v="1.2E-2"/>
    <n v="9.4175449693149199E-3"/>
    <n v="2.5824550306850803E-3"/>
    <n v="2.5824550306850803E-3"/>
    <n v="6.6476974681346501E-3"/>
    <n v="5.3523025318653501E-3"/>
  </r>
  <r>
    <n v="1.4E-2"/>
    <n v="1.4E-2"/>
    <n v="0"/>
    <n v="0"/>
    <n v="1.9890000000000001"/>
    <n v="1.6419999999999999"/>
    <x v="1"/>
    <x v="8"/>
    <s v="neutral_beta"/>
    <n v="1.4E-2"/>
    <n v="1.4E-2"/>
    <n v="9.4015787204751594E-3"/>
    <n v="4.5984212795248409E-3"/>
    <n v="4.5984212795248409E-3"/>
    <n v="0"/>
    <n v="1.4E-2"/>
  </r>
  <r>
    <n v="8.9999999999999993E-3"/>
    <n v="8.9999999999999993E-3"/>
    <n v="0"/>
    <n v="0"/>
    <n v="1.97"/>
    <n v="1.5469999999999999"/>
    <x v="2"/>
    <x v="14"/>
    <s v="high_beta"/>
    <n v="8.9999999999999993E-3"/>
    <n v="8.9999999999999993E-3"/>
    <n v="9.3139248144015092E-3"/>
    <n v="-3.1392481440150992E-4"/>
    <n v="-3.1392481440150992E-4"/>
    <n v="7.1644842729701097E-3"/>
    <n v="1.8355157270298897E-3"/>
  </r>
  <r>
    <n v="1.2999999999999999E-2"/>
    <n v="0.01"/>
    <n v="0"/>
    <n v="2.9999999999999992E-3"/>
    <n v="1.9690000000000001"/>
    <n v="2.5529999999999999"/>
    <x v="4"/>
    <x v="9"/>
    <s v="low_beta"/>
    <n v="1.2999999999999999E-2"/>
    <n v="0.01"/>
    <n v="1.26016785796235E-2"/>
    <n v="3.9832142037649933E-4"/>
    <n v="3.9832142037649933E-4"/>
    <n v="1.01111098295611E-2"/>
    <n v="2.888890170438899E-3"/>
  </r>
  <r>
    <n v="3.5000000000000003E-2"/>
    <n v="3.0000000000000027E-3"/>
    <n v="8.0000000000000036E-3"/>
    <n v="3.2000000000000001E-2"/>
    <n v="1.9079999999999999"/>
    <n v="4.1550000000000002"/>
    <x v="1"/>
    <x v="2"/>
    <s v="neutral_beta"/>
    <n v="2.7E-2"/>
    <n v="-5.0000000000000001E-3"/>
    <n v="4.9679965495512103E-2"/>
    <n v="-2.2679965495512103E-2"/>
    <n v="-1.46799654955121E-2"/>
    <n v="3.84341950038425E-2"/>
    <n v="-1.14341950038425E-2"/>
  </r>
  <r>
    <n v="8.9999999999999993E-3"/>
    <n v="8.9999999999999993E-3"/>
    <n v="0"/>
    <n v="0"/>
    <n v="1.9039999999999999"/>
    <n v="1.56"/>
    <x v="1"/>
    <x v="6"/>
    <s v="high_beta"/>
    <n v="8.9999999999999993E-3"/>
    <n v="8.9999999999999993E-3"/>
    <n v="9.0014530795023799E-3"/>
    <n v="-1.4530795023805915E-6"/>
    <n v="-1.4530795023805915E-6"/>
    <n v="6.4494607091336396E-3"/>
    <n v="2.5505392908663597E-3"/>
  </r>
  <r>
    <n v="0.02"/>
    <n v="0.02"/>
    <n v="8.0000000000000002E-3"/>
    <n v="0"/>
    <n v="1.8919999999999999"/>
    <n v="2.004"/>
    <x v="0"/>
    <x v="15"/>
    <s v="neutral_beta"/>
    <n v="1.2E-2"/>
    <n v="1.2E-2"/>
    <n v="8.9446895074581107E-3"/>
    <n v="3.0553104925418895E-3"/>
    <n v="1.105531049254189E-2"/>
    <n v="0"/>
    <n v="1.2E-2"/>
  </r>
  <r>
    <n v="2.5000000000000001E-2"/>
    <n v="1.7999999999999999E-2"/>
    <n v="0"/>
    <n v="7.0000000000000027E-3"/>
    <n v="1.88"/>
    <n v="2.726"/>
    <x v="0"/>
    <x v="1"/>
    <s v="very_low_beta"/>
    <n v="2.5000000000000001E-2"/>
    <n v="1.7999999999999999E-2"/>
    <n v="1.7856406115015801E-2"/>
    <n v="7.1435938849842007E-3"/>
    <n v="7.1435938849842007E-3"/>
    <n v="1.07151584615112E-2"/>
    <n v="1.4284841538488802E-2"/>
  </r>
  <r>
    <n v="2.3E-2"/>
    <n v="1.4999999999999999E-2"/>
    <n v="0"/>
    <n v="8.0000000000000002E-3"/>
    <n v="1.865"/>
    <n v="3.3719999999999999"/>
    <x v="2"/>
    <x v="16"/>
    <s v="very_low_beta"/>
    <n v="2.3E-2"/>
    <n v="1.4999999999999999E-2"/>
    <n v="2.00765364497726E-2"/>
    <n v="2.9234635502273995E-3"/>
    <n v="2.9234635502273995E-3"/>
    <n v="2.09930344493163E-2"/>
    <n v="2.0069655506836995E-3"/>
  </r>
  <r>
    <n v="0.01"/>
    <n v="0.01"/>
    <n v="0"/>
    <n v="0"/>
    <n v="1.851"/>
    <n v="1.738"/>
    <x v="1"/>
    <x v="4"/>
    <s v="high_beta"/>
    <n v="0.01"/>
    <n v="0.01"/>
    <n v="8.7508553503635195E-3"/>
    <n v="1.2491446496364807E-3"/>
    <n v="1.2491446496364807E-3"/>
    <n v="0"/>
    <n v="0.01"/>
  </r>
  <r>
    <n v="1.4E-2"/>
    <n v="1.2E-2"/>
    <n v="0"/>
    <n v="2E-3"/>
    <n v="1.8089999999999999"/>
    <n v="2.5550000000000002"/>
    <x v="0"/>
    <x v="0"/>
    <s v="high_beta"/>
    <n v="1.4E-2"/>
    <n v="1.2E-2"/>
    <n v="1.0070510469095101E-2"/>
    <n v="3.9294895309048995E-3"/>
    <n v="3.9294895309048995E-3"/>
    <n v="9.8198343503725898E-3"/>
    <n v="4.1801656496274105E-3"/>
  </r>
  <r>
    <n v="1.2999999999999999E-2"/>
    <n v="8.9999999999999993E-3"/>
    <n v="0"/>
    <n v="4.0000000000000001E-3"/>
    <n v="1.7310000000000001"/>
    <n v="2.2589999999999999"/>
    <x v="2"/>
    <x v="16"/>
    <s v="very_low_beta"/>
    <n v="1.2999999999999999E-2"/>
    <n v="8.9999999999999993E-3"/>
    <n v="1.1170637864297899E-2"/>
    <n v="1.8293621357020999E-3"/>
    <n v="1.8293621357020999E-3"/>
    <n v="1.1771553987967099E-2"/>
    <n v="1.2284460120329001E-3"/>
  </r>
  <r>
    <n v="8.0000000000000002E-3"/>
    <n v="8.0000000000000002E-3"/>
    <n v="0"/>
    <n v="0"/>
    <n v="1.71"/>
    <n v="1.266"/>
    <x v="1"/>
    <x v="2"/>
    <s v="high_beta"/>
    <n v="8.0000000000000002E-3"/>
    <n v="8.0000000000000002E-3"/>
    <n v="8.0843904916714695E-3"/>
    <n v="-8.4390491671469323E-5"/>
    <n v="-8.4390491671469323E-5"/>
    <n v="9.2208308592767099E-3"/>
    <n v="-1.2208308592767097E-3"/>
  </r>
  <r>
    <n v="5.0000000000000001E-3"/>
    <n v="5.0000000000000001E-3"/>
    <n v="0"/>
    <n v="0"/>
    <n v="1.71"/>
    <n v="1.2569999999999999"/>
    <x v="1"/>
    <x v="17"/>
    <s v="very_high_beta"/>
    <n v="5.0000000000000001E-3"/>
    <n v="5.0000000000000001E-3"/>
    <n v="8.0837607896149903E-3"/>
    <n v="-3.0837607896149902E-3"/>
    <n v="-3.0837607896149902E-3"/>
    <n v="6.2173201624620804E-3"/>
    <n v="-1.2173201624620803E-3"/>
  </r>
  <r>
    <n v="1.0999999999999999E-2"/>
    <n v="1.0999999999999999E-2"/>
    <n v="0"/>
    <n v="0"/>
    <n v="1.603"/>
    <n v="1.6910000000000001"/>
    <x v="0"/>
    <x v="15"/>
    <s v="neutral_beta"/>
    <n v="1.0999999999999999E-2"/>
    <n v="1.0999999999999999E-2"/>
    <n v="7.5780777522443899E-3"/>
    <n v="3.4219222477556094E-3"/>
    <n v="3.4219222477556094E-3"/>
    <n v="0"/>
    <n v="1.0999999999999999E-2"/>
  </r>
  <r>
    <n v="8.9999999999999993E-3"/>
    <n v="7.0000000000000001E-3"/>
    <n v="0"/>
    <n v="1.9999999999999992E-3"/>
    <n v="1.573"/>
    <n v="1.5569999999999999"/>
    <x v="1"/>
    <x v="4"/>
    <s v="neutral_beta"/>
    <n v="8.9999999999999993E-3"/>
    <n v="7.0000000000000001E-3"/>
    <n v="8.5717033607764104E-3"/>
    <n v="4.2829663922358888E-4"/>
    <n v="4.2829663922358888E-4"/>
    <n v="0"/>
    <n v="8.9999999999999993E-3"/>
  </r>
  <r>
    <n v="2.8000000000000001E-2"/>
    <n v="2.1000000000000001E-2"/>
    <n v="2.0000000000000018E-3"/>
    <n v="6.9999999999999993E-3"/>
    <n v="1.4990000000000001"/>
    <n v="2.371"/>
    <x v="0"/>
    <x v="15"/>
    <s v="high_beta"/>
    <n v="2.5999999999999999E-2"/>
    <n v="1.9E-2"/>
    <n v="1.3541126510371501E-2"/>
    <n v="1.2458873489628498E-2"/>
    <n v="1.44588734896285E-2"/>
    <n v="1.8209433754541801E-2"/>
    <n v="7.7905662454581977E-3"/>
  </r>
  <r>
    <n v="1.4E-2"/>
    <n v="8.0000000000000002E-3"/>
    <n v="-2E-3"/>
    <n v="6.0000000000000001E-3"/>
    <n v="1.488"/>
    <n v="2.4790000000000001"/>
    <x v="0"/>
    <x v="0"/>
    <s v="high_beta"/>
    <n v="1.6E-2"/>
    <n v="0.01"/>
    <n v="1.2212999033706101E-2"/>
    <n v="3.7870009662938995E-3"/>
    <n v="1.7870009662938995E-3"/>
    <n v="0"/>
    <n v="1.6E-2"/>
  </r>
  <r>
    <n v="1.6E-2"/>
    <n v="1.4999999999999999E-2"/>
    <n v="0"/>
    <n v="1.0000000000000009E-3"/>
    <n v="1.4590000000000001"/>
    <n v="1.506"/>
    <x v="4"/>
    <x v="12"/>
    <s v="very_low_beta"/>
    <n v="1.6E-2"/>
    <n v="1.4999999999999999E-2"/>
    <n v="7.4838147606559402E-3"/>
    <n v="8.516185239344061E-3"/>
    <n v="8.516185239344061E-3"/>
    <n v="1.11377040011765E-2"/>
    <n v="4.8622959988235005E-3"/>
  </r>
  <r>
    <n v="1.2500000000000001E-2"/>
    <n v="1.2500000000000001E-2"/>
    <n v="-2.4999999999999988E-3"/>
    <n v="0"/>
    <n v="1.44"/>
    <n v="1.1120000000000001"/>
    <x v="4"/>
    <x v="18"/>
    <s v="very_low_beta"/>
    <n v="1.4999999999999999E-2"/>
    <n v="1.4999999999999999E-2"/>
    <n v="6.8086575041707599E-3"/>
    <n v="8.1913424958292395E-3"/>
    <n v="5.6913424958292408E-3"/>
    <n v="0"/>
    <n v="1.4999999999999999E-2"/>
  </r>
  <r>
    <n v="2.1999999999999999E-2"/>
    <n v="-1.2000000000000004E-2"/>
    <n v="4.0000000000000001E-3"/>
    <n v="3.4000000000000002E-2"/>
    <n v="1.4330000000000001"/>
    <n v="3.0430000000000001"/>
    <x v="1"/>
    <x v="3"/>
    <s v="very_high_beta"/>
    <n v="1.7999999999999999E-2"/>
    <n v="-1.6E-2"/>
    <n v="3.7303715968391701E-2"/>
    <n v="-1.9303715968391703E-2"/>
    <n v="-1.5303715968391703E-2"/>
    <n v="2.9710474128738201E-2"/>
    <n v="-1.1710474128738203E-2"/>
  </r>
  <r>
    <n v="2.1999999999999999E-2"/>
    <n v="5.9999999999999984E-3"/>
    <n v="0"/>
    <n v="1.6E-2"/>
    <n v="1.381"/>
    <n v="2.577"/>
    <x v="1"/>
    <x v="13"/>
    <s v="low_beta"/>
    <n v="2.1999999999999999E-2"/>
    <n v="6.0000000000000001E-3"/>
    <n v="2.37015528320778E-2"/>
    <n v="-1.701552832077801E-3"/>
    <n v="-1.701552832077801E-3"/>
    <n v="3.8800321745654898E-2"/>
    <n v="-1.6800321745654899E-2"/>
  </r>
  <r>
    <n v="2.1000000000000001E-2"/>
    <n v="8.0000000000000002E-3"/>
    <n v="0"/>
    <n v="1.3000000000000001E-2"/>
    <n v="1.349"/>
    <n v="2.1659999999999999"/>
    <x v="1"/>
    <x v="13"/>
    <s v="very_low_beta"/>
    <n v="2.1000000000000001E-2"/>
    <n v="8.0000000000000002E-3"/>
    <n v="1.9311292481536999E-2"/>
    <n v="1.6887075184630028E-3"/>
    <n v="1.6887075184630028E-3"/>
    <n v="2.4527827659646399E-2"/>
    <n v="-3.5278276596463973E-3"/>
  </r>
  <r>
    <n v="8.0000000000000002E-3"/>
    <n v="8.0000000000000002E-3"/>
    <n v="-9.9999999999999915E-4"/>
    <n v="0"/>
    <n v="1.3220000000000001"/>
    <n v="1.004"/>
    <x v="1"/>
    <x v="4"/>
    <s v="high_beta"/>
    <n v="8.9999999999999993E-3"/>
    <n v="8.9999999999999993E-3"/>
    <n v="6.2474643544103304E-3"/>
    <n v="2.7525356455896689E-3"/>
    <n v="1.7525356455896698E-3"/>
    <n v="1.05708774967961E-2"/>
    <n v="-1.5708774967961008E-3"/>
  </r>
  <r>
    <n v="1.4999999999999999E-2"/>
    <n v="1.1000000000000001E-2"/>
    <n v="-2.9999999999999992E-3"/>
    <n v="3.9999999999999983E-3"/>
    <n v="1.3080000000000001"/>
    <n v="2.0059999999999998"/>
    <x v="2"/>
    <x v="16"/>
    <s v="very_low_beta"/>
    <n v="1.7999999999999999E-2"/>
    <n v="1.4E-2"/>
    <n v="9.2528808688038203E-3"/>
    <n v="8.7471191311961783E-3"/>
    <n v="5.7471191311961791E-3"/>
    <n v="1.44926533004326E-2"/>
    <n v="3.5073466995673985E-3"/>
  </r>
  <r>
    <n v="1.2500000000000001E-2"/>
    <n v="2.5000000000000005E-3"/>
    <n v="-7.4999999999999997E-3"/>
    <n v="0.01"/>
    <n v="1.306"/>
    <n v="2.2490000000000001"/>
    <x v="0"/>
    <x v="1"/>
    <s v="very_low_beta"/>
    <n v="0.02"/>
    <n v="0.01"/>
    <n v="1.5823875519093901E-2"/>
    <n v="4.1761244809060995E-3"/>
    <n v="-3.3238755190939002E-3"/>
    <n v="0"/>
    <n v="0.02"/>
  </r>
  <r>
    <n v="0.01"/>
    <n v="0.01"/>
    <n v="-2.9999999999999992E-3"/>
    <n v="0"/>
    <n v="1.2529999999999999"/>
    <n v="1.4930000000000001"/>
    <x v="1"/>
    <x v="6"/>
    <s v="low_beta"/>
    <n v="1.2999999999999999E-2"/>
    <n v="1.2999999999999999E-2"/>
    <n v="5.9259027203233802E-3"/>
    <n v="7.0740972796766192E-3"/>
    <n v="4.07409727967662E-3"/>
    <n v="0"/>
    <n v="1.2999999999999999E-2"/>
  </r>
  <r>
    <n v="5.0000000000000001E-3"/>
    <n v="5.0000000000000001E-3"/>
    <n v="0"/>
    <n v="0"/>
    <n v="1.2310000000000001"/>
    <n v="0.89700000000000002"/>
    <x v="1"/>
    <x v="4"/>
    <s v="very_high_beta"/>
    <n v="5.0000000000000001E-3"/>
    <n v="5.0000000000000001E-3"/>
    <n v="5.8206888047700302E-3"/>
    <n v="-8.206888047700301E-4"/>
    <n v="-8.206888047700301E-4"/>
    <n v="0"/>
    <n v="5.0000000000000001E-3"/>
  </r>
  <r>
    <n v="1.7999999999999999E-2"/>
    <n v="1.7999999999999999E-2"/>
    <n v="0"/>
    <n v="0"/>
    <n v="1.228"/>
    <n v="1.286"/>
    <x v="0"/>
    <x v="15"/>
    <s v="very_low_beta"/>
    <n v="1.7999999999999999E-2"/>
    <n v="1.7999999999999999E-2"/>
    <n v="5.8052099528144397E-3"/>
    <n v="1.2194790047185558E-2"/>
    <n v="1.2194790047185558E-2"/>
    <n v="8.4555686250271204E-3"/>
    <n v="9.5444313749728782E-3"/>
  </r>
  <r>
    <n v="2.3E-2"/>
    <n v="2.3E-2"/>
    <n v="0"/>
    <n v="0"/>
    <n v="1.1910000000000001"/>
    <n v="1.6180000000000001"/>
    <x v="1"/>
    <x v="2"/>
    <s v="low_beta"/>
    <n v="2.3E-2"/>
    <n v="2.3E-2"/>
    <n v="5.6328167415824202E-3"/>
    <n v="1.736718325841758E-2"/>
    <n v="1.736718325841758E-2"/>
    <n v="7.7314623861190401E-3"/>
    <n v="1.5268537613880959E-2"/>
  </r>
  <r>
    <n v="8.0000000000000002E-3"/>
    <n v="8.0000000000000002E-3"/>
    <n v="-4.0000000000000001E-3"/>
    <n v="0"/>
    <n v="1.1519999999999999"/>
    <n v="1.03"/>
    <x v="2"/>
    <x v="14"/>
    <s v="low_beta"/>
    <n v="1.2E-2"/>
    <n v="1.2E-2"/>
    <n v="5.4466529801277296E-3"/>
    <n v="6.5533470198722707E-3"/>
    <n v="2.5533470198722706E-3"/>
    <n v="8.0269653214029395E-3"/>
    <n v="3.9730346785970608E-3"/>
  </r>
  <r>
    <n v="2.5000000000000001E-3"/>
    <n v="2.5000000000000001E-3"/>
    <n v="-6.4999999999999988E-3"/>
    <n v="0"/>
    <n v="1.151"/>
    <n v="0.86099999999999999"/>
    <x v="1"/>
    <x v="3"/>
    <s v="neutral_beta"/>
    <n v="8.9999999999999993E-3"/>
    <n v="8.9999999999999993E-3"/>
    <n v="5.4418808891014301E-3"/>
    <n v="3.5581191108985692E-3"/>
    <n v="-2.9418808891014301E-3"/>
    <n v="0"/>
    <n v="8.9999999999999993E-3"/>
  </r>
  <r>
    <n v="0"/>
    <n v="0"/>
    <n v="0"/>
    <n v="0"/>
    <n v="1.143"/>
    <n v="0.97399999999999998"/>
    <x v="2"/>
    <x v="14"/>
    <s v="low_beta"/>
    <n v="0"/>
    <n v="0"/>
    <n v="0"/>
    <n v="0"/>
    <n v="0"/>
    <n v="0"/>
    <n v="0"/>
  </r>
  <r>
    <n v="0"/>
    <n v="0"/>
    <n v="0"/>
    <n v="0"/>
    <n v="1.1279999999999999"/>
    <n v="0.85099999999999998"/>
    <x v="4"/>
    <x v="9"/>
    <s v="neutral_beta"/>
    <n v="0"/>
    <n v="0"/>
    <n v="0"/>
    <n v="0"/>
    <n v="0"/>
    <n v="0"/>
    <n v="0"/>
  </r>
  <r>
    <n v="0"/>
    <n v="0"/>
    <n v="0"/>
    <n v="0"/>
    <n v="1.111"/>
    <n v="1.143"/>
    <x v="1"/>
    <x v="4"/>
    <s v="neutral_beta"/>
    <n v="0"/>
    <n v="0"/>
    <n v="0"/>
    <n v="0"/>
    <n v="0"/>
    <n v="0"/>
    <n v="0"/>
  </r>
  <r>
    <n v="0"/>
    <n v="0"/>
    <n v="0"/>
    <n v="0"/>
    <n v="1.097"/>
    <n v="0.76800000000000002"/>
    <x v="2"/>
    <x v="14"/>
    <s v="very_high_beta"/>
    <n v="0"/>
    <n v="0"/>
    <n v="0"/>
    <n v="0"/>
    <n v="0"/>
    <n v="0"/>
    <n v="0"/>
  </r>
  <r>
    <n v="0"/>
    <n v="0"/>
    <n v="0"/>
    <n v="0"/>
    <n v="1.093"/>
    <n v="1.1719999999999999"/>
    <x v="3"/>
    <x v="7"/>
    <s v="neutral_beta"/>
    <n v="0"/>
    <n v="0"/>
    <n v="0"/>
    <n v="0"/>
    <n v="0"/>
    <n v="0"/>
    <n v="0"/>
  </r>
  <r>
    <n v="0"/>
    <n v="-3.0000000000000001E-3"/>
    <n v="0"/>
    <n v="3.0000000000000001E-3"/>
    <n v="1.08"/>
    <n v="1.333"/>
    <x v="2"/>
    <x v="14"/>
    <s v="low_beta"/>
    <n v="0"/>
    <n v="-3.0000000000000001E-3"/>
    <n v="0"/>
    <n v="0"/>
    <n v="0"/>
    <n v="6.7214707201330203E-3"/>
    <n v="-6.7214707201330203E-3"/>
  </r>
  <r>
    <n v="0"/>
    <n v="0"/>
    <n v="0"/>
    <n v="0"/>
    <n v="1.08"/>
    <n v="0.88400000000000001"/>
    <x v="2"/>
    <x v="14"/>
    <s v="high_beta"/>
    <n v="0"/>
    <n v="0"/>
    <n v="0"/>
    <n v="0"/>
    <n v="0"/>
    <n v="0"/>
    <n v="0"/>
  </r>
  <r>
    <n v="0"/>
    <n v="0"/>
    <n v="0"/>
    <n v="0"/>
    <n v="1.0720000000000001"/>
    <n v="0.81200000000000006"/>
    <x v="1"/>
    <x v="5"/>
    <s v="high_beta"/>
    <n v="0"/>
    <n v="0"/>
    <n v="0"/>
    <n v="0"/>
    <n v="0"/>
    <n v="0"/>
    <n v="0"/>
  </r>
  <r>
    <n v="0"/>
    <n v="-4.0000000000000001E-3"/>
    <n v="0"/>
    <n v="4.0000000000000001E-3"/>
    <n v="1.052"/>
    <n v="1.633"/>
    <x v="0"/>
    <x v="0"/>
    <s v="high_beta"/>
    <n v="0"/>
    <n v="-4.0000000000000001E-3"/>
    <n v="0"/>
    <n v="0"/>
    <n v="0"/>
    <n v="0"/>
    <n v="0"/>
  </r>
  <r>
    <n v="0"/>
    <n v="0"/>
    <n v="0"/>
    <n v="0"/>
    <n v="1.046"/>
    <n v="0.76200000000000001"/>
    <x v="1"/>
    <x v="11"/>
    <s v="very_high_beta"/>
    <n v="0"/>
    <n v="0"/>
    <n v="0"/>
    <n v="0"/>
    <n v="0"/>
    <n v="7.4640141019849098E-3"/>
    <n v="-7.4640141019849098E-3"/>
  </r>
  <r>
    <n v="5.0000000000000001E-3"/>
    <n v="5.0000000000000001E-3"/>
    <n v="5.0000000000000001E-3"/>
    <n v="0"/>
    <n v="1.0429999999999999"/>
    <n v="1.4079999999999999"/>
    <x v="0"/>
    <x v="15"/>
    <s v="low_beta"/>
    <n v="0"/>
    <n v="0"/>
    <n v="0"/>
    <n v="0"/>
    <n v="5.0000000000000001E-3"/>
    <n v="0"/>
    <n v="0"/>
  </r>
  <r>
    <n v="0"/>
    <n v="0"/>
    <n v="0"/>
    <n v="0"/>
    <n v="1.0409999999999999"/>
    <n v="1.149"/>
    <x v="1"/>
    <x v="17"/>
    <s v="neutral_beta"/>
    <n v="0"/>
    <n v="0"/>
    <n v="0"/>
    <n v="0"/>
    <n v="0"/>
    <n v="0"/>
    <n v="0"/>
  </r>
  <r>
    <n v="0"/>
    <n v="0"/>
    <n v="0"/>
    <n v="0"/>
    <n v="1"/>
    <n v="0.81699999999999995"/>
    <x v="2"/>
    <x v="19"/>
    <s v="low_beta"/>
    <n v="0"/>
    <n v="0"/>
    <n v="0"/>
    <n v="0"/>
    <n v="0"/>
    <n v="0"/>
    <n v="0"/>
  </r>
  <r>
    <n v="0"/>
    <n v="0"/>
    <n v="0"/>
    <n v="0"/>
    <n v="0.98599999999999999"/>
    <n v="1.3129999999999999"/>
    <x v="0"/>
    <x v="15"/>
    <s v="very_low_beta"/>
    <n v="0"/>
    <n v="0"/>
    <n v="0"/>
    <n v="0"/>
    <n v="0"/>
    <n v="0"/>
    <n v="0"/>
  </r>
  <r>
    <n v="0.01"/>
    <n v="-7.9999999999999984E-3"/>
    <n v="0.01"/>
    <n v="1.7999999999999999E-2"/>
    <n v="0.97299999999999998"/>
    <n v="2.06"/>
    <x v="0"/>
    <x v="15"/>
    <s v="neutral_beta"/>
    <n v="0"/>
    <n v="-1.7999999999999999E-2"/>
    <n v="0"/>
    <n v="0"/>
    <n v="0.01"/>
    <n v="3.4397874562385501E-2"/>
    <n v="-3.4397874562385501E-2"/>
  </r>
  <r>
    <n v="0"/>
    <n v="-8.9999999999999993E-3"/>
    <n v="0"/>
    <n v="8.9999999999999993E-3"/>
    <n v="0.97"/>
    <n v="1.722"/>
    <x v="0"/>
    <x v="15"/>
    <s v="low_beta"/>
    <n v="0"/>
    <n v="-8.9999999999999993E-3"/>
    <n v="0"/>
    <n v="0"/>
    <n v="0"/>
    <n v="1.64010246841047E-2"/>
    <n v="-1.64010246841047E-2"/>
  </r>
  <r>
    <n v="0"/>
    <n v="0"/>
    <n v="0"/>
    <n v="0"/>
    <n v="0.92800000000000005"/>
    <n v="1.0589999999999999"/>
    <x v="1"/>
    <x v="4"/>
    <s v="high_beta"/>
    <n v="0"/>
    <n v="0"/>
    <n v="0"/>
    <n v="0"/>
    <n v="0"/>
    <n v="0"/>
    <n v="0"/>
  </r>
  <r>
    <n v="0"/>
    <n v="-3.0000000000000001E-3"/>
    <n v="0"/>
    <n v="3.0000000000000001E-3"/>
    <n v="0.90800000000000003"/>
    <n v="1.075"/>
    <x v="2"/>
    <x v="14"/>
    <s v="very_low_beta"/>
    <n v="0"/>
    <n v="-3.0000000000000001E-3"/>
    <n v="0"/>
    <n v="0"/>
    <n v="0"/>
    <n v="0"/>
    <n v="0"/>
  </r>
  <r>
    <n v="0"/>
    <n v="-4.2000000000000003E-2"/>
    <n v="0"/>
    <n v="4.2000000000000003E-2"/>
    <n v="0.89200000000000002"/>
    <n v="1.9419999999999999"/>
    <x v="0"/>
    <x v="15"/>
    <s v="high_beta"/>
    <n v="0"/>
    <n v="-4.2000000000000003E-2"/>
    <n v="0"/>
    <n v="0"/>
    <n v="0"/>
    <n v="3.8499620798201198E-2"/>
    <n v="-3.8499620798201198E-2"/>
  </r>
  <r>
    <n v="0"/>
    <n v="0"/>
    <n v="0"/>
    <n v="0"/>
    <n v="0.88500000000000001"/>
    <n v="0.80100000000000005"/>
    <x v="2"/>
    <x v="19"/>
    <s v="very_high_beta"/>
    <n v="0"/>
    <n v="0"/>
    <n v="0"/>
    <n v="0"/>
    <n v="0"/>
    <n v="0"/>
    <n v="0"/>
  </r>
  <r>
    <n v="0"/>
    <n v="-8.9999999999999993E-3"/>
    <n v="0"/>
    <n v="8.9999999999999993E-3"/>
    <n v="0.88"/>
    <n v="1.62"/>
    <x v="1"/>
    <x v="2"/>
    <s v="neutral_beta"/>
    <n v="0"/>
    <n v="-8.9999999999999993E-3"/>
    <n v="0"/>
    <n v="0"/>
    <n v="0"/>
    <n v="0"/>
    <n v="0"/>
  </r>
  <r>
    <n v="0"/>
    <n v="0"/>
    <n v="0"/>
    <n v="0"/>
    <n v="0.85699999999999998"/>
    <n v="1.0369999999999999"/>
    <x v="0"/>
    <x v="15"/>
    <s v="very_high_beta"/>
    <n v="0"/>
    <n v="0"/>
    <n v="0"/>
    <n v="0"/>
    <n v="0"/>
    <n v="6.7615541364559398E-3"/>
    <n v="-6.7615541364559398E-3"/>
  </r>
  <r>
    <n v="0"/>
    <n v="0"/>
    <n v="0"/>
    <n v="0"/>
    <n v="0.85"/>
    <n v="0.60299999999999998"/>
    <x v="1"/>
    <x v="5"/>
    <s v="high_beta"/>
    <n v="0"/>
    <n v="0"/>
    <n v="0"/>
    <n v="0"/>
    <n v="0"/>
    <n v="0"/>
    <n v="0"/>
  </r>
  <r>
    <n v="0"/>
    <n v="-2E-3"/>
    <n v="0"/>
    <n v="2E-3"/>
    <n v="0.84799999999999998"/>
    <n v="0.84299999999999997"/>
    <x v="1"/>
    <x v="4"/>
    <s v="very_high_beta"/>
    <n v="0"/>
    <n v="-2E-3"/>
    <n v="0"/>
    <n v="0"/>
    <n v="0"/>
    <n v="0"/>
    <n v="0"/>
  </r>
  <r>
    <n v="0"/>
    <n v="0"/>
    <n v="0"/>
    <n v="0"/>
    <n v="0.84499999999999997"/>
    <n v="0.83099999999999996"/>
    <x v="4"/>
    <x v="9"/>
    <s v="low_beta"/>
    <n v="0"/>
    <n v="0"/>
    <n v="0"/>
    <n v="0"/>
    <n v="0"/>
    <n v="0"/>
    <n v="0"/>
  </r>
  <r>
    <n v="0"/>
    <n v="-3.0000000000000001E-3"/>
    <n v="0"/>
    <n v="3.0000000000000001E-3"/>
    <n v="0.84299999999999997"/>
    <n v="1.2070000000000001"/>
    <x v="0"/>
    <x v="15"/>
    <s v="neutral_beta"/>
    <n v="0"/>
    <n v="-3.0000000000000001E-3"/>
    <n v="0"/>
    <n v="0"/>
    <n v="0"/>
    <n v="0"/>
    <n v="0"/>
  </r>
  <r>
    <n v="2.75E-2"/>
    <n v="-5.4500000000000007E-2"/>
    <n v="-4.5000000000000005E-3"/>
    <n v="8.2000000000000003E-2"/>
    <n v="0.84099999999999997"/>
    <n v="1.8320000000000001"/>
    <x v="1"/>
    <x v="2"/>
    <s v="neutral_beta"/>
    <n v="3.2000000000000001E-2"/>
    <n v="-0.05"/>
    <n v="0"/>
    <n v="3.2000000000000001E-2"/>
    <n v="2.75E-2"/>
    <n v="0"/>
    <n v="3.2000000000000001E-2"/>
  </r>
  <r>
    <n v="0.06"/>
    <n v="-5.800000000000001E-2"/>
    <n v="-8.0000000000000071E-3"/>
    <n v="0.11800000000000001"/>
    <n v="0.83599999999999997"/>
    <n v="1.764"/>
    <x v="4"/>
    <x v="9"/>
    <s v="low_beta"/>
    <n v="6.8000000000000005E-2"/>
    <n v="-0.05"/>
    <n v="0"/>
    <n v="6.8000000000000005E-2"/>
    <n v="0.06"/>
    <n v="0"/>
    <n v="6.8000000000000005E-2"/>
  </r>
  <r>
    <n v="0"/>
    <n v="0"/>
    <n v="0"/>
    <n v="0"/>
    <n v="0.83399999999999996"/>
    <n v="0.77700000000000002"/>
    <x v="1"/>
    <x v="2"/>
    <s v="very_low_beta"/>
    <n v="0"/>
    <n v="0"/>
    <n v="0"/>
    <n v="0"/>
    <n v="0"/>
    <n v="0"/>
    <n v="0"/>
  </r>
  <r>
    <n v="0"/>
    <n v="-2E-3"/>
    <n v="0"/>
    <n v="2E-3"/>
    <n v="0.80600000000000005"/>
    <n v="0.63400000000000001"/>
    <x v="4"/>
    <x v="9"/>
    <s v="neutral_beta"/>
    <n v="0"/>
    <n v="-2E-3"/>
    <n v="0"/>
    <n v="0"/>
    <n v="0"/>
    <n v="0"/>
    <n v="0"/>
  </r>
  <r>
    <n v="0"/>
    <n v="0"/>
    <n v="0"/>
    <n v="0"/>
    <n v="0.80300000000000005"/>
    <n v="0.94499999999999995"/>
    <x v="2"/>
    <x v="19"/>
    <s v="very_low_beta"/>
    <n v="0"/>
    <n v="0"/>
    <n v="0"/>
    <n v="0"/>
    <n v="0"/>
    <n v="0"/>
    <n v="0"/>
  </r>
  <r>
    <n v="0"/>
    <n v="-2E-3"/>
    <n v="0"/>
    <n v="2E-3"/>
    <n v="0.8"/>
    <n v="0.65"/>
    <x v="1"/>
    <x v="11"/>
    <s v="high_beta"/>
    <n v="0"/>
    <n v="-2E-3"/>
    <n v="0"/>
    <n v="0"/>
    <n v="0"/>
    <n v="0"/>
    <n v="0"/>
  </r>
  <r>
    <n v="0"/>
    <n v="-4.0000000000000001E-3"/>
    <n v="0"/>
    <n v="4.0000000000000001E-3"/>
    <n v="0.78600000000000003"/>
    <n v="0.98299999999999998"/>
    <x v="0"/>
    <x v="15"/>
    <s v="low_beta"/>
    <n v="0"/>
    <n v="-4.0000000000000001E-3"/>
    <n v="0"/>
    <n v="0"/>
    <n v="0"/>
    <n v="1.1369582982315701E-2"/>
    <n v="-1.1369582982315701E-2"/>
  </r>
  <r>
    <n v="0"/>
    <n v="-2.7E-2"/>
    <n v="0"/>
    <n v="2.7E-2"/>
    <n v="0.77900000000000003"/>
    <n v="1.5589999999999999"/>
    <x v="2"/>
    <x v="19"/>
    <s v="low_beta"/>
    <n v="0"/>
    <n v="-2.7E-2"/>
    <n v="0"/>
    <n v="0"/>
    <n v="0"/>
    <n v="3.3876297343917998E-2"/>
    <n v="-3.3876297343917998E-2"/>
  </r>
  <r>
    <n v="0"/>
    <n v="-5.0000000000000001E-3"/>
    <n v="0"/>
    <n v="5.0000000000000001E-3"/>
    <n v="0.76900000000000002"/>
    <n v="0.90800000000000003"/>
    <x v="1"/>
    <x v="6"/>
    <s v="neutral_beta"/>
    <n v="0"/>
    <n v="-5.0000000000000001E-3"/>
    <n v="0"/>
    <n v="0"/>
    <n v="0"/>
    <n v="0"/>
    <n v="0"/>
  </r>
  <r>
    <n v="0"/>
    <n v="-1.2E-2"/>
    <n v="0"/>
    <n v="1.2E-2"/>
    <n v="0.749"/>
    <n v="1.242"/>
    <x v="4"/>
    <x v="9"/>
    <s v="low_beta"/>
    <n v="0"/>
    <n v="-1.2E-2"/>
    <n v="0"/>
    <n v="0"/>
    <n v="0"/>
    <n v="0"/>
    <n v="0"/>
  </r>
  <r>
    <n v="0"/>
    <n v="0"/>
    <n v="0"/>
    <n v="0"/>
    <n v="0.74199999999999999"/>
    <n v="0.53700000000000003"/>
    <x v="0"/>
    <x v="15"/>
    <s v="low_beta"/>
    <n v="0"/>
    <n v="0"/>
    <n v="0"/>
    <n v="0"/>
    <n v="0"/>
    <n v="0"/>
    <n v="0"/>
  </r>
  <r>
    <n v="0"/>
    <n v="0"/>
    <n v="0"/>
    <n v="0"/>
    <n v="0.72399999999999998"/>
    <n v="0.66100000000000003"/>
    <x v="3"/>
    <x v="20"/>
    <s v="low_beta"/>
    <n v="0"/>
    <n v="0"/>
    <n v="0"/>
    <n v="0"/>
    <n v="0"/>
    <n v="0"/>
    <n v="0"/>
  </r>
  <r>
    <n v="0"/>
    <n v="-0.02"/>
    <n v="0"/>
    <n v="0.02"/>
    <n v="0.71499999999999997"/>
    <n v="1.1419999999999999"/>
    <x v="0"/>
    <x v="15"/>
    <s v="high_beta"/>
    <n v="0"/>
    <n v="-0.02"/>
    <n v="0"/>
    <n v="0"/>
    <n v="0"/>
    <n v="3.1593075574344501E-2"/>
    <n v="-3.1593075574344501E-2"/>
  </r>
  <r>
    <n v="0"/>
    <n v="-3.6999999999999998E-2"/>
    <n v="0"/>
    <n v="3.6999999999999998E-2"/>
    <n v="0.70799999999999996"/>
    <n v="1.5409999999999999"/>
    <x v="1"/>
    <x v="2"/>
    <s v="neutral_beta"/>
    <n v="0"/>
    <n v="-3.6999999999999998E-2"/>
    <n v="0"/>
    <n v="0"/>
    <n v="0"/>
    <n v="0"/>
    <n v="0"/>
  </r>
  <r>
    <n v="0"/>
    <n v="0"/>
    <n v="0"/>
    <n v="0"/>
    <n v="0.69899999999999995"/>
    <n v="0.95"/>
    <x v="0"/>
    <x v="15"/>
    <s v="low_beta"/>
    <n v="0"/>
    <n v="0"/>
    <n v="0"/>
    <n v="0"/>
    <n v="0"/>
    <n v="0"/>
    <n v="0"/>
  </r>
  <r>
    <n v="0"/>
    <n v="-2.7E-2"/>
    <n v="0"/>
    <n v="2.7E-2"/>
    <n v="0.69799999999999995"/>
    <n v="1.49"/>
    <x v="1"/>
    <x v="2"/>
    <s v="high_beta"/>
    <n v="0"/>
    <n v="-2.7E-2"/>
    <n v="0"/>
    <n v="0"/>
    <n v="0"/>
    <n v="0"/>
    <n v="0"/>
  </r>
  <r>
    <n v="0"/>
    <n v="0"/>
    <n v="0"/>
    <n v="0"/>
    <n v="0.69699999999999995"/>
    <n v="0.51200000000000001"/>
    <x v="4"/>
    <x v="9"/>
    <s v="very_low_beta"/>
    <n v="0"/>
    <n v="0"/>
    <n v="0"/>
    <n v="0"/>
    <n v="0"/>
    <n v="0"/>
    <n v="0"/>
  </r>
  <r>
    <n v="0"/>
    <n v="0"/>
    <n v="0"/>
    <n v="0"/>
    <n v="0.69599999999999995"/>
    <n v="0.49299999999999999"/>
    <x v="0"/>
    <x v="1"/>
    <s v="low_beta"/>
    <n v="0"/>
    <n v="0"/>
    <n v="0"/>
    <n v="0"/>
    <n v="0"/>
    <n v="0"/>
    <n v="0"/>
  </r>
  <r>
    <n v="0"/>
    <n v="-3.0000000000000001E-3"/>
    <n v="0"/>
    <n v="3.0000000000000001E-3"/>
    <n v="0.68400000000000005"/>
    <n v="1.034"/>
    <x v="0"/>
    <x v="15"/>
    <s v="low_beta"/>
    <n v="0"/>
    <n v="-3.0000000000000001E-3"/>
    <n v="0"/>
    <n v="0"/>
    <n v="0"/>
    <n v="8.6899096165727902E-3"/>
    <n v="-8.6899096165727902E-3"/>
  </r>
  <r>
    <n v="0"/>
    <n v="0"/>
    <n v="0"/>
    <n v="0"/>
    <n v="0.67600000000000005"/>
    <n v="0.52500000000000002"/>
    <x v="1"/>
    <x v="8"/>
    <s v="high_beta"/>
    <n v="0"/>
    <n v="0"/>
    <n v="0"/>
    <n v="0"/>
    <n v="0"/>
    <n v="0"/>
    <n v="0"/>
  </r>
  <r>
    <n v="0"/>
    <n v="-5.0000000000000001E-3"/>
    <n v="0"/>
    <n v="5.0000000000000001E-3"/>
    <n v="0.67400000000000004"/>
    <n v="1.0940000000000001"/>
    <x v="0"/>
    <x v="15"/>
    <s v="low_beta"/>
    <n v="0"/>
    <n v="-5.0000000000000001E-3"/>
    <n v="0"/>
    <n v="0"/>
    <n v="0"/>
    <n v="0"/>
    <n v="0"/>
  </r>
  <r>
    <n v="0"/>
    <n v="0"/>
    <n v="0"/>
    <n v="0"/>
    <n v="0.66400000000000003"/>
    <n v="0.70399999999999996"/>
    <x v="2"/>
    <x v="16"/>
    <s v="low_beta"/>
    <n v="0"/>
    <n v="0"/>
    <n v="0"/>
    <n v="0"/>
    <n v="0"/>
    <n v="0"/>
    <n v="0"/>
  </r>
  <r>
    <n v="0"/>
    <n v="-5.0000000000000001E-3"/>
    <n v="0"/>
    <n v="5.0000000000000001E-3"/>
    <n v="0.66300000000000003"/>
    <n v="0.94699999999999995"/>
    <x v="0"/>
    <x v="15"/>
    <s v="low_beta"/>
    <n v="0"/>
    <n v="-5.0000000000000001E-3"/>
    <n v="0"/>
    <n v="0"/>
    <n v="0"/>
    <n v="0"/>
    <n v="0"/>
  </r>
  <r>
    <n v="0"/>
    <n v="0"/>
    <n v="0"/>
    <n v="0"/>
    <n v="0.65"/>
    <n v="0.499"/>
    <x v="4"/>
    <x v="18"/>
    <s v="very_low_beta"/>
    <n v="0"/>
    <n v="0"/>
    <n v="0"/>
    <n v="0"/>
    <n v="0"/>
    <n v="7.1785641062755701E-3"/>
    <n v="-7.1785641062755701E-3"/>
  </r>
  <r>
    <n v="0"/>
    <n v="0"/>
    <n v="0"/>
    <n v="0"/>
    <n v="0.63200000000000001"/>
    <n v="0.61099999999999999"/>
    <x v="1"/>
    <x v="8"/>
    <s v="very_low_beta"/>
    <n v="0"/>
    <n v="0"/>
    <n v="0"/>
    <n v="0"/>
    <n v="0"/>
    <n v="0"/>
    <n v="0"/>
  </r>
  <r>
    <n v="0"/>
    <n v="0"/>
    <n v="0"/>
    <n v="0"/>
    <n v="0.628"/>
    <n v="0.70299999999999996"/>
    <x v="1"/>
    <x v="6"/>
    <s v="high_beta"/>
    <n v="0"/>
    <n v="0"/>
    <n v="0"/>
    <n v="0"/>
    <n v="0"/>
    <n v="0"/>
    <n v="0"/>
  </r>
  <r>
    <n v="0"/>
    <n v="-3.0000000000000001E-3"/>
    <n v="0"/>
    <n v="3.0000000000000001E-3"/>
    <n v="0.627"/>
    <n v="0.52600000000000002"/>
    <x v="4"/>
    <x v="12"/>
    <s v="very_low_beta"/>
    <n v="0"/>
    <n v="-3.0000000000000001E-3"/>
    <n v="0"/>
    <n v="0"/>
    <n v="0"/>
    <n v="0"/>
    <n v="0"/>
  </r>
  <r>
    <n v="0"/>
    <n v="-2.5999999999999999E-2"/>
    <n v="0"/>
    <n v="2.5999999999999999E-2"/>
    <n v="0.626"/>
    <n v="1.1339999999999999"/>
    <x v="3"/>
    <x v="7"/>
    <s v="very_low_beta"/>
    <n v="0"/>
    <n v="-2.5999999999999999E-2"/>
    <n v="0"/>
    <n v="0"/>
    <n v="0"/>
    <n v="0"/>
    <n v="0"/>
  </r>
  <r>
    <n v="0"/>
    <n v="0"/>
    <n v="0"/>
    <n v="0"/>
    <n v="0.61899999999999999"/>
    <n v="0.82299999999999995"/>
    <x v="0"/>
    <x v="15"/>
    <s v="high_beta"/>
    <n v="0"/>
    <n v="0"/>
    <n v="0"/>
    <n v="0"/>
    <n v="0"/>
    <n v="5.7681320678263804E-3"/>
    <n v="-5.7681320678263804E-3"/>
  </r>
  <r>
    <n v="0"/>
    <n v="0"/>
    <n v="0"/>
    <n v="0"/>
    <n v="0.61899999999999999"/>
    <n v="0.443"/>
    <x v="3"/>
    <x v="7"/>
    <s v="very_high_beta"/>
    <n v="0"/>
    <n v="0"/>
    <n v="0"/>
    <n v="0"/>
    <n v="0"/>
    <n v="0"/>
    <n v="0"/>
  </r>
  <r>
    <n v="0"/>
    <n v="-1E-3"/>
    <n v="0"/>
    <n v="1E-3"/>
    <n v="0.61799999999999999"/>
    <n v="0.49299999999999999"/>
    <x v="1"/>
    <x v="6"/>
    <s v="low_beta"/>
    <n v="0"/>
    <n v="-1E-3"/>
    <n v="0"/>
    <n v="0"/>
    <n v="0"/>
    <n v="0"/>
    <n v="0"/>
  </r>
  <r>
    <n v="0"/>
    <n v="-2E-3"/>
    <n v="0"/>
    <n v="2E-3"/>
    <n v="0.61699999999999999"/>
    <n v="0.78600000000000003"/>
    <x v="4"/>
    <x v="18"/>
    <s v="very_low_beta"/>
    <n v="0"/>
    <n v="-2E-3"/>
    <n v="0"/>
    <n v="0"/>
    <n v="0"/>
    <n v="0"/>
    <n v="0"/>
  </r>
  <r>
    <n v="0"/>
    <n v="0"/>
    <n v="0"/>
    <n v="0"/>
    <n v="0.61699999999999999"/>
    <n v="0.77800000000000002"/>
    <x v="4"/>
    <x v="9"/>
    <s v="low_beta"/>
    <n v="0"/>
    <n v="0"/>
    <n v="0"/>
    <n v="0"/>
    <n v="0"/>
    <n v="0"/>
    <n v="0"/>
  </r>
  <r>
    <n v="0"/>
    <n v="0"/>
    <n v="0"/>
    <n v="0"/>
    <n v="0.61699999999999999"/>
    <n v="0.76800000000000002"/>
    <x v="4"/>
    <x v="9"/>
    <s v="low_beta"/>
    <n v="0"/>
    <n v="0"/>
    <n v="0"/>
    <n v="0"/>
    <n v="0"/>
    <n v="0"/>
    <n v="0"/>
  </r>
  <r>
    <n v="0"/>
    <n v="0"/>
    <n v="0"/>
    <n v="0"/>
    <n v="0.61599999999999999"/>
    <n v="0.75800000000000001"/>
    <x v="1"/>
    <x v="2"/>
    <s v="neutral_beta"/>
    <n v="0"/>
    <n v="0"/>
    <n v="0"/>
    <n v="0"/>
    <n v="0"/>
    <n v="0"/>
    <n v="0"/>
  </r>
  <r>
    <n v="0"/>
    <n v="0"/>
    <n v="0"/>
    <n v="0"/>
    <n v="0.61099999999999999"/>
    <n v="0.501"/>
    <x v="3"/>
    <x v="7"/>
    <s v="very_high_beta"/>
    <n v="0"/>
    <n v="0"/>
    <n v="0"/>
    <n v="0"/>
    <n v="0"/>
    <n v="0"/>
    <n v="0"/>
  </r>
  <r>
    <n v="0"/>
    <n v="0"/>
    <n v="0"/>
    <n v="0"/>
    <n v="0.60799999999999998"/>
    <n v="0.72099999999999997"/>
    <x v="1"/>
    <x v="2"/>
    <s v="neutral_beta"/>
    <n v="0"/>
    <n v="0"/>
    <n v="0"/>
    <n v="0"/>
    <n v="0"/>
    <n v="0"/>
    <n v="0"/>
  </r>
  <r>
    <n v="0"/>
    <n v="0"/>
    <n v="0"/>
    <n v="0"/>
    <n v="0.60699999999999998"/>
    <n v="0.59799999999999998"/>
    <x v="3"/>
    <x v="10"/>
    <s v="very_high_beta"/>
    <n v="0"/>
    <n v="0"/>
    <n v="0"/>
    <n v="0"/>
    <n v="0"/>
    <n v="0"/>
    <n v="0"/>
  </r>
  <r>
    <n v="0"/>
    <n v="0"/>
    <n v="0"/>
    <n v="0"/>
    <n v="0.60299999999999998"/>
    <n v="0.44700000000000001"/>
    <x v="2"/>
    <x v="14"/>
    <s v="very_high_beta"/>
    <n v="0"/>
    <n v="0"/>
    <n v="0"/>
    <n v="0"/>
    <n v="0"/>
    <n v="0"/>
    <n v="0"/>
  </r>
  <r>
    <n v="0"/>
    <n v="-5.0000000000000001E-3"/>
    <n v="0"/>
    <n v="5.0000000000000001E-3"/>
    <n v="0.59299999999999997"/>
    <n v="0.90200000000000002"/>
    <x v="4"/>
    <x v="9"/>
    <s v="low_beta"/>
    <n v="0"/>
    <n v="-5.0000000000000001E-3"/>
    <n v="0"/>
    <n v="0"/>
    <n v="0"/>
    <n v="0"/>
    <n v="0"/>
  </r>
  <r>
    <n v="0"/>
    <n v="-6.0000000000000001E-3"/>
    <n v="0"/>
    <n v="6.0000000000000001E-3"/>
    <n v="0.59099999999999997"/>
    <n v="0.96"/>
    <x v="0"/>
    <x v="17"/>
    <s v="high_beta"/>
    <n v="0"/>
    <n v="-6.0000000000000001E-3"/>
    <n v="0"/>
    <n v="0"/>
    <n v="0"/>
    <n v="0"/>
    <n v="0"/>
  </r>
  <r>
    <n v="0"/>
    <n v="0"/>
    <n v="0"/>
    <n v="0"/>
    <n v="0.59099999999999997"/>
    <n v="0.52800000000000002"/>
    <x v="3"/>
    <x v="7"/>
    <s v="high_beta"/>
    <n v="0"/>
    <n v="0"/>
    <n v="0"/>
    <n v="0"/>
    <n v="0"/>
    <n v="0"/>
    <n v="0"/>
  </r>
  <r>
    <n v="0"/>
    <n v="-6.0000000000000001E-3"/>
    <n v="0"/>
    <n v="6.0000000000000001E-3"/>
    <n v="0.58599999999999997"/>
    <n v="1.0029999999999999"/>
    <x v="0"/>
    <x v="15"/>
    <s v="neutral_beta"/>
    <n v="0"/>
    <n v="-6.0000000000000001E-3"/>
    <n v="0"/>
    <n v="0"/>
    <n v="0"/>
    <n v="0"/>
    <n v="0"/>
  </r>
  <r>
    <n v="0"/>
    <n v="-5.0000000000000001E-3"/>
    <n v="0"/>
    <n v="5.0000000000000001E-3"/>
    <n v="0.58599999999999997"/>
    <n v="0.434"/>
    <x v="4"/>
    <x v="18"/>
    <s v="very_low_beta"/>
    <n v="0"/>
    <n v="-5.0000000000000001E-3"/>
    <n v="0"/>
    <n v="0"/>
    <n v="0"/>
    <n v="0"/>
    <n v="0"/>
  </r>
  <r>
    <n v="0"/>
    <n v="-4.0000000000000001E-3"/>
    <n v="0"/>
    <n v="4.0000000000000001E-3"/>
    <n v="0.58299999999999996"/>
    <n v="0.86399999999999999"/>
    <x v="1"/>
    <x v="2"/>
    <s v="neutral_beta"/>
    <n v="0"/>
    <n v="-4.0000000000000001E-3"/>
    <n v="0"/>
    <n v="0"/>
    <n v="0"/>
    <n v="0"/>
    <n v="0"/>
  </r>
  <r>
    <n v="0"/>
    <n v="-2.4E-2"/>
    <n v="0"/>
    <n v="2.4E-2"/>
    <n v="0.58199999999999996"/>
    <n v="1.107"/>
    <x v="1"/>
    <x v="2"/>
    <s v="neutral_beta"/>
    <n v="0"/>
    <n v="-2.4E-2"/>
    <n v="0"/>
    <n v="0"/>
    <n v="0"/>
    <n v="0"/>
    <n v="0"/>
  </r>
  <r>
    <n v="0"/>
    <n v="-3.0000000000000001E-3"/>
    <n v="0"/>
    <n v="3.0000000000000001E-3"/>
    <n v="0.58099999999999996"/>
    <n v="0.70099999999999996"/>
    <x v="4"/>
    <x v="9"/>
    <s v="neutral_beta"/>
    <n v="0"/>
    <n v="-3.0000000000000001E-3"/>
    <n v="0"/>
    <n v="0"/>
    <n v="0"/>
    <n v="0"/>
    <n v="0"/>
  </r>
  <r>
    <n v="0"/>
    <n v="0"/>
    <n v="0"/>
    <n v="0"/>
    <n v="0.57899999999999996"/>
    <n v="0.50900000000000001"/>
    <x v="2"/>
    <x v="14"/>
    <s v="neutral_beta"/>
    <n v="0"/>
    <n v="0"/>
    <n v="0"/>
    <n v="0"/>
    <n v="0"/>
    <n v="0"/>
    <n v="0"/>
  </r>
  <r>
    <n v="0"/>
    <n v="-1E-3"/>
    <n v="0"/>
    <n v="1E-3"/>
    <n v="0.57799999999999996"/>
    <n v="0.45800000000000002"/>
    <x v="1"/>
    <x v="11"/>
    <s v="high_beta"/>
    <n v="0"/>
    <n v="-1E-3"/>
    <n v="0"/>
    <n v="0"/>
    <n v="0"/>
    <n v="5.8652234590628703E-3"/>
    <n v="-5.8652234590628703E-3"/>
  </r>
  <r>
    <n v="0"/>
    <n v="0"/>
    <n v="0"/>
    <n v="0"/>
    <n v="0.57599999999999996"/>
    <n v="0.70099999999999996"/>
    <x v="3"/>
    <x v="7"/>
    <s v="very_low_beta"/>
    <n v="0"/>
    <n v="0"/>
    <n v="0"/>
    <n v="0"/>
    <n v="0"/>
    <n v="0"/>
    <n v="0"/>
  </r>
  <r>
    <n v="0"/>
    <n v="0"/>
    <n v="0"/>
    <n v="0"/>
    <n v="0.57399999999999995"/>
    <n v="0.69199999999999995"/>
    <x v="3"/>
    <x v="7"/>
    <s v="low_beta"/>
    <n v="0"/>
    <n v="0"/>
    <n v="0"/>
    <n v="0"/>
    <n v="0"/>
    <n v="0"/>
    <n v="0"/>
  </r>
  <r>
    <n v="0"/>
    <n v="0"/>
    <n v="0"/>
    <n v="0"/>
    <n v="0.57399999999999995"/>
    <n v="0.41399999999999998"/>
    <x v="1"/>
    <x v="13"/>
    <s v="very_high_beta"/>
    <n v="0"/>
    <n v="0"/>
    <n v="0"/>
    <n v="0"/>
    <n v="0"/>
    <n v="0"/>
    <n v="0"/>
  </r>
  <r>
    <n v="0"/>
    <n v="-3.4000000000000002E-2"/>
    <n v="0"/>
    <n v="3.4000000000000002E-2"/>
    <n v="0.56999999999999995"/>
    <n v="1.2410000000000001"/>
    <x v="0"/>
    <x v="15"/>
    <s v="low_beta"/>
    <n v="0"/>
    <n v="-3.4000000000000002E-2"/>
    <n v="0"/>
    <n v="0"/>
    <n v="0"/>
    <n v="0"/>
    <n v="0"/>
  </r>
  <r>
    <n v="0"/>
    <n v="-8.0000000000000002E-3"/>
    <n v="0"/>
    <n v="8.0000000000000002E-3"/>
    <n v="0.56999999999999995"/>
    <n v="0.71299999999999997"/>
    <x v="1"/>
    <x v="17"/>
    <s v="neutral_beta"/>
    <n v="0"/>
    <n v="-8.0000000000000002E-3"/>
    <n v="0"/>
    <n v="0"/>
    <n v="0"/>
    <n v="0"/>
    <n v="0"/>
  </r>
  <r>
    <n v="0"/>
    <n v="-1.0999999999999999E-2"/>
    <n v="0"/>
    <n v="1.0999999999999999E-2"/>
    <n v="0.56899999999999995"/>
    <n v="0.84099999999999997"/>
    <x v="4"/>
    <x v="9"/>
    <s v="very_low_beta"/>
    <n v="0"/>
    <n v="-1.0999999999999999E-2"/>
    <n v="0"/>
    <n v="0"/>
    <n v="0"/>
    <n v="0"/>
    <n v="0"/>
  </r>
  <r>
    <n v="0"/>
    <n v="-2.1000000000000001E-2"/>
    <n v="0"/>
    <n v="2.1000000000000001E-2"/>
    <n v="0.56799999999999995"/>
    <n v="0.79400000000000004"/>
    <x v="4"/>
    <x v="12"/>
    <s v="very_low_beta"/>
    <n v="0"/>
    <n v="-2.1000000000000001E-2"/>
    <n v="0"/>
    <n v="0"/>
    <n v="0"/>
    <n v="0"/>
    <n v="0"/>
  </r>
  <r>
    <n v="0"/>
    <n v="0"/>
    <n v="0"/>
    <n v="0"/>
    <n v="0.56699999999999995"/>
    <n v="0.54900000000000004"/>
    <x v="1"/>
    <x v="3"/>
    <s v="very_high_beta"/>
    <n v="0"/>
    <n v="0"/>
    <n v="0"/>
    <n v="0"/>
    <n v="0"/>
    <n v="0"/>
    <n v="0"/>
  </r>
  <r>
    <n v="0"/>
    <n v="-2E-3"/>
    <n v="0"/>
    <n v="2E-3"/>
    <n v="0.56399999999999995"/>
    <n v="0.59499999999999997"/>
    <x v="0"/>
    <x v="15"/>
    <s v="high_beta"/>
    <n v="0"/>
    <n v="-2E-3"/>
    <n v="0"/>
    <n v="0"/>
    <n v="0"/>
    <n v="0"/>
    <n v="0"/>
  </r>
  <r>
    <n v="0"/>
    <n v="-0.02"/>
    <n v="0"/>
    <n v="0.02"/>
    <n v="0.56299999999999994"/>
    <n v="1.2250000000000001"/>
    <x v="0"/>
    <x v="15"/>
    <s v="high_beta"/>
    <n v="0"/>
    <n v="-0.02"/>
    <n v="0"/>
    <n v="0"/>
    <n v="0"/>
    <n v="0"/>
    <n v="0"/>
  </r>
  <r>
    <n v="0"/>
    <n v="0"/>
    <n v="0"/>
    <n v="0"/>
    <n v="0.56299999999999994"/>
    <n v="0.56999999999999995"/>
    <x v="0"/>
    <x v="1"/>
    <s v="low_beta"/>
    <n v="0"/>
    <n v="0"/>
    <n v="0"/>
    <n v="0"/>
    <n v="0"/>
    <n v="0"/>
    <n v="0"/>
  </r>
  <r>
    <n v="0"/>
    <n v="0"/>
    <n v="0"/>
    <n v="0"/>
    <n v="0.56200000000000006"/>
    <n v="0.39400000000000002"/>
    <x v="3"/>
    <x v="20"/>
    <s v="very_high_beta"/>
    <n v="0"/>
    <n v="0"/>
    <n v="0"/>
    <n v="0"/>
    <n v="0"/>
    <n v="0"/>
    <n v="0"/>
  </r>
  <r>
    <n v="0"/>
    <n v="-1.7000000000000001E-2"/>
    <n v="0"/>
    <n v="1.7000000000000001E-2"/>
    <n v="0.56100000000000005"/>
    <n v="0.95"/>
    <x v="1"/>
    <x v="13"/>
    <s v="very_high_beta"/>
    <n v="0"/>
    <n v="-1.7000000000000001E-2"/>
    <n v="0"/>
    <n v="0"/>
    <n v="0"/>
    <n v="0"/>
    <n v="0"/>
  </r>
  <r>
    <n v="0"/>
    <n v="-1E-3"/>
    <n v="0"/>
    <n v="1E-3"/>
    <n v="0.55900000000000005"/>
    <n v="0.432"/>
    <x v="4"/>
    <x v="18"/>
    <s v="low_beta"/>
    <n v="0"/>
    <n v="-1E-3"/>
    <n v="0"/>
    <n v="0"/>
    <n v="0"/>
    <n v="0"/>
    <n v="0"/>
  </r>
  <r>
    <n v="0"/>
    <n v="-3.0000000000000001E-3"/>
    <n v="0"/>
    <n v="3.0000000000000001E-3"/>
    <n v="0.55800000000000005"/>
    <n v="0.63600000000000001"/>
    <x v="2"/>
    <x v="19"/>
    <s v="high_beta"/>
    <n v="0"/>
    <n v="-3.0000000000000001E-3"/>
    <n v="0"/>
    <n v="0"/>
    <n v="0"/>
    <n v="0"/>
    <n v="0"/>
  </r>
  <r>
    <n v="0"/>
    <n v="0"/>
    <n v="0"/>
    <n v="0"/>
    <n v="0.55700000000000005"/>
    <n v="0.51300000000000001"/>
    <x v="0"/>
    <x v="17"/>
    <s v="very_high_beta"/>
    <n v="0"/>
    <n v="0"/>
    <n v="0"/>
    <n v="0"/>
    <n v="0"/>
    <n v="0"/>
    <n v="0"/>
  </r>
  <r>
    <n v="0"/>
    <n v="0"/>
    <n v="0"/>
    <n v="0"/>
    <n v="0.55700000000000005"/>
    <n v="0.48499999999999999"/>
    <x v="4"/>
    <x v="18"/>
    <s v="very_low_beta"/>
    <n v="0"/>
    <n v="0"/>
    <n v="0"/>
    <n v="0"/>
    <n v="0"/>
    <n v="0"/>
    <n v="0"/>
  </r>
  <r>
    <n v="0"/>
    <n v="-2E-3"/>
    <n v="0"/>
    <n v="2E-3"/>
    <n v="0.55500000000000005"/>
    <n v="0.628"/>
    <x v="1"/>
    <x v="4"/>
    <s v="very_high_beta"/>
    <n v="0"/>
    <n v="-2E-3"/>
    <n v="0"/>
    <n v="0"/>
    <n v="0"/>
    <n v="0"/>
    <n v="0"/>
  </r>
  <r>
    <n v="0"/>
    <n v="-5.0000000000000001E-3"/>
    <n v="0"/>
    <n v="5.0000000000000001E-3"/>
    <n v="0.55200000000000005"/>
    <n v="0.46300000000000002"/>
    <x v="2"/>
    <x v="19"/>
    <s v="very_high_beta"/>
    <n v="0"/>
    <n v="-5.0000000000000001E-3"/>
    <n v="0"/>
    <n v="0"/>
    <n v="0"/>
    <n v="0"/>
    <n v="0"/>
  </r>
  <r>
    <n v="0"/>
    <n v="0"/>
    <n v="0"/>
    <n v="0"/>
    <n v="0.55000000000000004"/>
    <n v="0.441"/>
    <x v="3"/>
    <x v="7"/>
    <s v="very_low_beta"/>
    <n v="0"/>
    <n v="0"/>
    <n v="0"/>
    <n v="0"/>
    <n v="0"/>
    <n v="0"/>
    <n v="0"/>
  </r>
  <r>
    <n v="0"/>
    <n v="0"/>
    <n v="0"/>
    <n v="0"/>
    <n v="0.54800000000000004"/>
    <n v="0.40699999999999997"/>
    <x v="1"/>
    <x v="3"/>
    <s v="high_beta"/>
    <n v="0"/>
    <n v="0"/>
    <n v="0"/>
    <n v="0"/>
    <n v="0"/>
    <n v="0"/>
    <n v="0"/>
  </r>
  <r>
    <n v="0"/>
    <n v="-1E-3"/>
    <n v="0"/>
    <n v="1E-3"/>
    <n v="0.54500000000000004"/>
    <n v="0.40600000000000003"/>
    <x v="1"/>
    <x v="6"/>
    <s v="very_high_beta"/>
    <n v="0"/>
    <n v="-1E-3"/>
    <n v="0"/>
    <n v="0"/>
    <n v="0"/>
    <n v="0"/>
    <n v="0"/>
  </r>
  <r>
    <n v="0"/>
    <n v="-0.01"/>
    <n v="0"/>
    <n v="0.01"/>
    <n v="0.54400000000000004"/>
    <n v="0.55400000000000005"/>
    <x v="2"/>
    <x v="14"/>
    <s v="low_beta"/>
    <n v="0"/>
    <n v="-0.01"/>
    <n v="0"/>
    <n v="0"/>
    <n v="0"/>
    <n v="0"/>
    <n v="0"/>
  </r>
  <r>
    <n v="0"/>
    <n v="-1.4999999999999999E-2"/>
    <n v="0"/>
    <n v="1.4999999999999999E-2"/>
    <n v="0.54300000000000004"/>
    <n v="0.94699999999999995"/>
    <x v="2"/>
    <x v="14"/>
    <s v="low_beta"/>
    <n v="0"/>
    <n v="-1.4999999999999999E-2"/>
    <n v="0"/>
    <n v="0"/>
    <n v="0"/>
    <n v="0"/>
    <n v="0"/>
  </r>
  <r>
    <n v="0"/>
    <n v="0"/>
    <n v="0"/>
    <n v="0"/>
    <n v="0.54"/>
    <n v="0.55000000000000004"/>
    <x v="1"/>
    <x v="4"/>
    <s v="very_high_beta"/>
    <n v="0"/>
    <n v="0"/>
    <n v="0"/>
    <n v="0"/>
    <n v="0"/>
    <n v="0"/>
    <n v="0"/>
  </r>
  <r>
    <n v="0"/>
    <n v="0"/>
    <n v="0"/>
    <n v="0"/>
    <n v="0.54"/>
    <n v="0.46600000000000003"/>
    <x v="3"/>
    <x v="7"/>
    <s v="high_beta"/>
    <n v="0"/>
    <n v="0"/>
    <n v="0"/>
    <n v="0"/>
    <n v="0"/>
    <n v="0"/>
    <n v="0"/>
  </r>
  <r>
    <n v="0"/>
    <n v="0"/>
    <n v="0"/>
    <n v="0"/>
    <n v="0.53600000000000003"/>
    <n v="0.45500000000000002"/>
    <x v="1"/>
    <x v="5"/>
    <s v="very_high_beta"/>
    <n v="0"/>
    <n v="0"/>
    <n v="0"/>
    <n v="0"/>
    <n v="0"/>
    <n v="0"/>
    <n v="0"/>
  </r>
  <r>
    <n v="0"/>
    <n v="0"/>
    <n v="0"/>
    <n v="0"/>
    <n v="0.53500000000000003"/>
    <n v="0.50600000000000001"/>
    <x v="1"/>
    <x v="13"/>
    <s v="very_high_beta"/>
    <n v="0"/>
    <n v="0"/>
    <n v="0"/>
    <n v="0"/>
    <n v="0"/>
    <n v="0"/>
    <n v="0"/>
  </r>
  <r>
    <n v="0"/>
    <n v="0"/>
    <n v="0"/>
    <n v="0"/>
    <n v="0.53400000000000003"/>
    <n v="0.51800000000000002"/>
    <x v="4"/>
    <x v="18"/>
    <s v="very_low_beta"/>
    <n v="0"/>
    <n v="0"/>
    <n v="0"/>
    <n v="0"/>
    <n v="0"/>
    <n v="0"/>
    <n v="0"/>
  </r>
  <r>
    <n v="0"/>
    <n v="-1E-3"/>
    <n v="0"/>
    <n v="1E-3"/>
    <n v="0.53400000000000003"/>
    <n v="0.39800000000000002"/>
    <x v="1"/>
    <x v="17"/>
    <s v="very_high_beta"/>
    <n v="0"/>
    <n v="-1E-3"/>
    <n v="0"/>
    <n v="0"/>
    <n v="0"/>
    <n v="0"/>
    <n v="0"/>
  </r>
  <r>
    <n v="0"/>
    <n v="0"/>
    <n v="0"/>
    <n v="0"/>
    <n v="0.53400000000000003"/>
    <n v="0.374"/>
    <x v="0"/>
    <x v="15"/>
    <s v="neutral_beta"/>
    <n v="0"/>
    <n v="0"/>
    <n v="0"/>
    <n v="0"/>
    <n v="0"/>
    <n v="0"/>
    <n v="0"/>
  </r>
  <r>
    <n v="0"/>
    <n v="0"/>
    <n v="0"/>
    <n v="0"/>
    <n v="0.53300000000000003"/>
    <n v="0.46200000000000002"/>
    <x v="2"/>
    <x v="19"/>
    <s v="very_low_beta"/>
    <n v="0"/>
    <n v="0"/>
    <n v="0"/>
    <n v="0"/>
    <n v="0"/>
    <n v="0"/>
    <n v="0"/>
  </r>
  <r>
    <n v="0"/>
    <n v="-1E-3"/>
    <n v="0"/>
    <n v="1E-3"/>
    <n v="0.53200000000000003"/>
    <n v="0.39600000000000002"/>
    <x v="1"/>
    <x v="5"/>
    <s v="high_beta"/>
    <n v="0"/>
    <n v="-1E-3"/>
    <n v="0"/>
    <n v="0"/>
    <n v="0"/>
    <n v="0"/>
    <n v="0"/>
  </r>
  <r>
    <n v="0"/>
    <n v="0"/>
    <n v="0"/>
    <n v="0"/>
    <n v="0.53100000000000003"/>
    <n v="0.57099999999999995"/>
    <x v="3"/>
    <x v="7"/>
    <s v="high_beta"/>
    <n v="0"/>
    <n v="0"/>
    <n v="0"/>
    <n v="0"/>
    <n v="0"/>
    <n v="0"/>
    <n v="0"/>
  </r>
  <r>
    <n v="0"/>
    <n v="0"/>
    <n v="0"/>
    <n v="0"/>
    <n v="0.53"/>
    <n v="0.627"/>
    <x v="4"/>
    <x v="18"/>
    <s v="very_low_beta"/>
    <n v="0"/>
    <n v="0"/>
    <n v="0"/>
    <n v="0"/>
    <n v="0"/>
    <n v="0"/>
    <n v="0"/>
  </r>
  <r>
    <n v="0"/>
    <n v="0"/>
    <n v="0"/>
    <n v="0"/>
    <n v="0.52800000000000002"/>
    <n v="0.371"/>
    <x v="1"/>
    <x v="4"/>
    <s v="very_high_beta"/>
    <n v="0"/>
    <n v="0"/>
    <n v="0"/>
    <n v="0"/>
    <n v="0"/>
    <n v="0"/>
    <n v="0"/>
  </r>
  <r>
    <n v="0"/>
    <n v="0"/>
    <n v="0"/>
    <n v="0"/>
    <n v="0.52300000000000002"/>
    <n v="0.58599999999999997"/>
    <x v="3"/>
    <x v="7"/>
    <s v="neutral_beta"/>
    <n v="0"/>
    <n v="0"/>
    <n v="0"/>
    <n v="0"/>
    <n v="0"/>
    <n v="0"/>
    <n v="0"/>
  </r>
  <r>
    <n v="0"/>
    <n v="0"/>
    <n v="0"/>
    <n v="0"/>
    <n v="0.52100000000000002"/>
    <n v="0.437"/>
    <x v="4"/>
    <x v="18"/>
    <s v="very_low_beta"/>
    <n v="0"/>
    <n v="0"/>
    <n v="0"/>
    <n v="0"/>
    <n v="0"/>
    <n v="0"/>
    <n v="0"/>
  </r>
  <r>
    <n v="0"/>
    <n v="-4.0000000000000001E-3"/>
    <n v="0"/>
    <n v="4.0000000000000001E-3"/>
    <n v="0.51900000000000002"/>
    <n v="0.57199999999999995"/>
    <x v="1"/>
    <x v="13"/>
    <s v="neutral_beta"/>
    <n v="0"/>
    <n v="-4.0000000000000001E-3"/>
    <n v="0"/>
    <n v="0"/>
    <n v="0"/>
    <n v="0"/>
    <n v="0"/>
  </r>
  <r>
    <n v="0"/>
    <n v="0"/>
    <n v="0"/>
    <n v="0"/>
    <n v="0.51900000000000002"/>
    <n v="0.36399999999999999"/>
    <x v="2"/>
    <x v="14"/>
    <s v="very_high_beta"/>
    <n v="0"/>
    <n v="0"/>
    <n v="0"/>
    <n v="0"/>
    <n v="0"/>
    <n v="0"/>
    <n v="0"/>
  </r>
  <r>
    <n v="0"/>
    <n v="-1E-3"/>
    <n v="0"/>
    <n v="1E-3"/>
    <n v="0.51800000000000002"/>
    <n v="0.437"/>
    <x v="1"/>
    <x v="6"/>
    <s v="neutral_beta"/>
    <n v="0"/>
    <n v="-1E-3"/>
    <n v="0"/>
    <n v="0"/>
    <n v="0"/>
    <n v="0"/>
    <n v="0"/>
  </r>
  <r>
    <n v="0"/>
    <n v="0"/>
    <n v="0"/>
    <n v="0"/>
    <n v="0.51800000000000002"/>
    <n v="0.43"/>
    <x v="1"/>
    <x v="2"/>
    <s v="neutral_beta"/>
    <n v="0"/>
    <n v="0"/>
    <n v="0"/>
    <n v="0"/>
    <n v="0"/>
    <n v="0"/>
    <n v="0"/>
  </r>
  <r>
    <n v="0"/>
    <n v="-1E-3"/>
    <n v="0"/>
    <n v="1E-3"/>
    <n v="0.51600000000000001"/>
    <n v="0.40500000000000003"/>
    <x v="1"/>
    <x v="4"/>
    <s v="high_beta"/>
    <n v="0"/>
    <n v="-1E-3"/>
    <n v="0"/>
    <n v="0"/>
    <n v="0"/>
    <n v="0"/>
    <n v="0"/>
  </r>
  <r>
    <n v="0"/>
    <n v="0"/>
    <n v="0"/>
    <n v="0"/>
    <n v="0.51500000000000001"/>
    <n v="0.42699999999999999"/>
    <x v="1"/>
    <x v="17"/>
    <s v="neutral_beta"/>
    <n v="0"/>
    <n v="0"/>
    <n v="0"/>
    <n v="0"/>
    <n v="0"/>
    <n v="0"/>
    <n v="0"/>
  </r>
  <r>
    <n v="0"/>
    <n v="0"/>
    <n v="0"/>
    <n v="0"/>
    <n v="0.51400000000000001"/>
    <n v="0.45700000000000002"/>
    <x v="1"/>
    <x v="2"/>
    <s v="very_low_beta"/>
    <n v="0"/>
    <n v="0"/>
    <n v="0"/>
    <n v="0"/>
    <n v="0"/>
    <n v="0"/>
    <n v="0"/>
  </r>
  <r>
    <n v="0"/>
    <n v="-4.0000000000000001E-3"/>
    <n v="0"/>
    <n v="4.0000000000000001E-3"/>
    <n v="0.51200000000000001"/>
    <n v="0.42199999999999999"/>
    <x v="1"/>
    <x v="13"/>
    <s v="very_high_beta"/>
    <n v="0"/>
    <n v="-4.0000000000000001E-3"/>
    <n v="0"/>
    <n v="0"/>
    <n v="0"/>
    <n v="0"/>
    <n v="0"/>
  </r>
  <r>
    <n v="0"/>
    <n v="-2E-3"/>
    <n v="0"/>
    <n v="2E-3"/>
    <n v="0.50800000000000001"/>
    <n v="0.39500000000000002"/>
    <x v="4"/>
    <x v="9"/>
    <s v="very_high_beta"/>
    <n v="0"/>
    <n v="-2E-3"/>
    <n v="0"/>
    <n v="0"/>
    <n v="0"/>
    <n v="0"/>
    <n v="0"/>
  </r>
  <r>
    <n v="0"/>
    <n v="0"/>
    <n v="0"/>
    <n v="0"/>
    <n v="0.50700000000000001"/>
    <n v="0.38700000000000001"/>
    <x v="1"/>
    <x v="4"/>
    <s v="low_beta"/>
    <n v="0"/>
    <n v="0"/>
    <n v="0"/>
    <n v="0"/>
    <n v="0"/>
    <n v="0"/>
    <n v="0"/>
  </r>
  <r>
    <n v="0"/>
    <n v="-2.1000000000000001E-2"/>
    <n v="0"/>
    <n v="2.1000000000000001E-2"/>
    <n v="0.50600000000000001"/>
    <n v="0.57099999999999995"/>
    <x v="3"/>
    <x v="7"/>
    <s v="very_high_beta"/>
    <n v="0"/>
    <n v="-2.1000000000000001E-2"/>
    <n v="0"/>
    <n v="0"/>
    <n v="0"/>
    <n v="0"/>
    <n v="0"/>
  </r>
  <r>
    <n v="0"/>
    <n v="-7.0000000000000001E-3"/>
    <n v="0"/>
    <n v="7.0000000000000001E-3"/>
    <n v="0.505"/>
    <n v="0.60499999999999998"/>
    <x v="1"/>
    <x v="8"/>
    <s v="neutral_beta"/>
    <n v="0"/>
    <n v="-7.0000000000000001E-3"/>
    <n v="0"/>
    <n v="0"/>
    <n v="0"/>
    <n v="0"/>
    <n v="0"/>
  </r>
  <r>
    <n v="0"/>
    <n v="0"/>
    <n v="0"/>
    <n v="0"/>
    <n v="0.501"/>
    <n v="0.35099999999999998"/>
    <x v="4"/>
    <x v="9"/>
    <s v="very_high_beta"/>
    <n v="0"/>
    <n v="0"/>
    <n v="0"/>
    <n v="0"/>
    <n v="0"/>
    <n v="0"/>
    <n v="0"/>
  </r>
  <r>
    <n v="0"/>
    <n v="0"/>
    <n v="0"/>
    <n v="0"/>
    <n v="0.5"/>
    <n v="0.37"/>
    <x v="1"/>
    <x v="13"/>
    <s v="very_high_beta"/>
    <n v="0"/>
    <n v="0"/>
    <n v="0"/>
    <n v="0"/>
    <n v="0"/>
    <n v="0"/>
    <n v="0"/>
  </r>
  <r>
    <n v="0"/>
    <n v="-1E-3"/>
    <n v="0"/>
    <n v="1E-3"/>
    <n v="0.499"/>
    <n v="0.35299999999999998"/>
    <x v="2"/>
    <x v="14"/>
    <s v="very_high_beta"/>
    <n v="0"/>
    <n v="-1E-3"/>
    <n v="0"/>
    <n v="0"/>
    <n v="0"/>
    <n v="0"/>
    <n v="0"/>
  </r>
  <r>
    <n v="0"/>
    <n v="0"/>
    <n v="0"/>
    <n v="0"/>
    <n v="0.497"/>
    <n v="0.36199999999999999"/>
    <x v="1"/>
    <x v="5"/>
    <s v="very_high_beta"/>
    <n v="0"/>
    <n v="0"/>
    <n v="0"/>
    <n v="0"/>
    <n v="0"/>
    <n v="0"/>
    <n v="0"/>
  </r>
  <r>
    <n v="0"/>
    <n v="0"/>
    <n v="0"/>
    <n v="0"/>
    <n v="0.49199999999999999"/>
    <n v="0.34499999999999997"/>
    <x v="1"/>
    <x v="13"/>
    <s v="high_beta"/>
    <n v="0"/>
    <n v="0"/>
    <n v="0"/>
    <n v="0"/>
    <n v="0"/>
    <n v="0"/>
    <n v="0"/>
  </r>
  <r>
    <n v="0"/>
    <n v="0"/>
    <n v="0"/>
    <n v="0"/>
    <n v="0.49199999999999999"/>
    <n v="0.34399999999999997"/>
    <x v="1"/>
    <x v="5"/>
    <s v="very_high_beta"/>
    <n v="0"/>
    <n v="0"/>
    <n v="0"/>
    <n v="0"/>
    <n v="0"/>
    <n v="0"/>
    <n v="0"/>
  </r>
  <r>
    <n v="0"/>
    <n v="0"/>
    <n v="0"/>
    <n v="0"/>
    <n v="0.48899999999999999"/>
    <n v="0.51800000000000002"/>
    <x v="1"/>
    <x v="11"/>
    <s v="neutral_beta"/>
    <n v="0"/>
    <n v="0"/>
    <n v="0"/>
    <n v="0"/>
    <n v="0"/>
    <n v="0"/>
    <n v="0"/>
  </r>
  <r>
    <n v="0"/>
    <n v="0"/>
    <n v="0"/>
    <n v="0"/>
    <n v="0.48499999999999999"/>
    <n v="0.36199999999999999"/>
    <x v="3"/>
    <x v="10"/>
    <s v="very_low_beta"/>
    <n v="0"/>
    <n v="0"/>
    <n v="0"/>
    <n v="0"/>
    <n v="0"/>
    <n v="0"/>
    <n v="0"/>
  </r>
  <r>
    <n v="0"/>
    <n v="0"/>
    <n v="0"/>
    <n v="0"/>
    <n v="0.48199999999999998"/>
    <n v="0.34200000000000003"/>
    <x v="1"/>
    <x v="13"/>
    <s v="high_beta"/>
    <n v="0"/>
    <n v="0"/>
    <n v="0"/>
    <n v="0"/>
    <n v="0"/>
    <n v="0"/>
    <n v="0"/>
  </r>
  <r>
    <n v="0"/>
    <n v="-1E-3"/>
    <n v="0"/>
    <n v="1E-3"/>
    <n v="0.47799999999999998"/>
    <n v="0.33600000000000002"/>
    <x v="3"/>
    <x v="20"/>
    <s v="very_low_beta"/>
    <n v="0"/>
    <n v="-1E-3"/>
    <n v="0"/>
    <n v="0"/>
    <n v="0"/>
    <n v="0"/>
    <n v="0"/>
  </r>
  <r>
    <n v="0"/>
    <n v="0"/>
    <n v="0"/>
    <n v="0"/>
    <n v="0.47699999999999998"/>
    <n v="0.33900000000000002"/>
    <x v="2"/>
    <x v="19"/>
    <s v="very_high_beta"/>
    <n v="0"/>
    <n v="0"/>
    <n v="0"/>
    <n v="0"/>
    <n v="0"/>
    <n v="0"/>
    <n v="0"/>
  </r>
  <r>
    <n v="0"/>
    <n v="0"/>
    <n v="0"/>
    <n v="0"/>
    <n v="0.47699999999999998"/>
    <n v="0.33700000000000002"/>
    <x v="1"/>
    <x v="8"/>
    <s v="high_beta"/>
    <n v="0"/>
    <n v="0"/>
    <n v="0"/>
    <n v="0"/>
    <n v="0"/>
    <n v="0"/>
    <n v="0"/>
  </r>
  <r>
    <n v="0"/>
    <n v="0"/>
    <n v="0"/>
    <n v="0"/>
    <n v="0.47699999999999998"/>
    <n v="0.33400000000000002"/>
    <x v="3"/>
    <x v="7"/>
    <s v="very_low_beta"/>
    <n v="0"/>
    <n v="0"/>
    <n v="0"/>
    <n v="0"/>
    <n v="0"/>
    <n v="0"/>
    <n v="0"/>
  </r>
  <r>
    <n v="0"/>
    <n v="0"/>
    <n v="0"/>
    <n v="0"/>
    <n v="0.47699999999999998"/>
    <n v="0.33400000000000002"/>
    <x v="1"/>
    <x v="4"/>
    <s v="low_beta"/>
    <n v="0"/>
    <n v="0"/>
    <n v="0"/>
    <n v="0"/>
    <n v="0"/>
    <n v="0"/>
    <n v="0"/>
  </r>
  <r>
    <n v="0"/>
    <n v="0"/>
    <n v="0"/>
    <n v="0"/>
    <n v="0.47699999999999998"/>
    <n v="0.33400000000000002"/>
    <x v="2"/>
    <x v="14"/>
    <s v="very_high_beta"/>
    <n v="0"/>
    <n v="0"/>
    <n v="0"/>
    <n v="0"/>
    <n v="0"/>
    <n v="0"/>
    <n v="0"/>
  </r>
  <r>
    <n v="0"/>
    <n v="0"/>
    <n v="0"/>
    <n v="0"/>
    <n v="0.47699999999999998"/>
    <n v="0.33400000000000002"/>
    <x v="4"/>
    <x v="9"/>
    <s v="high_beta"/>
    <n v="0"/>
    <n v="0"/>
    <n v="0"/>
    <n v="0"/>
    <n v="0"/>
    <n v="0"/>
    <n v="0"/>
  </r>
  <r>
    <m/>
    <m/>
    <m/>
    <m/>
    <m/>
    <m/>
    <x v="5"/>
    <x v="21"/>
    <m/>
    <m/>
    <m/>
    <m/>
    <m/>
    <m/>
    <m/>
    <m/>
  </r>
  <r>
    <m/>
    <m/>
    <m/>
    <m/>
    <m/>
    <m/>
    <x v="5"/>
    <x v="21"/>
    <m/>
    <m/>
    <m/>
    <m/>
    <m/>
    <m/>
    <m/>
    <m/>
  </r>
  <r>
    <m/>
    <m/>
    <m/>
    <m/>
    <m/>
    <m/>
    <x v="5"/>
    <x v="21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1.2E-2"/>
    <n v="1.2E-2"/>
    <n v="0"/>
    <n v="0"/>
    <n v="3.6120000000000001"/>
    <n v="3.5640000000000001"/>
    <x v="0"/>
    <x v="0"/>
    <s v="very_low_beta"/>
    <n v="1.2E-2"/>
    <n v="1.2E-2"/>
    <n v="0.37509688257666701"/>
    <n v="1.46039180329693E-2"/>
    <n v="-2.6039180329692994E-3"/>
    <n v="-2.6039180329692994E-3"/>
    <n v="1.19891981204824E-2"/>
    <n v="1.0801879517600629E-5"/>
  </r>
  <r>
    <n v="1.2E-2"/>
    <n v="1.2E-2"/>
    <n v="0"/>
    <n v="0"/>
    <n v="3.6120000000000001"/>
    <n v="3.605"/>
    <x v="1"/>
    <x v="1"/>
    <s v="high_beta"/>
    <n v="1.2E-2"/>
    <n v="1.2E-2"/>
    <n v="0.45753333333333301"/>
    <n v="1.46039180329693E-2"/>
    <n v="-2.6039180329692994E-3"/>
    <n v="-2.6039180329692994E-3"/>
    <n v="1.19891981204824E-2"/>
    <n v="1.0801879517600629E-5"/>
  </r>
  <r>
    <n v="0.01"/>
    <n v="8.0000000000000002E-3"/>
    <n v="1.0000000000000009E-3"/>
    <n v="1.9999999999999992E-3"/>
    <n v="3.6120000000000001"/>
    <n v="4.1130000000000004"/>
    <x v="2"/>
    <x v="2"/>
    <s v="neutral_beta"/>
    <n v="8.9999999999999993E-3"/>
    <n v="7.0000000000000001E-3"/>
    <n v="2.24793346502"/>
    <n v="1.6604720631632999E-2"/>
    <n v="-7.604720631633E-3"/>
    <n v="-6.6047206316329991E-3"/>
    <n v="1.11829190801871E-2"/>
    <n v="-2.1829190801871002E-3"/>
  </r>
  <r>
    <n v="8.9999999999999993E-3"/>
    <n v="8.9999999999999993E-3"/>
    <n v="0"/>
    <n v="0"/>
    <n v="3.6120000000000001"/>
    <n v="3.629"/>
    <x v="2"/>
    <x v="3"/>
    <s v="low_beta"/>
    <n v="8.9999999999999993E-3"/>
    <n v="8.9999999999999993E-3"/>
    <n v="0.362970655454667"/>
    <n v="1.46039180329693E-2"/>
    <n v="-5.6039180329693003E-3"/>
    <n v="-5.6039180329693003E-3"/>
    <n v="1.19891981204824E-2"/>
    <n v="-2.9891981204824003E-3"/>
  </r>
  <r>
    <n v="1.2500000000000001E-2"/>
    <n v="8.5000000000000006E-3"/>
    <n v="4.5000000000000005E-3"/>
    <n v="4.0000000000000001E-3"/>
    <n v="3.6120000000000001"/>
    <n v="3.895"/>
    <x v="1"/>
    <x v="4"/>
    <s v="very_high_beta"/>
    <n v="8.0000000000000002E-3"/>
    <n v="4.0000000000000001E-3"/>
    <n v="0.448932809866667"/>
    <n v="2.08611030042384E-2"/>
    <n v="-1.28611030042384E-2"/>
    <n v="-8.3611030042383995E-3"/>
    <n v="1.7126081943555801E-2"/>
    <n v="-9.1260819435558006E-3"/>
  </r>
  <r>
    <n v="0.01"/>
    <n v="0.01"/>
    <n v="4.0000000000000001E-3"/>
    <n v="0"/>
    <n v="3.6120000000000001"/>
    <n v="2.778"/>
    <x v="1"/>
    <x v="5"/>
    <s v="very_low_beta"/>
    <n v="6.0000000000000001E-3"/>
    <n v="6.0000000000000001E-3"/>
    <n v="2.1306249228366698"/>
    <n v="1.46039180329693E-2"/>
    <n v="-8.6039180329692995E-3"/>
    <n v="-4.6039180329692994E-3"/>
    <n v="9.3931853602334595E-3"/>
    <n v="-3.3931853602334593E-3"/>
  </r>
  <r>
    <n v="8.0000000000000002E-3"/>
    <n v="8.0000000000000002E-3"/>
    <n v="0"/>
    <n v="0"/>
    <n v="3.5289999999999999"/>
    <n v="2.738"/>
    <x v="1"/>
    <x v="6"/>
    <s v="very_high_beta"/>
    <n v="8.0000000000000002E-3"/>
    <n v="8.0000000000000002E-3"/>
    <n v="1.1310543896"/>
    <n v="1.4269527464952501E-2"/>
    <n v="-6.2695274649525005E-3"/>
    <n v="-6.2695274649525005E-3"/>
    <n v="9.3190117559870597E-3"/>
    <n v="-1.3190117559870596E-3"/>
  </r>
  <r>
    <n v="1.2E-2"/>
    <n v="0.01"/>
    <n v="0"/>
    <n v="2E-3"/>
    <n v="3.4969999999999999"/>
    <n v="3.883"/>
    <x v="1"/>
    <x v="6"/>
    <s v="very_low_beta"/>
    <n v="1.2E-2"/>
    <n v="0.01"/>
    <n v="0.75574801700000005"/>
    <n v="1.53043767385926E-2"/>
    <n v="-3.3043767385925998E-3"/>
    <n v="-3.3043767385925998E-3"/>
    <n v="9.2447260246992392E-3"/>
    <n v="2.7552739753007611E-3"/>
  </r>
  <r>
    <n v="7.0000000000000001E-3"/>
    <n v="7.0000000000000001E-3"/>
    <n v="0"/>
    <n v="0"/>
    <n v="3.3780000000000001"/>
    <n v="2.5910000000000002"/>
    <x v="2"/>
    <x v="2"/>
    <s v="very_high_beta"/>
    <n v="7.0000000000000001E-3"/>
    <n v="7.0000000000000001E-3"/>
    <n v="0.38847621060999998"/>
    <n v="1.36579890927221E-2"/>
    <n v="-6.6579890927220995E-3"/>
    <n v="-6.6579890927220995E-3"/>
    <n v="7.0157204483955503E-3"/>
    <n v="-1.5720448395550174E-5"/>
  </r>
  <r>
    <n v="0.01"/>
    <n v="8.0000000000000002E-3"/>
    <n v="0"/>
    <n v="2E-3"/>
    <n v="3.3239999999999998"/>
    <n v="3.0920000000000001"/>
    <x v="3"/>
    <x v="7"/>
    <s v="neutral_beta"/>
    <n v="0.01"/>
    <n v="8.0000000000000002E-3"/>
    <n v="0.65941919204866695"/>
    <n v="1.5002817521871201E-2"/>
    <n v="-5.0028175218712004E-3"/>
    <n v="-5.0028175218712004E-3"/>
    <n v="1.04818445035063E-2"/>
    <n v="-4.8184450350629952E-4"/>
  </r>
  <r>
    <n v="1.4999999999999999E-2"/>
    <n v="1.4999999999999999E-2"/>
    <n v="0"/>
    <n v="0"/>
    <n v="3.23"/>
    <n v="3.4940000000000002"/>
    <x v="1"/>
    <x v="4"/>
    <s v="low_beta"/>
    <n v="1.4999999999999999E-2"/>
    <n v="1.4999999999999999E-2"/>
    <n v="0.52897668937333298"/>
    <n v="1.3061017357926301E-2"/>
    <n v="1.9389826420736986E-3"/>
    <n v="1.9389826420736986E-3"/>
    <n v="9.8796696620712006E-3"/>
    <n v="5.1203303379287989E-3"/>
  </r>
  <r>
    <n v="5.0000000000000001E-3"/>
    <n v="5.0000000000000001E-3"/>
    <n v="0"/>
    <n v="0"/>
    <n v="2.9369999999999998"/>
    <n v="2.1800000000000002"/>
    <x v="1"/>
    <x v="8"/>
    <s v="high_beta"/>
    <n v="5.0000000000000001E-3"/>
    <n v="5.0000000000000001E-3"/>
    <n v="1.6823221086666701E-2"/>
    <n v="1.18758374637279E-2"/>
    <n v="-6.8758374637278999E-3"/>
    <n v="-6.8758374637278999E-3"/>
    <n v="1.19891981204824E-2"/>
    <n v="-6.9891981204823995E-3"/>
  </r>
  <r>
    <n v="0"/>
    <n v="0"/>
    <n v="-3.1E-2"/>
    <n v="0"/>
    <n v="2.92"/>
    <n v="3.6560000000000001"/>
    <x v="4"/>
    <x v="9"/>
    <s v="low_beta"/>
    <n v="3.1E-2"/>
    <n v="3.1E-2"/>
    <n v="2.2288193296666701"/>
    <n v="1.1807055340331E-2"/>
    <n v="1.9192944659669E-2"/>
    <n v="-1.1807055340331E-2"/>
    <n v="8.5102685991561601E-3"/>
    <n v="2.248973140084384E-2"/>
  </r>
  <r>
    <n v="8.9999999999999993E-3"/>
    <n v="8.0000000000000002E-3"/>
    <n v="0"/>
    <n v="9.9999999999999915E-4"/>
    <n v="2.9009999999999998"/>
    <n v="2.274"/>
    <x v="2"/>
    <x v="2"/>
    <s v="low_beta"/>
    <n v="8.9999999999999993E-3"/>
    <n v="8.0000000000000002E-3"/>
    <n v="3.19697189111"/>
    <n v="1.1904097361985701E-2"/>
    <n v="-2.9040973619857014E-3"/>
    <n v="-2.9040973619857014E-3"/>
    <n v="5.7265430133990897E-3"/>
    <n v="3.2734569866009096E-3"/>
  </r>
  <r>
    <n v="1.2E-2"/>
    <n v="8.0000000000000002E-3"/>
    <n v="0"/>
    <n v="4.0000000000000001E-3"/>
    <n v="2.8340000000000001"/>
    <n v="3.4689999999999999"/>
    <x v="1"/>
    <x v="1"/>
    <s v="neutral_beta"/>
    <n v="1.2E-2"/>
    <n v="8.0000000000000002E-3"/>
    <n v="1.1343465399999999"/>
    <n v="1.6768678195533199E-2"/>
    <n v="-4.7686781955331992E-3"/>
    <n v="-4.7686781955331992E-3"/>
    <n v="9.9976546854135401E-3"/>
    <n v="2.0023453145864602E-3"/>
  </r>
  <r>
    <n v="1.2999999999999999E-2"/>
    <n v="1.2999999999999999E-2"/>
    <n v="0"/>
    <n v="0"/>
    <n v="2.64"/>
    <n v="3.2669999999999999"/>
    <x v="3"/>
    <x v="10"/>
    <s v="neutral_beta"/>
    <n v="1.2999999999999999E-2"/>
    <n v="1.2999999999999999E-2"/>
    <n v="0.65441948251000004"/>
    <n v="1.0672618951240199E-2"/>
    <n v="2.3273810487597999E-3"/>
    <n v="2.3273810487597999E-3"/>
    <n v="7.1128496258462803E-3"/>
    <n v="5.8871503741537191E-3"/>
  </r>
  <r>
    <n v="5.0000000000000001E-3"/>
    <n v="5.0000000000000001E-3"/>
    <n v="0"/>
    <n v="0"/>
    <n v="2.6240000000000001"/>
    <n v="1.88"/>
    <x v="4"/>
    <x v="9"/>
    <s v="very_high_beta"/>
    <n v="5.0000000000000001E-3"/>
    <n v="5.0000000000000001E-3"/>
    <n v="2.1689231177566701"/>
    <n v="1.0611106001503799E-2"/>
    <n v="-5.6111060015037991E-3"/>
    <n v="-5.6111060015037991E-3"/>
    <n v="1.15259622835768E-2"/>
    <n v="-6.5259622835767998E-3"/>
  </r>
  <r>
    <n v="4.4999999999999998E-2"/>
    <n v="3.5000000000000003E-2"/>
    <n v="1.4999999999999999E-2"/>
    <n v="9.9999999999999985E-3"/>
    <n v="2.61"/>
    <n v="4.2750000000000004"/>
    <x v="4"/>
    <x v="9"/>
    <s v="neutral_beta"/>
    <n v="0.03"/>
    <n v="0.02"/>
    <n v="2.4517012629999999"/>
    <n v="2.4188725130808601E-2"/>
    <n v="5.8112748691913976E-3"/>
    <n v="2.0811274869191397E-2"/>
    <n v="2.0217903956486899E-2"/>
    <n v="9.7820960435130999E-3"/>
  </r>
  <r>
    <n v="8.0000000000000002E-3"/>
    <n v="8.0000000000000002E-3"/>
    <n v="0"/>
    <n v="0"/>
    <n v="2.6019999999999999"/>
    <n v="2.2559999999999998"/>
    <x v="1"/>
    <x v="8"/>
    <s v="high_beta"/>
    <n v="8.0000000000000002E-3"/>
    <n v="8.0000000000000002E-3"/>
    <n v="0.73880355937333297"/>
    <n v="1.05220712066212E-2"/>
    <n v="-2.5220712066212E-3"/>
    <n v="-2.5220712066212E-3"/>
    <n v="9.7060407748785302E-3"/>
    <n v="-1.7060407748785301E-3"/>
  </r>
  <r>
    <n v="5.0000000000000001E-3"/>
    <n v="5.0000000000000001E-3"/>
    <n v="0"/>
    <n v="0"/>
    <n v="2.593"/>
    <n v="1.8720000000000001"/>
    <x v="1"/>
    <x v="11"/>
    <s v="high_beta"/>
    <n v="5.0000000000000001E-3"/>
    <n v="5.0000000000000001E-3"/>
    <n v="0.21056898030000001"/>
    <n v="1.04829629466361E-2"/>
    <n v="-5.4829629466360994E-3"/>
    <n v="-5.4829629466360994E-3"/>
    <n v="9.5432289465041606E-3"/>
    <n v="-4.5432289465041605E-3"/>
  </r>
  <r>
    <n v="0.05"/>
    <n v="-1.2999999999999998E-2"/>
    <n v="1.4000000000000005E-2"/>
    <n v="6.3E-2"/>
    <n v="2.5590000000000002"/>
    <n v="4.95"/>
    <x v="4"/>
    <x v="12"/>
    <s v="very_low_beta"/>
    <n v="3.5999999999999997E-2"/>
    <n v="-2.7E-2"/>
    <n v="5.4235721787033304"/>
    <n v="5.7024041984050797E-2"/>
    <n v="-2.1024041984050799E-2"/>
    <n v="-7.0240419840507939E-3"/>
    <n v="6.5960829890523598E-2"/>
    <n v="-2.9960829890523601E-2"/>
  </r>
  <r>
    <n v="0.01"/>
    <n v="8.0000000000000002E-3"/>
    <n v="0"/>
    <n v="2E-3"/>
    <n v="2.5230000000000001"/>
    <n v="1.9670000000000001"/>
    <x v="1"/>
    <x v="1"/>
    <s v="neutral_beta"/>
    <n v="0.01"/>
    <n v="8.0000000000000002E-3"/>
    <n v="0.57550352491333301"/>
    <n v="1.1126459762578001E-2"/>
    <n v="-1.1264597625780005E-3"/>
    <n v="-1.1264597625780005E-3"/>
    <n v="1.3077741533778799E-2"/>
    <n v="-3.0777415337787991E-3"/>
  </r>
  <r>
    <n v="0.01"/>
    <n v="3.0000000000000001E-3"/>
    <n v="0"/>
    <n v="7.0000000000000001E-3"/>
    <n v="2.5179999999999998"/>
    <n v="2.9670000000000001"/>
    <x v="3"/>
    <x v="7"/>
    <s v="high_beta"/>
    <n v="0.01"/>
    <n v="3.0000000000000001E-3"/>
    <n v="0.63941919220666699"/>
    <n v="1.9756898457745899E-2"/>
    <n v="-9.7568984577458984E-3"/>
    <n v="-9.7568984577458984E-3"/>
    <n v="1.344593182064E-2"/>
    <n v="-3.4459318206399997E-3"/>
  </r>
  <r>
    <n v="4.4999999999999998E-2"/>
    <n v="-3.0000000000000027E-3"/>
    <n v="9.999999999999995E-3"/>
    <n v="4.8000000000000001E-2"/>
    <n v="2.4710000000000001"/>
    <n v="4.3869999999999996"/>
    <x v="4"/>
    <x v="12"/>
    <s v="very_low_beta"/>
    <n v="3.5000000000000003E-2"/>
    <n v="-1.2999999999999999E-2"/>
    <n v="5.3246973420366697"/>
    <n v="5.5076929205472802E-2"/>
    <n v="-2.0076929205472799E-2"/>
    <n v="-1.0076929205472804E-2"/>
    <n v="6.4787379412914001E-2"/>
    <n v="-2.9787379412913997E-2"/>
  </r>
  <r>
    <n v="6.0000000000000001E-3"/>
    <n v="6.0000000000000001E-3"/>
    <n v="0"/>
    <n v="0"/>
    <n v="2.4249999999999998"/>
    <n v="1.851"/>
    <x v="1"/>
    <x v="11"/>
    <s v="very_high_beta"/>
    <n v="6.0000000000000001E-3"/>
    <n v="6.0000000000000001E-3"/>
    <n v="0.39684438996999999"/>
    <n v="9.8058734449045296E-3"/>
    <n v="-3.8058734449045294E-3"/>
    <n v="-3.8058734449045294E-3"/>
    <n v="6.6946100017498001E-3"/>
    <n v="-6.9461000174979998E-4"/>
  </r>
  <r>
    <n v="1.2E-2"/>
    <n v="1.2E-2"/>
    <n v="0"/>
    <n v="0"/>
    <n v="2.3660000000000001"/>
    <n v="2.5510000000000002"/>
    <x v="4"/>
    <x v="12"/>
    <s v="very_low_beta"/>
    <n v="1.2E-2"/>
    <n v="1.2E-2"/>
    <n v="3.23971833133333E-2"/>
    <n v="9.5676284092179095E-3"/>
    <n v="2.4323715907820908E-3"/>
    <n v="2.4323715907820908E-3"/>
    <n v="1.19369324329956E-2"/>
    <n v="6.3067567004400013E-5"/>
  </r>
  <r>
    <n v="5.0000000000000001E-3"/>
    <n v="5.0000000000000001E-3"/>
    <n v="-5.9999999999999993E-3"/>
    <n v="0"/>
    <n v="2.359"/>
    <n v="1.756"/>
    <x v="1"/>
    <x v="13"/>
    <s v="very_low_beta"/>
    <n v="1.0999999999999999E-2"/>
    <n v="1.0999999999999999E-2"/>
    <n v="1.32919339533333E-2"/>
    <n v="9.5364998252847003E-3"/>
    <n v="1.463500174715299E-3"/>
    <n v="-4.5364998252847002E-3"/>
    <n v="0"/>
    <n v="1.0999999999999999E-2"/>
  </r>
  <r>
    <n v="6.0000000000000001E-3"/>
    <n v="6.0000000000000001E-3"/>
    <n v="0"/>
    <n v="0"/>
    <n v="2.3580000000000001"/>
    <n v="1.8440000000000001"/>
    <x v="1"/>
    <x v="11"/>
    <s v="neutral_beta"/>
    <n v="6.0000000000000001E-3"/>
    <n v="6.0000000000000001E-3"/>
    <n v="1.25585075E-2"/>
    <n v="9.5334925143853097E-3"/>
    <n v="-3.5334925143853096E-3"/>
    <n v="-3.5334925143853096E-3"/>
    <n v="1.0661643000662999E-2"/>
    <n v="-4.6616430006629992E-3"/>
  </r>
  <r>
    <n v="0"/>
    <n v="0"/>
    <n v="-2.1999999999999999E-2"/>
    <n v="0"/>
    <n v="2.34"/>
    <n v="3.121"/>
    <x v="1"/>
    <x v="1"/>
    <s v="neutral_beta"/>
    <n v="2.1999999999999999E-2"/>
    <n v="2.1999999999999999E-2"/>
    <n v="0.99916358414566697"/>
    <n v="9.4596865913319905E-3"/>
    <n v="1.2540313408668008E-2"/>
    <n v="-9.4596865913319905E-3"/>
    <n v="6.0431548848453804E-3"/>
    <n v="1.5956845115154619E-2"/>
  </r>
  <r>
    <n v="1.6E-2"/>
    <n v="1.2999999999999999E-2"/>
    <n v="0"/>
    <n v="3.0000000000000009E-3"/>
    <n v="2.2639999999999998"/>
    <n v="3.1720000000000002"/>
    <x v="1"/>
    <x v="1"/>
    <s v="low_beta"/>
    <n v="1.6E-2"/>
    <n v="1.2999999999999999E-2"/>
    <n v="1.9466666100000001"/>
    <n v="1.11469109691242E-2"/>
    <n v="4.8530890308757998E-3"/>
    <n v="4.8530890308757998E-3"/>
    <n v="6.2380569290023504E-3"/>
    <n v="9.7619430709976508E-3"/>
  </r>
  <r>
    <n v="1.2999999999999999E-2"/>
    <n v="1.2999999999999999E-2"/>
    <n v="0"/>
    <n v="0"/>
    <n v="2.2480000000000002"/>
    <n v="2.4289999999999998"/>
    <x v="1"/>
    <x v="4"/>
    <s v="low_beta"/>
    <n v="1.2999999999999999E-2"/>
    <n v="1.2999999999999999E-2"/>
    <n v="0.51591118760999999"/>
    <n v="9.0888420386025705E-3"/>
    <n v="3.9111579613974289E-3"/>
    <n v="3.9111579613974289E-3"/>
    <n v="6.8906303651552004E-3"/>
    <n v="6.109369634844799E-3"/>
  </r>
  <r>
    <n v="1.2E-2"/>
    <n v="1.2E-2"/>
    <n v="0"/>
    <n v="0"/>
    <n v="2.2050000000000001"/>
    <n v="2.1379999999999999"/>
    <x v="1"/>
    <x v="8"/>
    <s v="neutral_beta"/>
    <n v="1.2E-2"/>
    <n v="1.2E-2"/>
    <n v="1.33153724698"/>
    <n v="8.9164144453460197E-3"/>
    <n v="3.0835855546539805E-3"/>
    <n v="3.0835855546539805E-3"/>
    <n v="9.6661735689102506E-3"/>
    <n v="2.3338264310897496E-3"/>
  </r>
  <r>
    <n v="1.2999999999999999E-2"/>
    <n v="1.0999999999999999E-2"/>
    <n v="0"/>
    <n v="2E-3"/>
    <n v="2.1789999999999998"/>
    <n v="2.75"/>
    <x v="3"/>
    <x v="7"/>
    <s v="very_low_beta"/>
    <n v="1.2999999999999999E-2"/>
    <n v="1.0999999999999999E-2"/>
    <n v="4.4932193805666696"/>
    <n v="1.0680713516989499E-2"/>
    <n v="2.3192864830104999E-3"/>
    <n v="2.3192864830104999E-3"/>
    <n v="1.2576591298562E-2"/>
    <n v="4.2340870143799982E-4"/>
  </r>
  <r>
    <n v="0.01"/>
    <n v="0.01"/>
    <n v="0"/>
    <n v="0"/>
    <n v="2.1739999999999999"/>
    <n v="2.3130000000000002"/>
    <x v="3"/>
    <x v="10"/>
    <s v="very_low_beta"/>
    <n v="0.01"/>
    <n v="0.01"/>
    <n v="0.92899547966666696"/>
    <n v="8.7893719883964903E-3"/>
    <n v="1.2106280116035099E-3"/>
    <n v="1.2106280116035099E-3"/>
    <n v="7.6043160321382598E-3"/>
    <n v="2.3956839678617404E-3"/>
  </r>
  <r>
    <n v="1.2999999999999999E-2"/>
    <n v="1.2999999999999999E-2"/>
    <n v="0"/>
    <n v="0"/>
    <n v="2.1589999999999998"/>
    <n v="2.2749999999999999"/>
    <x v="1"/>
    <x v="0"/>
    <s v="very_low_beta"/>
    <n v="1.2999999999999999E-2"/>
    <n v="1.2999999999999999E-2"/>
    <n v="1.457241118"/>
    <n v="8.7285207223807594E-3"/>
    <n v="4.27147927761924E-3"/>
    <n v="4.27147927761924E-3"/>
    <n v="6.5454486381811899E-3"/>
    <n v="6.4545513618188095E-3"/>
  </r>
  <r>
    <n v="8.9999999999999993E-3"/>
    <n v="8.9999999999999993E-3"/>
    <n v="0"/>
    <n v="0"/>
    <n v="2.105"/>
    <n v="2.1890000000000001"/>
    <x v="0"/>
    <x v="14"/>
    <s v="high_beta"/>
    <n v="8.9999999999999993E-3"/>
    <n v="8.9999999999999993E-3"/>
    <n v="0.36393998025666702"/>
    <n v="8.5122778367901393E-3"/>
    <n v="4.8772216320986002E-4"/>
    <n v="4.8772216320986002E-4"/>
    <n v="8.5934395143109406E-3"/>
    <n v="4.0656048568905867E-4"/>
  </r>
  <r>
    <n v="0"/>
    <n v="0"/>
    <n v="-8.0000000000000002E-3"/>
    <n v="0"/>
    <n v="2.0529999999999999"/>
    <n v="1.712"/>
    <x v="2"/>
    <x v="15"/>
    <s v="high_beta"/>
    <n v="8.0000000000000002E-3"/>
    <n v="8.0000000000000002E-3"/>
    <n v="0.31028855466666699"/>
    <n v="8.2988155620752901E-3"/>
    <n v="-2.9881556207528998E-4"/>
    <n v="-8.2988155620752901E-3"/>
    <n v="0"/>
    <n v="8.0000000000000002E-3"/>
  </r>
  <r>
    <n v="6.0000000000000001E-3"/>
    <n v="6.0000000000000001E-3"/>
    <n v="0"/>
    <n v="0"/>
    <n v="2.016"/>
    <n v="1.5660000000000001"/>
    <x v="1"/>
    <x v="4"/>
    <s v="very_high_beta"/>
    <n v="6.0000000000000001E-3"/>
    <n v="6.0000000000000001E-3"/>
    <n v="2.00116862771333"/>
    <n v="8.1504880480818501E-3"/>
    <n v="-2.15048804808185E-3"/>
    <n v="-2.15048804808185E-3"/>
    <n v="7.93748364068338E-3"/>
    <n v="-1.9374836406833799E-3"/>
  </r>
  <r>
    <n v="1.2999999999999999E-2"/>
    <n v="1.2999999999999999E-2"/>
    <n v="0"/>
    <n v="0"/>
    <n v="1.992"/>
    <n v="2.39"/>
    <x v="3"/>
    <x v="7"/>
    <s v="low_beta"/>
    <n v="1.2999999999999999E-2"/>
    <n v="1.2999999999999999E-2"/>
    <n v="0.45066247266666698"/>
    <n v="8.0542925759942603E-3"/>
    <n v="4.9457074240057391E-3"/>
    <n v="4.9457074240057391E-3"/>
    <n v="6.9385016912247403E-3"/>
    <n v="6.0614983087752591E-3"/>
  </r>
  <r>
    <n v="1.0999999999999999E-2"/>
    <n v="1.0999999999999999E-2"/>
    <n v="0"/>
    <n v="0"/>
    <n v="1.9890000000000001"/>
    <n v="1.645"/>
    <x v="1"/>
    <x v="8"/>
    <s v="neutral_beta"/>
    <n v="1.0999999999999999E-2"/>
    <n v="1.0999999999999999E-2"/>
    <n v="0.29051820423666702"/>
    <n v="8.0406375480739697E-3"/>
    <n v="2.9593624519260297E-3"/>
    <n v="2.9593624519260297E-3"/>
    <n v="0"/>
    <n v="1.0999999999999999E-2"/>
  </r>
  <r>
    <n v="8.9999999999999993E-3"/>
    <n v="8.9999999999999993E-3"/>
    <n v="0"/>
    <n v="0"/>
    <n v="1.97"/>
    <n v="1.5529999999999999"/>
    <x v="0"/>
    <x v="14"/>
    <s v="high_beta"/>
    <n v="8.9999999999999993E-3"/>
    <n v="8.9999999999999993E-3"/>
    <n v="0.53502726880999996"/>
    <n v="7.9656721290346996E-3"/>
    <n v="1.0343278709652997E-3"/>
    <n v="1.0343278709652997E-3"/>
    <n v="6.2761460300744002E-3"/>
    <n v="2.7238539699255991E-3"/>
  </r>
  <r>
    <n v="1.6E-2"/>
    <n v="1.4999999999999999E-2"/>
    <n v="0"/>
    <n v="1.0000000000000009E-3"/>
    <n v="1.9690000000000001"/>
    <n v="2.29"/>
    <x v="4"/>
    <x v="9"/>
    <s v="low_beta"/>
    <n v="1.6E-2"/>
    <n v="1.4999999999999999E-2"/>
    <n v="0.70083502088733296"/>
    <n v="8.4299107557595405E-3"/>
    <n v="7.5700892442404598E-3"/>
    <n v="7.5700892442404598E-3"/>
    <n v="8.2983986929125106E-3"/>
    <n v="7.7016013070874897E-3"/>
  </r>
  <r>
    <n v="3.4000000000000002E-2"/>
    <n v="-9.999999999999995E-3"/>
    <n v="9.0000000000000011E-3"/>
    <n v="4.3999999999999997E-2"/>
    <n v="1.9079999999999999"/>
    <n v="4.3499999999999996"/>
    <x v="1"/>
    <x v="1"/>
    <s v="neutral_beta"/>
    <n v="2.5000000000000001E-2"/>
    <n v="-1.9E-2"/>
    <n v="0.99916353841233296"/>
    <n v="4.2534203645765101E-2"/>
    <n v="-1.7534203645765099E-2"/>
    <n v="-8.5342036457650983E-3"/>
    <n v="3.19632662573614E-2"/>
    <n v="-6.9632662573613988E-3"/>
  </r>
  <r>
    <n v="8.9999999999999993E-3"/>
    <n v="8.9999999999999993E-3"/>
    <n v="0"/>
    <n v="0"/>
    <n v="1.9039999999999999"/>
    <n v="1.5640000000000001"/>
    <x v="1"/>
    <x v="6"/>
    <s v="high_beta"/>
    <n v="8.9999999999999993E-3"/>
    <n v="8.9999999999999993E-3"/>
    <n v="0.63377817559666705"/>
    <n v="7.6984327600901998E-3"/>
    <n v="1.3015672399097995E-3"/>
    <n v="1.3015672399097995E-3"/>
    <n v="5.8337540443094303E-3"/>
    <n v="3.166245955690569E-3"/>
  </r>
  <r>
    <n v="1.2500000000000001E-2"/>
    <n v="1.2500000000000001E-2"/>
    <n v="1.5000000000000013E-3"/>
    <n v="0"/>
    <n v="1.8919999999999999"/>
    <n v="1.984"/>
    <x v="2"/>
    <x v="15"/>
    <s v="neutral_beta"/>
    <n v="1.0999999999999999E-2"/>
    <n v="1.0999999999999999E-2"/>
    <n v="0.34131741066666699"/>
    <n v="7.64988609337476E-3"/>
    <n v="3.3501139066252393E-3"/>
    <n v="4.8501139066252407E-3"/>
    <n v="0"/>
    <n v="1.0999999999999999E-2"/>
  </r>
  <r>
    <n v="0.03"/>
    <n v="2.9999999999999992E-3"/>
    <n v="0"/>
    <n v="2.7E-2"/>
    <n v="1.88"/>
    <n v="3.573"/>
    <x v="2"/>
    <x v="3"/>
    <s v="very_low_beta"/>
    <n v="0.03"/>
    <n v="3.0000000000000001E-3"/>
    <n v="1.46064112256333"/>
    <n v="3.9315854984562297E-2"/>
    <n v="-9.3158549845622982E-3"/>
    <n v="-9.3158549845622982E-3"/>
    <n v="0"/>
    <n v="0.03"/>
  </r>
  <r>
    <n v="3.2000000000000001E-2"/>
    <n v="-4.0000000000000036E-3"/>
    <n v="0"/>
    <n v="3.6000000000000004E-2"/>
    <n v="1.865"/>
    <n v="4.25"/>
    <x v="0"/>
    <x v="16"/>
    <s v="very_low_beta"/>
    <n v="3.2000000000000001E-2"/>
    <n v="-4.0000000000000001E-3"/>
    <n v="3.7350504844666701"/>
    <n v="4.1559888139735497E-2"/>
    <n v="-9.5598881397354965E-3"/>
    <n v="-9.5598881397354965E-3"/>
    <n v="4.4568496863611903E-2"/>
    <n v="-1.2568496863611903E-2"/>
  </r>
  <r>
    <n v="8.9999999999999993E-3"/>
    <n v="6.0000000000000001E-3"/>
    <n v="0"/>
    <n v="2.9999999999999992E-3"/>
    <n v="1.851"/>
    <n v="1.853"/>
    <x v="1"/>
    <x v="4"/>
    <s v="high_beta"/>
    <n v="8.9999999999999993E-3"/>
    <n v="6.0000000000000001E-3"/>
    <n v="0.86827604551000004"/>
    <n v="8.8297540599564898E-3"/>
    <n v="1.7024594004350947E-4"/>
    <n v="1.7024594004350947E-4"/>
    <n v="0"/>
    <n v="8.9999999999999993E-3"/>
  </r>
  <r>
    <n v="1.2E-2"/>
    <n v="1.0999999999999999E-2"/>
    <n v="0"/>
    <n v="1.0000000000000009E-3"/>
    <n v="1.8089999999999999"/>
    <n v="2.379"/>
    <x v="2"/>
    <x v="2"/>
    <s v="high_beta"/>
    <n v="1.2E-2"/>
    <n v="1.0999999999999999E-2"/>
    <n v="0.56191836801999995"/>
    <n v="7.5647091948360902E-3"/>
    <n v="4.4352908051639101E-3"/>
    <n v="4.4352908051639101E-3"/>
    <n v="7.6195055741211304E-3"/>
    <n v="4.3804944258788699E-3"/>
  </r>
  <r>
    <n v="1.2999999999999999E-2"/>
    <n v="1.2E-2"/>
    <n v="0"/>
    <n v="9.9999999999999915E-4"/>
    <n v="1.7310000000000001"/>
    <n v="2.0209999999999999"/>
    <x v="0"/>
    <x v="16"/>
    <s v="very_low_beta"/>
    <n v="1.2999999999999999E-2"/>
    <n v="1.2E-2"/>
    <n v="2.3115818062"/>
    <n v="7.4181983674764598E-3"/>
    <n v="5.5818016325235396E-3"/>
    <n v="5.5818016325235396E-3"/>
    <n v="7.9062649291413607E-3"/>
    <n v="5.0937350708586387E-3"/>
  </r>
  <r>
    <n v="7.0000000000000001E-3"/>
    <n v="7.0000000000000001E-3"/>
    <n v="0"/>
    <n v="0"/>
    <n v="1.71"/>
    <n v="1.2729999999999999"/>
    <x v="1"/>
    <x v="1"/>
    <s v="high_beta"/>
    <n v="7.0000000000000001E-3"/>
    <n v="7.0000000000000001E-3"/>
    <n v="1.817121795"/>
    <n v="6.9141210932008798E-3"/>
    <n v="8.5878906799120337E-5"/>
    <n v="8.5878906799120337E-5"/>
    <n v="8.6098457156624803E-3"/>
    <n v="-1.6098457156624802E-3"/>
  </r>
  <r>
    <n v="4.0000000000000001E-3"/>
    <n v="4.0000000000000001E-3"/>
    <n v="0"/>
    <n v="0"/>
    <n v="1.71"/>
    <n v="1.264"/>
    <x v="1"/>
    <x v="17"/>
    <s v="very_high_beta"/>
    <n v="4.0000000000000001E-3"/>
    <n v="4.0000000000000001E-3"/>
    <n v="0.98859144966666701"/>
    <n v="6.9135825447134399E-3"/>
    <n v="-2.9135825447134398E-3"/>
    <n v="-2.9135825447134398E-3"/>
    <n v="6.7950064385200798E-3"/>
    <n v="-2.7950064385200797E-3"/>
  </r>
  <r>
    <n v="1.2500000000000001E-2"/>
    <n v="1.2500000000000001E-2"/>
    <n v="1.5000000000000013E-3"/>
    <n v="0"/>
    <n v="1.603"/>
    <n v="1.675"/>
    <x v="2"/>
    <x v="15"/>
    <s v="neutral_beta"/>
    <n v="1.0999999999999999E-2"/>
    <n v="1.0999999999999999E-2"/>
    <n v="1.675558197"/>
    <n v="6.4811004969004497E-3"/>
    <n v="4.5188995030995497E-3"/>
    <n v="6.018899503099551E-3"/>
    <n v="0"/>
    <n v="1.0999999999999999E-2"/>
  </r>
  <r>
    <n v="8.0000000000000002E-3"/>
    <n v="0"/>
    <n v="0"/>
    <n v="8.0000000000000002E-3"/>
    <n v="1.573"/>
    <n v="1.8959999999999999"/>
    <x v="1"/>
    <x v="4"/>
    <s v="neutral_beta"/>
    <n v="8.0000000000000002E-3"/>
    <n v="0"/>
    <n v="2.7694951890800001"/>
    <n v="1.3173302087438001E-2"/>
    <n v="-5.1733020874380007E-3"/>
    <n v="-5.1733020874380007E-3"/>
    <n v="0"/>
    <n v="8.0000000000000002E-3"/>
  </r>
  <r>
    <n v="2.2499999999999999E-2"/>
    <n v="-5.4999999999999979E-3"/>
    <n v="3.4999999999999996E-3"/>
    <n v="2.7999999999999997E-2"/>
    <n v="1.4990000000000001"/>
    <n v="3.133"/>
    <x v="2"/>
    <x v="15"/>
    <s v="high_beta"/>
    <n v="1.9E-2"/>
    <n v="-8.9999999999999993E-3"/>
    <n v="2.31135312122333"/>
    <n v="3.1270519114759199E-2"/>
    <n v="-1.2270519114759199E-2"/>
    <n v="-8.7705191147591996E-3"/>
    <n v="3.8714612668137298E-2"/>
    <n v="-1.9714612668137298E-2"/>
  </r>
  <r>
    <n v="1.4E-2"/>
    <n v="-8.9999999999999993E-3"/>
    <n v="0"/>
    <n v="2.3E-2"/>
    <n v="1.488"/>
    <n v="3.2280000000000002"/>
    <x v="2"/>
    <x v="2"/>
    <s v="high_beta"/>
    <n v="1.4E-2"/>
    <n v="-8.9999999999999993E-3"/>
    <n v="1.42725782166667"/>
    <n v="2.7098416348317202E-2"/>
    <n v="-1.3098416348317201E-2"/>
    <n v="-1.3098416348317201E-2"/>
    <n v="0"/>
    <n v="1.4E-2"/>
  </r>
  <r>
    <n v="1.6E-2"/>
    <n v="1.0999999999999999E-2"/>
    <n v="0"/>
    <n v="5.000000000000001E-3"/>
    <n v="1.4590000000000001"/>
    <n v="1.728"/>
    <x v="4"/>
    <x v="12"/>
    <s v="very_low_beta"/>
    <n v="1.6E-2"/>
    <n v="1.0999999999999999E-2"/>
    <n v="1.74042270432333"/>
    <n v="9.5957938809067295E-3"/>
    <n v="6.4042061190932708E-3"/>
    <n v="6.4042061190932708E-3"/>
    <n v="1.6038235036781499E-2"/>
    <n v="-3.8235036781499032E-5"/>
  </r>
  <r>
    <n v="1.2999999999999999E-2"/>
    <n v="1.2999999999999999E-2"/>
    <n v="0"/>
    <n v="0"/>
    <n v="1.44"/>
    <n v="1.1160000000000001"/>
    <x v="4"/>
    <x v="18"/>
    <s v="very_low_beta"/>
    <n v="1.2999999999999999E-2"/>
    <n v="1.2999999999999999E-2"/>
    <n v="0.170100529986667"/>
    <n v="5.8230589571922602E-3"/>
    <n v="7.1769410428077392E-3"/>
    <n v="7.1769410428077392E-3"/>
    <n v="5.2343396043897103E-3"/>
    <n v="7.7656603956102891E-3"/>
  </r>
  <r>
    <n v="1.2E-2"/>
    <n v="1.0000000000000009E-3"/>
    <n v="0"/>
    <n v="1.0999999999999999E-2"/>
    <n v="1.4330000000000001"/>
    <n v="2.3490000000000002"/>
    <x v="1"/>
    <x v="0"/>
    <s v="very_high_beta"/>
    <n v="1.2E-2"/>
    <n v="1E-3"/>
    <n v="0.451822583616667"/>
    <n v="1.46989511041034E-2"/>
    <n v="-2.6989511041033993E-3"/>
    <n v="-2.6989511041033993E-3"/>
    <n v="1.3656397767387E-2"/>
    <n v="-1.6563977673869999E-3"/>
  </r>
  <r>
    <n v="2.1000000000000001E-2"/>
    <n v="-9.9999999999999985E-3"/>
    <n v="0"/>
    <n v="3.1E-2"/>
    <n v="1.381"/>
    <n v="2.8460000000000001"/>
    <x v="1"/>
    <x v="13"/>
    <s v="low_beta"/>
    <n v="2.1000000000000001E-2"/>
    <n v="-0.01"/>
    <n v="1.4213532014966701"/>
    <n v="3.0789720473047399E-2"/>
    <n v="-9.7897204730473981E-3"/>
    <n v="-9.7897204730473981E-3"/>
    <n v="5.6044724107550799E-2"/>
    <n v="-3.5044724107550801E-2"/>
  </r>
  <r>
    <n v="1.7999999999999999E-2"/>
    <n v="1.2999999999999999E-2"/>
    <n v="0"/>
    <n v="4.9999999999999992E-3"/>
    <n v="1.349"/>
    <n v="1.6579999999999999"/>
    <x v="1"/>
    <x v="13"/>
    <s v="very_low_beta"/>
    <n v="1.7999999999999999E-2"/>
    <n v="1.2999999999999999E-2"/>
    <n v="0.88338808666666702"/>
    <n v="7.6331341876972898E-3"/>
    <n v="1.0366865812302709E-2"/>
    <n v="1.0366865812302709E-2"/>
    <n v="1.19814608461266E-2"/>
    <n v="6.0185391538733982E-3"/>
  </r>
  <r>
    <n v="8.0000000000000002E-3"/>
    <n v="8.0000000000000002E-3"/>
    <n v="0"/>
    <n v="0"/>
    <n v="1.3220000000000001"/>
    <n v="1.0089999999999999"/>
    <x v="1"/>
    <x v="4"/>
    <s v="high_beta"/>
    <n v="8.0000000000000002E-3"/>
    <n v="8.0000000000000002E-3"/>
    <n v="0.46791070033333299"/>
    <n v="5.34310225568016E-3"/>
    <n v="2.6568977443198402E-3"/>
    <n v="2.6568977443198402E-3"/>
    <n v="1.0576239965865E-2"/>
    <n v="-2.5762399658650001E-3"/>
  </r>
  <r>
    <n v="2.1999999999999999E-2"/>
    <n v="3.9999999999999966E-3"/>
    <n v="-2.0000000000000018E-3"/>
    <n v="1.8000000000000002E-2"/>
    <n v="1.3080000000000001"/>
    <n v="2.573"/>
    <x v="0"/>
    <x v="16"/>
    <s v="very_low_beta"/>
    <n v="2.4E-2"/>
    <n v="6.0000000000000001E-3"/>
    <n v="1.1747798110000001"/>
    <n v="1.90566792672269E-2"/>
    <n v="4.9433207327731002E-3"/>
    <n v="2.9433207327730984E-3"/>
    <n v="3.1582017333827303E-2"/>
    <n v="-7.5820173338273025E-3"/>
  </r>
  <r>
    <n v="1.4999999999999999E-2"/>
    <n v="1.2E-2"/>
    <n v="-4.0000000000000001E-3"/>
    <n v="2.9999999999999992E-3"/>
    <n v="1.306"/>
    <n v="1.76"/>
    <x v="2"/>
    <x v="3"/>
    <s v="very_low_beta"/>
    <n v="1.9E-2"/>
    <n v="1.6E-2"/>
    <n v="1.7751518455299999"/>
    <n v="6.7490130395767602E-3"/>
    <n v="1.2250986960423239E-2"/>
    <n v="8.2509869604232393E-3"/>
    <n v="0"/>
    <n v="1.9E-2"/>
  </r>
  <r>
    <n v="1.2999999999999999E-2"/>
    <n v="0.01"/>
    <n v="0"/>
    <n v="2.9999999999999992E-3"/>
    <n v="1.2529999999999999"/>
    <n v="1.589"/>
    <x v="1"/>
    <x v="6"/>
    <s v="low_beta"/>
    <n v="1.2999999999999999E-2"/>
    <n v="0.01"/>
    <n v="3.15143"/>
    <n v="6.0187910568478501E-3"/>
    <n v="6.9812089431521493E-3"/>
    <n v="6.9812089431521493E-3"/>
    <n v="0"/>
    <n v="1.2999999999999999E-2"/>
  </r>
  <r>
    <n v="5.0000000000000001E-3"/>
    <n v="5.0000000000000001E-3"/>
    <n v="0"/>
    <n v="0"/>
    <n v="1.2310000000000001"/>
    <n v="0.90200000000000002"/>
    <x v="1"/>
    <x v="4"/>
    <s v="very_high_beta"/>
    <n v="5.0000000000000001E-3"/>
    <n v="5.0000000000000001E-3"/>
    <n v="0.45159591726033299"/>
    <n v="4.97810531090488E-3"/>
    <n v="2.1894689095120108E-5"/>
    <n v="2.1894689095120108E-5"/>
    <n v="0"/>
    <n v="5.0000000000000001E-3"/>
  </r>
  <r>
    <n v="2.5000000000000001E-2"/>
    <n v="2.5000000000000001E-2"/>
    <n v="0"/>
    <n v="0"/>
    <n v="1.228"/>
    <n v="1.2729999999999999"/>
    <x v="2"/>
    <x v="15"/>
    <s v="very_low_beta"/>
    <n v="2.5000000000000001E-2"/>
    <n v="2.5000000000000001E-2"/>
    <n v="1.3939499076599999"/>
    <n v="4.96486712592175E-3"/>
    <n v="2.0035132874078251E-2"/>
    <n v="2.0035132874078251E-2"/>
    <n v="7.5951735349610097E-3"/>
    <n v="1.7404826465038992E-2"/>
  </r>
  <r>
    <n v="2.5000000000000001E-2"/>
    <n v="-4.0000000000000001E-3"/>
    <n v="0"/>
    <n v="2.9000000000000001E-2"/>
    <n v="1.1910000000000001"/>
    <n v="2.7160000000000002"/>
    <x v="1"/>
    <x v="1"/>
    <s v="low_beta"/>
    <n v="2.5000000000000001E-2"/>
    <n v="-4.0000000000000001E-3"/>
    <n v="2.7218372938033299"/>
    <n v="2.60993926986E-2"/>
    <n v="-1.0993926985999984E-3"/>
    <n v="-1.0993926985999984E-3"/>
    <n v="3.6339152515828498E-2"/>
    <n v="-1.1339152515828496E-2"/>
  </r>
  <r>
    <n v="1.2999999999999999E-2"/>
    <n v="7.0000000000000001E-3"/>
    <n v="0"/>
    <n v="5.9999999999999993E-3"/>
    <n v="1.1519999999999999"/>
    <n v="1.2050000000000001"/>
    <x v="0"/>
    <x v="14"/>
    <s v="low_beta"/>
    <n v="1.2999999999999999E-2"/>
    <n v="7.0000000000000001E-3"/>
    <n v="1.08459122133333"/>
    <n v="7.4725344719211604E-3"/>
    <n v="5.527465528078839E-3"/>
    <n v="5.527465528078839E-3"/>
    <n v="1.2379192461683701E-2"/>
    <n v="6.2080753831629878E-4"/>
  </r>
  <r>
    <n v="0"/>
    <n v="0"/>
    <n v="-8.0000000000000002E-3"/>
    <n v="0"/>
    <n v="1.151"/>
    <n v="0.86499999999999999"/>
    <x v="1"/>
    <x v="0"/>
    <s v="neutral_beta"/>
    <n v="8.0000000000000002E-3"/>
    <n v="8.0000000000000002E-3"/>
    <n v="0.26430478833333299"/>
    <n v="4.65413236542508E-3"/>
    <n v="3.3458676345749202E-3"/>
    <n v="-4.65413236542508E-3"/>
    <n v="0"/>
    <n v="8.0000000000000002E-3"/>
  </r>
  <r>
    <n v="0"/>
    <n v="0"/>
    <n v="0"/>
    <n v="0"/>
    <n v="1.143"/>
    <n v="0.97499999999999998"/>
    <x v="0"/>
    <x v="14"/>
    <s v="low_beta"/>
    <n v="0"/>
    <n v="0"/>
    <n v="0.49114031245233303"/>
    <n v="0"/>
    <n v="0"/>
    <n v="0"/>
    <n v="0"/>
    <n v="0"/>
  </r>
  <r>
    <n v="5.0000000000000001E-3"/>
    <n v="5.0000000000000001E-3"/>
    <n v="5.0000000000000001E-3"/>
    <n v="0"/>
    <n v="1.1279999999999999"/>
    <n v="0.85599999999999998"/>
    <x v="4"/>
    <x v="9"/>
    <s v="neutral_beta"/>
    <n v="0"/>
    <n v="0"/>
    <n v="0.171550138763333"/>
    <n v="0"/>
    <n v="0"/>
    <n v="5.0000000000000001E-3"/>
    <n v="0"/>
    <n v="0"/>
  </r>
  <r>
    <n v="0"/>
    <n v="-2E-3"/>
    <n v="0"/>
    <n v="2E-3"/>
    <n v="1.111"/>
    <n v="1.1879999999999999"/>
    <x v="1"/>
    <x v="4"/>
    <s v="neutral_beta"/>
    <n v="0"/>
    <n v="-2E-3"/>
    <n v="0.72387009666666702"/>
    <n v="0"/>
    <n v="0"/>
    <n v="0"/>
    <n v="0"/>
    <n v="0"/>
  </r>
  <r>
    <n v="0"/>
    <n v="0"/>
    <n v="0"/>
    <n v="0"/>
    <n v="1.097"/>
    <n v="0.77300000000000002"/>
    <x v="0"/>
    <x v="14"/>
    <s v="very_high_beta"/>
    <n v="0"/>
    <n v="0"/>
    <n v="4.5507478033333298E-2"/>
    <n v="0"/>
    <n v="0"/>
    <n v="0"/>
    <n v="0"/>
    <n v="0"/>
  </r>
  <r>
    <n v="0"/>
    <n v="0"/>
    <n v="0"/>
    <n v="0"/>
    <n v="1.093"/>
    <n v="1.1599999999999999"/>
    <x v="3"/>
    <x v="7"/>
    <s v="neutral_beta"/>
    <n v="0"/>
    <n v="0"/>
    <n v="0.36880113333333298"/>
    <n v="0"/>
    <n v="0"/>
    <n v="0"/>
    <n v="0"/>
    <n v="0"/>
  </r>
  <r>
    <n v="0"/>
    <n v="-1.2E-2"/>
    <n v="0"/>
    <n v="1.2E-2"/>
    <n v="1.08"/>
    <n v="1.6739999999999999"/>
    <x v="0"/>
    <x v="14"/>
    <s v="low_beta"/>
    <n v="0"/>
    <n v="-1.2E-2"/>
    <n v="0.93633607016333298"/>
    <n v="0"/>
    <n v="0"/>
    <n v="0"/>
    <n v="0"/>
    <n v="0"/>
  </r>
  <r>
    <n v="0"/>
    <n v="-2E-3"/>
    <n v="0"/>
    <n v="2E-3"/>
    <n v="1.08"/>
    <n v="0.91300000000000003"/>
    <x v="0"/>
    <x v="14"/>
    <s v="high_beta"/>
    <n v="0"/>
    <n v="-2E-3"/>
    <n v="0.26910933176666701"/>
    <n v="0"/>
    <n v="0"/>
    <n v="0"/>
    <n v="0"/>
    <n v="0"/>
  </r>
  <r>
    <n v="0"/>
    <n v="0"/>
    <n v="0"/>
    <n v="0"/>
    <n v="1.0720000000000001"/>
    <n v="0.81599999999999995"/>
    <x v="1"/>
    <x v="5"/>
    <s v="high_beta"/>
    <n v="0"/>
    <n v="0"/>
    <n v="3.027700405E-2"/>
    <n v="0"/>
    <n v="0"/>
    <n v="0"/>
    <n v="0"/>
    <n v="0"/>
  </r>
  <r>
    <n v="0"/>
    <n v="-1E-3"/>
    <n v="0"/>
    <n v="1E-3"/>
    <n v="1.052"/>
    <n v="1.4430000000000001"/>
    <x v="2"/>
    <x v="2"/>
    <s v="high_beta"/>
    <n v="0"/>
    <n v="-1E-3"/>
    <n v="1.1477801859300001"/>
    <n v="0"/>
    <n v="0"/>
    <n v="0"/>
    <n v="0"/>
    <n v="0"/>
  </r>
  <r>
    <n v="0"/>
    <n v="0"/>
    <n v="0"/>
    <n v="0"/>
    <n v="1.046"/>
    <n v="0.76700000000000002"/>
    <x v="1"/>
    <x v="11"/>
    <s v="very_high_beta"/>
    <n v="0"/>
    <n v="0"/>
    <n v="0.20086468759666701"/>
    <n v="0"/>
    <n v="0"/>
    <n v="0"/>
    <n v="7.0393661377187999E-3"/>
    <n v="-7.0393661377187999E-3"/>
  </r>
  <r>
    <n v="0.01"/>
    <n v="0.01"/>
    <n v="0.01"/>
    <n v="0"/>
    <n v="1.0429999999999999"/>
    <n v="1.383"/>
    <x v="2"/>
    <x v="15"/>
    <s v="low_beta"/>
    <n v="0"/>
    <n v="0"/>
    <n v="1.0827808024066701"/>
    <n v="0"/>
    <n v="0"/>
    <n v="0.01"/>
    <n v="0"/>
    <n v="0"/>
  </r>
  <r>
    <n v="0"/>
    <n v="-2E-3"/>
    <n v="0"/>
    <n v="2E-3"/>
    <n v="1.0409999999999999"/>
    <n v="1.1870000000000001"/>
    <x v="1"/>
    <x v="17"/>
    <s v="neutral_beta"/>
    <n v="0"/>
    <n v="-2E-3"/>
    <n v="2.75"/>
    <n v="0"/>
    <n v="0"/>
    <n v="0"/>
    <n v="0"/>
    <n v="0"/>
  </r>
  <r>
    <n v="0"/>
    <n v="0"/>
    <n v="0"/>
    <n v="0"/>
    <n v="1"/>
    <n v="0.81899999999999995"/>
    <x v="0"/>
    <x v="19"/>
    <s v="low_beta"/>
    <n v="0"/>
    <n v="0"/>
    <n v="0.79897617743000005"/>
    <n v="0"/>
    <n v="0"/>
    <n v="0"/>
    <n v="0"/>
    <n v="0"/>
  </r>
  <r>
    <n v="0"/>
    <n v="0"/>
    <n v="0"/>
    <n v="0"/>
    <n v="0.98599999999999999"/>
    <n v="1.29"/>
    <x v="2"/>
    <x v="15"/>
    <s v="very_low_beta"/>
    <n v="0"/>
    <n v="0"/>
    <n v="1.08146631923333"/>
    <n v="0"/>
    <n v="0"/>
    <n v="0"/>
    <n v="0"/>
    <n v="0"/>
  </r>
  <r>
    <n v="5.0000000000000001E-3"/>
    <n v="-1E-3"/>
    <n v="5.0000000000000001E-3"/>
    <n v="6.0000000000000001E-3"/>
    <n v="0.97299999999999998"/>
    <n v="1.544"/>
    <x v="2"/>
    <x v="15"/>
    <s v="neutral_beta"/>
    <n v="0"/>
    <n v="-6.0000000000000001E-3"/>
    <n v="0.71701094132999998"/>
    <n v="0"/>
    <n v="0"/>
    <n v="5.0000000000000001E-3"/>
    <n v="1.29529563484444E-2"/>
    <n v="-1.29529563484444E-2"/>
  </r>
  <r>
    <n v="0"/>
    <n v="-3.5999999999999997E-2"/>
    <n v="0"/>
    <n v="3.5999999999999997E-2"/>
    <n v="0.97"/>
    <n v="2.1819999999999999"/>
    <x v="2"/>
    <x v="15"/>
    <s v="low_beta"/>
    <n v="0"/>
    <n v="-3.5999999999999997E-2"/>
    <n v="1.36641615795333"/>
    <n v="0"/>
    <n v="0"/>
    <n v="0"/>
    <n v="2.9631415760998901E-2"/>
    <n v="-2.9631415760998901E-2"/>
  </r>
  <r>
    <n v="0"/>
    <n v="-1E-3"/>
    <n v="0"/>
    <n v="1E-3"/>
    <n v="0.92800000000000005"/>
    <n v="1.087"/>
    <x v="1"/>
    <x v="4"/>
    <s v="high_beta"/>
    <n v="0"/>
    <n v="-1E-3"/>
    <n v="1.41808382127667"/>
    <n v="0"/>
    <n v="0"/>
    <n v="0"/>
    <n v="0"/>
    <n v="0"/>
  </r>
  <r>
    <n v="0"/>
    <n v="-1E-3"/>
    <n v="0"/>
    <n v="1E-3"/>
    <n v="0.90800000000000003"/>
    <n v="0.97899999999999998"/>
    <x v="0"/>
    <x v="14"/>
    <s v="very_low_beta"/>
    <n v="0"/>
    <n v="-1E-3"/>
    <n v="1.17479"/>
    <n v="0"/>
    <n v="0"/>
    <n v="0"/>
    <n v="0"/>
    <n v="0"/>
  </r>
  <r>
    <n v="0"/>
    <n v="-1.4E-2"/>
    <n v="0"/>
    <n v="1.4E-2"/>
    <n v="0.89200000000000002"/>
    <n v="1.593"/>
    <x v="2"/>
    <x v="15"/>
    <s v="high_beta"/>
    <n v="0"/>
    <n v="-1.4E-2"/>
    <n v="1.6833631119066701"/>
    <n v="0"/>
    <n v="0"/>
    <n v="0"/>
    <n v="1.63747434111341E-2"/>
    <n v="-1.63747434111341E-2"/>
  </r>
  <r>
    <n v="0"/>
    <n v="0"/>
    <n v="0"/>
    <n v="0"/>
    <n v="0.88500000000000001"/>
    <n v="0.8"/>
    <x v="0"/>
    <x v="19"/>
    <s v="very_high_beta"/>
    <n v="0"/>
    <n v="0"/>
    <n v="0.27955455352000003"/>
    <n v="0"/>
    <n v="0"/>
    <n v="0"/>
    <n v="0"/>
    <n v="0"/>
  </r>
  <r>
    <n v="0"/>
    <n v="-3.1E-2"/>
    <n v="0"/>
    <n v="3.1E-2"/>
    <n v="0.88"/>
    <n v="2.0049999999999999"/>
    <x v="1"/>
    <x v="1"/>
    <s v="neutral_beta"/>
    <n v="0"/>
    <n v="-3.1E-2"/>
    <n v="1.20038977633333"/>
    <n v="0"/>
    <n v="0"/>
    <n v="0"/>
    <n v="0"/>
    <n v="0"/>
  </r>
  <r>
    <n v="0"/>
    <n v="0"/>
    <n v="0"/>
    <n v="0"/>
    <n v="0.85699999999999998"/>
    <n v="1.022"/>
    <x v="2"/>
    <x v="15"/>
    <s v="very_high_beta"/>
    <n v="0"/>
    <n v="0"/>
    <n v="0"/>
    <n v="0"/>
    <n v="0"/>
    <n v="0"/>
    <n v="0"/>
    <n v="0"/>
  </r>
  <r>
    <n v="0"/>
    <n v="0"/>
    <n v="0"/>
    <n v="0"/>
    <n v="0.85"/>
    <n v="0.60699999999999998"/>
    <x v="1"/>
    <x v="5"/>
    <s v="high_beta"/>
    <n v="0"/>
    <n v="0"/>
    <n v="0"/>
    <n v="0"/>
    <n v="0"/>
    <n v="0"/>
    <n v="0"/>
    <n v="0"/>
  </r>
  <r>
    <n v="0"/>
    <n v="-7.0000000000000001E-3"/>
    <n v="0"/>
    <n v="7.0000000000000001E-3"/>
    <n v="0.84799999999999998"/>
    <n v="1.01"/>
    <x v="1"/>
    <x v="4"/>
    <s v="very_high_beta"/>
    <n v="0"/>
    <n v="-7.0000000000000001E-3"/>
    <n v="2.0055555555333302"/>
    <n v="0"/>
    <n v="0"/>
    <n v="0"/>
    <n v="0"/>
    <n v="0"/>
  </r>
  <r>
    <n v="0"/>
    <n v="-1E-3"/>
    <n v="0"/>
    <n v="1E-3"/>
    <n v="0.84499999999999997"/>
    <n v="0.86099999999999999"/>
    <x v="4"/>
    <x v="9"/>
    <s v="low_beta"/>
    <n v="0"/>
    <n v="-1E-3"/>
    <n v="0.64699784929166704"/>
    <n v="0"/>
    <n v="0"/>
    <n v="0"/>
    <n v="0"/>
    <n v="0"/>
  </r>
  <r>
    <n v="0"/>
    <n v="-1.4E-2"/>
    <n v="0"/>
    <n v="1.4E-2"/>
    <n v="0.84299999999999997"/>
    <n v="1.5269999999999999"/>
    <x v="2"/>
    <x v="15"/>
    <s v="neutral_beta"/>
    <n v="0"/>
    <n v="-1.4E-2"/>
    <n v="3.3543492129999999"/>
    <n v="0"/>
    <n v="0"/>
    <n v="0"/>
    <n v="0"/>
    <n v="0"/>
  </r>
  <r>
    <n v="2.5000000000000001E-2"/>
    <n v="-2.8000000000000004E-2"/>
    <n v="0"/>
    <n v="5.3000000000000005E-2"/>
    <n v="0.84099999999999997"/>
    <n v="1.917"/>
    <x v="1"/>
    <x v="1"/>
    <s v="neutral_beta"/>
    <n v="2.5000000000000001E-2"/>
    <n v="-2.8000000000000001E-2"/>
    <n v="2.7220146271366699"/>
    <n v="0"/>
    <n v="2.5000000000000001E-2"/>
    <n v="2.5000000000000001E-2"/>
    <n v="0"/>
    <n v="2.5000000000000001E-2"/>
  </r>
  <r>
    <n v="2.5000000000000001E-2"/>
    <n v="-4.4000000000000004E-2"/>
    <n v="-2.9999999999999992E-3"/>
    <n v="6.9000000000000006E-2"/>
    <n v="0.83599999999999997"/>
    <n v="1.718"/>
    <x v="4"/>
    <x v="9"/>
    <s v="low_beta"/>
    <n v="2.8000000000000001E-2"/>
    <n v="-4.1000000000000002E-2"/>
    <n v="5.7406721923333297"/>
    <n v="0"/>
    <n v="2.8000000000000001E-2"/>
    <n v="2.5000000000000001E-2"/>
    <n v="2.68309263256939E-2"/>
    <n v="1.1690736743061002E-3"/>
  </r>
  <r>
    <n v="0"/>
    <n v="-1E-3"/>
    <n v="0"/>
    <n v="1E-3"/>
    <n v="0.83399999999999996"/>
    <n v="0.79900000000000004"/>
    <x v="1"/>
    <x v="1"/>
    <s v="very_low_beta"/>
    <n v="0"/>
    <n v="-1E-3"/>
    <n v="1.61"/>
    <n v="0"/>
    <n v="0"/>
    <n v="0"/>
    <n v="0"/>
    <n v="0"/>
  </r>
  <r>
    <n v="0"/>
    <n v="-1E-3"/>
    <n v="0"/>
    <n v="1E-3"/>
    <n v="0.80600000000000005"/>
    <n v="0.626"/>
    <x v="4"/>
    <x v="9"/>
    <s v="neutral_beta"/>
    <n v="0"/>
    <n v="-1E-3"/>
    <n v="0.18870531930333301"/>
    <n v="0"/>
    <n v="0"/>
    <n v="0"/>
    <n v="0"/>
    <n v="0"/>
  </r>
  <r>
    <n v="0"/>
    <n v="-1E-3"/>
    <n v="0"/>
    <n v="1E-3"/>
    <n v="0.80300000000000005"/>
    <n v="0.96499999999999997"/>
    <x v="0"/>
    <x v="19"/>
    <s v="very_low_beta"/>
    <n v="0"/>
    <n v="-1E-3"/>
    <n v="0.62641918340000002"/>
    <n v="0"/>
    <n v="0"/>
    <n v="0"/>
    <n v="0"/>
    <n v="0"/>
  </r>
  <r>
    <n v="0"/>
    <n v="-1E-3"/>
    <n v="0"/>
    <n v="1E-3"/>
    <n v="0.8"/>
    <n v="0.64"/>
    <x v="1"/>
    <x v="11"/>
    <s v="high_beta"/>
    <n v="0"/>
    <n v="-1E-3"/>
    <n v="6.17737954326667E-2"/>
    <n v="0"/>
    <n v="0"/>
    <n v="0"/>
    <n v="0"/>
    <n v="0"/>
  </r>
  <r>
    <n v="0"/>
    <n v="-1.7000000000000001E-2"/>
    <n v="0"/>
    <n v="1.7000000000000001E-2"/>
    <n v="0.78600000000000003"/>
    <n v="1.272"/>
    <x v="2"/>
    <x v="15"/>
    <s v="low_beta"/>
    <n v="0"/>
    <n v="-1.7000000000000001E-2"/>
    <n v="2.4749152128333298"/>
    <n v="0"/>
    <n v="0"/>
    <n v="0"/>
    <n v="2.4802408635807901E-2"/>
    <n v="-2.4802408635807901E-2"/>
  </r>
  <r>
    <n v="0"/>
    <n v="-8.9999999999999993E-3"/>
    <n v="0"/>
    <n v="8.9999999999999993E-3"/>
    <n v="0.77900000000000003"/>
    <n v="1.145"/>
    <x v="0"/>
    <x v="19"/>
    <s v="low_beta"/>
    <n v="0"/>
    <n v="-8.9999999999999993E-3"/>
    <n v="0.83730000000000004"/>
    <n v="0"/>
    <n v="0"/>
    <n v="0"/>
    <n v="1.2211113033477E-2"/>
    <n v="-1.2211113033477E-2"/>
  </r>
  <r>
    <n v="0"/>
    <n v="-2E-3"/>
    <n v="0"/>
    <n v="2E-3"/>
    <n v="0.76900000000000002"/>
    <n v="0.76800000000000002"/>
    <x v="1"/>
    <x v="6"/>
    <s v="neutral_beta"/>
    <n v="0"/>
    <n v="-2E-3"/>
    <n v="0.78340575868266704"/>
    <n v="0"/>
    <n v="0"/>
    <n v="0"/>
    <n v="0"/>
    <n v="0"/>
  </r>
  <r>
    <n v="0"/>
    <n v="-4.0000000000000001E-3"/>
    <n v="0"/>
    <n v="4.0000000000000001E-3"/>
    <n v="0.749"/>
    <n v="0.95599999999999996"/>
    <x v="4"/>
    <x v="9"/>
    <s v="low_beta"/>
    <n v="0"/>
    <n v="-4.0000000000000001E-3"/>
    <n v="0.8111111111"/>
    <n v="0"/>
    <n v="0"/>
    <n v="0"/>
    <n v="0"/>
    <n v="0"/>
  </r>
  <r>
    <n v="0"/>
    <n v="0"/>
    <n v="0"/>
    <n v="0"/>
    <n v="0.74199999999999999"/>
    <n v="0.54100000000000004"/>
    <x v="2"/>
    <x v="15"/>
    <s v="low_beta"/>
    <n v="0"/>
    <n v="0"/>
    <n v="0"/>
    <n v="0"/>
    <n v="0"/>
    <n v="0"/>
    <n v="0"/>
    <n v="0"/>
  </r>
  <r>
    <n v="0"/>
    <n v="-5.0000000000000001E-3"/>
    <n v="0"/>
    <n v="5.0000000000000001E-3"/>
    <n v="0.72399999999999998"/>
    <n v="0.76700000000000002"/>
    <x v="3"/>
    <x v="20"/>
    <s v="low_beta"/>
    <n v="0"/>
    <n v="-5.0000000000000001E-3"/>
    <n v="5.9948431111833296"/>
    <n v="0"/>
    <n v="0"/>
    <n v="0"/>
    <n v="0"/>
    <n v="0"/>
  </r>
  <r>
    <n v="0"/>
    <n v="-7.0000000000000001E-3"/>
    <n v="0"/>
    <n v="7.0000000000000001E-3"/>
    <n v="0.71499999999999997"/>
    <n v="0.84399999999999997"/>
    <x v="2"/>
    <x v="15"/>
    <s v="high_beta"/>
    <n v="0"/>
    <n v="-7.0000000000000001E-3"/>
    <n v="0"/>
    <n v="0"/>
    <n v="0"/>
    <n v="0"/>
    <n v="0"/>
    <n v="0"/>
  </r>
  <r>
    <n v="0"/>
    <n v="-3.7999999999999999E-2"/>
    <n v="0"/>
    <n v="3.7999999999999999E-2"/>
    <n v="0.70799999999999996"/>
    <n v="1.613"/>
    <x v="1"/>
    <x v="1"/>
    <s v="neutral_beta"/>
    <n v="0"/>
    <n v="-3.7999999999999999E-2"/>
    <n v="1.3204287593333299"/>
    <n v="0"/>
    <n v="0"/>
    <n v="0"/>
    <n v="0"/>
    <n v="0"/>
  </r>
  <r>
    <n v="0"/>
    <n v="0"/>
    <n v="0"/>
    <n v="0"/>
    <n v="0.69899999999999995"/>
    <n v="0.93300000000000005"/>
    <x v="2"/>
    <x v="15"/>
    <s v="low_beta"/>
    <n v="0"/>
    <n v="0"/>
    <n v="1.0357692307433299"/>
    <n v="0"/>
    <n v="0"/>
    <n v="0"/>
    <n v="0"/>
    <n v="0"/>
  </r>
  <r>
    <n v="0"/>
    <n v="-8.9999999999999993E-3"/>
    <n v="0"/>
    <n v="8.9999999999999993E-3"/>
    <n v="0.69799999999999995"/>
    <n v="1.0920000000000001"/>
    <x v="1"/>
    <x v="1"/>
    <s v="high_beta"/>
    <n v="0"/>
    <n v="-8.9999999999999993E-3"/>
    <n v="0.96210772099999997"/>
    <n v="0"/>
    <n v="0"/>
    <n v="0"/>
    <n v="0"/>
    <n v="0"/>
  </r>
  <r>
    <n v="0"/>
    <n v="0"/>
    <n v="0"/>
    <n v="0"/>
    <n v="0.69699999999999995"/>
    <n v="0.51500000000000001"/>
    <x v="4"/>
    <x v="9"/>
    <s v="very_low_beta"/>
    <n v="0"/>
    <n v="0"/>
    <n v="2.94355267333333E-2"/>
    <n v="0"/>
    <n v="0"/>
    <n v="0"/>
    <n v="6.0070090799180199E-3"/>
    <n v="-6.0070090799180199E-3"/>
  </r>
  <r>
    <n v="0"/>
    <n v="0"/>
    <n v="0"/>
    <n v="0"/>
    <n v="0.69599999999999995"/>
    <n v="0.496"/>
    <x v="2"/>
    <x v="3"/>
    <s v="low_beta"/>
    <n v="0"/>
    <n v="0"/>
    <n v="7.50879574733333E-2"/>
    <n v="0"/>
    <n v="0"/>
    <n v="0"/>
    <n v="0"/>
    <n v="0"/>
  </r>
  <r>
    <n v="0"/>
    <n v="-1.4E-2"/>
    <n v="0"/>
    <n v="1.4E-2"/>
    <n v="0.68400000000000005"/>
    <n v="1.3029999999999999"/>
    <x v="2"/>
    <x v="15"/>
    <s v="low_beta"/>
    <n v="0"/>
    <n v="-1.4E-2"/>
    <n v="3.2483424072166698"/>
    <n v="0"/>
    <n v="0"/>
    <n v="0"/>
    <n v="0"/>
    <n v="0"/>
  </r>
  <r>
    <n v="0"/>
    <n v="0"/>
    <n v="0"/>
    <n v="0"/>
    <n v="0.67600000000000005"/>
    <n v="0.52700000000000002"/>
    <x v="1"/>
    <x v="8"/>
    <s v="high_beta"/>
    <n v="0"/>
    <n v="0"/>
    <n v="0.126097141066667"/>
    <n v="0"/>
    <n v="0"/>
    <n v="0"/>
    <n v="0"/>
    <n v="0"/>
  </r>
  <r>
    <n v="0"/>
    <n v="-0.02"/>
    <n v="0"/>
    <n v="0.02"/>
    <n v="0.67400000000000004"/>
    <n v="1.413"/>
    <x v="2"/>
    <x v="15"/>
    <s v="low_beta"/>
    <n v="0"/>
    <n v="-0.02"/>
    <n v="2.1385023333333302"/>
    <n v="0"/>
    <n v="0"/>
    <n v="0"/>
    <n v="0"/>
    <n v="0"/>
  </r>
  <r>
    <n v="0"/>
    <n v="0"/>
    <n v="0"/>
    <n v="0"/>
    <n v="0.66400000000000003"/>
    <n v="0.69699999999999995"/>
    <x v="0"/>
    <x v="16"/>
    <s v="low_beta"/>
    <n v="0"/>
    <n v="0"/>
    <n v="0.32121109474333298"/>
    <n v="0"/>
    <n v="0"/>
    <n v="0"/>
    <n v="0"/>
    <n v="0"/>
  </r>
  <r>
    <n v="0"/>
    <n v="-0.02"/>
    <n v="0"/>
    <n v="0.02"/>
    <n v="0.66300000000000003"/>
    <n v="1.23"/>
    <x v="2"/>
    <x v="15"/>
    <s v="low_beta"/>
    <n v="0"/>
    <n v="-0.02"/>
    <n v="1.95611604828667"/>
    <n v="0"/>
    <n v="0"/>
    <n v="0"/>
    <n v="0"/>
    <n v="0"/>
  </r>
  <r>
    <n v="0"/>
    <n v="0"/>
    <n v="0"/>
    <n v="0"/>
    <n v="0.65"/>
    <n v="0.502"/>
    <x v="4"/>
    <x v="18"/>
    <s v="very_low_beta"/>
    <n v="0"/>
    <n v="0"/>
    <n v="1.0152809786366701"/>
    <n v="0"/>
    <n v="0"/>
    <n v="0"/>
    <n v="7.6273833042149897E-3"/>
    <n v="-7.6273833042149897E-3"/>
  </r>
  <r>
    <n v="0"/>
    <n v="-2E-3"/>
    <n v="0"/>
    <n v="2E-3"/>
    <n v="0.63200000000000001"/>
    <n v="0.64400000000000002"/>
    <x v="1"/>
    <x v="8"/>
    <s v="very_low_beta"/>
    <n v="0"/>
    <n v="-2E-3"/>
    <n v="1.93860050269333"/>
    <n v="0"/>
    <n v="0"/>
    <n v="0"/>
    <n v="0"/>
    <n v="0"/>
  </r>
  <r>
    <n v="0"/>
    <n v="0"/>
    <n v="0"/>
    <n v="0"/>
    <n v="0.628"/>
    <n v="0.69499999999999995"/>
    <x v="1"/>
    <x v="6"/>
    <s v="high_beta"/>
    <n v="0"/>
    <n v="0"/>
    <n v="0.2103036154"/>
    <n v="0"/>
    <n v="0"/>
    <n v="0"/>
    <n v="0"/>
    <n v="0"/>
  </r>
  <r>
    <n v="0"/>
    <n v="-1E-3"/>
    <n v="0"/>
    <n v="1E-3"/>
    <n v="0.627"/>
    <n v="0.50700000000000001"/>
    <x v="4"/>
    <x v="12"/>
    <s v="very_low_beta"/>
    <n v="0"/>
    <n v="-1E-3"/>
    <n v="0.16953446957000001"/>
    <n v="0"/>
    <n v="0"/>
    <n v="0"/>
    <n v="0"/>
    <n v="0"/>
  </r>
  <r>
    <n v="0"/>
    <n v="-8.9999999999999993E-3"/>
    <n v="0"/>
    <n v="8.9999999999999993E-3"/>
    <n v="0.626"/>
    <n v="0.82599999999999996"/>
    <x v="3"/>
    <x v="7"/>
    <s v="very_low_beta"/>
    <n v="0"/>
    <n v="-8.9999999999999993E-3"/>
    <n v="1.2139407764666701"/>
    <n v="0"/>
    <n v="0"/>
    <n v="0"/>
    <n v="0"/>
    <n v="0"/>
  </r>
  <r>
    <n v="0"/>
    <n v="0"/>
    <n v="0"/>
    <n v="0"/>
    <n v="0.61899999999999999"/>
    <n v="0.80900000000000005"/>
    <x v="2"/>
    <x v="15"/>
    <s v="high_beta"/>
    <n v="0"/>
    <n v="0"/>
    <n v="0"/>
    <n v="0"/>
    <n v="0"/>
    <n v="0"/>
    <n v="0"/>
    <n v="0"/>
  </r>
  <r>
    <n v="0"/>
    <n v="0"/>
    <n v="0"/>
    <n v="0"/>
    <n v="0.61899999999999999"/>
    <n v="0.44500000000000001"/>
    <x v="3"/>
    <x v="7"/>
    <s v="very_high_beta"/>
    <n v="0"/>
    <n v="0"/>
    <n v="0.37920470976666698"/>
    <n v="0"/>
    <n v="0"/>
    <n v="0"/>
    <n v="0"/>
    <n v="0"/>
  </r>
  <r>
    <n v="0"/>
    <n v="0"/>
    <n v="0"/>
    <n v="0"/>
    <n v="0.61799999999999999"/>
    <n v="0.49199999999999999"/>
    <x v="1"/>
    <x v="6"/>
    <s v="low_beta"/>
    <n v="0"/>
    <n v="0"/>
    <n v="1.8415181742"/>
    <n v="0"/>
    <n v="0"/>
    <n v="0"/>
    <n v="0"/>
    <n v="0"/>
  </r>
  <r>
    <n v="0"/>
    <n v="0"/>
    <n v="0"/>
    <n v="0"/>
    <n v="0.61699999999999999"/>
    <n v="0.75600000000000001"/>
    <x v="4"/>
    <x v="9"/>
    <s v="low_beta"/>
    <n v="0"/>
    <n v="0"/>
    <n v="0.24244550559866701"/>
    <n v="0"/>
    <n v="0"/>
    <n v="0"/>
    <n v="0"/>
    <n v="0"/>
  </r>
  <r>
    <n v="0"/>
    <n v="0"/>
    <n v="0"/>
    <n v="0"/>
    <n v="0.61699999999999999"/>
    <n v="0.76600000000000001"/>
    <x v="4"/>
    <x v="9"/>
    <s v="low_beta"/>
    <n v="0"/>
    <n v="0"/>
    <n v="0.24244550559866701"/>
    <n v="0"/>
    <n v="0"/>
    <n v="0"/>
    <n v="0"/>
    <n v="0"/>
  </r>
  <r>
    <n v="0"/>
    <n v="-6.0000000000000001E-3"/>
    <n v="0"/>
    <n v="6.0000000000000001E-3"/>
    <n v="0.61699999999999999"/>
    <n v="0.90800000000000003"/>
    <x v="4"/>
    <x v="18"/>
    <s v="very_low_beta"/>
    <n v="0"/>
    <n v="-6.0000000000000001E-3"/>
    <n v="0.74532796420333303"/>
    <n v="0"/>
    <n v="0"/>
    <n v="0"/>
    <n v="0"/>
    <n v="0"/>
  </r>
  <r>
    <n v="0"/>
    <n v="0"/>
    <n v="0"/>
    <n v="0"/>
    <n v="0.61599999999999999"/>
    <n v="0.747"/>
    <x v="1"/>
    <x v="1"/>
    <s v="neutral_beta"/>
    <n v="0"/>
    <n v="0"/>
    <n v="0.96552327685666695"/>
    <n v="0"/>
    <n v="0"/>
    <n v="0"/>
    <n v="0"/>
    <n v="0"/>
  </r>
  <r>
    <n v="0"/>
    <n v="0"/>
    <n v="0"/>
    <n v="0"/>
    <n v="0.61099999999999999"/>
    <n v="0.502"/>
    <x v="3"/>
    <x v="7"/>
    <s v="very_high_beta"/>
    <n v="0"/>
    <n v="0"/>
    <n v="0.33071511333333298"/>
    <n v="0"/>
    <n v="0"/>
    <n v="0"/>
    <n v="0"/>
    <n v="0"/>
  </r>
  <r>
    <n v="0"/>
    <n v="0"/>
    <n v="0"/>
    <n v="0"/>
    <n v="0.60799999999999998"/>
    <n v="0.71099999999999997"/>
    <x v="1"/>
    <x v="1"/>
    <s v="neutral_beta"/>
    <n v="0"/>
    <n v="0"/>
    <n v="0.87774843350333298"/>
    <n v="0"/>
    <n v="0"/>
    <n v="0"/>
    <n v="0"/>
    <n v="0"/>
  </r>
  <r>
    <n v="0"/>
    <n v="0"/>
    <n v="0"/>
    <n v="0"/>
    <n v="0.60699999999999998"/>
    <n v="0.59399999999999997"/>
    <x v="3"/>
    <x v="10"/>
    <s v="very_high_beta"/>
    <n v="0"/>
    <n v="0"/>
    <n v="0.113469799866667"/>
    <n v="0"/>
    <n v="0"/>
    <n v="0"/>
    <n v="0"/>
    <n v="0"/>
  </r>
  <r>
    <n v="0"/>
    <n v="0"/>
    <n v="0"/>
    <n v="0"/>
    <n v="0.60299999999999998"/>
    <n v="0.44900000000000001"/>
    <x v="0"/>
    <x v="14"/>
    <s v="very_high_beta"/>
    <n v="0"/>
    <n v="0"/>
    <n v="1.8424286666666699E-3"/>
    <n v="0"/>
    <n v="0"/>
    <n v="0"/>
    <n v="0"/>
    <n v="0"/>
  </r>
  <r>
    <n v="0"/>
    <n v="-2E-3"/>
    <n v="0"/>
    <n v="2E-3"/>
    <n v="0.59299999999999997"/>
    <n v="0.76200000000000001"/>
    <x v="4"/>
    <x v="9"/>
    <s v="low_beta"/>
    <n v="0"/>
    <n v="-2E-3"/>
    <n v="1.2122275276666701"/>
    <n v="0"/>
    <n v="0"/>
    <n v="0"/>
    <n v="0"/>
    <n v="0"/>
  </r>
  <r>
    <n v="0"/>
    <n v="-2E-3"/>
    <n v="0"/>
    <n v="2E-3"/>
    <n v="0.59099999999999997"/>
    <n v="0.80200000000000005"/>
    <x v="2"/>
    <x v="17"/>
    <s v="high_beta"/>
    <n v="0"/>
    <n v="-2E-3"/>
    <n v="0.37345700204666699"/>
    <n v="0"/>
    <n v="0"/>
    <n v="0"/>
    <n v="0"/>
    <n v="0"/>
  </r>
  <r>
    <n v="0"/>
    <n v="-2E-3"/>
    <n v="0"/>
    <n v="2E-3"/>
    <n v="0.59099999999999997"/>
    <n v="0.54900000000000004"/>
    <x v="3"/>
    <x v="7"/>
    <s v="high_beta"/>
    <n v="0"/>
    <n v="-2E-3"/>
    <n v="0.70166605666666704"/>
    <n v="0"/>
    <n v="0"/>
    <n v="0"/>
    <n v="0"/>
    <n v="0"/>
  </r>
  <r>
    <n v="0"/>
    <n v="-2E-3"/>
    <n v="0"/>
    <n v="2E-3"/>
    <n v="0.58599999999999997"/>
    <n v="0.83"/>
    <x v="2"/>
    <x v="15"/>
    <s v="neutral_beta"/>
    <n v="0"/>
    <n v="-2E-3"/>
    <n v="2.0488349456466701"/>
    <n v="0"/>
    <n v="0"/>
    <n v="0"/>
    <n v="0"/>
    <n v="0"/>
  </r>
  <r>
    <n v="0"/>
    <n v="-2.3E-2"/>
    <n v="0"/>
    <n v="2.3E-2"/>
    <n v="0.58599999999999997"/>
    <n v="0.47499999999999998"/>
    <x v="4"/>
    <x v="18"/>
    <s v="very_low_beta"/>
    <n v="0"/>
    <n v="-2.3E-2"/>
    <n v="1.8814107034666701"/>
    <n v="0"/>
    <n v="0"/>
    <n v="0"/>
    <n v="0"/>
    <n v="0"/>
  </r>
  <r>
    <n v="0"/>
    <n v="-1E-3"/>
    <n v="0"/>
    <n v="1E-3"/>
    <n v="0.58299999999999996"/>
    <n v="0.76100000000000001"/>
    <x v="1"/>
    <x v="1"/>
    <s v="neutral_beta"/>
    <n v="0"/>
    <n v="-1E-3"/>
    <n v="1.84327171035667"/>
    <n v="0"/>
    <n v="0"/>
    <n v="0"/>
    <n v="0"/>
    <n v="0"/>
  </r>
  <r>
    <n v="0"/>
    <n v="-3.6999999999999998E-2"/>
    <n v="0"/>
    <n v="3.6999999999999998E-2"/>
    <n v="0.58199999999999996"/>
    <n v="1.1100000000000001"/>
    <x v="1"/>
    <x v="1"/>
    <s v="neutral_beta"/>
    <n v="0"/>
    <n v="-3.6999999999999998E-2"/>
    <n v="1.9285562518366699"/>
    <n v="0"/>
    <n v="0"/>
    <n v="0"/>
    <n v="0"/>
    <n v="0"/>
  </r>
  <r>
    <n v="0"/>
    <n v="-1.2999999999999999E-2"/>
    <n v="0"/>
    <n v="1.2999999999999999E-2"/>
    <n v="0.58099999999999996"/>
    <n v="0.89100000000000001"/>
    <x v="4"/>
    <x v="9"/>
    <s v="neutral_beta"/>
    <n v="0"/>
    <n v="-1.2999999999999999E-2"/>
    <n v="0.57698860520666695"/>
    <n v="0"/>
    <n v="0"/>
    <n v="0"/>
    <n v="0"/>
    <n v="0"/>
  </r>
  <r>
    <n v="0"/>
    <n v="0"/>
    <n v="0"/>
    <n v="0"/>
    <n v="0.57899999999999996"/>
    <n v="0.50900000000000001"/>
    <x v="0"/>
    <x v="14"/>
    <s v="neutral_beta"/>
    <n v="0"/>
    <n v="0"/>
    <n v="0"/>
    <n v="0"/>
    <n v="0"/>
    <n v="0"/>
    <n v="0"/>
    <n v="0"/>
  </r>
  <r>
    <n v="0"/>
    <n v="0"/>
    <n v="0"/>
    <n v="0"/>
    <n v="0.57799999999999996"/>
    <n v="0.45600000000000002"/>
    <x v="1"/>
    <x v="11"/>
    <s v="high_beta"/>
    <n v="0"/>
    <n v="0"/>
    <n v="0.56297308642999999"/>
    <n v="0"/>
    <n v="0"/>
    <n v="0"/>
    <n v="0"/>
    <n v="0"/>
  </r>
  <r>
    <n v="0"/>
    <n v="0"/>
    <n v="0"/>
    <n v="0"/>
    <n v="0.57599999999999996"/>
    <n v="0.69099999999999995"/>
    <x v="3"/>
    <x v="7"/>
    <s v="very_low_beta"/>
    <n v="0"/>
    <n v="0"/>
    <n v="0.699968253973"/>
    <n v="0"/>
    <n v="0"/>
    <n v="0"/>
    <n v="0"/>
    <n v="0"/>
  </r>
  <r>
    <n v="0"/>
    <n v="0"/>
    <n v="0"/>
    <n v="0"/>
    <n v="0.57399999999999995"/>
    <n v="0.41599999999999998"/>
    <x v="1"/>
    <x v="13"/>
    <s v="very_high_beta"/>
    <n v="0"/>
    <n v="0"/>
    <n v="0.30983369599999999"/>
    <n v="0"/>
    <n v="0"/>
    <n v="0"/>
    <n v="0"/>
    <n v="0"/>
  </r>
  <r>
    <n v="0"/>
    <n v="0"/>
    <n v="0"/>
    <n v="0"/>
    <n v="0.57399999999999995"/>
    <n v="0.68200000000000005"/>
    <x v="3"/>
    <x v="7"/>
    <s v="low_beta"/>
    <n v="0"/>
    <n v="0"/>
    <n v="0.61122012333333298"/>
    <n v="0"/>
    <n v="0"/>
    <n v="0"/>
    <n v="0"/>
    <n v="0"/>
  </r>
  <r>
    <n v="0"/>
    <n v="-1.0999999999999999E-2"/>
    <n v="0"/>
    <n v="1.0999999999999999E-2"/>
    <n v="0.56999999999999995"/>
    <n v="0.96499999999999997"/>
    <x v="2"/>
    <x v="15"/>
    <s v="low_beta"/>
    <n v="0"/>
    <n v="-1.0999999999999999E-2"/>
    <n v="1.9500314894716699"/>
    <n v="0"/>
    <n v="0"/>
    <n v="0"/>
    <n v="0"/>
    <n v="0"/>
  </r>
  <r>
    <n v="0"/>
    <n v="-2E-3"/>
    <n v="0"/>
    <n v="2E-3"/>
    <n v="0.56999999999999995"/>
    <n v="0.57599999999999996"/>
    <x v="1"/>
    <x v="17"/>
    <s v="neutral_beta"/>
    <n v="0"/>
    <n v="-2E-3"/>
    <n v="0.33708065394666697"/>
    <n v="0"/>
    <n v="0"/>
    <n v="0"/>
    <n v="0"/>
    <n v="0"/>
  </r>
  <r>
    <n v="0"/>
    <n v="-3.0000000000000001E-3"/>
    <n v="0"/>
    <n v="3.0000000000000001E-3"/>
    <n v="0.56899999999999995"/>
    <n v="0.65400000000000003"/>
    <x v="4"/>
    <x v="9"/>
    <s v="very_low_beta"/>
    <n v="0"/>
    <n v="-3.0000000000000001E-3"/>
    <n v="1.4339590476666699"/>
    <n v="0"/>
    <n v="0"/>
    <n v="0"/>
    <n v="0"/>
    <n v="0"/>
  </r>
  <r>
    <n v="0"/>
    <n v="-7.0000000000000001E-3"/>
    <n v="0"/>
    <n v="7.0000000000000001E-3"/>
    <n v="0.56799999999999995"/>
    <n v="0.58299999999999996"/>
    <x v="4"/>
    <x v="12"/>
    <s v="very_low_beta"/>
    <n v="0"/>
    <n v="-7.0000000000000001E-3"/>
    <n v="2.42145E-2"/>
    <n v="0"/>
    <n v="0"/>
    <n v="0"/>
    <n v="8.9711797722338699E-3"/>
    <n v="-8.9711797722338699E-3"/>
  </r>
  <r>
    <n v="0"/>
    <n v="0"/>
    <n v="0"/>
    <n v="0"/>
    <n v="0.56699999999999995"/>
    <n v="0.54600000000000004"/>
    <x v="1"/>
    <x v="0"/>
    <s v="very_high_beta"/>
    <n v="0"/>
    <n v="0"/>
    <n v="3.5286688433200002"/>
    <n v="0"/>
    <n v="0"/>
    <n v="0"/>
    <n v="0"/>
    <n v="0"/>
  </r>
  <r>
    <n v="0"/>
    <n v="-1E-3"/>
    <n v="0"/>
    <n v="1E-3"/>
    <n v="0.56399999999999995"/>
    <n v="0.56699999999999995"/>
    <x v="2"/>
    <x v="15"/>
    <s v="high_beta"/>
    <n v="0"/>
    <n v="-1E-3"/>
    <n v="0.65234422144333304"/>
    <n v="0"/>
    <n v="0"/>
    <n v="0"/>
    <n v="0"/>
    <n v="0"/>
  </r>
  <r>
    <n v="0"/>
    <n v="-6.0000000000000001E-3"/>
    <n v="0"/>
    <n v="6.0000000000000001E-3"/>
    <n v="0.56299999999999994"/>
    <n v="0.92100000000000004"/>
    <x v="2"/>
    <x v="15"/>
    <s v="high_beta"/>
    <n v="0"/>
    <n v="-6.0000000000000001E-3"/>
    <n v="0.94085989654666702"/>
    <n v="0"/>
    <n v="0"/>
    <n v="0"/>
    <n v="0"/>
    <n v="0"/>
  </r>
  <r>
    <n v="0"/>
    <n v="0"/>
    <n v="0"/>
    <n v="0"/>
    <n v="0.56299999999999994"/>
    <n v="0.56599999999999995"/>
    <x v="2"/>
    <x v="3"/>
    <s v="low_beta"/>
    <n v="0"/>
    <n v="0"/>
    <n v="5.6462485666666701E-2"/>
    <n v="0"/>
    <n v="0"/>
    <n v="0"/>
    <n v="0"/>
    <n v="0"/>
  </r>
  <r>
    <n v="0"/>
    <n v="0"/>
    <n v="0"/>
    <n v="0"/>
    <n v="0.56200000000000006"/>
    <n v="0.39600000000000002"/>
    <x v="3"/>
    <x v="20"/>
    <s v="very_high_beta"/>
    <n v="0"/>
    <n v="0"/>
    <n v="9.7646244434966695E-2"/>
    <n v="0"/>
    <n v="0"/>
    <n v="0"/>
    <n v="0"/>
    <n v="0"/>
  </r>
  <r>
    <n v="0"/>
    <n v="-6.0000000000000001E-3"/>
    <n v="0"/>
    <n v="6.0000000000000001E-3"/>
    <n v="0.56100000000000005"/>
    <n v="0.71099999999999997"/>
    <x v="1"/>
    <x v="13"/>
    <s v="very_high_beta"/>
    <n v="0"/>
    <n v="-6.0000000000000001E-3"/>
    <n v="1.72765812919333"/>
    <n v="0"/>
    <n v="0"/>
    <n v="0"/>
    <n v="0"/>
    <n v="0"/>
  </r>
  <r>
    <n v="0"/>
    <n v="0"/>
    <n v="0"/>
    <n v="0"/>
    <n v="0.55900000000000005"/>
    <n v="0.43099999999999999"/>
    <x v="4"/>
    <x v="18"/>
    <s v="low_beta"/>
    <n v="0"/>
    <n v="0"/>
    <n v="0.12999103671333301"/>
    <n v="0"/>
    <n v="0"/>
    <n v="0"/>
    <n v="0"/>
    <n v="0"/>
  </r>
  <r>
    <n v="0"/>
    <n v="-1E-3"/>
    <n v="0"/>
    <n v="1E-3"/>
    <n v="0.55800000000000005"/>
    <n v="0.57399999999999995"/>
    <x v="0"/>
    <x v="19"/>
    <s v="high_beta"/>
    <n v="0"/>
    <n v="-1E-3"/>
    <n v="0"/>
    <n v="0"/>
    <n v="0"/>
    <n v="0"/>
    <n v="0"/>
    <n v="0"/>
  </r>
  <r>
    <n v="0"/>
    <n v="0"/>
    <n v="0"/>
    <n v="0"/>
    <n v="0.55700000000000005"/>
    <n v="0.51200000000000001"/>
    <x v="2"/>
    <x v="17"/>
    <s v="very_high_beta"/>
    <n v="0"/>
    <n v="0"/>
    <n v="0.29649117015666698"/>
    <n v="0"/>
    <n v="0"/>
    <n v="0"/>
    <n v="0"/>
    <n v="0"/>
  </r>
  <r>
    <n v="0"/>
    <n v="0"/>
    <n v="0"/>
    <n v="0"/>
    <n v="0.55700000000000005"/>
    <n v="0.48499999999999999"/>
    <x v="4"/>
    <x v="18"/>
    <s v="very_low_beta"/>
    <n v="0"/>
    <n v="0"/>
    <n v="0"/>
    <n v="0"/>
    <n v="0"/>
    <n v="0"/>
    <n v="0"/>
    <n v="0"/>
  </r>
  <r>
    <n v="0"/>
    <n v="-1E-3"/>
    <n v="0"/>
    <n v="1E-3"/>
    <n v="0.55500000000000005"/>
    <n v="0.58199999999999996"/>
    <x v="1"/>
    <x v="4"/>
    <s v="very_high_beta"/>
    <n v="0"/>
    <n v="-1E-3"/>
    <n v="1.4313931040900001"/>
    <n v="0"/>
    <n v="0"/>
    <n v="0"/>
    <n v="0"/>
    <n v="0"/>
  </r>
  <r>
    <n v="0"/>
    <n v="-2E-3"/>
    <n v="0"/>
    <n v="2E-3"/>
    <n v="0.55200000000000005"/>
    <n v="0.44"/>
    <x v="0"/>
    <x v="19"/>
    <s v="very_high_beta"/>
    <n v="0"/>
    <n v="-2E-3"/>
    <n v="7.0530552149999995E-2"/>
    <n v="0"/>
    <n v="0"/>
    <n v="0"/>
    <n v="0"/>
    <n v="0"/>
  </r>
  <r>
    <n v="0"/>
    <n v="0"/>
    <n v="0"/>
    <n v="0"/>
    <n v="0.55000000000000004"/>
    <n v="0.442"/>
    <x v="3"/>
    <x v="7"/>
    <s v="very_low_beta"/>
    <n v="0"/>
    <n v="0"/>
    <n v="0.19694211936433301"/>
    <n v="0"/>
    <n v="0"/>
    <n v="0"/>
    <n v="0"/>
    <n v="0"/>
  </r>
  <r>
    <n v="0"/>
    <n v="0"/>
    <n v="0"/>
    <n v="0"/>
    <n v="0.54800000000000004"/>
    <n v="0.41"/>
    <x v="1"/>
    <x v="0"/>
    <s v="high_beta"/>
    <n v="0"/>
    <n v="0"/>
    <n v="0.59242618049999995"/>
    <n v="0"/>
    <n v="0"/>
    <n v="0"/>
    <n v="0"/>
    <n v="0"/>
  </r>
  <r>
    <n v="0"/>
    <n v="0"/>
    <n v="0"/>
    <n v="0"/>
    <n v="0.54500000000000004"/>
    <n v="0.40699999999999997"/>
    <x v="1"/>
    <x v="6"/>
    <s v="very_high_beta"/>
    <n v="0"/>
    <n v="0"/>
    <n v="0.30135609000000002"/>
    <n v="0"/>
    <n v="0"/>
    <n v="0"/>
    <n v="0"/>
    <n v="0"/>
  </r>
  <r>
    <n v="0"/>
    <n v="-3.0000000000000001E-3"/>
    <n v="0"/>
    <n v="3.0000000000000001E-3"/>
    <n v="0.54400000000000004"/>
    <n v="0.46200000000000002"/>
    <x v="0"/>
    <x v="14"/>
    <s v="low_beta"/>
    <n v="0"/>
    <n v="-3.0000000000000001E-3"/>
    <n v="0.35971582004866698"/>
    <n v="0"/>
    <n v="0"/>
    <n v="0"/>
    <n v="0"/>
    <n v="0"/>
  </r>
  <r>
    <n v="0"/>
    <n v="-5.0000000000000001E-3"/>
    <n v="0"/>
    <n v="5.0000000000000001E-3"/>
    <n v="0.54300000000000004"/>
    <n v="0.71499999999999997"/>
    <x v="0"/>
    <x v="14"/>
    <s v="low_beta"/>
    <n v="0"/>
    <n v="-5.0000000000000001E-3"/>
    <n v="1.8229406528433301"/>
    <n v="0"/>
    <n v="0"/>
    <n v="0"/>
    <n v="0"/>
    <n v="0"/>
  </r>
  <r>
    <n v="0"/>
    <n v="0"/>
    <n v="0"/>
    <n v="0"/>
    <n v="0.54"/>
    <n v="0.54500000000000004"/>
    <x v="1"/>
    <x v="4"/>
    <s v="very_high_beta"/>
    <n v="0"/>
    <n v="0"/>
    <n v="0"/>
    <n v="0"/>
    <n v="0"/>
    <n v="0"/>
    <n v="0"/>
    <n v="0"/>
  </r>
  <r>
    <n v="0"/>
    <n v="0"/>
    <n v="0"/>
    <n v="0"/>
    <n v="0.54"/>
    <n v="0.46600000000000003"/>
    <x v="3"/>
    <x v="7"/>
    <s v="high_beta"/>
    <n v="0"/>
    <n v="0"/>
    <n v="0.68795311076333299"/>
    <n v="0"/>
    <n v="0"/>
    <n v="0"/>
    <n v="0"/>
    <n v="0"/>
  </r>
  <r>
    <n v="0"/>
    <n v="0"/>
    <n v="0"/>
    <n v="0"/>
    <n v="0.53600000000000003"/>
    <n v="0.45600000000000002"/>
    <x v="1"/>
    <x v="5"/>
    <s v="very_high_beta"/>
    <n v="0"/>
    <n v="0"/>
    <n v="0.42158061851666701"/>
    <n v="0"/>
    <n v="0"/>
    <n v="0"/>
    <n v="0"/>
    <n v="0"/>
  </r>
  <r>
    <n v="0"/>
    <n v="0"/>
    <n v="0"/>
    <n v="0"/>
    <n v="0.53500000000000003"/>
    <n v="0.504"/>
    <x v="1"/>
    <x v="13"/>
    <s v="very_high_beta"/>
    <n v="0"/>
    <n v="0"/>
    <n v="0.52211867099999998"/>
    <n v="0"/>
    <n v="0"/>
    <n v="0"/>
    <n v="0"/>
    <n v="0"/>
  </r>
  <r>
    <n v="0"/>
    <n v="0"/>
    <n v="0"/>
    <n v="0"/>
    <n v="0.53400000000000003"/>
    <n v="0.39900000000000002"/>
    <x v="1"/>
    <x v="17"/>
    <s v="very_high_beta"/>
    <n v="0"/>
    <n v="0"/>
    <n v="0.24272685166666699"/>
    <n v="0"/>
    <n v="0"/>
    <n v="0"/>
    <n v="0"/>
    <n v="0"/>
  </r>
  <r>
    <n v="0"/>
    <n v="0"/>
    <n v="0"/>
    <n v="0"/>
    <n v="0.53400000000000003"/>
    <n v="0.376"/>
    <x v="2"/>
    <x v="15"/>
    <s v="neutral_beta"/>
    <n v="0"/>
    <n v="0"/>
    <n v="0"/>
    <n v="0"/>
    <n v="0"/>
    <n v="0"/>
    <n v="0"/>
    <n v="0"/>
  </r>
  <r>
    <n v="0"/>
    <n v="0"/>
    <n v="0"/>
    <n v="0"/>
    <n v="0.53400000000000003"/>
    <n v="0.51500000000000001"/>
    <x v="4"/>
    <x v="18"/>
    <s v="very_low_beta"/>
    <n v="0"/>
    <n v="0"/>
    <n v="0.16350241333333301"/>
    <n v="0"/>
    <n v="0"/>
    <n v="0"/>
    <n v="0"/>
    <n v="0"/>
  </r>
  <r>
    <n v="0"/>
    <n v="0"/>
    <n v="0"/>
    <n v="0"/>
    <n v="0.53300000000000003"/>
    <n v="0.46200000000000002"/>
    <x v="0"/>
    <x v="19"/>
    <s v="very_low_beta"/>
    <n v="0"/>
    <n v="0"/>
    <n v="0.14765889026666701"/>
    <n v="0"/>
    <n v="0"/>
    <n v="0"/>
    <n v="0"/>
    <n v="0"/>
  </r>
  <r>
    <n v="0"/>
    <n v="0"/>
    <n v="0"/>
    <n v="0"/>
    <n v="0.53200000000000003"/>
    <n v="0.39700000000000002"/>
    <x v="1"/>
    <x v="5"/>
    <s v="high_beta"/>
    <n v="0"/>
    <n v="0"/>
    <n v="0.12882522041"/>
    <n v="0"/>
    <n v="0"/>
    <n v="0"/>
    <n v="0"/>
    <n v="0"/>
  </r>
  <r>
    <n v="0"/>
    <n v="0"/>
    <n v="0"/>
    <n v="0"/>
    <n v="0.53100000000000003"/>
    <n v="0.56499999999999995"/>
    <x v="3"/>
    <x v="7"/>
    <s v="high_beta"/>
    <n v="0"/>
    <n v="0"/>
    <n v="4.1345687643333302E-2"/>
    <n v="0"/>
    <n v="0"/>
    <n v="0"/>
    <n v="0"/>
    <n v="0"/>
  </r>
  <r>
    <n v="0"/>
    <n v="0"/>
    <n v="0"/>
    <n v="0"/>
    <n v="0.53"/>
    <n v="0.61899999999999999"/>
    <x v="4"/>
    <x v="18"/>
    <s v="very_low_beta"/>
    <n v="0"/>
    <n v="0"/>
    <n v="1.8404105043333301"/>
    <n v="0"/>
    <n v="0"/>
    <n v="0"/>
    <n v="0"/>
    <n v="0"/>
  </r>
  <r>
    <n v="0"/>
    <n v="0"/>
    <n v="0"/>
    <n v="0"/>
    <n v="0.52800000000000002"/>
    <n v="0.373"/>
    <x v="1"/>
    <x v="4"/>
    <s v="very_high_beta"/>
    <n v="0"/>
    <n v="0"/>
    <n v="0.10844969692"/>
    <n v="0"/>
    <n v="0"/>
    <n v="0"/>
    <n v="0"/>
    <n v="0"/>
  </r>
  <r>
    <n v="0"/>
    <n v="0"/>
    <n v="0"/>
    <n v="0"/>
    <n v="0.52300000000000002"/>
    <n v="0.57899999999999996"/>
    <x v="3"/>
    <x v="7"/>
    <s v="neutral_beta"/>
    <n v="0"/>
    <n v="0"/>
    <n v="0.31190432639833299"/>
    <n v="0"/>
    <n v="0"/>
    <n v="0"/>
    <n v="0"/>
    <n v="0"/>
  </r>
  <r>
    <n v="0"/>
    <n v="0"/>
    <n v="0"/>
    <n v="0"/>
    <n v="0.52100000000000002"/>
    <n v="0.438"/>
    <x v="4"/>
    <x v="18"/>
    <s v="very_low_beta"/>
    <n v="0"/>
    <n v="0"/>
    <n v="0.50921467608433302"/>
    <n v="0"/>
    <n v="0"/>
    <n v="0"/>
    <n v="0"/>
    <n v="0"/>
  </r>
  <r>
    <n v="0"/>
    <n v="0"/>
    <n v="0"/>
    <n v="0"/>
    <n v="0.51900000000000002"/>
    <n v="0.36599999999999999"/>
    <x v="0"/>
    <x v="14"/>
    <s v="very_high_beta"/>
    <n v="0"/>
    <n v="0"/>
    <n v="0"/>
    <n v="0"/>
    <n v="0"/>
    <n v="0"/>
    <n v="0"/>
    <n v="0"/>
  </r>
  <r>
    <n v="0"/>
    <n v="-1E-3"/>
    <n v="0"/>
    <n v="1E-3"/>
    <n v="0.51900000000000002"/>
    <n v="0.502"/>
    <x v="1"/>
    <x v="13"/>
    <s v="neutral_beta"/>
    <n v="0"/>
    <n v="-1E-3"/>
    <n v="0.69591718821000004"/>
    <n v="0"/>
    <n v="0"/>
    <n v="0"/>
    <n v="0"/>
    <n v="0"/>
  </r>
  <r>
    <n v="0"/>
    <n v="0"/>
    <n v="0"/>
    <n v="0"/>
    <n v="0.51800000000000002"/>
    <n v="0.432"/>
    <x v="1"/>
    <x v="6"/>
    <s v="neutral_beta"/>
    <n v="0"/>
    <n v="0"/>
    <n v="0.57689061787666696"/>
    <n v="0"/>
    <n v="0"/>
    <n v="0"/>
    <n v="0"/>
    <n v="0"/>
  </r>
  <r>
    <n v="0"/>
    <n v="0"/>
    <n v="0"/>
    <n v="0"/>
    <n v="0.51800000000000002"/>
    <n v="0.43099999999999999"/>
    <x v="1"/>
    <x v="1"/>
    <s v="neutral_beta"/>
    <n v="0"/>
    <n v="0"/>
    <n v="0.403405819666667"/>
    <n v="0"/>
    <n v="0"/>
    <n v="0"/>
    <n v="0"/>
    <n v="0"/>
  </r>
  <r>
    <n v="0"/>
    <n v="0"/>
    <n v="0"/>
    <n v="0"/>
    <n v="0.51600000000000001"/>
    <n v="0.40400000000000003"/>
    <x v="1"/>
    <x v="4"/>
    <s v="high_beta"/>
    <n v="0"/>
    <n v="0"/>
    <n v="0"/>
    <n v="0"/>
    <n v="0"/>
    <n v="0"/>
    <n v="0"/>
    <n v="0"/>
  </r>
  <r>
    <n v="0"/>
    <n v="0"/>
    <n v="0"/>
    <n v="0"/>
    <n v="0.51500000000000001"/>
    <n v="0.42799999999999999"/>
    <x v="1"/>
    <x v="17"/>
    <s v="neutral_beta"/>
    <n v="0"/>
    <n v="0"/>
    <n v="0"/>
    <n v="0"/>
    <n v="0"/>
    <n v="0"/>
    <n v="0"/>
    <n v="0"/>
  </r>
  <r>
    <n v="0"/>
    <n v="0"/>
    <n v="0"/>
    <n v="0"/>
    <n v="0.51400000000000001"/>
    <n v="0.45700000000000002"/>
    <x v="1"/>
    <x v="1"/>
    <s v="very_low_beta"/>
    <n v="0"/>
    <n v="0"/>
    <n v="0"/>
    <n v="0"/>
    <n v="0"/>
    <n v="0"/>
    <n v="0"/>
    <n v="0"/>
  </r>
  <r>
    <n v="0"/>
    <n v="-1E-3"/>
    <n v="0"/>
    <n v="1E-3"/>
    <n v="0.51200000000000001"/>
    <n v="0.40500000000000003"/>
    <x v="1"/>
    <x v="13"/>
    <s v="very_high_beta"/>
    <n v="0"/>
    <n v="-1E-3"/>
    <n v="0.29335211"/>
    <n v="0"/>
    <n v="0"/>
    <n v="0"/>
    <n v="0"/>
    <n v="0"/>
  </r>
  <r>
    <n v="0"/>
    <n v="-1E-3"/>
    <n v="0"/>
    <n v="1E-3"/>
    <n v="0.50800000000000001"/>
    <n v="0.39200000000000002"/>
    <x v="4"/>
    <x v="9"/>
    <s v="very_high_beta"/>
    <n v="0"/>
    <n v="-1E-3"/>
    <n v="0.66988717906333295"/>
    <n v="0"/>
    <n v="0"/>
    <n v="0"/>
    <n v="0"/>
    <n v="0"/>
  </r>
  <r>
    <n v="0"/>
    <n v="0"/>
    <n v="0"/>
    <n v="0"/>
    <n v="0.50700000000000001"/>
    <n v="0.38900000000000001"/>
    <x v="1"/>
    <x v="4"/>
    <s v="low_beta"/>
    <n v="0"/>
    <n v="0"/>
    <n v="0.66774722218333304"/>
    <n v="0"/>
    <n v="0"/>
    <n v="0"/>
    <n v="0"/>
    <n v="0"/>
  </r>
  <r>
    <n v="0"/>
    <n v="-7.0000000000000001E-3"/>
    <n v="0"/>
    <n v="7.0000000000000001E-3"/>
    <n v="0.50600000000000001"/>
    <n v="0.439"/>
    <x v="3"/>
    <x v="7"/>
    <s v="very_high_beta"/>
    <n v="0"/>
    <n v="-7.0000000000000001E-3"/>
    <n v="0.26549612897000002"/>
    <n v="0"/>
    <n v="0"/>
    <n v="0"/>
    <n v="0"/>
    <n v="0"/>
  </r>
  <r>
    <n v="0"/>
    <n v="-2E-3"/>
    <n v="0"/>
    <n v="2E-3"/>
    <n v="0.505"/>
    <n v="0.496"/>
    <x v="1"/>
    <x v="8"/>
    <s v="neutral_beta"/>
    <n v="0"/>
    <n v="-2E-3"/>
    <n v="0.63666666666666705"/>
    <n v="0"/>
    <n v="0"/>
    <n v="0"/>
    <n v="0"/>
    <n v="0"/>
  </r>
  <r>
    <n v="0"/>
    <n v="0"/>
    <n v="0"/>
    <n v="0"/>
    <n v="0.501"/>
    <n v="0.35299999999999998"/>
    <x v="4"/>
    <x v="9"/>
    <s v="very_high_beta"/>
    <n v="0"/>
    <n v="0"/>
    <n v="0"/>
    <n v="0"/>
    <n v="0"/>
    <n v="0"/>
    <n v="0"/>
    <n v="0"/>
  </r>
  <r>
    <n v="0"/>
    <n v="0"/>
    <n v="0"/>
    <n v="0"/>
    <n v="0.5"/>
    <n v="0.372"/>
    <x v="1"/>
    <x v="13"/>
    <s v="very_high_beta"/>
    <n v="0"/>
    <n v="0"/>
    <n v="2.3430030333333299E-2"/>
    <n v="0"/>
    <n v="0"/>
    <n v="0"/>
    <n v="0"/>
    <n v="0"/>
  </r>
  <r>
    <n v="0"/>
    <n v="0"/>
    <n v="0"/>
    <n v="0"/>
    <n v="0.499"/>
    <n v="0.35399999999999998"/>
    <x v="0"/>
    <x v="14"/>
    <s v="very_high_beta"/>
    <n v="0"/>
    <n v="0"/>
    <n v="0"/>
    <n v="0"/>
    <n v="0"/>
    <n v="0"/>
    <n v="0"/>
    <n v="0"/>
  </r>
  <r>
    <n v="0"/>
    <n v="0"/>
    <n v="0"/>
    <n v="0"/>
    <n v="0.497"/>
    <n v="0.36399999999999999"/>
    <x v="1"/>
    <x v="5"/>
    <s v="very_high_beta"/>
    <n v="0"/>
    <n v="0"/>
    <n v="9.6916325930000005E-2"/>
    <n v="0"/>
    <n v="0"/>
    <n v="0"/>
    <n v="0"/>
    <n v="0"/>
  </r>
  <r>
    <n v="0"/>
    <n v="0"/>
    <n v="0"/>
    <n v="0"/>
    <n v="0.49199999999999999"/>
    <n v="0.34699999999999998"/>
    <x v="1"/>
    <x v="13"/>
    <s v="high_beta"/>
    <n v="0"/>
    <n v="0"/>
    <n v="6.7899322323333303E-2"/>
    <n v="0"/>
    <n v="0"/>
    <n v="0"/>
    <n v="0"/>
    <n v="0"/>
  </r>
  <r>
    <n v="0"/>
    <n v="0"/>
    <n v="0"/>
    <n v="0"/>
    <n v="0.49199999999999999"/>
    <n v="0.34599999999999997"/>
    <x v="1"/>
    <x v="5"/>
    <s v="very_high_beta"/>
    <n v="0"/>
    <n v="0"/>
    <n v="0"/>
    <n v="0"/>
    <n v="0"/>
    <n v="0"/>
    <n v="0"/>
    <n v="0"/>
  </r>
  <r>
    <n v="0"/>
    <n v="0"/>
    <n v="0"/>
    <n v="0"/>
    <n v="0.48899999999999999"/>
    <n v="0.51300000000000001"/>
    <x v="1"/>
    <x v="11"/>
    <s v="neutral_beta"/>
    <n v="0"/>
    <n v="0"/>
    <n v="0"/>
    <n v="0"/>
    <n v="0"/>
    <n v="0"/>
    <n v="0"/>
    <n v="0"/>
  </r>
  <r>
    <n v="0"/>
    <n v="0"/>
    <n v="0"/>
    <n v="0"/>
    <n v="0.48499999999999999"/>
    <n v="0.36399999999999999"/>
    <x v="3"/>
    <x v="10"/>
    <s v="very_low_beta"/>
    <n v="0"/>
    <n v="0"/>
    <n v="0"/>
    <n v="0"/>
    <n v="0"/>
    <n v="0"/>
    <n v="0"/>
    <n v="0"/>
  </r>
  <r>
    <n v="0"/>
    <n v="0"/>
    <n v="0"/>
    <n v="0"/>
    <n v="0.48199999999999998"/>
    <n v="0.34399999999999997"/>
    <x v="1"/>
    <x v="13"/>
    <s v="high_beta"/>
    <n v="0"/>
    <n v="0"/>
    <n v="0"/>
    <n v="0"/>
    <n v="0"/>
    <n v="0"/>
    <n v="0"/>
    <n v="0"/>
  </r>
  <r>
    <n v="0"/>
    <n v="0"/>
    <n v="0"/>
    <n v="0"/>
    <n v="0.47799999999999998"/>
    <n v="0.33700000000000002"/>
    <x v="3"/>
    <x v="20"/>
    <s v="very_low_beta"/>
    <n v="0"/>
    <n v="0"/>
    <n v="0"/>
    <n v="0"/>
    <n v="0"/>
    <n v="0"/>
    <n v="0"/>
    <n v="0"/>
  </r>
  <r>
    <n v="0"/>
    <n v="0"/>
    <n v="0"/>
    <n v="0"/>
    <n v="0.47699999999999998"/>
    <n v="0.33600000000000002"/>
    <x v="3"/>
    <x v="7"/>
    <s v="very_low_beta"/>
    <n v="0"/>
    <n v="0"/>
    <n v="0"/>
    <n v="0"/>
    <n v="0"/>
    <n v="0"/>
    <n v="0"/>
    <n v="0"/>
  </r>
  <r>
    <n v="0"/>
    <n v="0"/>
    <n v="0"/>
    <n v="0"/>
    <n v="0.47699999999999998"/>
    <n v="0.34100000000000003"/>
    <x v="0"/>
    <x v="19"/>
    <s v="very_high_beta"/>
    <n v="0"/>
    <n v="0"/>
    <n v="0"/>
    <n v="0"/>
    <n v="0"/>
    <n v="0"/>
    <n v="0"/>
    <n v="0"/>
  </r>
  <r>
    <n v="0"/>
    <n v="0"/>
    <n v="0"/>
    <n v="0"/>
    <n v="0.47699999999999998"/>
    <n v="0.33600000000000002"/>
    <x v="1"/>
    <x v="4"/>
    <s v="low_beta"/>
    <n v="0"/>
    <n v="0"/>
    <n v="0"/>
    <n v="0"/>
    <n v="0"/>
    <n v="0"/>
    <n v="0"/>
    <n v="0"/>
  </r>
  <r>
    <n v="0"/>
    <n v="0"/>
    <n v="0"/>
    <n v="0"/>
    <n v="0.47699999999999998"/>
    <n v="0.33900000000000002"/>
    <x v="1"/>
    <x v="8"/>
    <s v="high_beta"/>
    <n v="0"/>
    <n v="0"/>
    <n v="1.64736529558667"/>
    <n v="0"/>
    <n v="0"/>
    <n v="0"/>
    <n v="0"/>
    <n v="0"/>
  </r>
  <r>
    <n v="0"/>
    <n v="0"/>
    <n v="0"/>
    <n v="0"/>
    <n v="0.47699999999999998"/>
    <n v="0.33600000000000002"/>
    <x v="0"/>
    <x v="14"/>
    <s v="very_high_beta"/>
    <n v="0"/>
    <n v="0"/>
    <n v="0"/>
    <n v="0"/>
    <n v="0"/>
    <n v="0"/>
    <n v="0"/>
    <n v="0"/>
  </r>
  <r>
    <n v="0"/>
    <n v="0"/>
    <n v="0"/>
    <n v="0"/>
    <n v="0.47699999999999998"/>
    <n v="0.33600000000000002"/>
    <x v="4"/>
    <x v="9"/>
    <s v="high_beta"/>
    <n v="0"/>
    <n v="0"/>
    <n v="0"/>
    <n v="0"/>
    <n v="0"/>
    <n v="0"/>
    <n v="0"/>
    <n v="0"/>
  </r>
  <r>
    <m/>
    <m/>
    <m/>
    <m/>
    <m/>
    <m/>
    <x v="5"/>
    <x v="21"/>
    <m/>
    <m/>
    <m/>
    <m/>
    <m/>
    <m/>
    <m/>
    <m/>
    <m/>
  </r>
  <r>
    <m/>
    <m/>
    <m/>
    <m/>
    <m/>
    <m/>
    <x v="5"/>
    <x v="21"/>
    <m/>
    <m/>
    <m/>
    <m/>
    <m/>
    <m/>
    <m/>
    <m/>
    <m/>
  </r>
  <r>
    <m/>
    <m/>
    <m/>
    <m/>
    <m/>
    <m/>
    <x v="5"/>
    <x v="21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n v="2.5999999999999999E-2"/>
    <n v="1.7999999999999999E-2"/>
    <n v="9.9999999999999985E-3"/>
    <n v="8.0000000000000002E-3"/>
    <n v="3.6120000000000001"/>
    <n v="4.6829999999999998"/>
    <x v="0"/>
    <x v="0"/>
    <s v="very_high_beta"/>
    <n v="1.6E-2"/>
    <n v="8.0000000000000002E-3"/>
    <n v="80"/>
    <n v="3.6202387538346703E-2"/>
    <n v="-2.0202387538346703E-2"/>
    <n v="-1.0202387538346704E-2"/>
    <n v="3.26808525613944E-2"/>
    <n v="-1.6680852561394399E-2"/>
  </r>
  <r>
    <n v="1.4999999999999999E-2"/>
    <n v="1.4999999999999999E-2"/>
    <n v="0"/>
    <n v="0"/>
    <n v="3.6120000000000001"/>
    <n v="3.5110000000000001"/>
    <x v="1"/>
    <x v="1"/>
    <s v="very_low_beta"/>
    <n v="1.4999999999999999E-2"/>
    <n v="1.4999999999999999E-2"/>
    <n v="80"/>
    <n v="1.60682340853559E-2"/>
    <n v="-1.0682340853559007E-3"/>
    <n v="-1.0682340853559007E-3"/>
    <n v="9.6893832985556292E-3"/>
    <n v="5.3106167014443702E-3"/>
  </r>
  <r>
    <n v="1.7999999999999999E-2"/>
    <n v="1.3999999999999999E-2"/>
    <n v="2.9999999999999992E-3"/>
    <n v="4.0000000000000001E-3"/>
    <n v="3.6120000000000001"/>
    <n v="4.5510000000000002"/>
    <x v="2"/>
    <x v="2"/>
    <s v="neutral_beta"/>
    <n v="1.4999999999999999E-2"/>
    <n v="1.0999999999999999E-2"/>
    <n v="80"/>
    <n v="2.22523931213204E-2"/>
    <n v="-7.252393121320401E-3"/>
    <n v="-4.2523931213204018E-3"/>
    <n v="1.17048473755197E-2"/>
    <n v="3.2951526244802999E-3"/>
  </r>
  <r>
    <n v="1.4999999999999999E-2"/>
    <n v="1.4999999999999999E-2"/>
    <n v="0"/>
    <n v="0"/>
    <n v="3.6120000000000001"/>
    <n v="3.585"/>
    <x v="2"/>
    <x v="3"/>
    <s v="low_beta"/>
    <n v="1.4999999999999999E-2"/>
    <n v="1.4999999999999999E-2"/>
    <n v="80"/>
    <n v="1.60682340853559E-2"/>
    <n v="-1.0682340853559007E-3"/>
    <n v="-1.0682340853559007E-3"/>
    <n v="1.41902281757988E-2"/>
    <n v="8.0977182420119941E-4"/>
  </r>
  <r>
    <n v="1.4E-2"/>
    <n v="1.4E-2"/>
    <n v="0"/>
    <n v="0"/>
    <n v="3.6120000000000001"/>
    <n v="3.556"/>
    <x v="0"/>
    <x v="4"/>
    <s v="high_beta"/>
    <n v="1.4E-2"/>
    <n v="1.4E-2"/>
    <n v="80"/>
    <n v="1.60682340853559E-2"/>
    <n v="-2.0682340853558998E-3"/>
    <n v="-2.0682340853558998E-3"/>
    <n v="1.4505219814832999E-2"/>
    <n v="-5.0521981483299915E-4"/>
  </r>
  <r>
    <n v="1.0999999999999999E-2"/>
    <n v="1.0999999999999999E-2"/>
    <n v="2.9999999999999992E-3"/>
    <n v="0"/>
    <n v="3.6120000000000001"/>
    <n v="2.69"/>
    <x v="0"/>
    <x v="5"/>
    <s v="very_low_beta"/>
    <n v="8.0000000000000002E-3"/>
    <n v="8.0000000000000002E-3"/>
    <n v="80"/>
    <n v="1.60682340853559E-2"/>
    <n v="-8.0682340853558999E-3"/>
    <n v="-5.0682340853559008E-3"/>
    <n v="9.2479760918021993E-3"/>
    <n v="-1.2479760918021991E-3"/>
  </r>
  <r>
    <n v="1.4999999999999999E-2"/>
    <n v="1.2999999999999999E-2"/>
    <n v="0"/>
    <n v="2E-3"/>
    <n v="3.5289999999999999"/>
    <n v="2.7080000000000002"/>
    <x v="0"/>
    <x v="6"/>
    <s v="very_high_beta"/>
    <n v="1.4999999999999999E-2"/>
    <n v="1.2999999999999999E-2"/>
    <n v="80"/>
    <n v="1.7842948571419201E-2"/>
    <n v="-2.8429485714192015E-3"/>
    <n v="-2.8429485714192015E-3"/>
    <n v="1.0739004319166599E-2"/>
    <n v="4.2609956808334001E-3"/>
  </r>
  <r>
    <n v="1.4999999999999999E-2"/>
    <n v="1.2999999999999999E-2"/>
    <n v="0"/>
    <n v="2E-3"/>
    <n v="3.4969999999999999"/>
    <n v="4.141"/>
    <x v="0"/>
    <x v="6"/>
    <s v="very_low_beta"/>
    <n v="1.4999999999999999E-2"/>
    <n v="1.2999999999999999E-2"/>
    <n v="80"/>
    <n v="1.88887601055743E-2"/>
    <n v="-3.8887601055743008E-3"/>
    <n v="-3.8887601055743008E-3"/>
    <n v="9.5426164802232295E-3"/>
    <n v="5.4573835197767699E-3"/>
  </r>
  <r>
    <n v="1.4E-2"/>
    <n v="1.4E-2"/>
    <n v="0"/>
    <n v="0"/>
    <n v="3.3780000000000001"/>
    <n v="2.5099999999999998"/>
    <x v="2"/>
    <x v="2"/>
    <s v="very_high_beta"/>
    <n v="1.4E-2"/>
    <n v="1.4E-2"/>
    <n v="80"/>
    <n v="1.50274580685575E-2"/>
    <n v="-1.0274580685575001E-3"/>
    <n v="-1.0274580685575001E-3"/>
    <n v="0"/>
    <n v="1.4E-2"/>
  </r>
  <r>
    <n v="1.4999999999999999E-2"/>
    <n v="1.0999999999999999E-2"/>
    <n v="9.9999999999999915E-4"/>
    <n v="4.0000000000000001E-3"/>
    <n v="3.3239999999999998"/>
    <n v="3.2320000000000002"/>
    <x v="3"/>
    <x v="7"/>
    <s v="neutral_beta"/>
    <n v="1.4E-2"/>
    <n v="0.01"/>
    <n v="80"/>
    <n v="1.9521104236099301E-2"/>
    <n v="-5.5211042360993005E-3"/>
    <n v="-4.5211042360993013E-3"/>
    <n v="1.4164190378759999E-2"/>
    <n v="-1.6419037875999888E-4"/>
  </r>
  <r>
    <n v="2.1000000000000001E-2"/>
    <n v="2.1000000000000001E-2"/>
    <n v="0"/>
    <n v="0"/>
    <n v="3.23"/>
    <n v="3.4990000000000001"/>
    <x v="0"/>
    <x v="0"/>
    <s v="low_beta"/>
    <n v="2.1000000000000001E-2"/>
    <n v="2.1000000000000001E-2"/>
    <n v="80"/>
    <n v="1.4370628746769599E-2"/>
    <n v="6.6293712532304021E-3"/>
    <n v="6.6293712532304021E-3"/>
    <n v="9.0573424251795195E-3"/>
    <n v="1.1942657574820482E-2"/>
  </r>
  <r>
    <n v="1.0999999999999999E-2"/>
    <n v="1.0999999999999999E-2"/>
    <n v="0"/>
    <n v="0"/>
    <n v="2.9369999999999998"/>
    <n v="2.1110000000000002"/>
    <x v="0"/>
    <x v="8"/>
    <s v="high_beta"/>
    <n v="1.0999999999999999E-2"/>
    <n v="1.0999999999999999E-2"/>
    <n v="80"/>
    <n v="1.30666123910051E-2"/>
    <n v="-2.0666123910051005E-3"/>
    <n v="-2.0666123910051005E-3"/>
    <n v="9.9104639769963098E-3"/>
    <n v="1.0895360230036896E-3"/>
  </r>
  <r>
    <n v="0"/>
    <n v="0"/>
    <n v="-1.6E-2"/>
    <n v="0"/>
    <n v="2.92"/>
    <n v="3.7519999999999998"/>
    <x v="4"/>
    <x v="9"/>
    <s v="low_beta"/>
    <n v="1.6E-2"/>
    <n v="1.6E-2"/>
    <n v="80"/>
    <n v="1.2990933572681501E-2"/>
    <n v="3.0090664273184995E-3"/>
    <n v="-1.2990933572681501E-2"/>
    <n v="9.8427471128918302E-3"/>
    <n v="6.1572528871081701E-3"/>
  </r>
  <r>
    <n v="1.4E-2"/>
    <n v="1.4E-2"/>
    <n v="0"/>
    <n v="0"/>
    <n v="2.9009999999999998"/>
    <n v="2.21"/>
    <x v="2"/>
    <x v="2"/>
    <s v="low_beta"/>
    <n v="1.4E-2"/>
    <n v="1.4E-2"/>
    <n v="80"/>
    <n v="1.3278455008008999E-2"/>
    <n v="7.2154499199100081E-4"/>
    <n v="7.2154499199100081E-4"/>
    <n v="0"/>
    <n v="1.4E-2"/>
  </r>
  <r>
    <n v="0.02"/>
    <n v="1.0999999999999999E-2"/>
    <n v="6.0000000000000001E-3"/>
    <n v="9.0000000000000011E-3"/>
    <n v="2.8340000000000001"/>
    <n v="4.2439999999999998"/>
    <x v="0"/>
    <x v="4"/>
    <s v="neutral_beta"/>
    <n v="1.4E-2"/>
    <n v="5.0000000000000001E-3"/>
    <n v="80"/>
    <n v="2.9463943015452802E-2"/>
    <n v="-1.5463943015452801E-2"/>
    <n v="-9.4639430154528012E-3"/>
    <n v="1.89524778439795E-2"/>
    <n v="-4.9524778439794994E-3"/>
  </r>
  <r>
    <n v="0.02"/>
    <n v="1.6E-2"/>
    <n v="0"/>
    <n v="4.0000000000000001E-3"/>
    <n v="2.64"/>
    <n v="3.94"/>
    <x v="3"/>
    <x v="10"/>
    <s v="neutral_beta"/>
    <n v="0.02"/>
    <n v="1.6E-2"/>
    <n v="80"/>
    <n v="1.66010155323837E-2"/>
    <n v="3.3989844676163006E-3"/>
    <n v="3.3989844676163006E-3"/>
    <n v="9.3089355249402206E-3"/>
    <n v="1.069106447505978E-2"/>
  </r>
  <r>
    <n v="8.0000000000000002E-3"/>
    <n v="8.0000000000000002E-3"/>
    <n v="0"/>
    <n v="0"/>
    <n v="2.6240000000000001"/>
    <n v="1.821"/>
    <x v="4"/>
    <x v="9"/>
    <s v="very_high_beta"/>
    <n v="8.0000000000000002E-3"/>
    <n v="8.0000000000000002E-3"/>
    <n v="80"/>
    <n v="1.1675067933945399E-2"/>
    <n v="-3.6750679339453991E-3"/>
    <n v="-3.6750679339453991E-3"/>
    <n v="1.4505219814832999E-2"/>
    <n v="-6.5052198148329993E-3"/>
  </r>
  <r>
    <n v="3.3000000000000002E-2"/>
    <n v="1.6E-2"/>
    <n v="1.6E-2"/>
    <n v="1.7000000000000001E-2"/>
    <n v="2.61"/>
    <n v="5.508"/>
    <x v="4"/>
    <x v="9"/>
    <s v="neutral_beta"/>
    <n v="1.7000000000000001E-2"/>
    <n v="0"/>
    <n v="59"/>
    <n v="4.68234171223278E-2"/>
    <n v="-2.9823417122327799E-2"/>
    <n v="-1.3823417122327798E-2"/>
    <n v="4.0834445815344803E-2"/>
    <n v="-2.3834445815344801E-2"/>
  </r>
  <r>
    <n v="0.02"/>
    <n v="1.4999999999999999E-2"/>
    <n v="0"/>
    <n v="5.000000000000001E-3"/>
    <n v="2.6019999999999999"/>
    <n v="2.5619999999999998"/>
    <x v="0"/>
    <x v="8"/>
    <s v="high_beta"/>
    <n v="0.02"/>
    <n v="1.4999999999999999E-2"/>
    <n v="80"/>
    <n v="1.83628101920753E-2"/>
    <n v="1.6371898079247001E-3"/>
    <n v="1.6371898079247001E-3"/>
    <n v="1.6102797812179999E-2"/>
    <n v="3.8972021878200015E-3"/>
  </r>
  <r>
    <n v="1.2E-2"/>
    <n v="0.01"/>
    <n v="0"/>
    <n v="2E-3"/>
    <n v="2.593"/>
    <n v="1.83"/>
    <x v="0"/>
    <x v="11"/>
    <s v="high_beta"/>
    <n v="1.2E-2"/>
    <n v="0.01"/>
    <n v="80"/>
    <n v="1.28322554180008E-2"/>
    <n v="-8.322554180007994E-4"/>
    <n v="-8.322554180007994E-4"/>
    <n v="9.0157250375472106E-3"/>
    <n v="2.9842749624527896E-3"/>
  </r>
  <r>
    <n v="0"/>
    <n v="0"/>
    <n v="0"/>
    <n v="0"/>
    <n v="2.5590000000000002"/>
    <n v="2.8370000000000002"/>
    <x v="4"/>
    <x v="12"/>
    <s v="very_low_beta"/>
    <n v="0"/>
    <n v="0"/>
    <n v="3"/>
    <n v="0"/>
    <n v="0"/>
    <n v="0"/>
    <n v="0"/>
    <n v="0"/>
  </r>
  <r>
    <n v="1.0999999999999999E-2"/>
    <n v="1.0999999999999999E-2"/>
    <n v="0"/>
    <n v="0"/>
    <n v="2.5230000000000001"/>
    <n v="1.881"/>
    <x v="0"/>
    <x v="4"/>
    <s v="neutral_beta"/>
    <n v="1.0999999999999999E-2"/>
    <n v="1.0999999999999999E-2"/>
    <n v="80"/>
    <n v="1.12231082572282E-2"/>
    <n v="-2.2310825722820019E-4"/>
    <n v="-2.2310825722820019E-4"/>
    <n v="1.4505219814832999E-2"/>
    <n v="-3.5052198148330001E-3"/>
  </r>
  <r>
    <n v="1.7999999999999999E-2"/>
    <n v="4.9999999999999975E-3"/>
    <n v="9.9999999999999742E-4"/>
    <n v="1.3000000000000001E-2"/>
    <n v="2.5179999999999998"/>
    <n v="3.669"/>
    <x v="3"/>
    <x v="7"/>
    <s v="high_beta"/>
    <n v="1.7000000000000001E-2"/>
    <n v="4.0000000000000001E-3"/>
    <n v="65"/>
    <n v="3.6453377663411897E-2"/>
    <n v="-1.9453377663411896E-2"/>
    <n v="-1.8453377663411898E-2"/>
    <n v="2.5658454004482401E-2"/>
    <n v="-8.6584540044824E-3"/>
  </r>
  <r>
    <n v="0"/>
    <n v="0"/>
    <n v="0"/>
    <n v="0"/>
    <n v="2.4710000000000001"/>
    <n v="2.4460000000000002"/>
    <x v="4"/>
    <x v="12"/>
    <s v="very_low_beta"/>
    <n v="0"/>
    <n v="0"/>
    <n v="4"/>
    <n v="0"/>
    <n v="0"/>
    <n v="0"/>
    <n v="0"/>
    <n v="0"/>
  </r>
  <r>
    <n v="1.2999999999999999E-2"/>
    <n v="1.2999999999999999E-2"/>
    <n v="0"/>
    <n v="0"/>
    <n v="2.4249999999999998"/>
    <n v="1.792"/>
    <x v="0"/>
    <x v="11"/>
    <s v="very_high_beta"/>
    <n v="1.2999999999999999E-2"/>
    <n v="1.2999999999999999E-2"/>
    <n v="80"/>
    <n v="1.0789095745976701E-2"/>
    <n v="2.2109042540232986E-3"/>
    <n v="2.2109042540232986E-3"/>
    <n v="0"/>
    <n v="1.2999999999999999E-2"/>
  </r>
  <r>
    <n v="1.2E-2"/>
    <n v="1.2E-2"/>
    <n v="0"/>
    <n v="0"/>
    <n v="2.3660000000000001"/>
    <n v="2.5529999999999999"/>
    <x v="4"/>
    <x v="12"/>
    <s v="very_low_beta"/>
    <n v="1.2E-2"/>
    <n v="1.2E-2"/>
    <n v="80"/>
    <n v="1.0526962187403901E-2"/>
    <n v="1.4730378125960997E-3"/>
    <n v="1.4730378125960997E-3"/>
    <n v="1.2349793341604401E-2"/>
    <n v="-3.497933416044003E-4"/>
  </r>
  <r>
    <n v="6.0000000000000001E-3"/>
    <n v="6.0000000000000001E-3"/>
    <n v="-2E-3"/>
    <n v="0"/>
    <n v="2.359"/>
    <n v="1.7"/>
    <x v="0"/>
    <x v="13"/>
    <s v="very_low_beta"/>
    <n v="8.0000000000000002E-3"/>
    <n v="8.0000000000000002E-3"/>
    <n v="80"/>
    <n v="1.0492712380451101E-2"/>
    <n v="-2.4927123804511005E-3"/>
    <n v="-4.4927123804511006E-3"/>
    <n v="0"/>
    <n v="8.0000000000000002E-3"/>
  </r>
  <r>
    <n v="1.4E-2"/>
    <n v="8.0000000000000002E-3"/>
    <n v="0"/>
    <n v="6.0000000000000001E-3"/>
    <n v="2.3580000000000001"/>
    <n v="1.9419999999999999"/>
    <x v="0"/>
    <x v="11"/>
    <s v="neutral_beta"/>
    <n v="1.4E-2"/>
    <n v="8.0000000000000002E-3"/>
    <n v="80"/>
    <n v="1.7907707251904499E-2"/>
    <n v="-3.9077072519044988E-3"/>
    <n v="-3.9077072519044988E-3"/>
    <n v="1.8026514398718201E-2"/>
    <n v="-4.026514398718201E-3"/>
  </r>
  <r>
    <n v="0"/>
    <n v="0"/>
    <n v="-2.1999999999999999E-2"/>
    <n v="0"/>
    <n v="2.34"/>
    <n v="3.2330000000000001"/>
    <x v="0"/>
    <x v="4"/>
    <s v="neutral_beta"/>
    <n v="2.1999999999999999E-2"/>
    <n v="2.1999999999999999E-2"/>
    <n v="80"/>
    <n v="1.04081971824598E-2"/>
    <n v="1.1591802817540199E-2"/>
    <n v="-1.04081971824598E-2"/>
    <n v="9.2554060811686507E-3"/>
    <n v="1.2744593918831348E-2"/>
  </r>
  <r>
    <n v="1.6E-2"/>
    <n v="0.01"/>
    <n v="0"/>
    <n v="6.0000000000000001E-3"/>
    <n v="2.2639999999999998"/>
    <n v="3.7440000000000002"/>
    <x v="0"/>
    <x v="4"/>
    <s v="low_beta"/>
    <n v="1.6E-2"/>
    <n v="0.01"/>
    <n v="80"/>
    <n v="1.6750623798259499E-2"/>
    <n v="-7.5062379825949904E-4"/>
    <n v="-7.5062379825949904E-4"/>
    <n v="0"/>
    <n v="1.6E-2"/>
  </r>
  <r>
    <n v="1.4999999999999999E-2"/>
    <n v="1.4999999999999999E-2"/>
    <n v="0"/>
    <n v="0"/>
    <n v="2.2480000000000002"/>
    <n v="2.4319999999999999"/>
    <x v="0"/>
    <x v="0"/>
    <s v="low_beta"/>
    <n v="1.4999999999999999E-2"/>
    <n v="1.4999999999999999E-2"/>
    <n v="80"/>
    <n v="1.00001685240489E-2"/>
    <n v="4.9998314759510994E-3"/>
    <n v="4.9998314759510994E-3"/>
    <n v="0"/>
    <n v="1.4999999999999999E-2"/>
  </r>
  <r>
    <n v="1.7000000000000001E-2"/>
    <n v="1.2E-2"/>
    <n v="0"/>
    <n v="5.000000000000001E-3"/>
    <n v="2.2050000000000001"/>
    <n v="2.7309999999999999"/>
    <x v="0"/>
    <x v="8"/>
    <s v="neutral_beta"/>
    <n v="1.7000000000000001E-2"/>
    <n v="1.2E-2"/>
    <n v="80"/>
    <n v="1.7359751273077699E-2"/>
    <n v="-3.5975127307769778E-4"/>
    <n v="-3.5975127307769778E-4"/>
    <n v="1.43775423515462E-2"/>
    <n v="2.622457648453801E-3"/>
  </r>
  <r>
    <n v="1.2999999999999999E-2"/>
    <n v="8.0000000000000002E-3"/>
    <n v="0"/>
    <n v="4.9999999999999992E-3"/>
    <n v="2.1789999999999998"/>
    <n v="3.2050000000000001"/>
    <x v="3"/>
    <x v="7"/>
    <s v="very_low_beta"/>
    <n v="1.2999999999999999E-2"/>
    <n v="8.0000000000000002E-3"/>
    <n v="80"/>
    <n v="1.5947647465804501E-2"/>
    <n v="-2.947647465804502E-3"/>
    <n v="-2.947647465804502E-3"/>
    <n v="1.8934569334372001E-2"/>
    <n v="-5.9345693343720012E-3"/>
  </r>
  <r>
    <n v="1.4E-2"/>
    <n v="1.4E-2"/>
    <n v="0"/>
    <n v="0"/>
    <n v="2.1739999999999999"/>
    <n v="2.31"/>
    <x v="3"/>
    <x v="10"/>
    <s v="very_low_beta"/>
    <n v="1.4E-2"/>
    <n v="1.4E-2"/>
    <n v="80"/>
    <n v="9.6706709976041704E-3"/>
    <n v="4.3293290023958299E-3"/>
    <n v="4.3293290023958299E-3"/>
    <n v="7.92144947270528E-3"/>
    <n v="6.0785505272947203E-3"/>
  </r>
  <r>
    <n v="0.01"/>
    <n v="0.01"/>
    <n v="0"/>
    <n v="0"/>
    <n v="2.1589999999999998"/>
    <n v="2.2669999999999999"/>
    <x v="0"/>
    <x v="1"/>
    <s v="very_low_beta"/>
    <n v="0.01"/>
    <n v="0.01"/>
    <n v="80"/>
    <n v="9.6037182535170205E-3"/>
    <n v="3.9628174648297966E-4"/>
    <n v="3.9628174648297966E-4"/>
    <n v="0"/>
    <n v="0.01"/>
  </r>
  <r>
    <n v="1.7000000000000001E-2"/>
    <n v="1.4E-2"/>
    <n v="0"/>
    <n v="3.0000000000000009E-3"/>
    <n v="2.105"/>
    <n v="2.4540000000000002"/>
    <x v="1"/>
    <x v="14"/>
    <s v="high_beta"/>
    <n v="1.7000000000000001E-2"/>
    <n v="1.4E-2"/>
    <n v="80"/>
    <n v="1.1657131200931099E-2"/>
    <n v="5.3428687990689019E-3"/>
    <n v="5.3428687990689019E-3"/>
    <n v="9.9552673895462202E-3"/>
    <n v="7.044732610453781E-3"/>
  </r>
  <r>
    <n v="0"/>
    <n v="0"/>
    <n v="-1.2E-2"/>
    <n v="0"/>
    <n v="2.0529999999999999"/>
    <n v="1.6619999999999999"/>
    <x v="2"/>
    <x v="15"/>
    <s v="high_beta"/>
    <n v="1.2E-2"/>
    <n v="1.2E-2"/>
    <n v="80"/>
    <n v="9.1309271102165603E-3"/>
    <n v="2.8690728897834399E-3"/>
    <n v="-9.1309271102165603E-3"/>
    <n v="6.2456631390070102E-3"/>
    <n v="5.7543368609929901E-3"/>
  </r>
  <r>
    <n v="1.4999999999999999E-2"/>
    <n v="0.01"/>
    <n v="0"/>
    <n v="4.9999999999999992E-3"/>
    <n v="2.016"/>
    <n v="1.627"/>
    <x v="0"/>
    <x v="0"/>
    <s v="very_high_beta"/>
    <n v="1.4999999999999999E-2"/>
    <n v="0.01"/>
    <n v="80"/>
    <n v="1.44829760035248E-2"/>
    <n v="5.1702399647519937E-4"/>
    <n v="5.1702399647519937E-4"/>
    <n v="1.17462960802964E-2"/>
    <n v="3.2537039197035999E-3"/>
  </r>
  <r>
    <n v="1.2E-2"/>
    <n v="1.2E-2"/>
    <n v="0"/>
    <n v="0"/>
    <n v="1.992"/>
    <n v="2.4359999999999999"/>
    <x v="3"/>
    <x v="7"/>
    <s v="low_beta"/>
    <n v="1.2E-2"/>
    <n v="1.2E-2"/>
    <n v="80"/>
    <n v="8.8618861192489191E-3"/>
    <n v="3.1381138807510811E-3"/>
    <n v="3.1381138807510811E-3"/>
    <n v="6.1499591114760098E-3"/>
    <n v="5.8500408885239904E-3"/>
  </r>
  <r>
    <n v="1.6E-2"/>
    <n v="1.4999999999999999E-2"/>
    <n v="0"/>
    <n v="1.0000000000000009E-3"/>
    <n v="1.9890000000000001"/>
    <n v="1.615"/>
    <x v="0"/>
    <x v="8"/>
    <s v="neutral_beta"/>
    <n v="1.6E-2"/>
    <n v="1.4999999999999999E-2"/>
    <n v="80"/>
    <n v="9.1995543410352404E-3"/>
    <n v="6.8004456589647599E-3"/>
    <n v="6.8004456589647599E-3"/>
    <n v="0"/>
    <n v="1.6E-2"/>
  </r>
  <r>
    <n v="1.0999999999999999E-2"/>
    <n v="1.0999999999999999E-2"/>
    <n v="0"/>
    <n v="0"/>
    <n v="1.97"/>
    <n v="1.5049999999999999"/>
    <x v="1"/>
    <x v="14"/>
    <s v="high_beta"/>
    <n v="1.0999999999999999E-2"/>
    <n v="1.0999999999999999E-2"/>
    <n v="80"/>
    <n v="8.7643798142093901E-3"/>
    <n v="2.2356201857906093E-3"/>
    <n v="2.2356201857906093E-3"/>
    <n v="0"/>
    <n v="1.0999999999999999E-2"/>
  </r>
  <r>
    <n v="3.5000000000000003E-2"/>
    <n v="1.0000000000000002E-2"/>
    <n v="1.5000000000000003E-2"/>
    <n v="2.5000000000000001E-2"/>
    <n v="1.9690000000000001"/>
    <n v="4.22"/>
    <x v="4"/>
    <x v="9"/>
    <s v="low_beta"/>
    <n v="0.02"/>
    <n v="-5.0000000000000001E-3"/>
    <n v="50"/>
    <n v="4.9025164314406601E-2"/>
    <n v="-2.9025164314406601E-2"/>
    <n v="-1.4025164314406598E-2"/>
    <n v="5.7085421677838102E-2"/>
    <n v="-3.7085421677838099E-2"/>
  </r>
  <r>
    <n v="0"/>
    <n v="0"/>
    <n v="0"/>
    <n v="0"/>
    <n v="1.9079999999999999"/>
    <n v="2.637"/>
    <x v="0"/>
    <x v="4"/>
    <s v="neutral_beta"/>
    <n v="0"/>
    <n v="0"/>
    <n v="9"/>
    <n v="0"/>
    <n v="0"/>
    <n v="0"/>
    <n v="0"/>
    <n v="0"/>
  </r>
  <r>
    <n v="1.4999999999999999E-2"/>
    <n v="0.01"/>
    <n v="0"/>
    <n v="4.9999999999999992E-3"/>
    <n v="1.9039999999999999"/>
    <n v="1.65"/>
    <x v="0"/>
    <x v="6"/>
    <s v="high_beta"/>
    <n v="1.4999999999999999E-2"/>
    <n v="0.01"/>
    <n v="80"/>
    <n v="1.2246597055507701E-2"/>
    <n v="2.7534029444922989E-3"/>
    <n v="2.7534029444922989E-3"/>
    <n v="1.00727362824839E-2"/>
    <n v="4.9272637175160998E-3"/>
  </r>
  <r>
    <n v="1.4999999999999999E-2"/>
    <n v="1.4999999999999999E-2"/>
    <n v="0"/>
    <n v="0"/>
    <n v="1.8919999999999999"/>
    <n v="1.976"/>
    <x v="2"/>
    <x v="15"/>
    <s v="neutral_beta"/>
    <n v="1.4999999999999999E-2"/>
    <n v="1.4999999999999999E-2"/>
    <n v="80"/>
    <n v="8.4169303194631707E-3"/>
    <n v="6.5830696805368287E-3"/>
    <n v="6.5830696805368287E-3"/>
    <n v="5.9304222303044702E-3"/>
    <n v="9.0695777696955283E-3"/>
  </r>
  <r>
    <n v="1.2999999999999999E-2"/>
    <n v="1.2999999999999999E-2"/>
    <n v="0"/>
    <n v="0"/>
    <n v="1.88"/>
    <n v="2.0870000000000002"/>
    <x v="2"/>
    <x v="3"/>
    <s v="very_low_beta"/>
    <n v="1.2999999999999999E-2"/>
    <n v="1.2999999999999999E-2"/>
    <n v="31"/>
    <n v="8.3614714845337609E-3"/>
    <n v="4.6385285154662385E-3"/>
    <n v="4.6385285154662385E-3"/>
    <n v="0"/>
    <n v="1.2999999999999999E-2"/>
  </r>
  <r>
    <n v="1.4E-2"/>
    <n v="1.4E-2"/>
    <n v="0"/>
    <n v="0"/>
    <n v="1.865"/>
    <n v="2.5670000000000002"/>
    <x v="1"/>
    <x v="16"/>
    <s v="very_low_beta"/>
    <n v="1.4E-2"/>
    <n v="1.4E-2"/>
    <n v="29"/>
    <n v="8.2954300849401603E-3"/>
    <n v="5.70456991505984E-3"/>
    <n v="5.70456991505984E-3"/>
    <n v="1.1069851937918601E-2"/>
    <n v="2.9301480620813995E-3"/>
  </r>
  <r>
    <n v="2.5000000000000001E-2"/>
    <n v="2.1000000000000001E-2"/>
    <n v="0"/>
    <n v="4.0000000000000001E-3"/>
    <n v="1.851"/>
    <n v="2.0640000000000001"/>
    <x v="0"/>
    <x v="0"/>
    <s v="high_beta"/>
    <n v="2.5000000000000001E-2"/>
    <n v="2.1000000000000001E-2"/>
    <n v="80"/>
    <n v="1.26109122436376E-2"/>
    <n v="1.2389087756362402E-2"/>
    <n v="1.2389087756362402E-2"/>
    <n v="0"/>
    <n v="2.5000000000000001E-2"/>
  </r>
  <r>
    <n v="3.1E-2"/>
    <n v="1.4999999999999999E-2"/>
    <n v="0"/>
    <n v="1.6E-2"/>
    <n v="1.8089999999999999"/>
    <n v="3.8759999999999999"/>
    <x v="2"/>
    <x v="2"/>
    <s v="high_beta"/>
    <n v="3.1E-2"/>
    <n v="1.4999999999999999E-2"/>
    <n v="60"/>
    <n v="3.1097463401021701E-2"/>
    <n v="-9.7463401021700979E-5"/>
    <n v="-9.7463401021700979E-5"/>
    <n v="3.5493795556052303E-2"/>
    <n v="-4.4937955560523032E-3"/>
  </r>
  <r>
    <n v="1.2999999999999999E-2"/>
    <n v="1.2999999999999999E-2"/>
    <n v="0"/>
    <n v="0"/>
    <n v="1.7310000000000001"/>
    <n v="1.974"/>
    <x v="1"/>
    <x v="16"/>
    <s v="very_low_beta"/>
    <n v="1.2999999999999999E-2"/>
    <n v="1.2999999999999999E-2"/>
    <n v="49"/>
    <n v="7.6983881156998503E-3"/>
    <n v="5.3016118843001491E-3"/>
    <n v="5.3016118843001491E-3"/>
    <n v="1.04060173502255E-2"/>
    <n v="2.5939826497744997E-3"/>
  </r>
  <r>
    <n v="1.4E-2"/>
    <n v="1.2999999999999999E-2"/>
    <n v="0"/>
    <n v="1.0000000000000009E-3"/>
    <n v="1.71"/>
    <n v="1.236"/>
    <x v="0"/>
    <x v="17"/>
    <s v="very_high_beta"/>
    <n v="1.4E-2"/>
    <n v="1.2999999999999999E-2"/>
    <n v="80"/>
    <n v="8.3272850504644107E-3"/>
    <n v="5.6727149495355896E-3"/>
    <n v="5.6727149495355896E-3"/>
    <n v="0"/>
    <n v="1.4E-2"/>
  </r>
  <r>
    <n v="7.0000000000000001E-3"/>
    <n v="7.0000000000000001E-3"/>
    <n v="0"/>
    <n v="0"/>
    <n v="1.71"/>
    <n v="1.2330000000000001"/>
    <x v="0"/>
    <x v="4"/>
    <s v="high_beta"/>
    <n v="7.0000000000000001E-3"/>
    <n v="7.0000000000000001E-3"/>
    <n v="80"/>
    <n v="7.6073911103334002E-3"/>
    <n v="-6.0739111033340006E-4"/>
    <n v="-6.0739111033340006E-4"/>
    <n v="1.0150724563771101E-2"/>
    <n v="-3.1507245637711007E-3"/>
  </r>
  <r>
    <n v="0.03"/>
    <n v="5.9999999999999984E-3"/>
    <n v="1.3999999999999999E-2"/>
    <n v="2.4E-2"/>
    <n v="1.603"/>
    <n v="3.1840000000000002"/>
    <x v="2"/>
    <x v="15"/>
    <s v="neutral_beta"/>
    <n v="1.6E-2"/>
    <n v="-8.0000000000000002E-3"/>
    <n v="80"/>
    <n v="3.9065201793042098E-2"/>
    <n v="-2.3065201793042098E-2"/>
    <n v="-9.0652017930420992E-3"/>
    <n v="3.2401949084773299E-2"/>
    <n v="-1.6401949084773298E-2"/>
  </r>
  <r>
    <n v="1.7000000000000001E-2"/>
    <n v="2.9999999999999992E-3"/>
    <n v="0"/>
    <n v="1.4000000000000002E-2"/>
    <n v="1.573"/>
    <n v="2.3660000000000001"/>
    <x v="0"/>
    <x v="0"/>
    <s v="neutral_beta"/>
    <n v="1.7000000000000001E-2"/>
    <n v="3.0000000000000001E-3"/>
    <n v="63"/>
    <n v="2.4796652043266199E-2"/>
    <n v="-7.7966520432661973E-3"/>
    <n v="-7.7966520432661973E-3"/>
    <n v="0"/>
    <n v="1.7000000000000001E-2"/>
  </r>
  <r>
    <n v="0"/>
    <n v="0"/>
    <n v="-0.02"/>
    <n v="0"/>
    <n v="1.4990000000000001"/>
    <n v="1.881"/>
    <x v="2"/>
    <x v="15"/>
    <s v="high_beta"/>
    <n v="0.02"/>
    <n v="0.02"/>
    <n v="33"/>
    <n v="6.6701234298108198E-3"/>
    <n v="1.3329876570189182E-2"/>
    <n v="-6.6701234298108198E-3"/>
    <n v="1.1843952122430701E-2"/>
    <n v="8.1560478775692998E-3"/>
  </r>
  <r>
    <n v="0.03"/>
    <n v="-1.0999999999999996E-2"/>
    <n v="4.0000000000000001E-3"/>
    <n v="4.0999999999999995E-2"/>
    <n v="1.488"/>
    <n v="3.1890000000000001"/>
    <x v="2"/>
    <x v="2"/>
    <s v="high_beta"/>
    <n v="2.5999999999999999E-2"/>
    <n v="-1.4999999999999999E-2"/>
    <n v="36"/>
    <n v="3.7046877925402899E-2"/>
    <n v="-1.10468779254029E-2"/>
    <n v="-7.0468779254029001E-3"/>
    <n v="0"/>
    <n v="2.5999999999999999E-2"/>
  </r>
  <r>
    <n v="1.4999999999999999E-2"/>
    <n v="5.000000000000001E-3"/>
    <n v="4.0000000000000001E-3"/>
    <n v="9.9999999999999985E-3"/>
    <n v="1.4590000000000001"/>
    <n v="2.0939999999999999"/>
    <x v="4"/>
    <x v="12"/>
    <s v="very_low_beta"/>
    <n v="1.0999999999999999E-2"/>
    <n v="1E-3"/>
    <n v="70"/>
    <n v="1.6610321696079001E-2"/>
    <n v="-5.6103216960790014E-3"/>
    <n v="-1.6103216960790014E-3"/>
    <n v="2.8655760170652401E-2"/>
    <n v="-1.7655760170652401E-2"/>
  </r>
  <r>
    <n v="0.01"/>
    <n v="0.01"/>
    <n v="0"/>
    <n v="0"/>
    <n v="1.44"/>
    <n v="1.081"/>
    <x v="4"/>
    <x v="18"/>
    <s v="very_low_beta"/>
    <n v="0.01"/>
    <n v="0.01"/>
    <n v="80"/>
    <n v="6.4069295791555096E-3"/>
    <n v="3.5930704208444906E-3"/>
    <n v="3.5930704208444906E-3"/>
    <n v="0"/>
    <n v="0.01"/>
  </r>
  <r>
    <n v="0"/>
    <n v="0"/>
    <n v="0"/>
    <n v="0"/>
    <n v="1.4330000000000001"/>
    <n v="1.7310000000000001"/>
    <x v="0"/>
    <x v="1"/>
    <s v="very_high_beta"/>
    <n v="0"/>
    <n v="0"/>
    <n v="8"/>
    <n v="0"/>
    <n v="0"/>
    <n v="0"/>
    <n v="0"/>
    <n v="0"/>
  </r>
  <r>
    <n v="1.9E-2"/>
    <n v="1.9E-2"/>
    <n v="0"/>
    <n v="0"/>
    <n v="1.381"/>
    <n v="1.661"/>
    <x v="0"/>
    <x v="13"/>
    <s v="low_beta"/>
    <n v="1.9E-2"/>
    <n v="1.9E-2"/>
    <n v="20"/>
    <n v="6.14568481657709E-3"/>
    <n v="1.285431518342291E-2"/>
    <n v="1.285431518342291E-2"/>
    <n v="1.4229128070366101E-2"/>
    <n v="4.7708719296338988E-3"/>
  </r>
  <r>
    <n v="1.7999999999999999E-2"/>
    <n v="1.7999999999999999E-2"/>
    <n v="0"/>
    <n v="0"/>
    <n v="1.349"/>
    <n v="1.444"/>
    <x v="0"/>
    <x v="13"/>
    <s v="very_low_beta"/>
    <n v="1.7999999999999999E-2"/>
    <n v="1.7999999999999999E-2"/>
    <n v="22"/>
    <n v="6.00028078699577E-3"/>
    <n v="1.1999719213004228E-2"/>
    <n v="1.1999719213004228E-2"/>
    <n v="1.1762547525581301E-2"/>
    <n v="6.237452474418698E-3"/>
  </r>
  <r>
    <n v="1.7000000000000001E-2"/>
    <n v="6.9999999999999993E-3"/>
    <n v="0"/>
    <n v="1.0000000000000002E-2"/>
    <n v="1.3220000000000001"/>
    <n v="1.1220000000000001"/>
    <x v="0"/>
    <x v="0"/>
    <s v="high_beta"/>
    <n v="1.7000000000000001E-2"/>
    <n v="7.0000000000000001E-3"/>
    <n v="80"/>
    <n v="1.54718026977539E-2"/>
    <n v="1.5281973022461016E-3"/>
    <n v="1.5281973022461016E-3"/>
    <n v="3.0428073989747902E-2"/>
    <n v="-1.34280739897479E-2"/>
  </r>
  <r>
    <n v="1.4999999999999999E-2"/>
    <n v="1.4999999999999999E-2"/>
    <n v="0"/>
    <n v="0"/>
    <n v="1.3080000000000001"/>
    <n v="1.7370000000000001"/>
    <x v="1"/>
    <x v="16"/>
    <s v="very_low_beta"/>
    <n v="1.4999999999999999E-2"/>
    <n v="1.4999999999999999E-2"/>
    <n v="43"/>
    <n v="5.8197426604865397E-3"/>
    <n v="9.1802573395134597E-3"/>
    <n v="9.1802573395134597E-3"/>
    <n v="1.17280843233109E-2"/>
    <n v="3.2719156766890991E-3"/>
  </r>
  <r>
    <n v="1.6E-2"/>
    <n v="1.6E-2"/>
    <n v="0"/>
    <n v="0"/>
    <n v="1.306"/>
    <n v="1.6240000000000001"/>
    <x v="2"/>
    <x v="3"/>
    <s v="very_low_beta"/>
    <n v="1.6E-2"/>
    <n v="1.6E-2"/>
    <n v="26"/>
    <n v="5.80980753775121E-3"/>
    <n v="1.019019246224879E-2"/>
    <n v="1.019019246224879E-2"/>
    <n v="6.7487803863418997E-3"/>
    <n v="9.2512196136581015E-3"/>
  </r>
  <r>
    <n v="2.3E-2"/>
    <n v="1.7999999999999999E-2"/>
    <n v="0"/>
    <n v="5.000000000000001E-3"/>
    <n v="1.2529999999999999"/>
    <n v="1.833"/>
    <x v="0"/>
    <x v="6"/>
    <s v="low_beta"/>
    <n v="2.3E-2"/>
    <n v="1.7999999999999999E-2"/>
    <n v="80"/>
    <n v="8.6939931193655996E-3"/>
    <n v="1.43060068806344E-2"/>
    <n v="1.43060068806344E-2"/>
    <n v="0"/>
    <n v="2.3E-2"/>
  </r>
  <r>
    <n v="8.0000000000000002E-3"/>
    <n v="8.0000000000000002E-3"/>
    <n v="0"/>
    <n v="0"/>
    <n v="1.2310000000000001"/>
    <n v="0.873"/>
    <x v="0"/>
    <x v="0"/>
    <s v="very_high_beta"/>
    <n v="8.0000000000000002E-3"/>
    <n v="8.0000000000000002E-3"/>
    <n v="80"/>
    <n v="5.4772535189934399E-3"/>
    <n v="2.5227464810065603E-3"/>
    <n v="2.5227464810065603E-3"/>
    <n v="0"/>
    <n v="8.0000000000000002E-3"/>
  </r>
  <r>
    <n v="1.6E-2"/>
    <n v="1.6E-2"/>
    <n v="0"/>
    <n v="0"/>
    <n v="1.228"/>
    <n v="1.2649999999999999"/>
    <x v="2"/>
    <x v="15"/>
    <s v="very_low_beta"/>
    <n v="1.6E-2"/>
    <n v="1.6E-2"/>
    <n v="80"/>
    <n v="5.4626879582518597E-3"/>
    <n v="1.053731204174814E-2"/>
    <n v="1.053731204174814E-2"/>
    <n v="1.1012845909273299E-2"/>
    <n v="4.987154090726701E-3"/>
  </r>
  <r>
    <n v="0"/>
    <n v="0"/>
    <n v="-1.9E-2"/>
    <n v="0"/>
    <n v="1.1910000000000001"/>
    <n v="1.6459999999999999"/>
    <x v="0"/>
    <x v="4"/>
    <s v="low_beta"/>
    <n v="1.9E-2"/>
    <n v="1.9E-2"/>
    <n v="80"/>
    <n v="5.3004663802665598E-3"/>
    <n v="1.369953361973344E-2"/>
    <n v="-5.3004663802665598E-3"/>
    <n v="1.0142589635836001E-2"/>
    <n v="8.8574103641639989E-3"/>
  </r>
  <r>
    <n v="1.2999999999999999E-2"/>
    <n v="2E-3"/>
    <n v="2E-3"/>
    <n v="1.0999999999999999E-2"/>
    <n v="1.1519999999999999"/>
    <n v="1.472"/>
    <x v="1"/>
    <x v="14"/>
    <s v="low_beta"/>
    <n v="1.0999999999999999E-2"/>
    <n v="0"/>
    <n v="80"/>
    <n v="1.3710622167563099E-2"/>
    <n v="-2.7106221675630999E-3"/>
    <n v="-7.1062216756309984E-4"/>
    <n v="2.68385389447422E-2"/>
    <n v="-1.58385389447422E-2"/>
  </r>
  <r>
    <n v="0"/>
    <n v="0"/>
    <n v="-1.2E-2"/>
    <n v="0"/>
    <n v="1.151"/>
    <n v="0.83799999999999997"/>
    <x v="0"/>
    <x v="1"/>
    <s v="neutral_beta"/>
    <n v="1.2E-2"/>
    <n v="1.2E-2"/>
    <n v="80"/>
    <n v="5.1207962235238604E-3"/>
    <n v="6.8792037764761399E-3"/>
    <n v="-5.1207962235238604E-3"/>
    <n v="0"/>
    <n v="1.2E-2"/>
  </r>
  <r>
    <n v="0"/>
    <n v="-1E-3"/>
    <n v="0"/>
    <n v="1E-3"/>
    <n v="1.143"/>
    <n v="0.96599999999999997"/>
    <x v="1"/>
    <x v="14"/>
    <s v="low_beta"/>
    <n v="0"/>
    <n v="-1E-3"/>
    <n v="80"/>
    <n v="0"/>
    <n v="0"/>
    <n v="0"/>
    <n v="0"/>
    <n v="0"/>
  </r>
  <r>
    <n v="6.0000000000000001E-3"/>
    <n v="6.0000000000000001E-3"/>
    <n v="6.0000000000000001E-3"/>
    <n v="0"/>
    <n v="1.1279999999999999"/>
    <n v="0.82899999999999996"/>
    <x v="4"/>
    <x v="9"/>
    <s v="neutral_beta"/>
    <n v="0"/>
    <n v="0"/>
    <n v="80"/>
    <n v="0"/>
    <n v="0"/>
    <n v="6.0000000000000001E-3"/>
    <n v="0"/>
    <n v="0"/>
  </r>
  <r>
    <n v="0"/>
    <n v="-3.0000000000000001E-3"/>
    <n v="0"/>
    <n v="3.0000000000000001E-3"/>
    <n v="1.111"/>
    <n v="1.268"/>
    <x v="0"/>
    <x v="0"/>
    <s v="neutral_beta"/>
    <n v="0"/>
    <n v="-3.0000000000000001E-3"/>
    <n v="80"/>
    <n v="0"/>
    <n v="0"/>
    <n v="0"/>
    <n v="0"/>
    <n v="0"/>
  </r>
  <r>
    <n v="0"/>
    <n v="0"/>
    <n v="0"/>
    <n v="0"/>
    <n v="1.097"/>
    <n v="0.749"/>
    <x v="1"/>
    <x v="14"/>
    <s v="very_high_beta"/>
    <n v="0"/>
    <n v="0"/>
    <n v="80"/>
    <n v="0"/>
    <n v="0"/>
    <n v="0"/>
    <n v="0"/>
    <n v="0"/>
  </r>
  <r>
    <n v="0"/>
    <n v="-4.0000000000000001E-3"/>
    <n v="0"/>
    <n v="4.0000000000000001E-3"/>
    <n v="1.093"/>
    <n v="1.3560000000000001"/>
    <x v="3"/>
    <x v="7"/>
    <s v="neutral_beta"/>
    <n v="0"/>
    <n v="-4.0000000000000001E-3"/>
    <n v="80"/>
    <n v="0"/>
    <n v="0"/>
    <n v="0"/>
    <n v="0"/>
    <n v="0"/>
  </r>
  <r>
    <n v="7.4999999999999997E-3"/>
    <n v="-1.3500000000000002E-2"/>
    <n v="7.4999999999999997E-3"/>
    <n v="2.1000000000000001E-2"/>
    <n v="1.08"/>
    <n v="2.1720000000000002"/>
    <x v="1"/>
    <x v="14"/>
    <s v="low_beta"/>
    <n v="0"/>
    <n v="-2.1000000000000001E-2"/>
    <n v="57"/>
    <n v="0"/>
    <n v="0"/>
    <n v="7.4999999999999997E-3"/>
    <n v="3.0086111368922201E-2"/>
    <n v="-3.0086111368922201E-2"/>
  </r>
  <r>
    <n v="0"/>
    <n v="-4.0000000000000001E-3"/>
    <n v="0"/>
    <n v="4.0000000000000001E-3"/>
    <n v="1.08"/>
    <n v="0.93200000000000005"/>
    <x v="1"/>
    <x v="14"/>
    <s v="high_beta"/>
    <n v="0"/>
    <n v="-4.0000000000000001E-3"/>
    <n v="80"/>
    <n v="0"/>
    <n v="0"/>
    <n v="0"/>
    <n v="0"/>
    <n v="0"/>
  </r>
  <r>
    <n v="0"/>
    <n v="-2E-3"/>
    <n v="0"/>
    <n v="2E-3"/>
    <n v="1.0720000000000001"/>
    <n v="0.80300000000000005"/>
    <x v="0"/>
    <x v="5"/>
    <s v="high_beta"/>
    <n v="0"/>
    <n v="-2E-3"/>
    <n v="80"/>
    <n v="0"/>
    <n v="0"/>
    <n v="0"/>
    <n v="0"/>
    <n v="0"/>
  </r>
  <r>
    <n v="0"/>
    <n v="-2.8000000000000001E-2"/>
    <n v="0"/>
    <n v="2.8000000000000001E-2"/>
    <n v="1.052"/>
    <n v="2.254"/>
    <x v="2"/>
    <x v="2"/>
    <s v="high_beta"/>
    <n v="0"/>
    <n v="-2.8000000000000001E-2"/>
    <n v="48"/>
    <n v="0"/>
    <n v="0"/>
    <n v="0"/>
    <n v="0"/>
    <n v="0"/>
  </r>
  <r>
    <n v="0"/>
    <n v="-3.0000000000000001E-3"/>
    <n v="0"/>
    <n v="3.0000000000000001E-3"/>
    <n v="1.046"/>
    <n v="0.754"/>
    <x v="0"/>
    <x v="11"/>
    <s v="very_high_beta"/>
    <n v="0"/>
    <n v="-3.0000000000000001E-3"/>
    <n v="80"/>
    <n v="0"/>
    <n v="0"/>
    <n v="0"/>
    <n v="8.0097924246042007E-3"/>
    <n v="-8.0097924246042007E-3"/>
  </r>
  <r>
    <n v="5.0000000000000001E-3"/>
    <n v="5.0000000000000001E-3"/>
    <n v="5.0000000000000001E-3"/>
    <n v="0"/>
    <n v="1.0429999999999999"/>
    <n v="1.431"/>
    <x v="2"/>
    <x v="15"/>
    <s v="low_beta"/>
    <n v="0"/>
    <n v="0"/>
    <n v="80"/>
    <n v="0"/>
    <n v="0"/>
    <n v="5.0000000000000001E-3"/>
    <n v="0"/>
    <n v="0"/>
  </r>
  <r>
    <n v="0"/>
    <n v="-3.0000000000000001E-3"/>
    <n v="0"/>
    <n v="3.0000000000000001E-3"/>
    <n v="1.0409999999999999"/>
    <n v="1.2749999999999999"/>
    <x v="0"/>
    <x v="17"/>
    <s v="neutral_beta"/>
    <n v="0"/>
    <n v="-3.0000000000000001E-3"/>
    <n v="80"/>
    <n v="0"/>
    <n v="0"/>
    <n v="0"/>
    <n v="0"/>
    <n v="0"/>
  </r>
  <r>
    <n v="0"/>
    <n v="-4.0000000000000001E-3"/>
    <n v="0"/>
    <n v="4.0000000000000001E-3"/>
    <n v="1"/>
    <n v="0.85"/>
    <x v="1"/>
    <x v="19"/>
    <s v="low_beta"/>
    <n v="0"/>
    <n v="-4.0000000000000001E-3"/>
    <n v="80"/>
    <n v="0"/>
    <n v="0"/>
    <n v="0"/>
    <n v="0"/>
    <n v="0"/>
  </r>
  <r>
    <n v="0"/>
    <n v="0"/>
    <n v="0"/>
    <n v="0"/>
    <n v="0.98599999999999999"/>
    <n v="1.333"/>
    <x v="2"/>
    <x v="15"/>
    <s v="very_low_beta"/>
    <n v="0"/>
    <n v="0"/>
    <n v="80"/>
    <n v="0"/>
    <n v="0"/>
    <n v="0"/>
    <n v="0"/>
    <n v="0"/>
  </r>
  <r>
    <n v="5.0000000000000001E-3"/>
    <n v="5.0000000000000001E-3"/>
    <n v="5.0000000000000001E-3"/>
    <n v="0"/>
    <n v="0.97299999999999998"/>
    <n v="1.3220000000000001"/>
    <x v="2"/>
    <x v="15"/>
    <s v="neutral_beta"/>
    <n v="0"/>
    <n v="0"/>
    <n v="18"/>
    <n v="0"/>
    <n v="0"/>
    <n v="5.0000000000000001E-3"/>
    <n v="1.12206284031049E-2"/>
    <n v="-1.12206284031049E-2"/>
  </r>
  <r>
    <n v="0"/>
    <n v="0"/>
    <n v="0"/>
    <n v="0"/>
    <n v="0.97"/>
    <n v="1.304"/>
    <x v="2"/>
    <x v="15"/>
    <s v="low_beta"/>
    <n v="0"/>
    <n v="0"/>
    <n v="28"/>
    <n v="0"/>
    <n v="0"/>
    <n v="0"/>
    <n v="8.5265240271400894E-3"/>
    <n v="-8.5265240271400894E-3"/>
  </r>
  <r>
    <n v="0"/>
    <n v="-3.0000000000000001E-3"/>
    <n v="0"/>
    <n v="3.0000000000000001E-3"/>
    <n v="0.92800000000000005"/>
    <n v="1.163"/>
    <x v="0"/>
    <x v="0"/>
    <s v="high_beta"/>
    <n v="0"/>
    <n v="-3.0000000000000001E-3"/>
    <n v="80"/>
    <n v="0"/>
    <n v="0"/>
    <n v="0"/>
    <n v="0"/>
    <n v="0"/>
  </r>
  <r>
    <n v="0"/>
    <n v="-2.1999999999999999E-2"/>
    <n v="0"/>
    <n v="2.1999999999999999E-2"/>
    <n v="0.90800000000000003"/>
    <n v="1.768"/>
    <x v="1"/>
    <x v="14"/>
    <s v="very_low_beta"/>
    <n v="0"/>
    <n v="-2.1999999999999999E-2"/>
    <n v="56"/>
    <n v="0"/>
    <n v="0"/>
    <n v="0"/>
    <n v="0"/>
    <n v="0"/>
  </r>
  <r>
    <n v="0"/>
    <n v="0"/>
    <n v="0"/>
    <n v="0"/>
    <n v="0.89200000000000002"/>
    <n v="1.1339999999999999"/>
    <x v="2"/>
    <x v="15"/>
    <s v="high_beta"/>
    <n v="0"/>
    <n v="0"/>
    <n v="5"/>
    <n v="0"/>
    <n v="0"/>
    <n v="0"/>
    <n v="0"/>
    <n v="0"/>
  </r>
  <r>
    <n v="0"/>
    <n v="-2E-3"/>
    <n v="0"/>
    <n v="2E-3"/>
    <n v="0.88500000000000001"/>
    <n v="0.81399999999999995"/>
    <x v="1"/>
    <x v="19"/>
    <s v="very_high_beta"/>
    <n v="0"/>
    <n v="-2E-3"/>
    <n v="80"/>
    <n v="0"/>
    <n v="0"/>
    <n v="0"/>
    <n v="0"/>
    <n v="0"/>
  </r>
  <r>
    <n v="0"/>
    <n v="0"/>
    <n v="0"/>
    <n v="0"/>
    <n v="0.88"/>
    <n v="1.216"/>
    <x v="0"/>
    <x v="4"/>
    <s v="neutral_beta"/>
    <n v="0"/>
    <n v="0"/>
    <n v="27"/>
    <n v="0"/>
    <n v="0"/>
    <n v="0"/>
    <n v="0"/>
    <n v="0"/>
  </r>
  <r>
    <n v="0"/>
    <n v="-1.2999999999999999E-2"/>
    <n v="0"/>
    <n v="1.2999999999999999E-2"/>
    <n v="0.85699999999999998"/>
    <n v="1.6240000000000001"/>
    <x v="2"/>
    <x v="15"/>
    <s v="very_high_beta"/>
    <n v="0"/>
    <n v="-1.2999999999999999E-2"/>
    <n v="80"/>
    <n v="0"/>
    <n v="0"/>
    <n v="0"/>
    <n v="2.84911909638456E-2"/>
    <n v="-2.84911909638456E-2"/>
  </r>
  <r>
    <n v="0"/>
    <n v="0"/>
    <n v="0"/>
    <n v="0"/>
    <n v="0.85"/>
    <n v="0.58799999999999997"/>
    <x v="0"/>
    <x v="5"/>
    <s v="high_beta"/>
    <n v="0"/>
    <n v="0"/>
    <n v="80"/>
    <n v="0"/>
    <n v="0"/>
    <n v="0"/>
    <n v="0"/>
    <n v="0"/>
  </r>
  <r>
    <n v="0"/>
    <n v="-1.2999999999999999E-2"/>
    <n v="0"/>
    <n v="1.2999999999999999E-2"/>
    <n v="0.84799999999999998"/>
    <n v="1.2490000000000001"/>
    <x v="0"/>
    <x v="0"/>
    <s v="very_high_beta"/>
    <n v="0"/>
    <n v="-1.2999999999999999E-2"/>
    <n v="66"/>
    <n v="0"/>
    <n v="0"/>
    <n v="0"/>
    <n v="0"/>
    <n v="0"/>
  </r>
  <r>
    <n v="0"/>
    <n v="-3.0000000000000001E-3"/>
    <n v="0"/>
    <n v="3.0000000000000001E-3"/>
    <n v="0.84499999999999997"/>
    <n v="0.90600000000000003"/>
    <x v="4"/>
    <x v="9"/>
    <s v="low_beta"/>
    <n v="0"/>
    <n v="-3.0000000000000001E-3"/>
    <n v="80"/>
    <n v="0"/>
    <n v="0"/>
    <n v="0"/>
    <n v="0"/>
    <n v="0"/>
  </r>
  <r>
    <n v="0"/>
    <n v="0"/>
    <n v="0"/>
    <n v="0"/>
    <n v="0.84299999999999997"/>
    <n v="1.0760000000000001"/>
    <x v="2"/>
    <x v="15"/>
    <s v="neutral_beta"/>
    <n v="0"/>
    <n v="0"/>
    <n v="51"/>
    <n v="0"/>
    <n v="0"/>
    <n v="0"/>
    <n v="6.6787887965355898E-3"/>
    <n v="-6.6787887965355898E-3"/>
  </r>
  <r>
    <n v="0"/>
    <n v="0"/>
    <n v="0"/>
    <n v="0"/>
    <n v="0.84099999999999997"/>
    <n v="1.1619999999999999"/>
    <x v="0"/>
    <x v="4"/>
    <s v="neutral_beta"/>
    <n v="0"/>
    <n v="0"/>
    <n v="2"/>
    <n v="0"/>
    <n v="0"/>
    <n v="0"/>
    <n v="0"/>
    <n v="0"/>
  </r>
  <r>
    <n v="0"/>
    <n v="0"/>
    <n v="0"/>
    <n v="0"/>
    <n v="0.83599999999999997"/>
    <n v="1.002"/>
    <x v="4"/>
    <x v="9"/>
    <s v="low_beta"/>
    <n v="0"/>
    <n v="0"/>
    <n v="1"/>
    <n v="0"/>
    <n v="0"/>
    <n v="0"/>
    <n v="0"/>
    <n v="0"/>
  </r>
  <r>
    <n v="0"/>
    <n v="-2E-3"/>
    <n v="0"/>
    <n v="2E-3"/>
    <n v="0.83399999999999996"/>
    <n v="0.82099999999999995"/>
    <x v="0"/>
    <x v="4"/>
    <s v="very_low_beta"/>
    <n v="0"/>
    <n v="-2E-3"/>
    <n v="80"/>
    <n v="0"/>
    <n v="0"/>
    <n v="0"/>
    <n v="0"/>
    <n v="0"/>
  </r>
  <r>
    <n v="0"/>
    <n v="-1.4999999999999999E-2"/>
    <n v="0"/>
    <n v="1.4999999999999999E-2"/>
    <n v="0.80600000000000005"/>
    <n v="0.77600000000000002"/>
    <x v="4"/>
    <x v="9"/>
    <s v="neutral_beta"/>
    <n v="0"/>
    <n v="-1.4999999999999999E-2"/>
    <n v="61"/>
    <n v="0"/>
    <n v="0"/>
    <n v="0"/>
    <n v="0"/>
    <n v="0"/>
  </r>
  <r>
    <n v="0"/>
    <n v="-2E-3"/>
    <n v="0"/>
    <n v="2E-3"/>
    <n v="0.80300000000000005"/>
    <n v="1.03"/>
    <x v="1"/>
    <x v="19"/>
    <s v="very_low_beta"/>
    <n v="0"/>
    <n v="-2E-3"/>
    <n v="80"/>
    <n v="0"/>
    <n v="0"/>
    <n v="0"/>
    <n v="0"/>
    <n v="0"/>
  </r>
  <r>
    <n v="0"/>
    <n v="-1.4999999999999999E-2"/>
    <n v="0"/>
    <n v="1.4999999999999999E-2"/>
    <n v="0.8"/>
    <n v="0.85499999999999998"/>
    <x v="0"/>
    <x v="11"/>
    <s v="high_beta"/>
    <n v="0"/>
    <n v="-1.4999999999999999E-2"/>
    <n v="62"/>
    <n v="0"/>
    <n v="0"/>
    <n v="0"/>
    <n v="0"/>
    <n v="0"/>
  </r>
  <r>
    <n v="0"/>
    <n v="-2.9000000000000001E-2"/>
    <n v="0"/>
    <n v="2.9000000000000001E-2"/>
    <n v="0.78600000000000003"/>
    <n v="1.597"/>
    <x v="2"/>
    <x v="15"/>
    <s v="low_beta"/>
    <n v="0"/>
    <n v="-2.9000000000000001E-2"/>
    <n v="46"/>
    <n v="0"/>
    <n v="0"/>
    <n v="0"/>
    <n v="5.7787622874315797E-2"/>
    <n v="-5.7787622874315797E-2"/>
  </r>
  <r>
    <n v="0"/>
    <n v="0"/>
    <n v="0"/>
    <n v="0"/>
    <n v="0.77900000000000003"/>
    <n v="0.873"/>
    <x v="1"/>
    <x v="19"/>
    <s v="low_beta"/>
    <n v="0"/>
    <n v="0"/>
    <n v="10"/>
    <n v="0"/>
    <n v="0"/>
    <n v="0"/>
    <n v="0"/>
    <n v="0"/>
  </r>
  <r>
    <n v="0"/>
    <n v="-0.04"/>
    <n v="0"/>
    <n v="0.04"/>
    <n v="0.76900000000000002"/>
    <n v="1.3939999999999999"/>
    <x v="0"/>
    <x v="6"/>
    <s v="neutral_beta"/>
    <n v="0"/>
    <n v="-0.04"/>
    <n v="38"/>
    <n v="0"/>
    <n v="0"/>
    <n v="0"/>
    <n v="0"/>
    <n v="0"/>
  </r>
  <r>
    <n v="0"/>
    <n v="0"/>
    <n v="0"/>
    <n v="0"/>
    <n v="0.749"/>
    <n v="0.85"/>
    <x v="4"/>
    <x v="9"/>
    <s v="low_beta"/>
    <n v="0"/>
    <n v="0"/>
    <n v="23"/>
    <n v="0"/>
    <n v="0"/>
    <n v="0"/>
    <n v="0"/>
    <n v="0"/>
  </r>
  <r>
    <n v="0"/>
    <n v="0"/>
    <n v="0"/>
    <n v="0"/>
    <n v="0.74199999999999999"/>
    <n v="0.52300000000000002"/>
    <x v="2"/>
    <x v="15"/>
    <s v="low_beta"/>
    <n v="0"/>
    <n v="0"/>
    <n v="80"/>
    <n v="0"/>
    <n v="0"/>
    <n v="0"/>
    <n v="0"/>
    <n v="0"/>
  </r>
  <r>
    <n v="0"/>
    <n v="-8.9999999999999993E-3"/>
    <n v="0"/>
    <n v="8.9999999999999993E-3"/>
    <n v="0.72399999999999998"/>
    <n v="0.93100000000000005"/>
    <x v="3"/>
    <x v="20"/>
    <s v="low_beta"/>
    <n v="0"/>
    <n v="-8.9999999999999993E-3"/>
    <n v="80"/>
    <n v="0"/>
    <n v="0"/>
    <n v="0"/>
    <n v="0"/>
    <n v="0"/>
  </r>
  <r>
    <n v="0"/>
    <n v="0"/>
    <n v="0"/>
    <n v="0"/>
    <n v="0.71499999999999997"/>
    <n v="0.66500000000000004"/>
    <x v="2"/>
    <x v="15"/>
    <s v="high_beta"/>
    <n v="0"/>
    <n v="0"/>
    <n v="16"/>
    <n v="0"/>
    <n v="0"/>
    <n v="0"/>
    <n v="1.0513421618870601E-2"/>
    <n v="-1.0513421618870601E-2"/>
  </r>
  <r>
    <n v="0"/>
    <n v="0"/>
    <n v="0"/>
    <n v="0"/>
    <n v="0.70799999999999996"/>
    <n v="0.97799999999999998"/>
    <x v="0"/>
    <x v="4"/>
    <s v="neutral_beta"/>
    <n v="0"/>
    <n v="0"/>
    <n v="6"/>
    <n v="0"/>
    <n v="0"/>
    <n v="0"/>
    <n v="0"/>
    <n v="0"/>
  </r>
  <r>
    <n v="0"/>
    <n v="-1.4999999999999999E-2"/>
    <n v="0"/>
    <n v="1.4999999999999999E-2"/>
    <n v="0.69899999999999995"/>
    <n v="1.4990000000000001"/>
    <x v="2"/>
    <x v="15"/>
    <s v="low_beta"/>
    <n v="0"/>
    <n v="-1.4999999999999999E-2"/>
    <n v="80"/>
    <n v="0"/>
    <n v="0"/>
    <n v="0"/>
    <n v="0"/>
    <n v="0"/>
  </r>
  <r>
    <n v="0"/>
    <n v="0"/>
    <n v="0"/>
    <n v="0"/>
    <n v="0.69799999999999995"/>
    <n v="0.84899999999999998"/>
    <x v="0"/>
    <x v="4"/>
    <s v="high_beta"/>
    <n v="0"/>
    <n v="0"/>
    <n v="11"/>
    <n v="0"/>
    <n v="0"/>
    <n v="0"/>
    <n v="0"/>
    <n v="0"/>
  </r>
  <r>
    <n v="0"/>
    <n v="-6.0000000000000001E-3"/>
    <n v="0"/>
    <n v="6.0000000000000001E-3"/>
    <n v="0.69699999999999995"/>
    <n v="0.52700000000000002"/>
    <x v="4"/>
    <x v="9"/>
    <s v="very_low_beta"/>
    <n v="0"/>
    <n v="-6.0000000000000001E-3"/>
    <n v="80"/>
    <n v="0"/>
    <n v="0"/>
    <n v="0"/>
    <n v="1.2062368480711299E-2"/>
    <n v="-1.2062368480711299E-2"/>
  </r>
  <r>
    <n v="0"/>
    <n v="-2E-3"/>
    <n v="0"/>
    <n v="2E-3"/>
    <n v="0.69599999999999995"/>
    <n v="0.48399999999999999"/>
    <x v="2"/>
    <x v="3"/>
    <s v="low_beta"/>
    <n v="0"/>
    <n v="-2E-3"/>
    <n v="80"/>
    <n v="0"/>
    <n v="0"/>
    <n v="0"/>
    <n v="0"/>
    <n v="0"/>
  </r>
  <r>
    <n v="0"/>
    <n v="-2.5000000000000001E-2"/>
    <n v="0"/>
    <n v="2.5000000000000001E-2"/>
    <n v="0.68400000000000005"/>
    <n v="1.4650000000000001"/>
    <x v="2"/>
    <x v="15"/>
    <s v="low_beta"/>
    <n v="0"/>
    <n v="-2.5000000000000001E-2"/>
    <n v="52"/>
    <n v="0"/>
    <n v="0"/>
    <n v="0"/>
    <n v="3.8237643673972699E-2"/>
    <n v="-3.8237643673972699E-2"/>
  </r>
  <r>
    <n v="0"/>
    <n v="-4.0000000000000001E-3"/>
    <n v="0"/>
    <n v="4.0000000000000001E-3"/>
    <n v="0.67600000000000005"/>
    <n v="0.53700000000000003"/>
    <x v="0"/>
    <x v="8"/>
    <s v="high_beta"/>
    <n v="0"/>
    <n v="-4.0000000000000001E-3"/>
    <n v="80"/>
    <n v="0"/>
    <n v="0"/>
    <n v="0"/>
    <n v="0"/>
    <n v="0"/>
  </r>
  <r>
    <n v="0"/>
    <n v="0"/>
    <n v="0"/>
    <n v="0"/>
    <n v="0.67400000000000004"/>
    <n v="0.93100000000000005"/>
    <x v="2"/>
    <x v="15"/>
    <s v="low_beta"/>
    <n v="0"/>
    <n v="0"/>
    <n v="40"/>
    <n v="0"/>
    <n v="0"/>
    <n v="0"/>
    <n v="6.5103979915535799E-3"/>
    <n v="-6.5103979915535799E-3"/>
  </r>
  <r>
    <n v="0"/>
    <n v="-1.2999999999999999E-2"/>
    <n v="0"/>
    <n v="1.2999999999999999E-2"/>
    <n v="0.66400000000000003"/>
    <n v="1.1020000000000001"/>
    <x v="1"/>
    <x v="16"/>
    <s v="low_beta"/>
    <n v="0"/>
    <n v="-1.2999999999999999E-2"/>
    <n v="80"/>
    <n v="0"/>
    <n v="0"/>
    <n v="0"/>
    <n v="0"/>
    <n v="0"/>
  </r>
  <r>
    <n v="0"/>
    <n v="0"/>
    <n v="0"/>
    <n v="0"/>
    <n v="0.66300000000000003"/>
    <n v="0.79400000000000004"/>
    <x v="2"/>
    <x v="15"/>
    <s v="low_beta"/>
    <n v="0"/>
    <n v="0"/>
    <n v="41"/>
    <n v="0"/>
    <n v="0"/>
    <n v="0"/>
    <n v="0"/>
    <n v="0"/>
  </r>
  <r>
    <n v="0"/>
    <n v="-7.0000000000000001E-3"/>
    <n v="0"/>
    <n v="7.0000000000000001E-3"/>
    <n v="0.65"/>
    <n v="0.53400000000000003"/>
    <x v="4"/>
    <x v="18"/>
    <s v="very_low_beta"/>
    <n v="0"/>
    <n v="-7.0000000000000001E-3"/>
    <n v="80"/>
    <n v="0"/>
    <n v="0"/>
    <n v="0"/>
    <n v="1.88906835716924E-2"/>
    <n v="-1.88906835716924E-2"/>
  </r>
  <r>
    <n v="0"/>
    <n v="-4.0000000000000001E-3"/>
    <n v="0"/>
    <n v="4.0000000000000001E-3"/>
    <n v="0.63200000000000001"/>
    <n v="0.69899999999999995"/>
    <x v="0"/>
    <x v="8"/>
    <s v="very_low_beta"/>
    <n v="0"/>
    <n v="-4.0000000000000001E-3"/>
    <n v="80"/>
    <n v="0"/>
    <n v="0"/>
    <n v="0"/>
    <n v="0"/>
    <n v="0"/>
  </r>
  <r>
    <n v="0"/>
    <n v="-2E-3"/>
    <n v="0"/>
    <n v="2E-3"/>
    <n v="0.628"/>
    <n v="0.76"/>
    <x v="0"/>
    <x v="6"/>
    <s v="high_beta"/>
    <n v="0"/>
    <n v="-2E-3"/>
    <n v="80"/>
    <n v="0"/>
    <n v="0"/>
    <n v="0"/>
    <n v="0"/>
    <n v="0"/>
  </r>
  <r>
    <n v="0"/>
    <n v="-2.5000000000000001E-2"/>
    <n v="0"/>
    <n v="2.5000000000000001E-2"/>
    <n v="0.627"/>
    <n v="0.80400000000000005"/>
    <x v="4"/>
    <x v="12"/>
    <s v="very_low_beta"/>
    <n v="0"/>
    <n v="-2.5000000000000001E-2"/>
    <n v="53"/>
    <n v="0"/>
    <n v="0"/>
    <n v="0"/>
    <n v="0"/>
    <n v="0"/>
  </r>
  <r>
    <n v="0"/>
    <n v="0"/>
    <n v="0"/>
    <n v="0"/>
    <n v="0.626"/>
    <n v="0.61899999999999999"/>
    <x v="3"/>
    <x v="7"/>
    <s v="very_low_beta"/>
    <n v="0"/>
    <n v="0"/>
    <n v="12"/>
    <n v="0"/>
    <n v="0"/>
    <n v="0"/>
    <n v="0"/>
    <n v="0"/>
  </r>
  <r>
    <n v="0"/>
    <n v="0"/>
    <n v="0"/>
    <n v="0"/>
    <n v="0.61899999999999999"/>
    <n v="0.83599999999999997"/>
    <x v="2"/>
    <x v="15"/>
    <s v="high_beta"/>
    <n v="0"/>
    <n v="0"/>
    <n v="80"/>
    <n v="0"/>
    <n v="0"/>
    <n v="0"/>
    <n v="7.8629976633791503E-3"/>
    <n v="-7.8629976633791503E-3"/>
  </r>
  <r>
    <n v="0"/>
    <n v="-2E-3"/>
    <n v="0"/>
    <n v="2E-3"/>
    <n v="0.61899999999999999"/>
    <n v="0.435"/>
    <x v="3"/>
    <x v="7"/>
    <s v="very_high_beta"/>
    <n v="0"/>
    <n v="-2E-3"/>
    <n v="80"/>
    <n v="0"/>
    <n v="0"/>
    <n v="0"/>
    <n v="0"/>
    <n v="0"/>
  </r>
  <r>
    <n v="0"/>
    <n v="-6.0000000000000001E-3"/>
    <n v="0"/>
    <n v="6.0000000000000001E-3"/>
    <n v="0.61799999999999999"/>
    <n v="0.52800000000000002"/>
    <x v="0"/>
    <x v="6"/>
    <s v="low_beta"/>
    <n v="0"/>
    <n v="-6.0000000000000001E-3"/>
    <n v="77"/>
    <n v="0"/>
    <n v="0"/>
    <n v="0"/>
    <n v="0"/>
    <n v="0"/>
  </r>
  <r>
    <n v="0"/>
    <n v="0"/>
    <n v="0"/>
    <n v="0"/>
    <n v="0.61699999999999999"/>
    <n v="0.77300000000000002"/>
    <x v="4"/>
    <x v="9"/>
    <s v="low_beta"/>
    <n v="0"/>
    <n v="0"/>
    <n v="80"/>
    <n v="0"/>
    <n v="0"/>
    <n v="0"/>
    <n v="0"/>
    <n v="0"/>
  </r>
  <r>
    <n v="0"/>
    <n v="0"/>
    <n v="0"/>
    <n v="0"/>
    <n v="0.61699999999999999"/>
    <n v="0.78500000000000003"/>
    <x v="4"/>
    <x v="9"/>
    <s v="low_beta"/>
    <n v="0"/>
    <n v="0"/>
    <n v="80"/>
    <n v="0"/>
    <n v="0"/>
    <n v="0"/>
    <n v="0"/>
    <n v="0"/>
  </r>
  <r>
    <n v="0"/>
    <n v="-1.0999999999999999E-2"/>
    <n v="0"/>
    <n v="1.0999999999999999E-2"/>
    <n v="0.61699999999999999"/>
    <n v="1.1339999999999999"/>
    <x v="4"/>
    <x v="18"/>
    <s v="very_low_beta"/>
    <n v="0"/>
    <n v="-1.0999999999999999E-2"/>
    <n v="68"/>
    <n v="0"/>
    <n v="0"/>
    <n v="0"/>
    <n v="0"/>
    <n v="0"/>
  </r>
  <r>
    <n v="0"/>
    <n v="0"/>
    <n v="0"/>
    <n v="0"/>
    <n v="0.61599999999999999"/>
    <n v="0.76200000000000001"/>
    <x v="0"/>
    <x v="4"/>
    <s v="neutral_beta"/>
    <n v="0"/>
    <n v="0"/>
    <n v="80"/>
    <n v="0"/>
    <n v="0"/>
    <n v="0"/>
    <n v="0"/>
    <n v="0"/>
  </r>
  <r>
    <n v="0"/>
    <n v="-3.0000000000000001E-3"/>
    <n v="0"/>
    <n v="3.0000000000000001E-3"/>
    <n v="0.61099999999999999"/>
    <n v="0.50700000000000001"/>
    <x v="3"/>
    <x v="7"/>
    <s v="very_high_beta"/>
    <n v="0"/>
    <n v="-3.0000000000000001E-3"/>
    <n v="80"/>
    <n v="0"/>
    <n v="0"/>
    <n v="0"/>
    <n v="0"/>
    <n v="0"/>
  </r>
  <r>
    <n v="0"/>
    <n v="0"/>
    <n v="0"/>
    <n v="0"/>
    <n v="0.60799999999999998"/>
    <n v="0.72199999999999998"/>
    <x v="0"/>
    <x v="4"/>
    <s v="neutral_beta"/>
    <n v="0"/>
    <n v="0"/>
    <n v="80"/>
    <n v="0"/>
    <n v="0"/>
    <n v="0"/>
    <n v="0"/>
    <n v="0"/>
  </r>
  <r>
    <n v="0"/>
    <n v="-5.0000000000000001E-3"/>
    <n v="0"/>
    <n v="5.0000000000000001E-3"/>
    <n v="0.60699999999999998"/>
    <n v="0.73399999999999999"/>
    <x v="3"/>
    <x v="10"/>
    <s v="very_high_beta"/>
    <n v="0"/>
    <n v="-5.0000000000000001E-3"/>
    <n v="80"/>
    <n v="0"/>
    <n v="0"/>
    <n v="0"/>
    <n v="0"/>
    <n v="0"/>
  </r>
  <r>
    <n v="0"/>
    <n v="-2E-3"/>
    <n v="0"/>
    <n v="2E-3"/>
    <n v="0.60299999999999998"/>
    <n v="0.439"/>
    <x v="1"/>
    <x v="14"/>
    <s v="very_high_beta"/>
    <n v="0"/>
    <n v="-2E-3"/>
    <n v="80"/>
    <n v="0"/>
    <n v="0"/>
    <n v="0"/>
    <n v="0"/>
    <n v="0"/>
  </r>
  <r>
    <n v="0"/>
    <n v="0"/>
    <n v="0"/>
    <n v="0"/>
    <n v="0.59299999999999997"/>
    <n v="0.74"/>
    <x v="4"/>
    <x v="9"/>
    <s v="low_beta"/>
    <n v="0"/>
    <n v="0"/>
    <n v="37"/>
    <n v="0"/>
    <n v="0"/>
    <n v="0"/>
    <n v="0"/>
    <n v="0"/>
  </r>
  <r>
    <n v="0"/>
    <n v="0"/>
    <n v="0"/>
    <n v="0"/>
    <n v="0.59099999999999997"/>
    <n v="0.78100000000000003"/>
    <x v="2"/>
    <x v="17"/>
    <s v="high_beta"/>
    <n v="0"/>
    <n v="0"/>
    <n v="35"/>
    <n v="0"/>
    <n v="0"/>
    <n v="0"/>
    <n v="0"/>
    <n v="0"/>
  </r>
  <r>
    <n v="0"/>
    <n v="-4.0000000000000001E-3"/>
    <n v="0"/>
    <n v="4.0000000000000001E-3"/>
    <n v="0.59099999999999997"/>
    <n v="0.57599999999999996"/>
    <x v="3"/>
    <x v="7"/>
    <s v="high_beta"/>
    <n v="0"/>
    <n v="-4.0000000000000001E-3"/>
    <n v="80"/>
    <n v="0"/>
    <n v="0"/>
    <n v="0"/>
    <n v="0"/>
    <n v="0"/>
  </r>
  <r>
    <n v="0"/>
    <n v="0"/>
    <n v="0"/>
    <n v="0"/>
    <n v="0.58599999999999997"/>
    <n v="0.81"/>
    <x v="2"/>
    <x v="15"/>
    <s v="neutral_beta"/>
    <n v="0"/>
    <n v="0"/>
    <n v="34"/>
    <n v="0"/>
    <n v="0"/>
    <n v="0"/>
    <n v="0"/>
    <n v="0"/>
  </r>
  <r>
    <n v="0"/>
    <n v="0"/>
    <n v="0"/>
    <n v="0"/>
    <n v="0.58599999999999997"/>
    <n v="0.40899999999999997"/>
    <x v="4"/>
    <x v="18"/>
    <s v="very_low_beta"/>
    <n v="0"/>
    <n v="0"/>
    <n v="39"/>
    <n v="0"/>
    <n v="0"/>
    <n v="0"/>
    <n v="0"/>
    <n v="0"/>
  </r>
  <r>
    <n v="0"/>
    <n v="0"/>
    <n v="0"/>
    <n v="0"/>
    <n v="0.58299999999999996"/>
    <n v="0.754"/>
    <x v="0"/>
    <x v="4"/>
    <s v="neutral_beta"/>
    <n v="0"/>
    <n v="0"/>
    <n v="47"/>
    <n v="0"/>
    <n v="0"/>
    <n v="0"/>
    <n v="0"/>
    <n v="0"/>
  </r>
  <r>
    <n v="0"/>
    <n v="0"/>
    <n v="0"/>
    <n v="0"/>
    <n v="0.58199999999999996"/>
    <n v="0.63300000000000001"/>
    <x v="0"/>
    <x v="4"/>
    <s v="neutral_beta"/>
    <n v="0"/>
    <n v="0"/>
    <n v="13"/>
    <n v="0"/>
    <n v="0"/>
    <n v="0"/>
    <n v="0"/>
    <n v="0"/>
  </r>
  <r>
    <n v="0"/>
    <n v="0"/>
    <n v="0"/>
    <n v="0"/>
    <n v="0.58099999999999996"/>
    <n v="0.61499999999999999"/>
    <x v="4"/>
    <x v="9"/>
    <s v="neutral_beta"/>
    <n v="0"/>
    <n v="0"/>
    <n v="55"/>
    <n v="0"/>
    <n v="0"/>
    <n v="0"/>
    <n v="0"/>
    <n v="0"/>
  </r>
  <r>
    <n v="0"/>
    <n v="0"/>
    <n v="0"/>
    <n v="0"/>
    <n v="0.57899999999999996"/>
    <n v="0.496"/>
    <x v="1"/>
    <x v="14"/>
    <s v="neutral_beta"/>
    <n v="0"/>
    <n v="0"/>
    <n v="80"/>
    <n v="0"/>
    <n v="0"/>
    <n v="0"/>
    <n v="0"/>
    <n v="0"/>
  </r>
  <r>
    <n v="0"/>
    <n v="-7.0000000000000001E-3"/>
    <n v="0"/>
    <n v="7.0000000000000001E-3"/>
    <n v="0.57799999999999996"/>
    <n v="0.502"/>
    <x v="0"/>
    <x v="11"/>
    <s v="high_beta"/>
    <n v="0"/>
    <n v="-7.0000000000000001E-3"/>
    <n v="74"/>
    <n v="0"/>
    <n v="0"/>
    <n v="0"/>
    <n v="0"/>
    <n v="0"/>
  </r>
  <r>
    <n v="0"/>
    <n v="0"/>
    <n v="0"/>
    <n v="0"/>
    <n v="0.57599999999999996"/>
    <n v="0.70399999999999996"/>
    <x v="3"/>
    <x v="7"/>
    <s v="very_low_beta"/>
    <n v="0"/>
    <n v="0"/>
    <n v="80"/>
    <n v="0"/>
    <n v="0"/>
    <n v="0"/>
    <n v="0"/>
    <n v="0"/>
  </r>
  <r>
    <n v="0"/>
    <n v="-5.0000000000000001E-3"/>
    <n v="0"/>
    <n v="5.0000000000000001E-3"/>
    <n v="0.57399999999999995"/>
    <n v="0.41499999999999998"/>
    <x v="0"/>
    <x v="13"/>
    <s v="very_high_beta"/>
    <n v="0"/>
    <n v="-5.0000000000000001E-3"/>
    <n v="80"/>
    <n v="0"/>
    <n v="0"/>
    <n v="0"/>
    <n v="0"/>
    <n v="0"/>
  </r>
  <r>
    <n v="0"/>
    <n v="-7.0000000000000001E-3"/>
    <n v="0"/>
    <n v="7.0000000000000001E-3"/>
    <n v="0.57399999999999995"/>
    <n v="0.92900000000000005"/>
    <x v="3"/>
    <x v="7"/>
    <s v="low_beta"/>
    <n v="0"/>
    <n v="-7.0000000000000001E-3"/>
    <n v="80"/>
    <n v="0"/>
    <n v="0"/>
    <n v="0"/>
    <n v="0"/>
    <n v="0"/>
  </r>
  <r>
    <n v="0"/>
    <n v="0"/>
    <n v="0"/>
    <n v="0"/>
    <n v="0.56999999999999995"/>
    <n v="0.71599999999999997"/>
    <x v="2"/>
    <x v="15"/>
    <s v="low_beta"/>
    <n v="0"/>
    <n v="0"/>
    <n v="7"/>
    <n v="0"/>
    <n v="0"/>
    <n v="0"/>
    <n v="0"/>
    <n v="0"/>
  </r>
  <r>
    <n v="0"/>
    <n v="0"/>
    <n v="0"/>
    <n v="0"/>
    <n v="0.56999999999999995"/>
    <n v="0.52700000000000002"/>
    <x v="0"/>
    <x v="17"/>
    <s v="neutral_beta"/>
    <n v="0"/>
    <n v="0"/>
    <n v="30"/>
    <n v="0"/>
    <n v="0"/>
    <n v="0"/>
    <n v="0"/>
    <n v="0"/>
  </r>
  <r>
    <n v="0"/>
    <n v="0"/>
    <n v="0"/>
    <n v="0"/>
    <n v="0.56899999999999995"/>
    <n v="0.58099999999999996"/>
    <x v="4"/>
    <x v="9"/>
    <s v="very_low_beta"/>
    <n v="0"/>
    <n v="0"/>
    <n v="24"/>
    <n v="0"/>
    <n v="0"/>
    <n v="0"/>
    <n v="0"/>
    <n v="0"/>
  </r>
  <r>
    <n v="0"/>
    <n v="0"/>
    <n v="0"/>
    <n v="0"/>
    <n v="0.56799999999999995"/>
    <n v="0.47599999999999998"/>
    <x v="4"/>
    <x v="12"/>
    <s v="very_low_beta"/>
    <n v="0"/>
    <n v="0"/>
    <n v="15"/>
    <n v="0"/>
    <n v="0"/>
    <n v="0"/>
    <n v="0"/>
    <n v="0"/>
  </r>
  <r>
    <n v="0"/>
    <n v="0"/>
    <n v="0"/>
    <n v="0"/>
    <n v="0.56699999999999995"/>
    <n v="0.53600000000000003"/>
    <x v="0"/>
    <x v="1"/>
    <s v="very_high_beta"/>
    <n v="0"/>
    <n v="0"/>
    <n v="80"/>
    <n v="0"/>
    <n v="0"/>
    <n v="0"/>
    <n v="0"/>
    <n v="0"/>
  </r>
  <r>
    <n v="0"/>
    <n v="-1.2E-2"/>
    <n v="0"/>
    <n v="1.2E-2"/>
    <n v="0.56399999999999995"/>
    <n v="0.86599999999999999"/>
    <x v="2"/>
    <x v="15"/>
    <s v="high_beta"/>
    <n v="0"/>
    <n v="-1.2E-2"/>
    <n v="67"/>
    <n v="0"/>
    <n v="0"/>
    <n v="0"/>
    <n v="0"/>
    <n v="0"/>
  </r>
  <r>
    <n v="0"/>
    <n v="0"/>
    <n v="0"/>
    <n v="0"/>
    <n v="0.56299999999999994"/>
    <n v="0.77800000000000002"/>
    <x v="2"/>
    <x v="15"/>
    <s v="high_beta"/>
    <n v="0"/>
    <n v="0"/>
    <n v="17"/>
    <n v="0"/>
    <n v="0"/>
    <n v="0"/>
    <n v="0"/>
    <n v="0"/>
  </r>
  <r>
    <n v="0"/>
    <n v="0"/>
    <n v="0"/>
    <n v="0"/>
    <n v="0.56299999999999994"/>
    <n v="0.55900000000000005"/>
    <x v="2"/>
    <x v="3"/>
    <s v="low_beta"/>
    <n v="0"/>
    <n v="0"/>
    <n v="80"/>
    <n v="0"/>
    <n v="0"/>
    <n v="0"/>
    <n v="0"/>
    <n v="0"/>
  </r>
  <r>
    <n v="0"/>
    <n v="0"/>
    <n v="0"/>
    <n v="0"/>
    <n v="0.56200000000000006"/>
    <n v="0.38400000000000001"/>
    <x v="3"/>
    <x v="20"/>
    <s v="very_high_beta"/>
    <n v="0"/>
    <n v="0"/>
    <n v="80"/>
    <n v="0"/>
    <n v="0"/>
    <n v="0"/>
    <n v="0"/>
    <n v="0"/>
  </r>
  <r>
    <n v="0"/>
    <n v="0"/>
    <n v="0"/>
    <n v="0"/>
    <n v="0.56100000000000005"/>
    <n v="0.58399999999999996"/>
    <x v="0"/>
    <x v="13"/>
    <s v="very_high_beta"/>
    <n v="0"/>
    <n v="0"/>
    <n v="19"/>
    <n v="0"/>
    <n v="0"/>
    <n v="0"/>
    <n v="0"/>
    <n v="0"/>
  </r>
  <r>
    <n v="0"/>
    <n v="-5.0000000000000001E-3"/>
    <n v="0"/>
    <n v="5.0000000000000001E-3"/>
    <n v="0.55900000000000005"/>
    <n v="0.44800000000000001"/>
    <x v="4"/>
    <x v="18"/>
    <s v="low_beta"/>
    <n v="0"/>
    <n v="-5.0000000000000001E-3"/>
    <n v="78"/>
    <n v="0"/>
    <n v="0"/>
    <n v="0"/>
    <n v="0"/>
    <n v="0"/>
  </r>
  <r>
    <n v="0"/>
    <n v="-2.4E-2"/>
    <n v="0"/>
    <n v="2.4E-2"/>
    <n v="0.55800000000000005"/>
    <n v="1.0609999999999999"/>
    <x v="1"/>
    <x v="19"/>
    <s v="high_beta"/>
    <n v="0"/>
    <n v="-2.4E-2"/>
    <n v="54"/>
    <n v="0"/>
    <n v="0"/>
    <n v="0"/>
    <n v="0"/>
    <n v="0"/>
  </r>
  <r>
    <n v="0"/>
    <n v="-7.0000000000000001E-3"/>
    <n v="0"/>
    <n v="7.0000000000000001E-3"/>
    <n v="0.55700000000000005"/>
    <n v="0.67900000000000005"/>
    <x v="2"/>
    <x v="17"/>
    <s v="very_high_beta"/>
    <n v="0"/>
    <n v="-7.0000000000000001E-3"/>
    <n v="80"/>
    <n v="0"/>
    <n v="0"/>
    <n v="0"/>
    <n v="0"/>
    <n v="0"/>
  </r>
  <r>
    <n v="0"/>
    <n v="0"/>
    <n v="0"/>
    <n v="0"/>
    <n v="0.55700000000000005"/>
    <n v="0.47199999999999998"/>
    <x v="4"/>
    <x v="18"/>
    <s v="very_low_beta"/>
    <n v="0"/>
    <n v="0"/>
    <n v="80"/>
    <n v="0"/>
    <n v="0"/>
    <n v="0"/>
    <n v="0"/>
    <n v="0"/>
  </r>
  <r>
    <n v="0"/>
    <n v="-1.7999999999999999E-2"/>
    <n v="0"/>
    <n v="1.7999999999999999E-2"/>
    <n v="0.55500000000000005"/>
    <n v="0.998"/>
    <x v="0"/>
    <x v="0"/>
    <s v="very_high_beta"/>
    <n v="0"/>
    <n v="-1.7999999999999999E-2"/>
    <n v="58"/>
    <n v="0"/>
    <n v="0"/>
    <n v="0"/>
    <n v="0"/>
    <n v="0"/>
  </r>
  <r>
    <n v="0"/>
    <n v="-3.4000000000000002E-2"/>
    <n v="0"/>
    <n v="3.4000000000000002E-2"/>
    <n v="0.55200000000000005"/>
    <n v="0.66700000000000004"/>
    <x v="1"/>
    <x v="19"/>
    <s v="very_high_beta"/>
    <n v="0"/>
    <n v="-3.4000000000000002E-2"/>
    <n v="42"/>
    <n v="0"/>
    <n v="0"/>
    <n v="0"/>
    <n v="0"/>
    <n v="0"/>
  </r>
  <r>
    <n v="0"/>
    <n v="0"/>
    <n v="0"/>
    <n v="0"/>
    <n v="0.55000000000000004"/>
    <n v="0.42899999999999999"/>
    <x v="3"/>
    <x v="7"/>
    <s v="very_low_beta"/>
    <n v="0"/>
    <n v="0"/>
    <n v="80"/>
    <n v="0"/>
    <n v="0"/>
    <n v="0"/>
    <n v="0"/>
    <n v="0"/>
  </r>
  <r>
    <n v="0"/>
    <n v="0"/>
    <n v="0"/>
    <n v="0"/>
    <n v="0.54800000000000004"/>
    <n v="0.39700000000000002"/>
    <x v="0"/>
    <x v="1"/>
    <s v="high_beta"/>
    <n v="0"/>
    <n v="0"/>
    <n v="80"/>
    <n v="0"/>
    <n v="0"/>
    <n v="0"/>
    <n v="0"/>
    <n v="0"/>
  </r>
  <r>
    <n v="0"/>
    <n v="-7.0000000000000001E-3"/>
    <n v="0"/>
    <n v="7.0000000000000001E-3"/>
    <n v="0.54500000000000004"/>
    <n v="0.42"/>
    <x v="0"/>
    <x v="6"/>
    <s v="very_high_beta"/>
    <n v="0"/>
    <n v="-7.0000000000000001E-3"/>
    <n v="76"/>
    <n v="0"/>
    <n v="0"/>
    <n v="0"/>
    <n v="0"/>
    <n v="0"/>
  </r>
  <r>
    <n v="0"/>
    <n v="0"/>
    <n v="0"/>
    <n v="0"/>
    <n v="0.54400000000000004"/>
    <n v="0.42799999999999999"/>
    <x v="1"/>
    <x v="14"/>
    <s v="low_beta"/>
    <n v="0"/>
    <n v="0"/>
    <n v="25"/>
    <n v="0"/>
    <n v="0"/>
    <n v="0"/>
    <n v="0"/>
    <n v="0"/>
  </r>
  <r>
    <n v="0"/>
    <n v="0"/>
    <n v="0"/>
    <n v="0"/>
    <n v="0.54300000000000004"/>
    <n v="0.60899999999999999"/>
    <x v="1"/>
    <x v="14"/>
    <s v="low_beta"/>
    <n v="0"/>
    <n v="0"/>
    <n v="21"/>
    <n v="0"/>
    <n v="0"/>
    <n v="0"/>
    <n v="0"/>
    <n v="0"/>
  </r>
  <r>
    <n v="0"/>
    <n v="0"/>
    <n v="0"/>
    <n v="0"/>
    <n v="0.54"/>
    <n v="0.53900000000000003"/>
    <x v="0"/>
    <x v="0"/>
    <s v="very_high_beta"/>
    <n v="0"/>
    <n v="0"/>
    <n v="80"/>
    <n v="0"/>
    <n v="0"/>
    <n v="0"/>
    <n v="0"/>
    <n v="0"/>
  </r>
  <r>
    <n v="0"/>
    <n v="-5.0000000000000001E-3"/>
    <n v="0"/>
    <n v="5.0000000000000001E-3"/>
    <n v="0.54"/>
    <n v="0.53400000000000003"/>
    <x v="3"/>
    <x v="7"/>
    <s v="high_beta"/>
    <n v="0"/>
    <n v="-5.0000000000000001E-3"/>
    <n v="80"/>
    <n v="0"/>
    <n v="0"/>
    <n v="0"/>
    <n v="0"/>
    <n v="0"/>
  </r>
  <r>
    <n v="0"/>
    <n v="-4.0000000000000001E-3"/>
    <n v="0"/>
    <n v="4.0000000000000001E-3"/>
    <n v="0.53600000000000003"/>
    <n v="0.48899999999999999"/>
    <x v="0"/>
    <x v="5"/>
    <s v="very_high_beta"/>
    <n v="0"/>
    <n v="-4.0000000000000001E-3"/>
    <n v="80"/>
    <n v="0"/>
    <n v="0"/>
    <n v="0"/>
    <n v="0"/>
    <n v="0"/>
  </r>
  <r>
    <n v="0"/>
    <n v="0"/>
    <n v="0"/>
    <n v="0"/>
    <n v="0.53500000000000003"/>
    <n v="0.49299999999999999"/>
    <x v="0"/>
    <x v="13"/>
    <s v="very_high_beta"/>
    <n v="0"/>
    <n v="0"/>
    <n v="80"/>
    <n v="0"/>
    <n v="0"/>
    <n v="0"/>
    <n v="0"/>
    <n v="0"/>
  </r>
  <r>
    <n v="0"/>
    <n v="-5.0000000000000001E-3"/>
    <n v="0"/>
    <n v="5.0000000000000001E-3"/>
    <n v="0.53400000000000003"/>
    <n v="0.40200000000000002"/>
    <x v="0"/>
    <x v="17"/>
    <s v="very_high_beta"/>
    <n v="0"/>
    <n v="-5.0000000000000001E-3"/>
    <n v="79"/>
    <n v="0"/>
    <n v="0"/>
    <n v="0"/>
    <n v="0"/>
    <n v="0"/>
  </r>
  <r>
    <n v="0"/>
    <n v="0"/>
    <n v="0"/>
    <n v="0"/>
    <n v="0.53400000000000003"/>
    <n v="0.36499999999999999"/>
    <x v="2"/>
    <x v="15"/>
    <s v="neutral_beta"/>
    <n v="0"/>
    <n v="0"/>
    <n v="80"/>
    <n v="0"/>
    <n v="0"/>
    <n v="0"/>
    <n v="0"/>
    <n v="0"/>
  </r>
  <r>
    <n v="0"/>
    <n v="-6.0000000000000001E-3"/>
    <n v="0"/>
    <n v="6.0000000000000001E-3"/>
    <n v="0.53400000000000003"/>
    <n v="0.64600000000000002"/>
    <x v="4"/>
    <x v="18"/>
    <s v="very_low_beta"/>
    <n v="0"/>
    <n v="-6.0000000000000001E-3"/>
    <n v="80"/>
    <n v="0"/>
    <n v="0"/>
    <n v="0"/>
    <n v="0"/>
    <n v="0"/>
  </r>
  <r>
    <n v="0"/>
    <n v="-6.0000000000000001E-3"/>
    <n v="0"/>
    <n v="6.0000000000000001E-3"/>
    <n v="0.53300000000000003"/>
    <n v="0.54700000000000004"/>
    <x v="1"/>
    <x v="19"/>
    <s v="very_low_beta"/>
    <n v="0"/>
    <n v="-6.0000000000000001E-3"/>
    <n v="80"/>
    <n v="0"/>
    <n v="0"/>
    <n v="0"/>
    <n v="0"/>
    <n v="0"/>
  </r>
  <r>
    <n v="0"/>
    <n v="-8.0000000000000002E-3"/>
    <n v="0"/>
    <n v="8.0000000000000002E-3"/>
    <n v="0.53200000000000003"/>
    <n v="0.41299999999999998"/>
    <x v="0"/>
    <x v="5"/>
    <s v="high_beta"/>
    <n v="0"/>
    <n v="-8.0000000000000002E-3"/>
    <n v="73"/>
    <n v="0"/>
    <n v="0"/>
    <n v="0"/>
    <n v="0"/>
    <n v="0"/>
  </r>
  <r>
    <n v="0"/>
    <n v="-3.0000000000000001E-3"/>
    <n v="0"/>
    <n v="3.0000000000000001E-3"/>
    <n v="0.53100000000000003"/>
    <n v="0.63300000000000001"/>
    <x v="3"/>
    <x v="7"/>
    <s v="high_beta"/>
    <n v="0"/>
    <n v="-3.0000000000000001E-3"/>
    <n v="80"/>
    <n v="0"/>
    <n v="0"/>
    <n v="0"/>
    <n v="0"/>
    <n v="0"/>
  </r>
  <r>
    <n v="0"/>
    <n v="0"/>
    <n v="0"/>
    <n v="0"/>
    <n v="0.53"/>
    <n v="0.628"/>
    <x v="4"/>
    <x v="18"/>
    <s v="very_low_beta"/>
    <n v="0"/>
    <n v="0"/>
    <n v="80"/>
    <n v="0"/>
    <n v="0"/>
    <n v="0"/>
    <n v="0"/>
    <n v="0"/>
  </r>
  <r>
    <n v="0"/>
    <n v="0"/>
    <n v="0"/>
    <n v="0"/>
    <n v="0.52800000000000002"/>
    <n v="0.36199999999999999"/>
    <x v="0"/>
    <x v="0"/>
    <s v="very_high_beta"/>
    <n v="0"/>
    <n v="0"/>
    <n v="80"/>
    <n v="0"/>
    <n v="0"/>
    <n v="0"/>
    <n v="0"/>
    <n v="0"/>
  </r>
  <r>
    <n v="0"/>
    <n v="-1.2999999999999999E-2"/>
    <n v="0"/>
    <n v="1.2999999999999999E-2"/>
    <n v="0.52300000000000002"/>
    <n v="0.91800000000000004"/>
    <x v="3"/>
    <x v="7"/>
    <s v="neutral_beta"/>
    <n v="0"/>
    <n v="-1.2999999999999999E-2"/>
    <n v="80"/>
    <n v="0"/>
    <n v="0"/>
    <n v="0"/>
    <n v="0"/>
    <n v="0"/>
  </r>
  <r>
    <n v="0"/>
    <n v="-1E-3"/>
    <n v="0"/>
    <n v="1E-3"/>
    <n v="0.52100000000000002"/>
    <n v="0.432"/>
    <x v="4"/>
    <x v="18"/>
    <s v="very_low_beta"/>
    <n v="0"/>
    <n v="-1E-3"/>
    <n v="80"/>
    <n v="0"/>
    <n v="0"/>
    <n v="0"/>
    <n v="0"/>
    <n v="0"/>
  </r>
  <r>
    <n v="0"/>
    <n v="-2E-3"/>
    <n v="0"/>
    <n v="2E-3"/>
    <n v="0.51900000000000002"/>
    <n v="0.35699999999999998"/>
    <x v="1"/>
    <x v="14"/>
    <s v="very_high_beta"/>
    <n v="0"/>
    <n v="-2E-3"/>
    <n v="80"/>
    <n v="0"/>
    <n v="0"/>
    <n v="0"/>
    <n v="0"/>
    <n v="0"/>
  </r>
  <r>
    <n v="0"/>
    <n v="-3.1E-2"/>
    <n v="0"/>
    <n v="3.1E-2"/>
    <n v="0.51900000000000002"/>
    <n v="0.92200000000000004"/>
    <x v="0"/>
    <x v="13"/>
    <s v="neutral_beta"/>
    <n v="0"/>
    <n v="-3.1E-2"/>
    <n v="44"/>
    <n v="0"/>
    <n v="0"/>
    <n v="0"/>
    <n v="0"/>
    <n v="0"/>
  </r>
  <r>
    <n v="0"/>
    <n v="-8.0000000000000002E-3"/>
    <n v="0"/>
    <n v="8.0000000000000002E-3"/>
    <n v="0.51800000000000002"/>
    <n v="0.53"/>
    <x v="0"/>
    <x v="6"/>
    <s v="neutral_beta"/>
    <n v="0"/>
    <n v="-8.0000000000000002E-3"/>
    <n v="72"/>
    <n v="0"/>
    <n v="0"/>
    <n v="0"/>
    <n v="0"/>
    <n v="0"/>
  </r>
  <r>
    <n v="0"/>
    <n v="0"/>
    <n v="0"/>
    <n v="0"/>
    <n v="0.51800000000000002"/>
    <n v="0.41799999999999998"/>
    <x v="0"/>
    <x v="4"/>
    <s v="neutral_beta"/>
    <n v="0"/>
    <n v="0"/>
    <n v="80"/>
    <n v="0"/>
    <n v="0"/>
    <n v="0"/>
    <n v="0"/>
    <n v="0"/>
  </r>
  <r>
    <n v="0"/>
    <n v="-7.0000000000000001E-3"/>
    <n v="0"/>
    <n v="7.0000000000000001E-3"/>
    <n v="0.51600000000000001"/>
    <n v="0.436"/>
    <x v="0"/>
    <x v="0"/>
    <s v="high_beta"/>
    <n v="0"/>
    <n v="-7.0000000000000001E-3"/>
    <n v="75"/>
    <n v="0"/>
    <n v="0"/>
    <n v="0"/>
    <n v="0"/>
    <n v="0"/>
  </r>
  <r>
    <n v="0"/>
    <n v="-5.0000000000000001E-3"/>
    <n v="0"/>
    <n v="5.0000000000000001E-3"/>
    <n v="0.51500000000000001"/>
    <n v="0.47099999999999997"/>
    <x v="0"/>
    <x v="17"/>
    <s v="neutral_beta"/>
    <n v="0"/>
    <n v="-5.0000000000000001E-3"/>
    <n v="80"/>
    <n v="0"/>
    <n v="0"/>
    <n v="0"/>
    <n v="0"/>
    <n v="0"/>
  </r>
  <r>
    <n v="0"/>
    <n v="0"/>
    <n v="0"/>
    <n v="0"/>
    <n v="0.51400000000000001"/>
    <n v="0.44500000000000001"/>
    <x v="0"/>
    <x v="4"/>
    <s v="very_low_beta"/>
    <n v="0"/>
    <n v="0"/>
    <n v="80"/>
    <n v="0"/>
    <n v="0"/>
    <n v="0"/>
    <n v="0"/>
    <n v="0"/>
  </r>
  <r>
    <n v="0"/>
    <n v="-3.1E-2"/>
    <n v="0"/>
    <n v="3.1E-2"/>
    <n v="0.51200000000000001"/>
    <n v="0.60799999999999998"/>
    <x v="0"/>
    <x v="13"/>
    <s v="very_high_beta"/>
    <n v="0"/>
    <n v="-3.1E-2"/>
    <n v="45"/>
    <n v="0"/>
    <n v="0"/>
    <n v="0"/>
    <n v="0"/>
    <n v="0"/>
  </r>
  <r>
    <n v="0"/>
    <n v="-1.4E-2"/>
    <n v="0"/>
    <n v="1.4E-2"/>
    <n v="0.50800000000000001"/>
    <n v="0.46899999999999997"/>
    <x v="4"/>
    <x v="9"/>
    <s v="very_high_beta"/>
    <n v="0"/>
    <n v="-1.4E-2"/>
    <n v="64"/>
    <n v="0"/>
    <n v="0"/>
    <n v="0"/>
    <n v="0"/>
    <n v="0"/>
  </r>
  <r>
    <n v="0"/>
    <n v="-2E-3"/>
    <n v="0"/>
    <n v="2E-3"/>
    <n v="0.50700000000000001"/>
    <n v="0.38200000000000001"/>
    <x v="0"/>
    <x v="0"/>
    <s v="low_beta"/>
    <n v="0"/>
    <n v="-2E-3"/>
    <n v="80"/>
    <n v="0"/>
    <n v="0"/>
    <n v="0"/>
    <n v="0"/>
    <n v="0"/>
  </r>
  <r>
    <n v="0"/>
    <n v="0"/>
    <n v="0"/>
    <n v="0"/>
    <n v="0.50600000000000001"/>
    <n v="0.38700000000000001"/>
    <x v="3"/>
    <x v="7"/>
    <s v="very_high_beta"/>
    <n v="0"/>
    <n v="0"/>
    <n v="14"/>
    <n v="0"/>
    <n v="0"/>
    <n v="0"/>
    <n v="0"/>
    <n v="0"/>
  </r>
  <r>
    <n v="0"/>
    <n v="-0.05"/>
    <n v="0"/>
    <n v="0.05"/>
    <n v="0.505"/>
    <n v="0.88700000000000001"/>
    <x v="0"/>
    <x v="8"/>
    <s v="neutral_beta"/>
    <n v="0"/>
    <n v="-0.05"/>
    <n v="32"/>
    <n v="0"/>
    <n v="0"/>
    <n v="0"/>
    <n v="0"/>
    <n v="0"/>
  </r>
  <r>
    <n v="0"/>
    <n v="0"/>
    <n v="0"/>
    <n v="0"/>
    <n v="0.501"/>
    <n v="0.34200000000000003"/>
    <x v="4"/>
    <x v="9"/>
    <s v="very_high_beta"/>
    <n v="0"/>
    <n v="0"/>
    <n v="80"/>
    <n v="0"/>
    <n v="0"/>
    <n v="0"/>
    <n v="0"/>
    <n v="0"/>
  </r>
  <r>
    <n v="0"/>
    <n v="-4.0000000000000001E-3"/>
    <n v="0"/>
    <n v="4.0000000000000001E-3"/>
    <n v="0.5"/>
    <n v="0.371"/>
    <x v="0"/>
    <x v="13"/>
    <s v="very_high_beta"/>
    <n v="0"/>
    <n v="-4.0000000000000001E-3"/>
    <n v="80"/>
    <n v="0"/>
    <n v="0"/>
    <n v="0"/>
    <n v="0"/>
    <n v="0"/>
  </r>
  <r>
    <n v="0"/>
    <n v="-1.0999999999999999E-2"/>
    <n v="0"/>
    <n v="1.0999999999999999E-2"/>
    <n v="0.499"/>
    <n v="0.36199999999999999"/>
    <x v="1"/>
    <x v="14"/>
    <s v="very_high_beta"/>
    <n v="0"/>
    <n v="-1.0999999999999999E-2"/>
    <n v="69"/>
    <n v="0"/>
    <n v="0"/>
    <n v="0"/>
    <n v="0"/>
    <n v="0"/>
  </r>
  <r>
    <n v="0"/>
    <n v="-1E-3"/>
    <n v="0"/>
    <n v="1E-3"/>
    <n v="0.497"/>
    <n v="0.35399999999999998"/>
    <x v="0"/>
    <x v="5"/>
    <s v="very_high_beta"/>
    <n v="0"/>
    <n v="-1E-3"/>
    <n v="80"/>
    <n v="0"/>
    <n v="0"/>
    <n v="0"/>
    <n v="0"/>
    <n v="0"/>
  </r>
  <r>
    <n v="0"/>
    <n v="0"/>
    <n v="0"/>
    <n v="0"/>
    <n v="0.49199999999999999"/>
    <n v="0.33600000000000002"/>
    <x v="0"/>
    <x v="13"/>
    <s v="high_beta"/>
    <n v="0"/>
    <n v="0"/>
    <n v="80"/>
    <n v="0"/>
    <n v="0"/>
    <n v="0"/>
    <n v="0"/>
    <n v="0"/>
  </r>
  <r>
    <n v="0"/>
    <n v="-1E-3"/>
    <n v="0"/>
    <n v="1E-3"/>
    <n v="0.49199999999999999"/>
    <n v="0.33700000000000002"/>
    <x v="0"/>
    <x v="5"/>
    <s v="very_high_beta"/>
    <n v="0"/>
    <n v="-1E-3"/>
    <n v="80"/>
    <n v="0"/>
    <n v="0"/>
    <n v="0"/>
    <n v="0"/>
    <n v="0"/>
  </r>
  <r>
    <n v="0"/>
    <n v="0"/>
    <n v="0"/>
    <n v="0"/>
    <n v="0.48899999999999999"/>
    <n v="0.51"/>
    <x v="0"/>
    <x v="11"/>
    <s v="neutral_beta"/>
    <n v="0"/>
    <n v="0"/>
    <n v="80"/>
    <n v="0"/>
    <n v="0"/>
    <n v="0"/>
    <n v="0"/>
    <n v="0"/>
  </r>
  <r>
    <n v="0"/>
    <n v="0"/>
    <n v="0"/>
    <n v="0"/>
    <n v="0.48499999999999999"/>
    <n v="0.35299999999999998"/>
    <x v="3"/>
    <x v="10"/>
    <s v="very_low_beta"/>
    <n v="0"/>
    <n v="0"/>
    <n v="80"/>
    <n v="0"/>
    <n v="0"/>
    <n v="0"/>
    <n v="0"/>
    <n v="0"/>
  </r>
  <r>
    <n v="0"/>
    <n v="-2E-3"/>
    <n v="0"/>
    <n v="2E-3"/>
    <n v="0.48199999999999998"/>
    <n v="0.33600000000000002"/>
    <x v="0"/>
    <x v="13"/>
    <s v="high_beta"/>
    <n v="0"/>
    <n v="-2E-3"/>
    <n v="80"/>
    <n v="0"/>
    <n v="0"/>
    <n v="0"/>
    <n v="0"/>
    <n v="0"/>
  </r>
  <r>
    <n v="0"/>
    <n v="-8.9999999999999993E-3"/>
    <n v="0"/>
    <n v="8.9999999999999993E-3"/>
    <n v="0.47799999999999998"/>
    <n v="0.34300000000000003"/>
    <x v="3"/>
    <x v="20"/>
    <s v="very_low_beta"/>
    <n v="0"/>
    <n v="-8.9999999999999993E-3"/>
    <n v="71"/>
    <n v="0"/>
    <n v="0"/>
    <n v="0"/>
    <n v="0"/>
    <n v="0"/>
  </r>
  <r>
    <n v="0"/>
    <n v="0"/>
    <n v="0"/>
    <n v="0"/>
    <n v="0.47699999999999998"/>
    <n v="0.32600000000000001"/>
    <x v="3"/>
    <x v="7"/>
    <s v="very_low_beta"/>
    <n v="0"/>
    <n v="0"/>
    <n v="80"/>
    <n v="0"/>
    <n v="0"/>
    <n v="0"/>
    <n v="0"/>
    <n v="0"/>
  </r>
  <r>
    <n v="0"/>
    <n v="0"/>
    <n v="0"/>
    <n v="0"/>
    <n v="0.47699999999999998"/>
    <n v="0.33100000000000002"/>
    <x v="1"/>
    <x v="19"/>
    <s v="very_high_beta"/>
    <n v="0"/>
    <n v="0"/>
    <n v="80"/>
    <n v="0"/>
    <n v="0"/>
    <n v="0"/>
    <n v="0"/>
    <n v="0"/>
  </r>
  <r>
    <n v="0"/>
    <n v="-1E-3"/>
    <n v="0"/>
    <n v="1E-3"/>
    <n v="0.47699999999999998"/>
    <n v="0.32700000000000001"/>
    <x v="0"/>
    <x v="0"/>
    <s v="low_beta"/>
    <n v="0"/>
    <n v="-1E-3"/>
    <n v="80"/>
    <n v="0"/>
    <n v="0"/>
    <n v="0"/>
    <n v="0"/>
    <n v="0"/>
  </r>
  <r>
    <n v="0"/>
    <n v="-1E-3"/>
    <n v="0"/>
    <n v="1E-3"/>
    <n v="0.47699999999999998"/>
    <n v="0.32900000000000001"/>
    <x v="0"/>
    <x v="8"/>
    <s v="high_beta"/>
    <n v="0"/>
    <n v="-1E-3"/>
    <n v="80"/>
    <n v="0"/>
    <n v="0"/>
    <n v="0"/>
    <n v="0"/>
    <n v="0"/>
  </r>
  <r>
    <n v="0"/>
    <n v="-4.0000000000000001E-3"/>
    <n v="0"/>
    <n v="4.0000000000000001E-3"/>
    <n v="0.47699999999999998"/>
    <n v="0.33100000000000002"/>
    <x v="1"/>
    <x v="14"/>
    <s v="very_high_beta"/>
    <n v="0"/>
    <n v="-4.0000000000000001E-3"/>
    <n v="80"/>
    <n v="0"/>
    <n v="0"/>
    <n v="0"/>
    <n v="0"/>
    <n v="0"/>
  </r>
  <r>
    <n v="0"/>
    <n v="0"/>
    <n v="0"/>
    <n v="0"/>
    <n v="0.47699999999999998"/>
    <n v="0.32600000000000001"/>
    <x v="4"/>
    <x v="9"/>
    <s v="high_beta"/>
    <n v="0"/>
    <n v="0"/>
    <n v="80"/>
    <n v="0"/>
    <n v="0"/>
    <n v="0"/>
    <n v="0"/>
    <n v="0"/>
  </r>
  <r>
    <m/>
    <m/>
    <m/>
    <m/>
    <m/>
    <m/>
    <x v="5"/>
    <x v="21"/>
    <m/>
    <m/>
    <m/>
    <m/>
    <m/>
    <m/>
    <m/>
    <m/>
    <m/>
  </r>
  <r>
    <m/>
    <m/>
    <m/>
    <m/>
    <m/>
    <m/>
    <x v="5"/>
    <x v="21"/>
    <m/>
    <m/>
    <m/>
    <m/>
    <m/>
    <m/>
    <m/>
    <m/>
    <m/>
  </r>
  <r>
    <m/>
    <m/>
    <m/>
    <m/>
    <m/>
    <m/>
    <x v="5"/>
    <x v="2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88855-A4CE-4C79-B840-0B040E8EF90C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48:N279" firstHeaderRow="0" firstDataRow="1" firstDataCol="1"/>
  <pivotFields count="16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7">
        <item x="0"/>
        <item x="4"/>
        <item x="2"/>
        <item x="3"/>
        <item x="1"/>
        <item x="5"/>
        <item t="default"/>
      </items>
    </pivotField>
    <pivotField axis="axisRow" showAll="0">
      <items count="23">
        <item x="6"/>
        <item x="2"/>
        <item x="9"/>
        <item x="10"/>
        <item x="7"/>
        <item x="20"/>
        <item x="5"/>
        <item x="13"/>
        <item x="19"/>
        <item x="12"/>
        <item x="11"/>
        <item x="3"/>
        <item x="16"/>
        <item x="18"/>
        <item x="14"/>
        <item x="4"/>
        <item x="0"/>
        <item x="8"/>
        <item x="1"/>
        <item x="17"/>
        <item x="15"/>
        <item x="21"/>
        <item t="default"/>
      </items>
    </pivotField>
    <pivotField showAll="0"/>
    <pivotField dataField="1" numFmtId="10" showAll="0"/>
    <pivotField dataField="1" numFmtId="10" showAll="0"/>
    <pivotField dataField="1" numFmtId="10" showAll="0"/>
    <pivotField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31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>
      <x v="5"/>
    </i>
    <i r="1"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Ibov" fld="1" baseField="0" baseItem="0" numFmtId="10"/>
    <dataField name="Soma de META" fld="9" baseField="0" baseItem="0" numFmtId="10"/>
    <dataField name="Soma de act_weights" fld="10" baseField="0" baseItem="0" numFmtId="10"/>
    <dataField name="Soma de mandato" fld="11" baseField="0" baseItem="0" numFmtId="10"/>
    <dataField name="Soma de modelo 2.0" fld="14" baseField="0" baseItem="0" numFmtId="10"/>
  </dataFields>
  <conditionalFormats count="3">
    <conditionalFormat priority="14">
      <pivotAreas count="10"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0"/>
            </reference>
            <reference field="7" count="4">
              <x v="16"/>
              <x v="18"/>
              <x v="19"/>
              <x v="20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1"/>
            </reference>
            <reference field="7" count="3">
              <x v="2"/>
              <x v="9"/>
              <x v="13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2"/>
            </reference>
            <reference field="7" count="4">
              <x v="8"/>
              <x v="11"/>
              <x v="12"/>
              <x v="14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3"/>
            </reference>
            <reference field="7" count="3"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4"/>
            </reference>
            <reference field="7" count="9">
              <x v="0"/>
              <x v="1"/>
              <x v="6"/>
              <x v="7"/>
              <x v="10"/>
              <x v="11"/>
              <x v="15"/>
              <x v="17"/>
              <x v="19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836CC-1FC2-4D8F-BFCA-9D9B68AA6563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41:N272" firstHeaderRow="0" firstDataRow="1" firstDataCol="1"/>
  <pivotFields count="17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7">
        <item x="2"/>
        <item x="4"/>
        <item x="1"/>
        <item x="3"/>
        <item x="0"/>
        <item x="5"/>
        <item t="default"/>
      </items>
    </pivotField>
    <pivotField axis="axisRow" showAll="0">
      <items count="23">
        <item x="6"/>
        <item x="4"/>
        <item x="9"/>
        <item x="10"/>
        <item x="7"/>
        <item x="20"/>
        <item x="5"/>
        <item x="13"/>
        <item x="19"/>
        <item x="12"/>
        <item x="11"/>
        <item x="1"/>
        <item x="16"/>
        <item x="18"/>
        <item x="14"/>
        <item x="0"/>
        <item x="2"/>
        <item x="8"/>
        <item x="3"/>
        <item x="17"/>
        <item x="15"/>
        <item x="21"/>
        <item t="default"/>
      </items>
    </pivotField>
    <pivotField showAll="0"/>
    <pivotField dataField="1" numFmtId="10" showAll="0"/>
    <pivotField dataField="1" numFmtId="10" showAll="0"/>
    <pivotField numFmtId="2" showAll="0"/>
    <pivotField dataField="1" numFmtId="10" showAll="0"/>
    <pivotField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31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>
      <x v="5"/>
    </i>
    <i r="1"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Smll" fld="1" baseField="0" baseItem="0" numFmtId="10"/>
    <dataField name="Soma de META" fld="9" baseField="0" baseItem="0" numFmtId="10"/>
    <dataField name="Soma de act_weights" fld="10" baseField="0" baseItem="0" numFmtId="10"/>
    <dataField name="Soma de mandato" fld="12" baseField="0" baseItem="0" numFmtId="10"/>
    <dataField name="Soma de modelo 2.0" fld="15" baseField="0" baseItem="0" numFmtId="10"/>
  </dataFields>
  <conditionalFormats count="2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B9F0F-5591-4CCC-AF99-D2706984F2CF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44:O275" firstHeaderRow="0" firstDataRow="1" firstDataCol="1"/>
  <pivotFields count="17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7">
        <item x="2"/>
        <item x="4"/>
        <item x="0"/>
        <item x="3"/>
        <item x="1"/>
        <item x="5"/>
        <item t="default"/>
      </items>
    </pivotField>
    <pivotField axis="axisRow" showAll="0">
      <items count="23">
        <item x="6"/>
        <item x="1"/>
        <item x="9"/>
        <item x="10"/>
        <item x="7"/>
        <item x="20"/>
        <item x="5"/>
        <item x="13"/>
        <item x="19"/>
        <item x="12"/>
        <item x="11"/>
        <item x="0"/>
        <item x="16"/>
        <item x="18"/>
        <item x="14"/>
        <item x="4"/>
        <item x="2"/>
        <item x="8"/>
        <item x="3"/>
        <item x="17"/>
        <item x="15"/>
        <item x="21"/>
        <item t="default"/>
      </items>
    </pivotField>
    <pivotField showAll="0"/>
    <pivotField dataField="1" numFmtId="164" showAll="0"/>
    <pivotField dataField="1" numFmtId="10" showAll="0"/>
    <pivotField numFmtId="2" showAll="0"/>
    <pivotField dataField="1" numFmtId="10" showAll="0"/>
    <pivotField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31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>
      <x v="5"/>
    </i>
    <i r="1"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LP" fld="1" baseField="0" baseItem="0" numFmtId="10"/>
    <dataField name="Soma de META" fld="9" baseField="0" baseItem="0" numFmtId="164"/>
    <dataField name="Soma de act_weights" fld="10" baseField="0" baseItem="0" numFmtId="10"/>
    <dataField name="Soma de mandato" fld="12" baseField="0" baseItem="0" numFmtId="10"/>
    <dataField name="Soma de modelo 2.0" fld="15" baseField="0" baseItem="0" numFmtId="10"/>
  </dataFields>
  <conditionalFormats count="2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EC32C-7B05-469D-959B-113EEE61E5E9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37:N268" firstHeaderRow="0" firstDataRow="1" firstDataCol="1"/>
  <pivotFields count="16">
    <pivotField dataField="1" numFmtId="10" showAll="0"/>
    <pivotField dataField="1" numFmtId="10" showAll="0"/>
    <pivotField numFmtId="10" showAll="0"/>
    <pivotField numFmtId="10" showAll="0"/>
    <pivotField numFmtId="2"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axis="axisRow" showAll="0">
      <items count="23">
        <item x="6"/>
        <item x="3"/>
        <item x="9"/>
        <item x="10"/>
        <item x="7"/>
        <item x="20"/>
        <item x="4"/>
        <item x="13"/>
        <item x="19"/>
        <item x="12"/>
        <item x="11"/>
        <item x="2"/>
        <item x="16"/>
        <item x="18"/>
        <item x="14"/>
        <item x="0"/>
        <item x="1"/>
        <item x="8"/>
        <item x="5"/>
        <item x="17"/>
        <item x="15"/>
        <item x="21"/>
        <item t="default"/>
      </items>
    </pivotField>
    <pivotField showAll="0"/>
    <pivotField dataField="1" numFmtId="10" showAll="0"/>
    <pivotField dataField="1" numFmtId="10" showAll="0"/>
    <pivotField numFmtId="10" showAll="0"/>
    <pivotField dataField="1" numFmtId="10" showAll="0"/>
    <pivotField numFmtId="10" showAll="0"/>
    <pivotField dataField="1" numFmtId="10" showAll="0"/>
    <pivotField numFmtId="10" showAll="0"/>
  </pivotFields>
  <rowFields count="2">
    <field x="6"/>
    <field x="7"/>
  </rowFields>
  <rowItems count="31">
    <i>
      <x/>
    </i>
    <i r="1">
      <x v="16"/>
    </i>
    <i r="1">
      <x v="18"/>
    </i>
    <i r="1">
      <x v="19"/>
    </i>
    <i r="1">
      <x v="20"/>
    </i>
    <i>
      <x v="1"/>
    </i>
    <i r="1">
      <x v="2"/>
    </i>
    <i r="1">
      <x v="9"/>
    </i>
    <i r="1">
      <x v="13"/>
    </i>
    <i>
      <x v="2"/>
    </i>
    <i r="1">
      <x v="8"/>
    </i>
    <i r="1">
      <x v="11"/>
    </i>
    <i r="1">
      <x v="12"/>
    </i>
    <i r="1">
      <x v="14"/>
    </i>
    <i>
      <x v="3"/>
    </i>
    <i r="1">
      <x v="3"/>
    </i>
    <i r="1">
      <x v="4"/>
    </i>
    <i r="1">
      <x v="5"/>
    </i>
    <i>
      <x v="4"/>
    </i>
    <i r="1">
      <x/>
    </i>
    <i r="1">
      <x v="1"/>
    </i>
    <i r="1">
      <x v="6"/>
    </i>
    <i r="1">
      <x v="7"/>
    </i>
    <i r="1">
      <x v="10"/>
    </i>
    <i r="1">
      <x v="11"/>
    </i>
    <i r="1">
      <x v="15"/>
    </i>
    <i r="1">
      <x v="17"/>
    </i>
    <i r="1">
      <x v="19"/>
    </i>
    <i>
      <x v="5"/>
    </i>
    <i r="1"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MF" fld="0" baseField="0" baseItem="0" numFmtId="10"/>
    <dataField name="Soma de MF - ISEE" fld="1" baseField="0" baseItem="0" numFmtId="10"/>
    <dataField name="Soma de META" fld="9" baseField="0" baseItem="0" numFmtId="10"/>
    <dataField name="Soma de act_weights" fld="10" baseField="0" baseItem="0" numFmtId="10"/>
    <dataField name="Soma de mandato" fld="12" baseField="0" baseItem="0" numFmtId="10"/>
    <dataField name="Soma de modelo 2.0" fld="14" baseField="0" baseItem="0" numFmtId="10"/>
  </dataFields>
  <conditionalFormats count="2">
    <conditionalFormat priority="143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44">
      <pivotAreas count="10"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0"/>
            </reference>
            <reference field="7" count="4">
              <x v="16"/>
              <x v="18"/>
              <x v="19"/>
              <x v="20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1"/>
            </reference>
            <reference field="7" count="3">
              <x v="2"/>
              <x v="9"/>
              <x v="1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2"/>
            </reference>
            <reference field="7" count="4">
              <x v="8"/>
              <x v="11"/>
              <x v="12"/>
              <x v="14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3"/>
            </reference>
            <reference field="7" count="3">
              <x v="3"/>
              <x v="4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6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6" count="1" selected="0">
              <x v="4"/>
            </reference>
            <reference field="7" count="9">
              <x v="0"/>
              <x v="1"/>
              <x v="6"/>
              <x v="7"/>
              <x v="10"/>
              <x v="11"/>
              <x v="15"/>
              <x v="17"/>
              <x v="19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499984740745262"/>
  </sheetPr>
  <dimension ref="A1:BM279"/>
  <sheetViews>
    <sheetView showGridLines="0" zoomScaleNormal="100" workbookViewId="0">
      <pane xSplit="1" ySplit="8" topLeftCell="B64" activePane="bottomRight" state="frozen"/>
      <selection pane="topRight" activeCell="B1" sqref="B1"/>
      <selection pane="bottomLeft" activeCell="A5" sqref="A5"/>
      <selection pane="bottomRight" activeCell="K74" sqref="K74"/>
    </sheetView>
  </sheetViews>
  <sheetFormatPr defaultRowHeight="14.4" x14ac:dyDescent="0.3"/>
  <cols>
    <col min="1" max="4" width="9.44140625" customWidth="1"/>
    <col min="5" max="5" width="14.109375" customWidth="1"/>
    <col min="6" max="6" width="11.77734375" customWidth="1"/>
    <col min="7" max="7" width="12.33203125" customWidth="1"/>
    <col min="8" max="8" width="17.44140625" customWidth="1"/>
    <col min="9" max="9" width="20.109375" customWidth="1"/>
    <col min="10" max="10" width="17.6640625" bestFit="1" customWidth="1"/>
    <col min="11" max="11" width="14.109375" bestFit="1" customWidth="1"/>
    <col min="12" max="12" width="14.6640625" customWidth="1"/>
    <col min="13" max="13" width="14.33203125" customWidth="1"/>
    <col min="14" max="14" width="14.88671875" customWidth="1"/>
    <col min="15" max="15" width="12.21875" customWidth="1"/>
    <col min="16" max="16" width="11.21875" customWidth="1"/>
    <col min="17" max="17" width="13.88671875" customWidth="1"/>
    <col min="18" max="30" width="10.5546875" customWidth="1"/>
    <col min="31" max="31" width="10.5546875" style="10" customWidth="1"/>
    <col min="32" max="35" width="10.5546875" customWidth="1"/>
    <col min="36" max="36" width="10.5546875" style="11" customWidth="1"/>
    <col min="37" max="37" width="15.6640625" customWidth="1"/>
    <col min="38" max="38" width="14.33203125" customWidth="1"/>
    <col min="39" max="39" width="15.6640625" customWidth="1"/>
    <col min="40" max="40" width="12.33203125" customWidth="1"/>
    <col min="41" max="41" width="11.33203125" customWidth="1"/>
    <col min="42" max="42" width="11.77734375" customWidth="1"/>
    <col min="43" max="43" width="16" customWidth="1"/>
    <col min="44" max="44" width="21" customWidth="1"/>
    <col min="45" max="45" width="14.21875" customWidth="1"/>
    <col min="46" max="46" width="14.77734375" customWidth="1"/>
    <col min="47" max="47" width="15.88671875" customWidth="1"/>
    <col min="48" max="48" width="11.44140625" customWidth="1"/>
    <col min="49" max="49" width="10.88671875" customWidth="1"/>
    <col min="50" max="50" width="16.21875" customWidth="1"/>
    <col min="51" max="51" width="18.88671875" customWidth="1"/>
    <col min="52" max="52" width="18" customWidth="1"/>
    <col min="53" max="53" width="16.5546875" customWidth="1"/>
    <col min="54" max="54" width="7.21875" customWidth="1"/>
    <col min="55" max="56" width="16.21875" customWidth="1"/>
    <col min="57" max="57" width="6" customWidth="1"/>
    <col min="58" max="58" width="6.21875" customWidth="1"/>
    <col min="59" max="59" width="5.77734375" customWidth="1"/>
    <col min="60" max="60" width="7.5546875" customWidth="1"/>
    <col min="61" max="61" width="7" customWidth="1"/>
    <col min="62" max="62" width="17.5546875" customWidth="1"/>
    <col min="63" max="63" width="10.77734375" customWidth="1"/>
  </cols>
  <sheetData>
    <row r="1" spans="1:65" x14ac:dyDescent="0.3">
      <c r="B1" s="30">
        <f>COUNTIF(B9:B222,"&gt;0")</f>
        <v>70</v>
      </c>
      <c r="E1" s="30">
        <f>COUNTIF(E9:E222,"&gt;0")</f>
        <v>79</v>
      </c>
      <c r="K1" s="51" t="s">
        <v>320</v>
      </c>
      <c r="L1" s="52" t="s">
        <v>321</v>
      </c>
      <c r="M1" s="52" t="s">
        <v>312</v>
      </c>
      <c r="N1" s="52" t="s">
        <v>313</v>
      </c>
      <c r="O1" s="52" t="s">
        <v>322</v>
      </c>
      <c r="R1" s="105" t="s">
        <v>269</v>
      </c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7"/>
      <c r="AE1" s="113" t="s">
        <v>270</v>
      </c>
      <c r="AF1" s="114"/>
      <c r="AG1" s="114"/>
      <c r="AH1" s="114"/>
      <c r="AI1" s="114"/>
      <c r="AJ1" s="115"/>
      <c r="AK1" s="121" t="s">
        <v>271</v>
      </c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3"/>
    </row>
    <row r="2" spans="1:65" x14ac:dyDescent="0.3">
      <c r="K2" s="28" t="s">
        <v>322</v>
      </c>
      <c r="L2" s="2">
        <f>SQRT(SUMSQ(L9:L222)^2)</f>
        <v>2.7432000000000008E-2</v>
      </c>
      <c r="M2" s="2">
        <f>SQRT(SUMSQ(N9:N222)^2)</f>
        <v>1.151878480022058E-2</v>
      </c>
      <c r="N2" s="2">
        <f>SQRT(SUMSQ(Q9:Q222)^2)</f>
        <v>1.9144169186099663E-2</v>
      </c>
      <c r="O2" s="2"/>
      <c r="R2" s="108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9"/>
      <c r="AE2" s="116"/>
      <c r="AF2" s="103"/>
      <c r="AG2" s="103"/>
      <c r="AH2" s="103"/>
      <c r="AI2" s="103"/>
      <c r="AJ2" s="117"/>
      <c r="AK2" s="12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25"/>
    </row>
    <row r="3" spans="1:65" ht="15" thickBot="1" x14ac:dyDescent="0.35">
      <c r="E3" s="30" t="s">
        <v>331</v>
      </c>
      <c r="F3" s="5">
        <f>SUMPRODUCT($D$9:$D$222,F9:F222)</f>
        <v>3.8040000000000011E-2</v>
      </c>
      <c r="K3" s="28" t="s">
        <v>325</v>
      </c>
      <c r="L3" s="2">
        <f>SQRT(SUMSQ(C9:C222)^2)</f>
        <v>2.6710250000000019E-2</v>
      </c>
      <c r="M3" s="2">
        <f>SQRT(SUMSQ(O9:O222)^2)</f>
        <v>7.6465339786781971E-3</v>
      </c>
      <c r="O3" s="2">
        <f>SQRT(SUMSQ(D9:D222)^2)</f>
        <v>2.2032500000000008E-3</v>
      </c>
      <c r="R3" s="110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2"/>
      <c r="AE3" s="118"/>
      <c r="AF3" s="119"/>
      <c r="AG3" s="119"/>
      <c r="AH3" s="119"/>
      <c r="AI3" s="119"/>
      <c r="AJ3" s="120"/>
      <c r="AK3" s="126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8"/>
    </row>
    <row r="4" spans="1:65" x14ac:dyDescent="0.3">
      <c r="E4" s="32" t="s">
        <v>317</v>
      </c>
      <c r="F4" s="5">
        <f>SUMPRODUCT($Q$9:$Q$222,F9:F222)</f>
        <v>3.124215980209778E-3</v>
      </c>
      <c r="K4" s="28"/>
      <c r="L4" s="2"/>
      <c r="M4" s="2"/>
      <c r="O4" s="2"/>
      <c r="Q4" s="30" t="s">
        <v>331</v>
      </c>
      <c r="R4" s="31">
        <f>SUMPRODUCT($D$9:$D$222,R9:R222)</f>
        <v>-9.2859999999999956E-3</v>
      </c>
      <c r="S4" s="31">
        <f t="shared" ref="S4:BK4" si="0">SUMPRODUCT($D$9:$D$222,S9:S222)</f>
        <v>1.8319500000000002E-2</v>
      </c>
      <c r="T4" s="31">
        <f t="shared" si="0"/>
        <v>-3.1299999999999994E-2</v>
      </c>
      <c r="U4" s="31">
        <f t="shared" si="0"/>
        <v>1.1374500000000006E-2</v>
      </c>
      <c r="V4" s="31">
        <f t="shared" si="0"/>
        <v>1.1465000000000008E-3</v>
      </c>
      <c r="W4" s="31">
        <f t="shared" si="0"/>
        <v>2.3050000000000001E-2</v>
      </c>
      <c r="X4" s="31">
        <f t="shared" si="0"/>
        <v>2.5756000000000008E-2</v>
      </c>
      <c r="Y4" s="31">
        <f t="shared" si="0"/>
        <v>4.4946500000000007E-2</v>
      </c>
      <c r="Z4" s="31">
        <f t="shared" si="0"/>
        <v>2.0990499999999985E-2</v>
      </c>
      <c r="AA4" s="31">
        <f t="shared" si="0"/>
        <v>2.1027000000000001E-2</v>
      </c>
      <c r="AB4" s="31">
        <f t="shared" si="0"/>
        <v>-9.1425000000000013E-3</v>
      </c>
      <c r="AC4" s="31">
        <f t="shared" si="0"/>
        <v>-5.6029999999999951E-3</v>
      </c>
      <c r="AD4" s="31">
        <f t="shared" si="0"/>
        <v>6.235000000000007E-3</v>
      </c>
      <c r="AE4" s="31">
        <f t="shared" si="0"/>
        <v>-7.9374999999999966E-3</v>
      </c>
      <c r="AF4" s="31">
        <f t="shared" si="0"/>
        <v>-4.5400500000000003E-2</v>
      </c>
      <c r="AG4" s="31">
        <f t="shared" si="0"/>
        <v>3.9115499999999997E-2</v>
      </c>
      <c r="AH4" s="31">
        <f t="shared" si="0"/>
        <v>-2.3890500000000002E-2</v>
      </c>
      <c r="AI4" s="31">
        <f t="shared" si="0"/>
        <v>5.6580000000000007E-3</v>
      </c>
      <c r="AJ4" s="31">
        <f t="shared" si="0"/>
        <v>-1.9773499999999999E-2</v>
      </c>
      <c r="AK4" s="31">
        <f t="shared" si="0"/>
        <v>-1.6394999999999995E-3</v>
      </c>
      <c r="AL4" s="31">
        <f t="shared" si="0"/>
        <v>2.8910000000000002E-2</v>
      </c>
      <c r="AM4" s="31">
        <f t="shared" si="0"/>
        <v>-1.1625500000000002E-2</v>
      </c>
      <c r="AN4" s="31">
        <f t="shared" si="0"/>
        <v>-3.8255500000000005E-2</v>
      </c>
      <c r="AO4" s="31">
        <f t="shared" si="0"/>
        <v>3.6764499999999992E-2</v>
      </c>
      <c r="AP4" s="31">
        <f t="shared" si="0"/>
        <v>4.6388000000000006E-2</v>
      </c>
      <c r="AQ4" s="31">
        <f t="shared" si="0"/>
        <v>-2.1178999999999996E-2</v>
      </c>
      <c r="AR4" s="31">
        <f t="shared" si="0"/>
        <v>1.5834999999999959E-3</v>
      </c>
      <c r="AS4" s="31">
        <f t="shared" si="0"/>
        <v>1.2636999999999999E-2</v>
      </c>
      <c r="AT4" s="31">
        <f t="shared" si="0"/>
        <v>7.3909999999999991E-3</v>
      </c>
      <c r="AU4" s="31">
        <f t="shared" si="0"/>
        <v>1.4777000000000002E-2</v>
      </c>
      <c r="AV4" s="31">
        <f t="shared" si="0"/>
        <v>3.2110000000000029E-3</v>
      </c>
      <c r="AW4" s="31">
        <f t="shared" si="0"/>
        <v>1.1231999999999995E-2</v>
      </c>
      <c r="AX4" s="31">
        <f t="shared" si="0"/>
        <v>-4.1480000000000015E-3</v>
      </c>
      <c r="AY4" s="31">
        <f t="shared" si="0"/>
        <v>1.7354999999999949E-3</v>
      </c>
      <c r="AZ4" s="31">
        <f t="shared" si="0"/>
        <v>4.971500000000008E-3</v>
      </c>
      <c r="BA4" s="31">
        <f t="shared" si="0"/>
        <v>-1.0329999999999959E-3</v>
      </c>
      <c r="BB4" s="31">
        <f t="shared" si="0"/>
        <v>-3.0000000000000317E-4</v>
      </c>
      <c r="BC4" s="31">
        <f t="shared" si="0"/>
        <v>-6.8890000000000028E-3</v>
      </c>
      <c r="BD4" s="31">
        <f t="shared" si="0"/>
        <v>1.7440499999999991E-2</v>
      </c>
      <c r="BE4" s="31">
        <f t="shared" si="0"/>
        <v>-3.0624499999999999E-2</v>
      </c>
      <c r="BF4" s="31">
        <f t="shared" si="0"/>
        <v>-3.725E-4</v>
      </c>
      <c r="BG4" s="31">
        <f t="shared" si="0"/>
        <v>5.9724999999999986E-3</v>
      </c>
      <c r="BH4" s="31">
        <f t="shared" si="0"/>
        <v>-2.7816999999999998E-2</v>
      </c>
      <c r="BI4" s="31">
        <f t="shared" si="0"/>
        <v>-2.7005999999999995E-2</v>
      </c>
      <c r="BJ4" s="31">
        <f t="shared" si="0"/>
        <v>-4.7071500000000002E-2</v>
      </c>
      <c r="BK4" s="31">
        <f t="shared" si="0"/>
        <v>-1.5050000000000022E-2</v>
      </c>
      <c r="BM4" s="31"/>
    </row>
    <row r="5" spans="1:65" x14ac:dyDescent="0.3">
      <c r="E5" s="32" t="s">
        <v>318</v>
      </c>
      <c r="F5" s="5">
        <f>SUMPRODUCT($N$9:$N$222,F9:F222)</f>
        <v>-0.34741047055758129</v>
      </c>
      <c r="I5" s="61"/>
      <c r="Q5" s="32" t="s">
        <v>317</v>
      </c>
      <c r="R5" s="31">
        <f>SUMPRODUCT($Q$9:$Q$222,R8:R221)</f>
        <v>-4.6471055516157961E-2</v>
      </c>
      <c r="S5" s="31">
        <f t="shared" ref="S5:BK5" si="1">SUMPRODUCT($Q$9:$Q$222,S8:S221)</f>
        <v>-4.0007951502625393E-2</v>
      </c>
      <c r="T5" s="31">
        <f t="shared" si="1"/>
        <v>-1.7175455548896684E-2</v>
      </c>
      <c r="U5" s="31">
        <f t="shared" si="1"/>
        <v>-1.4608024302220354E-2</v>
      </c>
      <c r="V5" s="31">
        <f t="shared" si="1"/>
        <v>-1.2961558096927795E-2</v>
      </c>
      <c r="W5" s="31">
        <f t="shared" si="1"/>
        <v>3.4341668391823111E-4</v>
      </c>
      <c r="X5" s="31">
        <f t="shared" si="1"/>
        <v>1.4721161437061476E-2</v>
      </c>
      <c r="Y5" s="31">
        <f t="shared" si="1"/>
        <v>4.9570181402221969E-2</v>
      </c>
      <c r="Z5" s="31">
        <f t="shared" si="1"/>
        <v>9.462130335233054E-3</v>
      </c>
      <c r="AA5" s="31">
        <f t="shared" si="1"/>
        <v>9.3791516722981048E-3</v>
      </c>
      <c r="AB5" s="31">
        <f t="shared" si="1"/>
        <v>1.3751840009700037E-2</v>
      </c>
      <c r="AC5" s="31">
        <f t="shared" si="1"/>
        <v>2.3037011704836362E-2</v>
      </c>
      <c r="AD5" s="31">
        <f t="shared" si="1"/>
        <v>4.5553687453109889E-3</v>
      </c>
      <c r="AE5" s="33">
        <f t="shared" si="1"/>
        <v>-6.0643755905166311E-2</v>
      </c>
      <c r="AF5" s="34">
        <f t="shared" si="1"/>
        <v>6.0181242972967598E-2</v>
      </c>
      <c r="AG5" s="34">
        <f t="shared" si="1"/>
        <v>2.481004958830799E-2</v>
      </c>
      <c r="AH5" s="34">
        <f t="shared" si="1"/>
        <v>-1.3461113617845116E-2</v>
      </c>
      <c r="AI5" s="34">
        <f t="shared" si="1"/>
        <v>-6.9098134181398332E-2</v>
      </c>
      <c r="AJ5" s="35">
        <f t="shared" si="1"/>
        <v>-4.1192595572168256E-2</v>
      </c>
      <c r="AK5" s="31">
        <f t="shared" si="1"/>
        <v>-2.5179122540475218E-2</v>
      </c>
      <c r="AL5" s="31">
        <f t="shared" si="1"/>
        <v>9.0556452616708472E-2</v>
      </c>
      <c r="AM5" s="31">
        <f t="shared" si="1"/>
        <v>-1.6305391505011285E-2</v>
      </c>
      <c r="AN5" s="31">
        <f t="shared" si="1"/>
        <v>-1.37511668101704E-2</v>
      </c>
      <c r="AO5" s="31">
        <f t="shared" si="1"/>
        <v>1.7720817981549144E-2</v>
      </c>
      <c r="AP5" s="31">
        <f t="shared" si="1"/>
        <v>-9.9583182382487867E-2</v>
      </c>
      <c r="AQ5" s="31">
        <f t="shared" si="1"/>
        <v>2.6993743352906715E-2</v>
      </c>
      <c r="AR5" s="31">
        <f t="shared" si="1"/>
        <v>-4.7130254640667557E-2</v>
      </c>
      <c r="AS5" s="31">
        <f t="shared" si="1"/>
        <v>-4.9865427257460015E-2</v>
      </c>
      <c r="AT5" s="31">
        <f t="shared" si="1"/>
        <v>-3.0083435734478508E-2</v>
      </c>
      <c r="AU5" s="31">
        <f t="shared" si="1"/>
        <v>-4.1593636787544568E-2</v>
      </c>
      <c r="AV5" s="31">
        <f t="shared" si="1"/>
        <v>-6.5809464240286761E-2</v>
      </c>
      <c r="AW5" s="31">
        <f t="shared" si="1"/>
        <v>5.9976635223808694E-2</v>
      </c>
      <c r="AX5" s="31">
        <f t="shared" si="1"/>
        <v>1.7772441987072746E-2</v>
      </c>
      <c r="AY5" s="31">
        <f t="shared" si="1"/>
        <v>1.3248229087175784E-2</v>
      </c>
      <c r="AZ5" s="31">
        <f t="shared" si="1"/>
        <v>1.734645296527388E-2</v>
      </c>
      <c r="BA5" s="31">
        <f t="shared" si="1"/>
        <v>7.8885606007418868E-2</v>
      </c>
      <c r="BB5" s="31">
        <f t="shared" si="1"/>
        <v>-3.9441657975743581E-2</v>
      </c>
      <c r="BC5" s="31">
        <f t="shared" si="1"/>
        <v>-2.231868113453158E-3</v>
      </c>
      <c r="BD5" s="31">
        <f t="shared" si="1"/>
        <v>-7.5027995694397651E-2</v>
      </c>
      <c r="BE5" s="31">
        <f t="shared" si="1"/>
        <v>6.6113264280943357E-2</v>
      </c>
      <c r="BF5" s="31">
        <f t="shared" si="1"/>
        <v>-1.7180062989061344E-3</v>
      </c>
      <c r="BG5" s="31">
        <f t="shared" si="1"/>
        <v>1.2763860764824551E-2</v>
      </c>
      <c r="BH5" s="31">
        <f t="shared" si="1"/>
        <v>-4.6937499015215572E-2</v>
      </c>
      <c r="BI5" s="31">
        <f t="shared" si="1"/>
        <v>-6.5310916772424576E-3</v>
      </c>
      <c r="BJ5" s="31">
        <f t="shared" si="1"/>
        <v>6.7649010650788183E-2</v>
      </c>
      <c r="BK5" s="31">
        <f t="shared" si="1"/>
        <v>-7.2709136911518812E-2</v>
      </c>
      <c r="BM5" s="5">
        <f>SUMPRODUCT($E$9:$E$226,BM9:BM226)</f>
        <v>9.5587825000000057E-2</v>
      </c>
    </row>
    <row r="6" spans="1:65" x14ac:dyDescent="0.3">
      <c r="E6" s="32" t="s">
        <v>319</v>
      </c>
      <c r="F6" s="5">
        <f>SUMPRODUCT($L$9:$L$222,F9:F222)</f>
        <v>0.90631500000000009</v>
      </c>
      <c r="G6" s="5">
        <f>SUMPRODUCT($L$9:$L$222,G9:G222)</f>
        <v>0.45285299999999951</v>
      </c>
      <c r="Q6" s="32" t="s">
        <v>318</v>
      </c>
      <c r="R6" s="31">
        <f>SUMPRODUCT($N$9:$N$222,R9:R222)</f>
        <v>-0.17557388643571684</v>
      </c>
      <c r="S6" s="31">
        <f t="shared" ref="S6:BK6" si="2">SUMPRODUCT($N$9:$N$222,S9:S222)</f>
        <v>-0.18900412141167172</v>
      </c>
      <c r="T6" s="31">
        <f t="shared" si="2"/>
        <v>-0.13280321238509701</v>
      </c>
      <c r="U6" s="31">
        <f t="shared" si="2"/>
        <v>-0.1923417520785411</v>
      </c>
      <c r="V6" s="31">
        <f t="shared" si="2"/>
        <v>-0.18529039901634065</v>
      </c>
      <c r="W6" s="31">
        <f t="shared" si="2"/>
        <v>-0.16435662477261662</v>
      </c>
      <c r="X6" s="31">
        <f t="shared" si="2"/>
        <v>-0.12849360655836806</v>
      </c>
      <c r="Y6" s="31">
        <f t="shared" si="2"/>
        <v>-0.16076573448682827</v>
      </c>
      <c r="Z6" s="31">
        <f t="shared" si="2"/>
        <v>-5.188882500147219E-2</v>
      </c>
      <c r="AA6" s="31">
        <f t="shared" si="2"/>
        <v>-5.198276536384757E-2</v>
      </c>
      <c r="AB6" s="31">
        <f t="shared" si="2"/>
        <v>-1.5898801192721496E-4</v>
      </c>
      <c r="AC6" s="31">
        <f t="shared" si="2"/>
        <v>-7.0516390980005436E-3</v>
      </c>
      <c r="AD6" s="31">
        <f t="shared" si="2"/>
        <v>-4.4278961495227684E-2</v>
      </c>
      <c r="AE6" s="33">
        <f t="shared" si="2"/>
        <v>-0.16621988397808346</v>
      </c>
      <c r="AF6" s="34">
        <f t="shared" si="2"/>
        <v>-6.2952249557092735E-2</v>
      </c>
      <c r="AG6" s="34">
        <f t="shared" si="2"/>
        <v>-0.11273259063269285</v>
      </c>
      <c r="AH6" s="34">
        <f t="shared" si="2"/>
        <v>-8.1086248568946653E-2</v>
      </c>
      <c r="AI6" s="34">
        <f t="shared" si="2"/>
        <v>-0.1058712546869697</v>
      </c>
      <c r="AJ6" s="35">
        <f t="shared" si="2"/>
        <v>-0.11385075399393918</v>
      </c>
      <c r="AK6" s="31">
        <f t="shared" si="2"/>
        <v>-6.8448514398854535E-2</v>
      </c>
      <c r="AL6" s="31">
        <f t="shared" si="2"/>
        <v>-4.2742382272370781E-2</v>
      </c>
      <c r="AM6" s="31">
        <f t="shared" si="2"/>
        <v>-3.8606489194211779E-2</v>
      </c>
      <c r="AN6" s="31">
        <f t="shared" si="2"/>
        <v>-2.9147458285561569E-2</v>
      </c>
      <c r="AO6" s="31">
        <f t="shared" si="2"/>
        <v>-3.0474894743705634E-2</v>
      </c>
      <c r="AP6" s="31">
        <f t="shared" si="2"/>
        <v>-6.7130536166053231E-2</v>
      </c>
      <c r="AQ6" s="31">
        <f t="shared" si="2"/>
        <v>-4.3530117064638843E-2</v>
      </c>
      <c r="AR6" s="31">
        <f t="shared" si="2"/>
        <v>-3.7330332757167066E-3</v>
      </c>
      <c r="AS6" s="31">
        <f t="shared" si="2"/>
        <v>-3.5489511757984496E-2</v>
      </c>
      <c r="AT6" s="31">
        <f t="shared" si="2"/>
        <v>-4.8207368351522367E-2</v>
      </c>
      <c r="AU6" s="31">
        <f t="shared" si="2"/>
        <v>-6.9257862004744764E-2</v>
      </c>
      <c r="AV6" s="31">
        <f t="shared" si="2"/>
        <v>-0.11616955191149966</v>
      </c>
      <c r="AW6" s="31">
        <f t="shared" si="2"/>
        <v>6.3722919214796836E-2</v>
      </c>
      <c r="AX6" s="31">
        <f t="shared" si="2"/>
        <v>-2.2686723409408704E-2</v>
      </c>
      <c r="AY6" s="31">
        <f t="shared" si="2"/>
        <v>1.9692715362386464E-2</v>
      </c>
      <c r="AZ6" s="31">
        <f t="shared" si="2"/>
        <v>-4.4774553110369167E-2</v>
      </c>
      <c r="BA6" s="31">
        <f t="shared" si="2"/>
        <v>-4.4354265485550104E-2</v>
      </c>
      <c r="BB6" s="31">
        <f t="shared" si="2"/>
        <v>-1.735506625364204E-2</v>
      </c>
      <c r="BC6" s="31">
        <f t="shared" si="2"/>
        <v>-4.8963326246095978E-2</v>
      </c>
      <c r="BD6" s="31">
        <f t="shared" si="2"/>
        <v>-7.9165008417545396E-2</v>
      </c>
      <c r="BE6" s="31">
        <f t="shared" si="2"/>
        <v>1.6097448796117506E-2</v>
      </c>
      <c r="BF6" s="31">
        <f t="shared" si="2"/>
        <v>2.3488971246499228E-2</v>
      </c>
      <c r="BG6" s="31">
        <f t="shared" si="2"/>
        <v>4.2838941466370434E-2</v>
      </c>
      <c r="BH6" s="31">
        <f t="shared" si="2"/>
        <v>2.6504035878947223E-2</v>
      </c>
      <c r="BI6" s="31">
        <f t="shared" si="2"/>
        <v>-9.1747651825275466E-3</v>
      </c>
      <c r="BJ6" s="31">
        <f t="shared" si="2"/>
        <v>-1.2362432737118581E-2</v>
      </c>
      <c r="BK6" s="31">
        <f t="shared" si="2"/>
        <v>-8.4940392380369253E-2</v>
      </c>
      <c r="BM6" s="5">
        <f>SUMPRODUCT($M$9:$M$226,BM9:BM226)</f>
        <v>0.21611195872656347</v>
      </c>
    </row>
    <row r="7" spans="1:65" ht="15" thickBot="1" x14ac:dyDescent="0.35">
      <c r="B7" s="96">
        <f>SUM(B9:B222)</f>
        <v>0.9995000000000005</v>
      </c>
      <c r="C7" s="90"/>
      <c r="D7" s="90"/>
      <c r="E7" s="96">
        <f>SUM(E9:E222)</f>
        <v>0.99900000000000055</v>
      </c>
      <c r="F7" s="90"/>
      <c r="G7" s="90"/>
      <c r="H7" s="90"/>
      <c r="I7" s="90"/>
      <c r="J7" s="90"/>
      <c r="K7" s="96">
        <f>SUM(K9:K222)</f>
        <v>1.0010000000000006</v>
      </c>
      <c r="L7" s="90"/>
      <c r="M7" s="96">
        <f>SUM(M9:M222)</f>
        <v>0.99999999999999989</v>
      </c>
      <c r="N7" s="90"/>
      <c r="O7" s="90"/>
      <c r="P7" s="96">
        <f>SUM(P9:P222)</f>
        <v>1</v>
      </c>
      <c r="Q7" s="32" t="s">
        <v>319</v>
      </c>
      <c r="R7" s="5">
        <f>SUMPRODUCT($L$9:$L$226,R9:R226)</f>
        <v>0.59719200000000039</v>
      </c>
      <c r="S7" s="5">
        <f t="shared" ref="S7:BK7" si="3">SUMPRODUCT($L$9:$L$226,S9:S226)</f>
        <v>0.51874300000000007</v>
      </c>
      <c r="T7" s="5">
        <f t="shared" si="3"/>
        <v>0.63412699999999977</v>
      </c>
      <c r="U7" s="5">
        <f t="shared" si="3"/>
        <v>0.53739400000000026</v>
      </c>
      <c r="V7" s="5">
        <f t="shared" si="3"/>
        <v>0.59460299999999999</v>
      </c>
      <c r="W7" s="5">
        <f t="shared" si="3"/>
        <v>0.48373299999999991</v>
      </c>
      <c r="X7" s="5">
        <f t="shared" si="3"/>
        <v>0.3866639999999999</v>
      </c>
      <c r="Y7" s="5">
        <f t="shared" si="3"/>
        <v>0.42503300000000005</v>
      </c>
      <c r="Z7" s="5">
        <f t="shared" si="3"/>
        <v>0.14457400000000009</v>
      </c>
      <c r="AA7" s="5">
        <f t="shared" si="3"/>
        <v>0.143735</v>
      </c>
      <c r="AB7" s="5">
        <f t="shared" si="3"/>
        <v>0.13121200000000016</v>
      </c>
      <c r="AC7" s="5">
        <f t="shared" si="3"/>
        <v>0.10745099999999995</v>
      </c>
      <c r="AD7" s="5">
        <f t="shared" si="3"/>
        <v>0.18907599999999997</v>
      </c>
      <c r="AE7" s="36">
        <f t="shared" si="3"/>
        <v>0.46762799999999993</v>
      </c>
      <c r="AF7" s="37">
        <f t="shared" si="3"/>
        <v>0.46672500000000017</v>
      </c>
      <c r="AG7" s="37">
        <f t="shared" si="3"/>
        <v>0.23252699999999993</v>
      </c>
      <c r="AH7" s="37">
        <f t="shared" si="3"/>
        <v>0.50281100000000001</v>
      </c>
      <c r="AI7" s="37">
        <f t="shared" si="3"/>
        <v>0.53524700000000003</v>
      </c>
      <c r="AJ7" s="38">
        <f t="shared" si="3"/>
        <v>0.54548000000000008</v>
      </c>
      <c r="AK7" s="5">
        <f t="shared" si="3"/>
        <v>0.18461000000000005</v>
      </c>
      <c r="AL7" s="5">
        <f t="shared" si="3"/>
        <v>0.20508499999999999</v>
      </c>
      <c r="AM7" s="5">
        <f t="shared" si="3"/>
        <v>0.14777999999999999</v>
      </c>
      <c r="AN7" s="5">
        <f t="shared" si="3"/>
        <v>0.18352700000000002</v>
      </c>
      <c r="AO7" s="5">
        <f>SUMPRODUCT($L$9:$L$226,AO9:AO226)</f>
        <v>-1.3657000000000028E-2</v>
      </c>
      <c r="AP7" s="5">
        <f t="shared" si="3"/>
        <v>-1.8480000000000028E-2</v>
      </c>
      <c r="AQ7" s="5">
        <f t="shared" si="3"/>
        <v>0.14695900000000001</v>
      </c>
      <c r="AR7" s="5">
        <f t="shared" si="3"/>
        <v>5.7638999999999947E-2</v>
      </c>
      <c r="AS7" s="5">
        <f t="shared" si="3"/>
        <v>-5.4065000000000002E-2</v>
      </c>
      <c r="AT7" s="5">
        <f t="shared" si="3"/>
        <v>0.1122839999999999</v>
      </c>
      <c r="AU7" s="5">
        <f t="shared" si="3"/>
        <v>3.9764999999999995E-2</v>
      </c>
      <c r="AV7" s="5">
        <f t="shared" si="3"/>
        <v>0.225441</v>
      </c>
      <c r="AW7" s="5">
        <f t="shared" si="3"/>
        <v>-3.0860000000000064E-2</v>
      </c>
      <c r="AX7" s="5">
        <f t="shared" si="3"/>
        <v>0.16526400000000005</v>
      </c>
      <c r="AY7" s="5">
        <f t="shared" si="3"/>
        <v>-2.0719999999998916E-3</v>
      </c>
      <c r="AZ7" s="5">
        <f t="shared" si="3"/>
        <v>0.14163200000000006</v>
      </c>
      <c r="BA7" s="5">
        <f t="shared" si="3"/>
        <v>9.2869999999999939E-2</v>
      </c>
      <c r="BB7" s="5">
        <f t="shared" si="3"/>
        <v>2.8096000000000006E-2</v>
      </c>
      <c r="BC7" s="5">
        <f t="shared" si="3"/>
        <v>9.0792999999999999E-2</v>
      </c>
      <c r="BD7" s="5">
        <f t="shared" si="3"/>
        <v>-0.14500399999999999</v>
      </c>
      <c r="BE7" s="5">
        <f t="shared" si="3"/>
        <v>2.3912999999999993E-2</v>
      </c>
      <c r="BF7" s="5">
        <f t="shared" si="3"/>
        <v>2.6466000000000059E-2</v>
      </c>
      <c r="BG7" s="5">
        <f t="shared" si="3"/>
        <v>-3.613400000000011E-2</v>
      </c>
      <c r="BH7" s="5">
        <f t="shared" si="3"/>
        <v>2.4502000000000048E-2</v>
      </c>
      <c r="BI7" s="5">
        <f t="shared" si="3"/>
        <v>5.9744999999999972E-2</v>
      </c>
      <c r="BJ7" s="5">
        <f t="shared" si="3"/>
        <v>0.44989599999999974</v>
      </c>
      <c r="BK7" s="5">
        <f t="shared" si="3"/>
        <v>0.57174299999999989</v>
      </c>
      <c r="BM7" s="5">
        <f>SUMPRODUCT($K$9:$K$226,BM9:BM226)</f>
        <v>0.17681780000000005</v>
      </c>
    </row>
    <row r="8" spans="1:65" x14ac:dyDescent="0.3">
      <c r="A8" s="1" t="s">
        <v>0</v>
      </c>
      <c r="B8" s="55" t="s">
        <v>325</v>
      </c>
      <c r="C8" s="56" t="s">
        <v>326</v>
      </c>
      <c r="D8" s="56" t="s">
        <v>330</v>
      </c>
      <c r="E8" s="57" t="s">
        <v>321</v>
      </c>
      <c r="F8" s="1" t="s">
        <v>1</v>
      </c>
      <c r="G8" s="1" t="s">
        <v>2</v>
      </c>
      <c r="H8" s="18" t="s">
        <v>3</v>
      </c>
      <c r="I8" s="30" t="s">
        <v>305</v>
      </c>
      <c r="J8" s="30" t="s">
        <v>307</v>
      </c>
      <c r="K8" s="91" t="s">
        <v>334</v>
      </c>
      <c r="L8" s="70" t="s">
        <v>5</v>
      </c>
      <c r="M8" s="93" t="s">
        <v>314</v>
      </c>
      <c r="N8" s="60" t="s">
        <v>316</v>
      </c>
      <c r="O8" s="46" t="s">
        <v>329</v>
      </c>
      <c r="P8" s="94" t="s">
        <v>315</v>
      </c>
      <c r="Q8" s="46" t="s">
        <v>317</v>
      </c>
      <c r="R8" s="3" t="s">
        <v>6</v>
      </c>
      <c r="S8" s="3" t="s">
        <v>7</v>
      </c>
      <c r="T8" s="3" t="s">
        <v>8</v>
      </c>
      <c r="U8" s="3" t="s">
        <v>9</v>
      </c>
      <c r="V8" s="3" t="s">
        <v>10</v>
      </c>
      <c r="W8" s="3" t="s">
        <v>11</v>
      </c>
      <c r="X8" s="3" t="s">
        <v>12</v>
      </c>
      <c r="Y8" s="3" t="s">
        <v>13</v>
      </c>
      <c r="Z8" s="3" t="s">
        <v>14</v>
      </c>
      <c r="AA8" s="3" t="s">
        <v>15</v>
      </c>
      <c r="AB8" s="3" t="s">
        <v>16</v>
      </c>
      <c r="AC8" s="3" t="s">
        <v>17</v>
      </c>
      <c r="AD8" s="3" t="s">
        <v>18</v>
      </c>
      <c r="AE8" s="14" t="s">
        <v>19</v>
      </c>
      <c r="AF8" s="15" t="s">
        <v>20</v>
      </c>
      <c r="AG8" s="15" t="s">
        <v>21</v>
      </c>
      <c r="AH8" s="15" t="s">
        <v>22</v>
      </c>
      <c r="AI8" s="15" t="s">
        <v>23</v>
      </c>
      <c r="AJ8" s="16" t="s">
        <v>24</v>
      </c>
      <c r="AK8" s="3" t="s">
        <v>25</v>
      </c>
      <c r="AL8" s="3" t="s">
        <v>26</v>
      </c>
      <c r="AM8" s="3" t="s">
        <v>27</v>
      </c>
      <c r="AN8" s="3" t="s">
        <v>28</v>
      </c>
      <c r="AO8" s="3" t="s">
        <v>29</v>
      </c>
      <c r="AP8" s="3" t="s">
        <v>30</v>
      </c>
      <c r="AQ8" s="3" t="s">
        <v>31</v>
      </c>
      <c r="AR8" s="3" t="s">
        <v>32</v>
      </c>
      <c r="AS8" s="3" t="s">
        <v>33</v>
      </c>
      <c r="AT8" s="3" t="s">
        <v>34</v>
      </c>
      <c r="AU8" s="3" t="s">
        <v>35</v>
      </c>
      <c r="AV8" s="3" t="s">
        <v>36</v>
      </c>
      <c r="AW8" s="3" t="s">
        <v>37</v>
      </c>
      <c r="AX8" s="3" t="s">
        <v>38</v>
      </c>
      <c r="AY8" s="3" t="s">
        <v>39</v>
      </c>
      <c r="AZ8" s="3" t="s">
        <v>40</v>
      </c>
      <c r="BA8" s="3" t="s">
        <v>41</v>
      </c>
      <c r="BB8" s="3" t="s">
        <v>42</v>
      </c>
      <c r="BC8" s="3" t="s">
        <v>43</v>
      </c>
      <c r="BD8" s="3" t="s">
        <v>44</v>
      </c>
      <c r="BE8" s="3" t="s">
        <v>45</v>
      </c>
      <c r="BF8" s="3" t="s">
        <v>46</v>
      </c>
      <c r="BG8" s="3" t="s">
        <v>47</v>
      </c>
      <c r="BH8" s="3" t="s">
        <v>48</v>
      </c>
      <c r="BI8" s="3" t="s">
        <v>49</v>
      </c>
      <c r="BJ8" s="3" t="s">
        <v>50</v>
      </c>
      <c r="BK8" s="3" t="s">
        <v>51</v>
      </c>
      <c r="BM8" s="3" t="s">
        <v>605</v>
      </c>
    </row>
    <row r="9" spans="1:65" x14ac:dyDescent="0.3">
      <c r="A9" t="s">
        <v>87</v>
      </c>
      <c r="B9" s="53">
        <f t="shared" ref="B9:B24" si="4">K9</f>
        <v>0.01</v>
      </c>
      <c r="C9" s="53">
        <f t="shared" ref="C9:C72" si="5">B9-E9</f>
        <v>0.01</v>
      </c>
      <c r="D9" s="53">
        <f t="shared" ref="D9:D72" si="6">B9-K9</f>
        <v>0</v>
      </c>
      <c r="E9" s="53">
        <f t="shared" ref="E9:E72" si="7">K9-L9</f>
        <v>0</v>
      </c>
      <c r="F9" s="15">
        <v>3.6120000000000001</v>
      </c>
      <c r="G9" s="4">
        <v>3.907</v>
      </c>
      <c r="H9" t="s">
        <v>55</v>
      </c>
      <c r="I9" t="str">
        <f>VLOOKUP(A9,Setores!$A$2:$C$215,2,0)</f>
        <v>real_estate</v>
      </c>
      <c r="J9" t="str">
        <f>VLOOKUP(A9,Setores!$A$2:$C$215,3,0)</f>
        <v>neutral_beta</v>
      </c>
      <c r="K9" s="92">
        <v>0.01</v>
      </c>
      <c r="L9" s="42">
        <v>0.01</v>
      </c>
      <c r="M9" s="92">
        <f>VLOOKUP(A9,'Mandato Ibov'!$B$1:$C$215,2,0)</f>
        <v>1.7075746070312099E-2</v>
      </c>
      <c r="N9" s="58">
        <f t="shared" ref="N9:N72" si="8">K9-M9</f>
        <v>-7.075746070312099E-3</v>
      </c>
      <c r="O9" s="42">
        <f t="shared" ref="O9:O72" si="9">B9-M9</f>
        <v>-7.075746070312099E-3</v>
      </c>
      <c r="P9" s="95">
        <f>VLOOKUP(A9,'Mandato Ibov'!$B$2:$D$215,3,0)</f>
        <v>9.4309657753094706E-3</v>
      </c>
      <c r="Q9" s="42">
        <f t="shared" ref="Q9:Q72" si="10">K9-P9</f>
        <v>5.6903422469052958E-4</v>
      </c>
      <c r="R9" s="15">
        <v>0.753</v>
      </c>
      <c r="S9" s="15">
        <v>1</v>
      </c>
      <c r="T9" s="15">
        <v>0.51100000000000001</v>
      </c>
      <c r="U9" s="15">
        <v>0.89600000000000002</v>
      </c>
      <c r="V9" s="15">
        <v>0.88200000000000001</v>
      </c>
      <c r="W9" s="15">
        <v>0.996</v>
      </c>
      <c r="X9" s="15">
        <v>1</v>
      </c>
      <c r="Y9" s="15">
        <v>1</v>
      </c>
      <c r="Z9" s="15">
        <v>0.53500000000000003</v>
      </c>
      <c r="AA9" s="15">
        <v>0.54</v>
      </c>
      <c r="AB9" s="15">
        <v>1</v>
      </c>
      <c r="AC9" s="15">
        <v>0.99099999999999999</v>
      </c>
      <c r="AD9" s="15">
        <v>1</v>
      </c>
      <c r="AE9" s="14">
        <v>1</v>
      </c>
      <c r="AF9" s="15">
        <v>9.1999999999999998E-2</v>
      </c>
      <c r="AG9" s="15">
        <v>0.79700000000000004</v>
      </c>
      <c r="AH9" s="15">
        <v>0.29799999999999999</v>
      </c>
      <c r="AI9" s="15">
        <v>0.91800000000000004</v>
      </c>
      <c r="AJ9" s="16">
        <v>-0.122</v>
      </c>
      <c r="AK9" s="4">
        <v>-0.20399999999999999</v>
      </c>
      <c r="AL9" s="4">
        <v>0.32700000000000001</v>
      </c>
      <c r="AM9" s="4">
        <v>-0.17</v>
      </c>
      <c r="AN9" s="4">
        <v>3.3000000000000002E-2</v>
      </c>
      <c r="AO9" s="4">
        <v>0.439</v>
      </c>
      <c r="AP9" s="4">
        <v>2.3E-2</v>
      </c>
      <c r="AQ9" s="4">
        <v>-7.1999999999999995E-2</v>
      </c>
      <c r="AR9" s="4">
        <v>0.52700000000000002</v>
      </c>
      <c r="AS9" s="4">
        <v>0.52</v>
      </c>
      <c r="AT9" s="4">
        <v>-0.109</v>
      </c>
      <c r="AU9" s="4">
        <v>0.75900000000000001</v>
      </c>
      <c r="AV9" s="4">
        <v>0.41899999999999998</v>
      </c>
      <c r="AW9" s="4">
        <v>0.34399999999999997</v>
      </c>
      <c r="AX9" s="4">
        <v>-0.73499999999999999</v>
      </c>
      <c r="AY9" s="4">
        <v>0.03</v>
      </c>
      <c r="AZ9" s="4">
        <v>-0.26200000000000001</v>
      </c>
      <c r="BA9" s="4">
        <v>-0.245</v>
      </c>
      <c r="BB9" s="4">
        <v>0.13500000000000001</v>
      </c>
      <c r="BC9" s="4">
        <v>0.59299999999999997</v>
      </c>
      <c r="BD9" s="4">
        <v>0.51</v>
      </c>
      <c r="BE9" s="4">
        <v>-0.35099999999999998</v>
      </c>
      <c r="BF9" s="4">
        <v>-0.122</v>
      </c>
      <c r="BG9" s="4">
        <v>0.72799999999999998</v>
      </c>
      <c r="BH9" s="4">
        <v>-0.41599999999999998</v>
      </c>
      <c r="BI9" s="4">
        <v>0.223</v>
      </c>
      <c r="BJ9" s="4">
        <v>0.36899999999999999</v>
      </c>
      <c r="BK9" s="4">
        <v>0.29699999999999999</v>
      </c>
      <c r="BM9" s="4">
        <f>10%*AK9+5%*AL9+2.5%*AM9+2.5%*AN9+10%*AO9+10%*AP9+10%*AQ9+5%*AR9+5%*AS9+10%*AT9+5%*AU9+5%*AY9+10%*AV9+10%*AW9</f>
        <v>0.18872500000000003</v>
      </c>
    </row>
    <row r="10" spans="1:65" x14ac:dyDescent="0.3">
      <c r="A10" t="s">
        <v>54</v>
      </c>
      <c r="B10" s="53">
        <f t="shared" si="4"/>
        <v>1.0999999999999999E-2</v>
      </c>
      <c r="C10" s="53">
        <f t="shared" si="5"/>
        <v>1.0999999999999999E-2</v>
      </c>
      <c r="D10" s="53">
        <f t="shared" si="6"/>
        <v>0</v>
      </c>
      <c r="E10" s="53">
        <f t="shared" si="7"/>
        <v>0</v>
      </c>
      <c r="F10" s="15">
        <v>3.6120000000000001</v>
      </c>
      <c r="G10" s="4">
        <v>3.66</v>
      </c>
      <c r="H10" t="s">
        <v>55</v>
      </c>
      <c r="I10" t="str">
        <f>VLOOKUP(A10,Setores!$A$2:$C$215,2,0)</f>
        <v>telecom</v>
      </c>
      <c r="J10" t="str">
        <f>VLOOKUP(A10,Setores!$A$2:$C$215,3,0)</f>
        <v>low_beta</v>
      </c>
      <c r="K10" s="92">
        <v>1.0999999999999999E-2</v>
      </c>
      <c r="L10" s="42">
        <v>1.0999999999999999E-2</v>
      </c>
      <c r="M10" s="92">
        <f>VLOOKUP(A10,'Mandato Ibov'!$B$1:$C$215,2,0)</f>
        <v>1.7075746070312099E-2</v>
      </c>
      <c r="N10" s="58">
        <f t="shared" si="8"/>
        <v>-6.0757460703120998E-3</v>
      </c>
      <c r="O10" s="42">
        <f t="shared" si="9"/>
        <v>-6.0757460703120998E-3</v>
      </c>
      <c r="P10" s="95">
        <f>VLOOKUP(A10,'Mandato Ibov'!$B$2:$D$215,3,0)</f>
        <v>1.33335221956458E-2</v>
      </c>
      <c r="Q10" s="42">
        <f t="shared" si="10"/>
        <v>-2.333522195645801E-3</v>
      </c>
      <c r="R10" s="15">
        <v>1</v>
      </c>
      <c r="S10" s="15">
        <v>1</v>
      </c>
      <c r="T10" s="15">
        <v>0.64200000000000002</v>
      </c>
      <c r="U10" s="15">
        <v>1</v>
      </c>
      <c r="V10" s="15">
        <v>0.93799999999999994</v>
      </c>
      <c r="W10" s="15">
        <v>1</v>
      </c>
      <c r="X10" s="15">
        <v>1</v>
      </c>
      <c r="Y10" s="15">
        <v>1</v>
      </c>
      <c r="Z10" s="15">
        <v>0.68700000000000006</v>
      </c>
      <c r="AA10" s="15">
        <v>0.68899999999999995</v>
      </c>
      <c r="AB10" s="15">
        <v>1</v>
      </c>
      <c r="AC10" s="15">
        <v>1</v>
      </c>
      <c r="AD10" s="15">
        <v>1</v>
      </c>
      <c r="AE10" s="14">
        <v>0.55700000000000005</v>
      </c>
      <c r="AF10" s="15">
        <v>2E-3</v>
      </c>
      <c r="AG10" s="15">
        <v>0.80500000000000005</v>
      </c>
      <c r="AH10" s="15">
        <v>-0.26100000000000001</v>
      </c>
      <c r="AI10" s="15">
        <v>1</v>
      </c>
      <c r="AJ10" s="16">
        <v>0.752</v>
      </c>
      <c r="AK10" s="4">
        <v>-0.20499999999999999</v>
      </c>
      <c r="AL10" s="4">
        <v>0.13300000000000001</v>
      </c>
      <c r="AM10" s="4">
        <v>-0.80500000000000005</v>
      </c>
      <c r="AN10" s="4">
        <v>6.4000000000000001E-2</v>
      </c>
      <c r="AO10" s="4">
        <v>0.751</v>
      </c>
      <c r="AP10" s="4">
        <v>1</v>
      </c>
      <c r="AQ10" s="4">
        <v>0.29299999999999998</v>
      </c>
      <c r="AR10" s="4">
        <v>0.40500000000000003</v>
      </c>
      <c r="AS10" s="4">
        <v>0.47499999999999998</v>
      </c>
      <c r="AT10" s="4">
        <v>0.41699999999999998</v>
      </c>
      <c r="AU10" s="4">
        <v>0.26</v>
      </c>
      <c r="AV10" s="4">
        <v>0.76700000000000002</v>
      </c>
      <c r="AW10" s="4">
        <v>0.42599999999999999</v>
      </c>
      <c r="AX10" s="4">
        <v>0.17899999999999999</v>
      </c>
      <c r="AY10" s="4">
        <v>0.88500000000000001</v>
      </c>
      <c r="AZ10" s="4">
        <v>0.104</v>
      </c>
      <c r="BA10" s="4">
        <v>0.58299999999999996</v>
      </c>
      <c r="BB10" s="4">
        <v>-0.29899999999999999</v>
      </c>
      <c r="BC10" s="4">
        <v>-0.20100000000000001</v>
      </c>
      <c r="BD10" s="4">
        <v>0.29299999999999998</v>
      </c>
      <c r="BE10" s="4">
        <v>-0.371</v>
      </c>
      <c r="BF10" s="4">
        <v>0.371</v>
      </c>
      <c r="BG10" s="4">
        <v>0.68200000000000005</v>
      </c>
      <c r="BH10" s="4">
        <v>-0.52700000000000002</v>
      </c>
      <c r="BI10" s="4">
        <v>-0.40100000000000002</v>
      </c>
      <c r="BJ10" s="4">
        <v>0.71699999999999997</v>
      </c>
      <c r="BK10" s="4">
        <v>0.495</v>
      </c>
      <c r="BL10" s="4"/>
      <c r="BM10" s="4">
        <f t="shared" ref="BM10:BM73" si="11">10%*AK10+5%*AL10+2.5%*AM10+2.5%*AN10+10%*AO10+10%*AP10+10%*AQ10+5%*AR10+5%*AS10+10%*AT10+5%*AU10+5%*AY10+10%*AV10+10%*AW10</f>
        <v>0.43427499999999997</v>
      </c>
    </row>
    <row r="11" spans="1:65" x14ac:dyDescent="0.3">
      <c r="A11" t="s">
        <v>69</v>
      </c>
      <c r="B11" s="53">
        <f t="shared" si="4"/>
        <v>1.2E-2</v>
      </c>
      <c r="C11" s="53">
        <f t="shared" si="5"/>
        <v>1.2E-2</v>
      </c>
      <c r="D11" s="53">
        <f t="shared" si="6"/>
        <v>0</v>
      </c>
      <c r="E11" s="53">
        <f t="shared" si="7"/>
        <v>0</v>
      </c>
      <c r="F11" s="15">
        <v>3.6120000000000001</v>
      </c>
      <c r="G11" s="4">
        <v>3.6339999999999999</v>
      </c>
      <c r="H11" t="s">
        <v>57</v>
      </c>
      <c r="I11" t="str">
        <f>VLOOKUP(A11,Setores!$A$2:$C$215,2,0)</f>
        <v>banks</v>
      </c>
      <c r="J11" t="str">
        <f>VLOOKUP(A11,Setores!$A$2:$C$215,3,0)</f>
        <v>high_beta</v>
      </c>
      <c r="K11" s="92">
        <v>1.2E-2</v>
      </c>
      <c r="L11" s="42">
        <v>1.2E-2</v>
      </c>
      <c r="M11" s="92">
        <f>VLOOKUP(A11,'Mandato Ibov'!$B$1:$C$215,2,0)</f>
        <v>1.7075746070312099E-2</v>
      </c>
      <c r="N11" s="58">
        <f t="shared" si="8"/>
        <v>-5.0757460703120989E-3</v>
      </c>
      <c r="O11" s="42">
        <f t="shared" si="9"/>
        <v>-5.0757460703120989E-3</v>
      </c>
      <c r="P11" s="95">
        <f>VLOOKUP(A11,'Mandato Ibov'!$B$2:$D$215,3,0)</f>
        <v>1.33335221956458E-2</v>
      </c>
      <c r="Q11" s="42">
        <f t="shared" si="10"/>
        <v>-1.3335221956458001E-3</v>
      </c>
      <c r="R11" s="15">
        <v>0.90200000000000002</v>
      </c>
      <c r="S11" s="15">
        <v>1</v>
      </c>
      <c r="T11" s="15">
        <v>0.81699999999999995</v>
      </c>
      <c r="U11" s="15">
        <v>0.91100000000000003</v>
      </c>
      <c r="V11" s="15">
        <v>1</v>
      </c>
      <c r="W11" s="15">
        <v>1</v>
      </c>
      <c r="X11" s="15">
        <v>1</v>
      </c>
      <c r="Y11" s="15">
        <v>1</v>
      </c>
      <c r="Z11" s="15">
        <v>1</v>
      </c>
      <c r="AA11" s="15">
        <v>1</v>
      </c>
      <c r="AB11" s="15">
        <v>1</v>
      </c>
      <c r="AC11" s="15">
        <v>1</v>
      </c>
      <c r="AD11" s="15">
        <v>1</v>
      </c>
      <c r="AE11" s="14">
        <v>0.19400000000000001</v>
      </c>
      <c r="AF11" s="15">
        <v>1</v>
      </c>
      <c r="AG11" s="15">
        <v>1</v>
      </c>
      <c r="AH11" s="15">
        <v>0.251</v>
      </c>
      <c r="AI11" s="15">
        <v>1</v>
      </c>
      <c r="AJ11" s="16">
        <v>0.23</v>
      </c>
      <c r="AK11" s="4">
        <v>7.2999999999999995E-2</v>
      </c>
      <c r="AL11" s="4">
        <v>0.54</v>
      </c>
      <c r="AM11" s="4">
        <v>0.42</v>
      </c>
      <c r="AN11" s="4">
        <v>0.223</v>
      </c>
      <c r="AO11" s="4">
        <v>0.56100000000000005</v>
      </c>
      <c r="AP11" s="4">
        <v>0.81299999999999994</v>
      </c>
      <c r="AQ11" s="4">
        <v>0.55700000000000005</v>
      </c>
      <c r="AR11" s="4">
        <v>0.25</v>
      </c>
      <c r="AS11" s="4">
        <v>-0.13900000000000001</v>
      </c>
      <c r="AT11" s="4">
        <v>2E-3</v>
      </c>
      <c r="AU11" s="4">
        <v>-0.26700000000000002</v>
      </c>
      <c r="AV11" s="4">
        <v>-0.13100000000000001</v>
      </c>
      <c r="AW11" s="4">
        <v>0.51500000000000001</v>
      </c>
      <c r="AX11" s="4">
        <v>-0.09</v>
      </c>
      <c r="AY11" s="4">
        <v>0.65500000000000003</v>
      </c>
      <c r="AZ11" s="4">
        <v>0.249</v>
      </c>
      <c r="BA11" s="4">
        <v>-3.0000000000000001E-3</v>
      </c>
      <c r="BB11" s="4">
        <v>0.126</v>
      </c>
      <c r="BC11" s="4">
        <v>0.215</v>
      </c>
      <c r="BD11" s="4">
        <v>-0.73199999999999998</v>
      </c>
      <c r="BE11" s="4">
        <v>-0.36299999999999999</v>
      </c>
      <c r="BF11" s="4">
        <v>0.186</v>
      </c>
      <c r="BG11" s="4">
        <v>0.93600000000000005</v>
      </c>
      <c r="BH11" s="4">
        <v>-0.81</v>
      </c>
      <c r="BI11" s="4">
        <v>8.2000000000000003E-2</v>
      </c>
      <c r="BJ11" s="4">
        <v>0.64</v>
      </c>
      <c r="BK11" s="4">
        <v>0.67900000000000005</v>
      </c>
      <c r="BL11" s="4"/>
      <c r="BM11" s="4">
        <f t="shared" si="11"/>
        <v>0.30702499999999999</v>
      </c>
    </row>
    <row r="12" spans="1:65" x14ac:dyDescent="0.3">
      <c r="A12" t="s">
        <v>52</v>
      </c>
      <c r="B12" s="53">
        <f t="shared" si="4"/>
        <v>1.2999999999999999E-2</v>
      </c>
      <c r="C12" s="53">
        <f t="shared" si="5"/>
        <v>1.2999999999999999E-2</v>
      </c>
      <c r="D12" s="53">
        <f t="shared" si="6"/>
        <v>0</v>
      </c>
      <c r="E12" s="53">
        <f t="shared" si="7"/>
        <v>0</v>
      </c>
      <c r="F12" s="15">
        <v>3.6120000000000001</v>
      </c>
      <c r="G12" s="4">
        <v>3.59</v>
      </c>
      <c r="H12" t="s">
        <v>53</v>
      </c>
      <c r="I12" t="str">
        <f>VLOOKUP(A12,Setores!$A$2:$C$215,2,0)</f>
        <v>financial_services</v>
      </c>
      <c r="J12" t="str">
        <f>VLOOKUP(A12,Setores!$A$2:$C$215,3,0)</f>
        <v>very_low_beta</v>
      </c>
      <c r="K12" s="92">
        <v>1.2999999999999999E-2</v>
      </c>
      <c r="L12" s="42">
        <v>1.2999999999999999E-2</v>
      </c>
      <c r="M12" s="92">
        <f>VLOOKUP(A12,'Mandato Ibov'!$B$1:$C$215,2,0)</f>
        <v>1.7075746070312099E-2</v>
      </c>
      <c r="N12" s="58">
        <f t="shared" si="8"/>
        <v>-4.0757460703120998E-3</v>
      </c>
      <c r="O12" s="42">
        <f t="shared" si="9"/>
        <v>-4.0757460703120998E-3</v>
      </c>
      <c r="P12" s="95">
        <f>VLOOKUP(A12,'Mandato Ibov'!$B$2:$D$215,3,0)</f>
        <v>1.2109688947626001E-2</v>
      </c>
      <c r="Q12" s="42">
        <f t="shared" si="10"/>
        <v>8.9031105237399877E-4</v>
      </c>
      <c r="R12" s="15">
        <v>1</v>
      </c>
      <c r="S12" s="15">
        <v>0.96599999999999997</v>
      </c>
      <c r="T12" s="15">
        <v>1</v>
      </c>
      <c r="U12" s="15">
        <v>1</v>
      </c>
      <c r="V12" s="15">
        <v>1</v>
      </c>
      <c r="W12" s="15">
        <v>1</v>
      </c>
      <c r="X12" s="15">
        <v>1</v>
      </c>
      <c r="Y12" s="15">
        <v>0.63100000000000001</v>
      </c>
      <c r="Z12" s="15">
        <v>0.72399999999999998</v>
      </c>
      <c r="AA12" s="15">
        <v>0.72299999999999998</v>
      </c>
      <c r="AB12" s="15">
        <v>1</v>
      </c>
      <c r="AC12" s="15">
        <v>1</v>
      </c>
      <c r="AD12" s="15">
        <v>0.99</v>
      </c>
      <c r="AE12" s="14">
        <v>1</v>
      </c>
      <c r="AF12" s="15">
        <v>0.20499999999999999</v>
      </c>
      <c r="AG12" s="15">
        <v>0.42099999999999999</v>
      </c>
      <c r="AH12" s="15">
        <v>0.54600000000000004</v>
      </c>
      <c r="AI12" s="15">
        <v>0.997</v>
      </c>
      <c r="AJ12" s="16">
        <v>1</v>
      </c>
      <c r="AK12" s="4">
        <v>0.55100000000000005</v>
      </c>
      <c r="AL12" s="4">
        <v>-0.187</v>
      </c>
      <c r="AM12" s="4">
        <v>-0.26300000000000001</v>
      </c>
      <c r="AN12" s="4">
        <v>5.5E-2</v>
      </c>
      <c r="AO12" s="4">
        <v>3.5999999999999997E-2</v>
      </c>
      <c r="AP12" s="4">
        <v>0.11799999999999999</v>
      </c>
      <c r="AQ12" s="4">
        <v>0.27100000000000002</v>
      </c>
      <c r="AR12" s="4">
        <v>0.157</v>
      </c>
      <c r="AS12" s="4">
        <v>-0.34599999999999997</v>
      </c>
      <c r="AT12" s="4">
        <v>0.72399999999999998</v>
      </c>
      <c r="AU12" s="4">
        <v>0.40300000000000002</v>
      </c>
      <c r="AV12" s="4">
        <v>1</v>
      </c>
      <c r="AW12" s="4">
        <v>0.36299999999999999</v>
      </c>
      <c r="AX12" s="4">
        <v>-6.2E-2</v>
      </c>
      <c r="AY12" s="4">
        <v>0.80400000000000005</v>
      </c>
      <c r="AZ12" s="4">
        <v>0.496</v>
      </c>
      <c r="BA12" s="4">
        <v>-4.2999999999999997E-2</v>
      </c>
      <c r="BB12" s="4">
        <v>0.05</v>
      </c>
      <c r="BC12" s="4">
        <v>0.06</v>
      </c>
      <c r="BD12" s="4">
        <v>0.53500000000000003</v>
      </c>
      <c r="BE12" s="4">
        <v>-2.1000000000000001E-2</v>
      </c>
      <c r="BF12" s="4">
        <v>1</v>
      </c>
      <c r="BG12" s="4">
        <v>0.64100000000000001</v>
      </c>
      <c r="BH12" s="4">
        <v>-0.36099999999999999</v>
      </c>
      <c r="BI12" s="4">
        <v>-0.36699999999999999</v>
      </c>
      <c r="BJ12" s="4">
        <v>0.61399999999999999</v>
      </c>
      <c r="BK12" s="4">
        <v>0.69299999999999995</v>
      </c>
      <c r="BL12" s="4"/>
      <c r="BM12" s="4">
        <f t="shared" si="11"/>
        <v>0.34265000000000001</v>
      </c>
    </row>
    <row r="13" spans="1:65" x14ac:dyDescent="0.3">
      <c r="A13" t="s">
        <v>91</v>
      </c>
      <c r="B13" s="53">
        <f t="shared" si="4"/>
        <v>8.9999999999999993E-3</v>
      </c>
      <c r="C13" s="53">
        <f t="shared" si="5"/>
        <v>8.9999999999999993E-3</v>
      </c>
      <c r="D13" s="53">
        <f t="shared" si="6"/>
        <v>0</v>
      </c>
      <c r="E13" s="53">
        <f t="shared" si="7"/>
        <v>0</v>
      </c>
      <c r="F13" s="15">
        <v>3.6120000000000001</v>
      </c>
      <c r="G13" s="4">
        <v>3.4009999999999998</v>
      </c>
      <c r="H13" t="s">
        <v>57</v>
      </c>
      <c r="I13" t="str">
        <f>VLOOKUP(A13,Setores!$A$2:$C$215,2,0)</f>
        <v>homebuilders</v>
      </c>
      <c r="J13" t="str">
        <f>VLOOKUP(A13,Setores!$A$2:$C$215,3,0)</f>
        <v>very_high_beta</v>
      </c>
      <c r="K13" s="92">
        <v>8.9999999999999993E-3</v>
      </c>
      <c r="L13" s="42">
        <v>8.9999999999999993E-3</v>
      </c>
      <c r="M13" s="92">
        <f>VLOOKUP(A13,'Mandato Ibov'!$B$1:$C$215,2,0)</f>
        <v>1.7075746070312099E-2</v>
      </c>
      <c r="N13" s="58">
        <f t="shared" si="8"/>
        <v>-8.0757460703120999E-3</v>
      </c>
      <c r="O13" s="42">
        <f t="shared" si="9"/>
        <v>-8.0757460703120999E-3</v>
      </c>
      <c r="P13" s="95">
        <f>VLOOKUP(A13,'Mandato Ibov'!$B$2:$D$215,3,0)</f>
        <v>1.33335221956458E-2</v>
      </c>
      <c r="Q13" s="42">
        <f t="shared" si="10"/>
        <v>-4.333522195645801E-3</v>
      </c>
      <c r="R13" s="15">
        <v>1</v>
      </c>
      <c r="S13" s="15">
        <v>1</v>
      </c>
      <c r="T13" s="15">
        <v>0.60599999999999998</v>
      </c>
      <c r="U13" s="15">
        <v>1</v>
      </c>
      <c r="V13" s="15">
        <v>1</v>
      </c>
      <c r="W13" s="15">
        <v>1</v>
      </c>
      <c r="X13" s="15">
        <v>0.97299999999999998</v>
      </c>
      <c r="Y13" s="15">
        <v>1</v>
      </c>
      <c r="Z13" s="15">
        <v>0.69499999999999995</v>
      </c>
      <c r="AA13" s="15">
        <v>0.69099999999999995</v>
      </c>
      <c r="AB13" s="15">
        <v>0.92900000000000005</v>
      </c>
      <c r="AC13" s="15">
        <v>0.85899999999999999</v>
      </c>
      <c r="AD13" s="15">
        <v>1</v>
      </c>
      <c r="AE13" s="14">
        <v>1</v>
      </c>
      <c r="AF13" s="15">
        <v>0.93799999999999994</v>
      </c>
      <c r="AG13" s="15">
        <v>1</v>
      </c>
      <c r="AH13" s="15">
        <v>-0.41499999999999998</v>
      </c>
      <c r="AI13" s="15">
        <v>0.72799999999999998</v>
      </c>
      <c r="AJ13" s="16">
        <v>0.253</v>
      </c>
      <c r="AK13" s="4">
        <v>0.29599999999999999</v>
      </c>
      <c r="AL13" s="4">
        <v>-5.2999999999999999E-2</v>
      </c>
      <c r="AM13" s="4">
        <v>-0.41099999999999998</v>
      </c>
      <c r="AN13" s="4">
        <v>0.313</v>
      </c>
      <c r="AO13" s="4">
        <v>0.63200000000000001</v>
      </c>
      <c r="AP13" s="4">
        <v>0.92700000000000005</v>
      </c>
      <c r="AQ13" s="4">
        <v>0.53200000000000003</v>
      </c>
      <c r="AR13" s="4">
        <v>0.182</v>
      </c>
      <c r="AS13" s="4">
        <v>0.309</v>
      </c>
      <c r="AT13" s="4">
        <v>0.33</v>
      </c>
      <c r="AU13" s="4">
        <v>0.41399999999999998</v>
      </c>
      <c r="AV13" s="4">
        <v>0.90800000000000003</v>
      </c>
      <c r="AW13" s="4">
        <v>-4.4999999999999998E-2</v>
      </c>
      <c r="AX13" s="4">
        <v>0.13600000000000001</v>
      </c>
      <c r="AY13" s="4">
        <v>-0.17599999999999999</v>
      </c>
      <c r="AZ13" s="4">
        <v>0.53700000000000003</v>
      </c>
      <c r="BA13" s="4">
        <v>-0.253</v>
      </c>
      <c r="BB13" s="4">
        <v>8.0000000000000002E-3</v>
      </c>
      <c r="BC13" s="4">
        <v>0.54100000000000004</v>
      </c>
      <c r="BD13" s="4">
        <v>0.64700000000000002</v>
      </c>
      <c r="BE13" s="4">
        <v>0.217</v>
      </c>
      <c r="BF13" s="4">
        <v>0.151</v>
      </c>
      <c r="BG13" s="4">
        <v>0.14199999999999999</v>
      </c>
      <c r="BH13" s="4">
        <v>-0.85699999999999998</v>
      </c>
      <c r="BI13" s="4">
        <v>0.70399999999999996</v>
      </c>
      <c r="BJ13" s="4">
        <v>-5.0999999999999997E-2</v>
      </c>
      <c r="BK13" s="4">
        <v>-0.25800000000000001</v>
      </c>
      <c r="BL13" s="4"/>
      <c r="BM13" s="4">
        <f t="shared" si="11"/>
        <v>0.38935000000000003</v>
      </c>
    </row>
    <row r="14" spans="1:65" x14ac:dyDescent="0.3">
      <c r="A14" t="s">
        <v>59</v>
      </c>
      <c r="B14" s="53">
        <f t="shared" si="4"/>
        <v>7.0000000000000001E-3</v>
      </c>
      <c r="C14" s="53">
        <f t="shared" si="5"/>
        <v>7.0000000000000001E-3</v>
      </c>
      <c r="D14" s="53">
        <f t="shared" si="6"/>
        <v>0</v>
      </c>
      <c r="E14" s="53">
        <f t="shared" si="7"/>
        <v>0</v>
      </c>
      <c r="F14" s="15">
        <v>3.6120000000000001</v>
      </c>
      <c r="G14" s="4">
        <v>2.7650000000000001</v>
      </c>
      <c r="H14" t="s">
        <v>57</v>
      </c>
      <c r="I14" t="str">
        <f>VLOOKUP(A14,Setores!$A$2:$C$215,2,0)</f>
        <v>consumer_durables</v>
      </c>
      <c r="J14" t="str">
        <f>VLOOKUP(A14,Setores!$A$2:$C$215,3,0)</f>
        <v>very_low_beta</v>
      </c>
      <c r="K14" s="92">
        <v>7.0000000000000001E-3</v>
      </c>
      <c r="L14" s="42">
        <v>7.0000000000000001E-3</v>
      </c>
      <c r="M14" s="92">
        <f>VLOOKUP(A14,'Mandato Ibov'!$B$1:$C$215,2,0)</f>
        <v>1.7075746070312099E-2</v>
      </c>
      <c r="N14" s="58">
        <f t="shared" si="8"/>
        <v>-1.00757460703121E-2</v>
      </c>
      <c r="O14" s="42">
        <f t="shared" si="9"/>
        <v>-1.00757460703121E-2</v>
      </c>
      <c r="P14" s="95">
        <f>VLOOKUP(A14,'Mandato Ibov'!$B$2:$D$215,3,0)</f>
        <v>1.33335221956458E-2</v>
      </c>
      <c r="Q14" s="42">
        <f t="shared" si="10"/>
        <v>-6.3335221956458002E-3</v>
      </c>
      <c r="R14" s="15">
        <v>1</v>
      </c>
      <c r="S14" s="15">
        <v>0.64600000000000002</v>
      </c>
      <c r="T14" s="15">
        <v>1</v>
      </c>
      <c r="U14" s="15">
        <v>1</v>
      </c>
      <c r="V14" s="15">
        <v>1</v>
      </c>
      <c r="W14" s="15">
        <v>1</v>
      </c>
      <c r="X14" s="15">
        <v>1</v>
      </c>
      <c r="Y14" s="15">
        <v>0.73699999999999999</v>
      </c>
      <c r="Z14" s="15">
        <v>1</v>
      </c>
      <c r="AA14" s="15">
        <v>1</v>
      </c>
      <c r="AB14" s="15">
        <v>0.73499999999999999</v>
      </c>
      <c r="AC14" s="15">
        <v>0.749</v>
      </c>
      <c r="AD14" s="15">
        <v>0.92800000000000005</v>
      </c>
      <c r="AE14" s="14">
        <v>1</v>
      </c>
      <c r="AF14" s="15">
        <v>1</v>
      </c>
      <c r="AG14" s="15">
        <v>-0.13800000000000001</v>
      </c>
      <c r="AH14" s="15">
        <v>1</v>
      </c>
      <c r="AI14" s="15">
        <v>-0.315</v>
      </c>
      <c r="AJ14" s="16">
        <v>1</v>
      </c>
      <c r="AK14" s="4">
        <v>0.88200000000000001</v>
      </c>
      <c r="AL14" s="4">
        <v>1</v>
      </c>
      <c r="AM14" s="4">
        <v>0.45100000000000001</v>
      </c>
      <c r="AN14" s="4">
        <v>0.65200000000000002</v>
      </c>
      <c r="AO14" s="4">
        <v>-0.80800000000000005</v>
      </c>
      <c r="AP14" s="4">
        <v>-0.66500000000000004</v>
      </c>
      <c r="AQ14" s="4">
        <v>0.30299999999999999</v>
      </c>
      <c r="AR14" s="4">
        <v>0.59399999999999997</v>
      </c>
      <c r="AS14" s="4">
        <v>9.7000000000000003E-2</v>
      </c>
      <c r="AT14" s="4">
        <v>0.69699999999999995</v>
      </c>
      <c r="AU14" s="4">
        <v>-0.54800000000000004</v>
      </c>
      <c r="AV14" s="4">
        <v>0.90800000000000003</v>
      </c>
      <c r="AW14" s="4">
        <v>0.32600000000000001</v>
      </c>
      <c r="AX14" s="4">
        <v>5.3999999999999999E-2</v>
      </c>
      <c r="AY14" s="4">
        <v>0.47</v>
      </c>
      <c r="AZ14" s="4">
        <v>0.60399999999999998</v>
      </c>
      <c r="BA14" s="4">
        <v>0.25</v>
      </c>
      <c r="BB14" s="4">
        <v>0.29199999999999998</v>
      </c>
      <c r="BC14" s="4">
        <v>0.30299999999999999</v>
      </c>
      <c r="BD14" s="4">
        <v>0.59399999999999997</v>
      </c>
      <c r="BE14" s="4">
        <v>4.2999999999999997E-2</v>
      </c>
      <c r="BF14" s="4">
        <v>9.7000000000000003E-2</v>
      </c>
      <c r="BG14" s="4">
        <v>0.90700000000000003</v>
      </c>
      <c r="BH14" s="4">
        <v>-0.34499999999999997</v>
      </c>
      <c r="BI14" s="4">
        <v>-0.437</v>
      </c>
      <c r="BJ14" s="4">
        <v>0.52100000000000002</v>
      </c>
      <c r="BK14" s="4">
        <v>0.80200000000000005</v>
      </c>
      <c r="BL14" s="4"/>
      <c r="BM14" s="4">
        <f t="shared" si="11"/>
        <v>0.27252499999999996</v>
      </c>
    </row>
    <row r="15" spans="1:65" x14ac:dyDescent="0.3">
      <c r="A15" t="s">
        <v>60</v>
      </c>
      <c r="B15" s="53">
        <f t="shared" si="4"/>
        <v>0.01</v>
      </c>
      <c r="C15" s="53">
        <f t="shared" si="5"/>
        <v>0.01</v>
      </c>
      <c r="D15" s="53">
        <f t="shared" si="6"/>
        <v>0</v>
      </c>
      <c r="E15" s="53">
        <f t="shared" si="7"/>
        <v>0</v>
      </c>
      <c r="F15" s="15">
        <v>3.5289999999999999</v>
      </c>
      <c r="G15" s="4">
        <v>2.7269999999999999</v>
      </c>
      <c r="H15" t="s">
        <v>57</v>
      </c>
      <c r="I15" t="str">
        <f>VLOOKUP(A15,Setores!$A$2:$C$215,2,0)</f>
        <v>apparel</v>
      </c>
      <c r="J15" t="str">
        <f>VLOOKUP(A15,Setores!$A$2:$C$215,3,0)</f>
        <v>very_high_beta</v>
      </c>
      <c r="K15" s="92">
        <v>0.01</v>
      </c>
      <c r="L15" s="42">
        <v>0.01</v>
      </c>
      <c r="M15" s="92">
        <f>VLOOKUP(A15,'Mandato Ibov'!$B$1:$C$215,2,0)</f>
        <v>1.6684757267521499E-2</v>
      </c>
      <c r="N15" s="58">
        <f t="shared" si="8"/>
        <v>-6.6847572675214992E-3</v>
      </c>
      <c r="O15" s="42">
        <f t="shared" si="9"/>
        <v>-6.6847572675214992E-3</v>
      </c>
      <c r="P15" s="95">
        <f>VLOOKUP(A15,'Mandato Ibov'!$B$2:$D$215,3,0)</f>
        <v>9.8152608532596896E-3</v>
      </c>
      <c r="Q15" s="42">
        <f t="shared" si="10"/>
        <v>1.8473914674031061E-4</v>
      </c>
      <c r="R15" s="15">
        <v>0.99299999999999999</v>
      </c>
      <c r="S15" s="15">
        <v>0.84899999999999998</v>
      </c>
      <c r="T15" s="15">
        <v>0.79700000000000004</v>
      </c>
      <c r="U15" s="15">
        <v>1</v>
      </c>
      <c r="V15" s="15">
        <v>0.96899999999999997</v>
      </c>
      <c r="W15" s="15">
        <v>0.78600000000000003</v>
      </c>
      <c r="X15" s="15">
        <v>0.51400000000000001</v>
      </c>
      <c r="Y15" s="15">
        <v>0.755</v>
      </c>
      <c r="Z15" s="15">
        <v>0.75700000000000001</v>
      </c>
      <c r="AA15" s="15">
        <v>0.752</v>
      </c>
      <c r="AB15" s="15">
        <v>0.77800000000000002</v>
      </c>
      <c r="AC15" s="15">
        <v>0.79800000000000004</v>
      </c>
      <c r="AD15" s="15">
        <v>0.95599999999999996</v>
      </c>
      <c r="AE15" s="14">
        <v>1</v>
      </c>
      <c r="AF15" s="15">
        <v>1</v>
      </c>
      <c r="AG15" s="15">
        <v>0.41799999999999998</v>
      </c>
      <c r="AH15" s="15">
        <v>0.13700000000000001</v>
      </c>
      <c r="AI15" s="15">
        <v>0.13300000000000001</v>
      </c>
      <c r="AJ15" s="16">
        <v>0.61</v>
      </c>
      <c r="AK15" s="4">
        <v>0.55600000000000005</v>
      </c>
      <c r="AL15" s="4">
        <v>9.0999999999999998E-2</v>
      </c>
      <c r="AM15" s="4">
        <v>-0.11799999999999999</v>
      </c>
      <c r="AN15" s="4">
        <v>0.47799999999999998</v>
      </c>
      <c r="AO15" s="4">
        <v>0.22700000000000001</v>
      </c>
      <c r="AP15" s="4">
        <v>-8.1000000000000003E-2</v>
      </c>
      <c r="AQ15" s="4">
        <v>0.58399999999999996</v>
      </c>
      <c r="AR15" s="4">
        <v>0.76800000000000002</v>
      </c>
      <c r="AS15" s="4">
        <v>0.38400000000000001</v>
      </c>
      <c r="AT15" s="4">
        <v>0.42799999999999999</v>
      </c>
      <c r="AU15" s="4">
        <v>-0.1</v>
      </c>
      <c r="AV15" s="4">
        <v>0.95799999999999996</v>
      </c>
      <c r="AW15" s="4">
        <v>-0.59099999999999997</v>
      </c>
      <c r="AX15" s="4">
        <v>7.6999999999999999E-2</v>
      </c>
      <c r="AY15" s="4">
        <v>0.42299999999999999</v>
      </c>
      <c r="AZ15" s="4">
        <v>0.629</v>
      </c>
      <c r="BA15" s="4">
        <v>-0.314</v>
      </c>
      <c r="BB15" s="4">
        <v>0.21099999999999999</v>
      </c>
      <c r="BC15" s="4">
        <v>1.9E-2</v>
      </c>
      <c r="BD15" s="4">
        <v>0.625</v>
      </c>
      <c r="BE15" s="4">
        <v>0.23400000000000001</v>
      </c>
      <c r="BF15" s="4">
        <v>-0.28799999999999998</v>
      </c>
      <c r="BG15" s="4">
        <v>0.20399999999999999</v>
      </c>
      <c r="BH15" s="4">
        <v>-0.48799999999999999</v>
      </c>
      <c r="BI15" s="4">
        <v>0.29199999999999998</v>
      </c>
      <c r="BJ15" s="4">
        <v>0.253</v>
      </c>
      <c r="BK15" s="4">
        <v>0.20599999999999999</v>
      </c>
      <c r="BL15" s="4"/>
      <c r="BM15" s="4">
        <f t="shared" si="11"/>
        <v>0.2954</v>
      </c>
    </row>
    <row r="16" spans="1:65" x14ac:dyDescent="0.3">
      <c r="A16" t="s">
        <v>58</v>
      </c>
      <c r="B16" s="53">
        <f t="shared" si="4"/>
        <v>1.2E-2</v>
      </c>
      <c r="C16" s="53">
        <f t="shared" si="5"/>
        <v>1.2E-2</v>
      </c>
      <c r="D16" s="53">
        <f t="shared" si="6"/>
        <v>0</v>
      </c>
      <c r="E16" s="53">
        <f t="shared" si="7"/>
        <v>0</v>
      </c>
      <c r="F16" s="15">
        <v>3.4969999999999999</v>
      </c>
      <c r="G16" s="4">
        <v>3.76</v>
      </c>
      <c r="H16" t="s">
        <v>57</v>
      </c>
      <c r="I16" t="str">
        <f>VLOOKUP(A16,Setores!$A$2:$C$215,2,0)</f>
        <v>apparel</v>
      </c>
      <c r="J16" t="str">
        <f>VLOOKUP(A16,Setores!$A$2:$C$215,3,0)</f>
        <v>very_low_beta</v>
      </c>
      <c r="K16" s="92">
        <v>1.2E-2</v>
      </c>
      <c r="L16" s="42">
        <v>1.2E-2</v>
      </c>
      <c r="M16" s="92">
        <f>VLOOKUP(A16,'Mandato Ibov'!$B$1:$C$215,2,0)</f>
        <v>1.6533418440866501E-2</v>
      </c>
      <c r="N16" s="58">
        <f t="shared" si="8"/>
        <v>-4.5334184408665004E-3</v>
      </c>
      <c r="O16" s="42">
        <f t="shared" si="9"/>
        <v>-4.5334184408665004E-3</v>
      </c>
      <c r="P16" s="95">
        <f>VLOOKUP(A16,'Mandato Ibov'!$B$2:$D$215,3,0)</f>
        <v>1.0017891708938799E-2</v>
      </c>
      <c r="Q16" s="42">
        <f t="shared" si="10"/>
        <v>1.982108291061201E-3</v>
      </c>
      <c r="R16" s="15">
        <v>0.73699999999999999</v>
      </c>
      <c r="S16" s="15">
        <v>0.61</v>
      </c>
      <c r="T16" s="15">
        <v>0.67800000000000005</v>
      </c>
      <c r="U16" s="15">
        <v>0.68700000000000006</v>
      </c>
      <c r="V16" s="15">
        <v>0.67500000000000004</v>
      </c>
      <c r="W16" s="15">
        <v>1</v>
      </c>
      <c r="X16" s="15">
        <v>1</v>
      </c>
      <c r="Y16" s="15">
        <v>0.97799999999999998</v>
      </c>
      <c r="Z16" s="15">
        <v>0.55600000000000005</v>
      </c>
      <c r="AA16" s="15">
        <v>0.55900000000000005</v>
      </c>
      <c r="AB16" s="15">
        <v>0.89400000000000002</v>
      </c>
      <c r="AC16" s="15">
        <v>0.83899999999999997</v>
      </c>
      <c r="AD16" s="15">
        <v>0.89100000000000001</v>
      </c>
      <c r="AE16" s="14">
        <v>0.84699999999999998</v>
      </c>
      <c r="AF16" s="15">
        <v>6.3E-2</v>
      </c>
      <c r="AG16" s="15">
        <v>-0.123</v>
      </c>
      <c r="AH16" s="15">
        <v>2.7E-2</v>
      </c>
      <c r="AI16" s="15">
        <v>0.129</v>
      </c>
      <c r="AJ16" s="16">
        <v>0.84699999999999998</v>
      </c>
      <c r="AK16" s="4">
        <v>0.13500000000000001</v>
      </c>
      <c r="AL16" s="4">
        <v>0.94799999999999995</v>
      </c>
      <c r="AM16" s="4">
        <v>-0.47699999999999998</v>
      </c>
      <c r="AN16" s="4">
        <v>0.54</v>
      </c>
      <c r="AO16" s="4">
        <v>0.16900000000000001</v>
      </c>
      <c r="AP16" s="4">
        <v>-0.25800000000000001</v>
      </c>
      <c r="AQ16" s="4">
        <v>-2.3E-2</v>
      </c>
      <c r="AR16" s="4">
        <v>0.29899999999999999</v>
      </c>
      <c r="AS16" s="4">
        <v>-0.16800000000000001</v>
      </c>
      <c r="AT16" s="4">
        <v>0.20499999999999999</v>
      </c>
      <c r="AU16" s="4">
        <v>0.159</v>
      </c>
      <c r="AV16" s="4">
        <v>0.17</v>
      </c>
      <c r="AW16" s="4">
        <v>0.51800000000000002</v>
      </c>
      <c r="AX16" s="4">
        <v>0.77400000000000002</v>
      </c>
      <c r="AY16" s="4">
        <v>0.495</v>
      </c>
      <c r="AZ16" s="4">
        <v>-4.9000000000000002E-2</v>
      </c>
      <c r="BA16" s="4">
        <v>0.10199999999999999</v>
      </c>
      <c r="BB16" s="4">
        <v>0.55300000000000005</v>
      </c>
      <c r="BC16" s="4">
        <v>0.50700000000000001</v>
      </c>
      <c r="BD16" s="4">
        <v>0.54600000000000004</v>
      </c>
      <c r="BE16" s="4">
        <v>0.21099999999999999</v>
      </c>
      <c r="BF16" s="4">
        <v>4.8000000000000001E-2</v>
      </c>
      <c r="BG16" s="4">
        <v>0.82899999999999996</v>
      </c>
      <c r="BH16" s="4">
        <v>-7.4999999999999997E-2</v>
      </c>
      <c r="BI16" s="4">
        <v>-0.35799999999999998</v>
      </c>
      <c r="BJ16" s="4">
        <v>0.19700000000000001</v>
      </c>
      <c r="BK16" s="4">
        <v>0.34699999999999998</v>
      </c>
      <c r="BL16" s="4"/>
      <c r="BM16" s="4">
        <f t="shared" si="11"/>
        <v>0.17982500000000001</v>
      </c>
    </row>
    <row r="17" spans="1:65" x14ac:dyDescent="0.3">
      <c r="A17" t="s">
        <v>75</v>
      </c>
      <c r="B17" s="53">
        <f t="shared" si="4"/>
        <v>8.0000000000000002E-3</v>
      </c>
      <c r="C17" s="53">
        <f t="shared" si="5"/>
        <v>8.0000000000000002E-3</v>
      </c>
      <c r="D17" s="53">
        <f t="shared" si="6"/>
        <v>0</v>
      </c>
      <c r="E17" s="53">
        <f t="shared" si="7"/>
        <v>0</v>
      </c>
      <c r="F17" s="15">
        <v>3.3780000000000001</v>
      </c>
      <c r="G17" s="4">
        <v>2.5790000000000002</v>
      </c>
      <c r="H17" t="s">
        <v>55</v>
      </c>
      <c r="I17" t="str">
        <f>VLOOKUP(A17,Setores!$A$2:$C$215,2,0)</f>
        <v>real_estate</v>
      </c>
      <c r="J17" t="str">
        <f>VLOOKUP(A17,Setores!$A$2:$C$215,3,0)</f>
        <v>very_high_beta</v>
      </c>
      <c r="K17" s="92">
        <v>8.0000000000000002E-3</v>
      </c>
      <c r="L17" s="42">
        <v>8.0000000000000002E-3</v>
      </c>
      <c r="M17" s="92">
        <f>VLOOKUP(A17,'Mandato Ibov'!$B$1:$C$215,2,0)</f>
        <v>1.59697112139294E-2</v>
      </c>
      <c r="N17" s="58">
        <f t="shared" si="8"/>
        <v>-7.9697112139293994E-3</v>
      </c>
      <c r="O17" s="42">
        <f t="shared" si="9"/>
        <v>-7.9697112139293994E-3</v>
      </c>
      <c r="P17" s="95">
        <f>VLOOKUP(A17,'Mandato Ibov'!$B$2:$D$215,3,0)</f>
        <v>6.2313314400576298E-3</v>
      </c>
      <c r="Q17" s="42">
        <f t="shared" si="10"/>
        <v>1.7686685599423704E-3</v>
      </c>
      <c r="R17" s="15">
        <v>1</v>
      </c>
      <c r="S17" s="15">
        <v>1</v>
      </c>
      <c r="T17" s="15">
        <v>1</v>
      </c>
      <c r="U17" s="15">
        <v>0.70199999999999996</v>
      </c>
      <c r="V17" s="15">
        <v>1</v>
      </c>
      <c r="W17" s="15">
        <v>0.86</v>
      </c>
      <c r="X17" s="15">
        <v>0.81</v>
      </c>
      <c r="Y17" s="15">
        <v>0.47</v>
      </c>
      <c r="Z17" s="15">
        <v>0.55700000000000005</v>
      </c>
      <c r="AA17" s="15">
        <v>0.55600000000000005</v>
      </c>
      <c r="AB17" s="15">
        <v>0.64400000000000002</v>
      </c>
      <c r="AC17" s="15">
        <v>0.81</v>
      </c>
      <c r="AD17" s="15">
        <v>0.97799999999999998</v>
      </c>
      <c r="AE17" s="14">
        <v>0.23699999999999999</v>
      </c>
      <c r="AF17" s="15">
        <v>1</v>
      </c>
      <c r="AG17" s="15">
        <v>1</v>
      </c>
      <c r="AH17" s="15">
        <v>1</v>
      </c>
      <c r="AI17" s="15">
        <v>0.38400000000000001</v>
      </c>
      <c r="AJ17" s="16">
        <v>-0.22500000000000001</v>
      </c>
      <c r="AK17" s="4">
        <v>0.75</v>
      </c>
      <c r="AL17" s="4">
        <v>-0.02</v>
      </c>
      <c r="AM17" s="4">
        <v>1</v>
      </c>
      <c r="AN17" s="4">
        <v>0.77500000000000002</v>
      </c>
      <c r="AO17" s="4">
        <v>-9.7000000000000003E-2</v>
      </c>
      <c r="AP17" s="4">
        <v>-0.185</v>
      </c>
      <c r="AQ17" s="4">
        <v>-0.221</v>
      </c>
      <c r="AR17" s="4">
        <v>0.34300000000000003</v>
      </c>
      <c r="AS17" s="4">
        <v>0.114</v>
      </c>
      <c r="AT17" s="4">
        <v>-0.22800000000000001</v>
      </c>
      <c r="AU17" s="4">
        <v>0.47</v>
      </c>
      <c r="AV17" s="4">
        <v>-0.33600000000000002</v>
      </c>
      <c r="AW17" s="4">
        <v>-4.8000000000000001E-2</v>
      </c>
      <c r="AX17" s="4">
        <v>-0.71399999999999997</v>
      </c>
      <c r="AY17" s="4">
        <v>-0.34399999999999997</v>
      </c>
      <c r="AZ17" s="4">
        <v>0.126</v>
      </c>
      <c r="BA17" s="4">
        <v>0.84699999999999998</v>
      </c>
      <c r="BB17" s="4">
        <v>0.16600000000000001</v>
      </c>
      <c r="BC17" s="4">
        <v>0.73899999999999999</v>
      </c>
      <c r="BD17" s="4">
        <v>0.32600000000000001</v>
      </c>
      <c r="BE17" s="4">
        <v>-1E-3</v>
      </c>
      <c r="BF17" s="4">
        <v>0.315</v>
      </c>
      <c r="BG17" s="4">
        <v>0.28299999999999997</v>
      </c>
      <c r="BH17" s="4">
        <v>0.154</v>
      </c>
      <c r="BI17" s="4">
        <v>0.81899999999999995</v>
      </c>
      <c r="BJ17" s="4">
        <v>0.621</v>
      </c>
      <c r="BK17" s="4">
        <v>0.97399999999999998</v>
      </c>
      <c r="BL17" s="4"/>
      <c r="BM17" s="4">
        <f t="shared" si="11"/>
        <v>3.6024999999999988E-2</v>
      </c>
    </row>
    <row r="18" spans="1:65" x14ac:dyDescent="0.3">
      <c r="A18" t="s">
        <v>67</v>
      </c>
      <c r="B18" s="53">
        <f t="shared" si="4"/>
        <v>8.9999999999999993E-3</v>
      </c>
      <c r="C18" s="53">
        <f t="shared" si="5"/>
        <v>8.9999999999999993E-3</v>
      </c>
      <c r="D18" s="53">
        <f t="shared" si="6"/>
        <v>0</v>
      </c>
      <c r="E18" s="53">
        <f t="shared" si="7"/>
        <v>0</v>
      </c>
      <c r="F18" s="15">
        <v>3.3239999999999998</v>
      </c>
      <c r="G18" s="4">
        <v>2.9790000000000001</v>
      </c>
      <c r="H18" t="s">
        <v>68</v>
      </c>
      <c r="I18" t="str">
        <f>VLOOKUP(A18,Setores!$A$2:$C$215,2,0)</f>
        <v>capital_goods</v>
      </c>
      <c r="J18" t="str">
        <f>VLOOKUP(A18,Setores!$A$2:$C$215,3,0)</f>
        <v>neutral_beta</v>
      </c>
      <c r="K18" s="92">
        <v>8.9999999999999993E-3</v>
      </c>
      <c r="L18" s="42">
        <v>8.9999999999999993E-3</v>
      </c>
      <c r="M18" s="92">
        <f>VLOOKUP(A18,'Mandato Ibov'!$B$1:$C$215,2,0)</f>
        <v>1.5715049155014E-2</v>
      </c>
      <c r="N18" s="58">
        <f t="shared" si="8"/>
        <v>-6.7150491550140006E-3</v>
      </c>
      <c r="O18" s="42">
        <f t="shared" si="9"/>
        <v>-6.7150491550140006E-3</v>
      </c>
      <c r="P18" s="95">
        <f>VLOOKUP(A18,'Mandato Ibov'!$B$2:$D$215,3,0)</f>
        <v>1.0094922437337801E-2</v>
      </c>
      <c r="Q18" s="42">
        <f t="shared" si="10"/>
        <v>-1.0949224373378013E-3</v>
      </c>
      <c r="R18" s="15">
        <v>0.621</v>
      </c>
      <c r="S18" s="15">
        <v>0.14000000000000001</v>
      </c>
      <c r="T18" s="15">
        <v>0.39700000000000002</v>
      </c>
      <c r="U18" s="15">
        <v>0.92300000000000004</v>
      </c>
      <c r="V18" s="15">
        <v>0.53900000000000003</v>
      </c>
      <c r="W18" s="15">
        <v>0.84799999999999998</v>
      </c>
      <c r="X18" s="15">
        <v>0.81599999999999995</v>
      </c>
      <c r="Y18" s="15">
        <v>1</v>
      </c>
      <c r="Z18" s="15">
        <v>0.63200000000000001</v>
      </c>
      <c r="AA18" s="15">
        <v>0.63300000000000001</v>
      </c>
      <c r="AB18" s="15">
        <v>0.94599999999999995</v>
      </c>
      <c r="AC18" s="15">
        <v>0.86</v>
      </c>
      <c r="AD18" s="15">
        <v>0.85399999999999998</v>
      </c>
      <c r="AE18" s="14">
        <v>1</v>
      </c>
      <c r="AF18" s="15">
        <v>0.59</v>
      </c>
      <c r="AG18" s="15">
        <v>0.154</v>
      </c>
      <c r="AH18" s="15">
        <v>-0.45400000000000001</v>
      </c>
      <c r="AI18" s="15">
        <v>-0.03</v>
      </c>
      <c r="AJ18" s="16">
        <v>9.6000000000000002E-2</v>
      </c>
      <c r="AK18" s="4">
        <v>-3.5000000000000003E-2</v>
      </c>
      <c r="AL18" s="4">
        <v>0.628</v>
      </c>
      <c r="AM18" s="4">
        <v>-0.68500000000000005</v>
      </c>
      <c r="AN18" s="4">
        <v>0.375</v>
      </c>
      <c r="AO18" s="4">
        <v>0.28699999999999998</v>
      </c>
      <c r="AP18" s="4">
        <v>0.44800000000000001</v>
      </c>
      <c r="AQ18" s="4">
        <v>0.59899999999999998</v>
      </c>
      <c r="AR18" s="4">
        <v>0.28299999999999997</v>
      </c>
      <c r="AS18" s="4">
        <v>-0.498</v>
      </c>
      <c r="AT18" s="4">
        <v>0.61399999999999999</v>
      </c>
      <c r="AU18" s="4">
        <v>-0.33700000000000002</v>
      </c>
      <c r="AV18" s="4">
        <v>0.64400000000000002</v>
      </c>
      <c r="AW18" s="4">
        <v>0.41</v>
      </c>
      <c r="AX18" s="4">
        <v>0.114</v>
      </c>
      <c r="AY18" s="4">
        <v>0.84299999999999997</v>
      </c>
      <c r="AZ18" s="4">
        <v>0.74099999999999999</v>
      </c>
      <c r="BA18" s="4">
        <v>0.22600000000000001</v>
      </c>
      <c r="BB18" s="4">
        <v>-0.159</v>
      </c>
      <c r="BC18" s="4">
        <v>-0.188</v>
      </c>
      <c r="BD18" s="4">
        <v>0.438</v>
      </c>
      <c r="BE18" s="4">
        <v>-0.41699999999999998</v>
      </c>
      <c r="BF18" s="4">
        <v>0.14599999999999999</v>
      </c>
      <c r="BG18" s="4">
        <v>0.34599999999999997</v>
      </c>
      <c r="BH18" s="4">
        <v>-0.96099999999999997</v>
      </c>
      <c r="BI18" s="4">
        <v>0.17199999999999999</v>
      </c>
      <c r="BJ18" s="4">
        <v>0.73</v>
      </c>
      <c r="BK18" s="4">
        <v>-0.151</v>
      </c>
      <c r="BL18" s="4"/>
      <c r="BM18" s="4">
        <f t="shared" si="11"/>
        <v>0.33489999999999998</v>
      </c>
    </row>
    <row r="19" spans="1:65" x14ac:dyDescent="0.3">
      <c r="A19" t="s">
        <v>86</v>
      </c>
      <c r="B19" s="53">
        <f t="shared" si="4"/>
        <v>1.7000000000000001E-2</v>
      </c>
      <c r="C19" s="53">
        <f t="shared" si="5"/>
        <v>1.7000000000000001E-2</v>
      </c>
      <c r="D19" s="53">
        <f t="shared" si="6"/>
        <v>0</v>
      </c>
      <c r="E19" s="53">
        <f t="shared" si="7"/>
        <v>0</v>
      </c>
      <c r="F19" s="15">
        <v>3.23</v>
      </c>
      <c r="G19" s="4">
        <v>3.5329999999999999</v>
      </c>
      <c r="H19" t="s">
        <v>57</v>
      </c>
      <c r="I19" t="str">
        <f>VLOOKUP(A19,Setores!$A$2:$C$215,2,0)</f>
        <v>homebuilders</v>
      </c>
      <c r="J19" t="str">
        <f>VLOOKUP(A19,Setores!$A$2:$C$215,3,0)</f>
        <v>low_beta</v>
      </c>
      <c r="K19" s="92">
        <v>1.7000000000000001E-2</v>
      </c>
      <c r="L19" s="42">
        <v>1.7000000000000001E-2</v>
      </c>
      <c r="M19" s="92">
        <f>VLOOKUP(A19,'Mandato Ibov'!$B$1:$C$215,2,0)</f>
        <v>1.52716973157744E-2</v>
      </c>
      <c r="N19" s="58">
        <f t="shared" si="8"/>
        <v>1.7283026842256008E-3</v>
      </c>
      <c r="O19" s="42">
        <f t="shared" si="9"/>
        <v>1.7283026842256008E-3</v>
      </c>
      <c r="P19" s="95">
        <f>VLOOKUP(A19,'Mandato Ibov'!$B$2:$D$215,3,0)</f>
        <v>1.18769626101E-2</v>
      </c>
      <c r="Q19" s="42">
        <f t="shared" si="10"/>
        <v>5.1230373899000016E-3</v>
      </c>
      <c r="R19" s="15">
        <v>0.68799999999999994</v>
      </c>
      <c r="S19" s="15">
        <v>0.79400000000000004</v>
      </c>
      <c r="T19" s="15">
        <v>0.80100000000000005</v>
      </c>
      <c r="U19" s="15">
        <v>0.52</v>
      </c>
      <c r="V19" s="15">
        <v>0.76700000000000002</v>
      </c>
      <c r="W19" s="15">
        <v>0.68799999999999994</v>
      </c>
      <c r="X19" s="15">
        <v>0.66700000000000004</v>
      </c>
      <c r="Y19" s="15">
        <v>0.60199999999999998</v>
      </c>
      <c r="Z19" s="15">
        <v>0.67600000000000005</v>
      </c>
      <c r="AA19" s="15">
        <v>0.67200000000000004</v>
      </c>
      <c r="AB19" s="15">
        <v>1</v>
      </c>
      <c r="AC19" s="15">
        <v>0.93400000000000005</v>
      </c>
      <c r="AD19" s="15">
        <v>0.93700000000000006</v>
      </c>
      <c r="AE19" s="14">
        <v>-2.5999999999999999E-2</v>
      </c>
      <c r="AF19" s="15">
        <v>1</v>
      </c>
      <c r="AG19" s="15">
        <v>0.53500000000000003</v>
      </c>
      <c r="AH19" s="15">
        <v>1</v>
      </c>
      <c r="AI19" s="15">
        <v>0.45600000000000002</v>
      </c>
      <c r="AJ19" s="16">
        <v>1.6E-2</v>
      </c>
      <c r="AK19" s="4">
        <v>0.14699999999999999</v>
      </c>
      <c r="AL19" s="4">
        <v>0.69899999999999995</v>
      </c>
      <c r="AM19" s="4">
        <v>0.31900000000000001</v>
      </c>
      <c r="AN19" s="4">
        <v>0.41599999999999998</v>
      </c>
      <c r="AO19" s="4">
        <v>-0.13100000000000001</v>
      </c>
      <c r="AP19" s="4">
        <v>-0.245</v>
      </c>
      <c r="AQ19" s="4">
        <v>0.252</v>
      </c>
      <c r="AR19" s="4">
        <v>0.54600000000000004</v>
      </c>
      <c r="AS19" s="4">
        <v>0.17100000000000001</v>
      </c>
      <c r="AT19" s="4">
        <v>-3.1E-2</v>
      </c>
      <c r="AU19" s="4">
        <v>-0.32700000000000001</v>
      </c>
      <c r="AV19" s="4">
        <v>-0.23899999999999999</v>
      </c>
      <c r="AW19" s="4">
        <v>-1.4999999999999999E-2</v>
      </c>
      <c r="AX19" s="4">
        <v>-0.32600000000000001</v>
      </c>
      <c r="AY19" s="4">
        <v>0.67800000000000005</v>
      </c>
      <c r="AZ19" s="4">
        <v>0.185</v>
      </c>
      <c r="BA19" s="4">
        <v>5.8000000000000003E-2</v>
      </c>
      <c r="BB19" s="4">
        <v>-0.186</v>
      </c>
      <c r="BC19" s="4">
        <v>-7.0000000000000007E-2</v>
      </c>
      <c r="BD19" s="4">
        <v>0.24399999999999999</v>
      </c>
      <c r="BE19" s="4">
        <v>-0.151</v>
      </c>
      <c r="BF19" s="4">
        <v>0.36699999999999999</v>
      </c>
      <c r="BG19" s="4">
        <v>0.85299999999999998</v>
      </c>
      <c r="BH19" s="4">
        <v>-6.0999999999999999E-2</v>
      </c>
      <c r="BI19" s="4">
        <v>0.12</v>
      </c>
      <c r="BJ19" s="4">
        <v>0.60899999999999999</v>
      </c>
      <c r="BK19" s="4">
        <v>0.875</v>
      </c>
      <c r="BL19" s="4"/>
      <c r="BM19" s="4">
        <f t="shared" si="11"/>
        <v>8.0524999999999985E-2</v>
      </c>
    </row>
    <row r="20" spans="1:65" x14ac:dyDescent="0.3">
      <c r="A20" t="s">
        <v>126</v>
      </c>
      <c r="B20" s="53">
        <f t="shared" si="4"/>
        <v>6.0000000000000001E-3</v>
      </c>
      <c r="C20" s="53">
        <f t="shared" si="5"/>
        <v>6.0000000000000001E-3</v>
      </c>
      <c r="D20" s="53">
        <f t="shared" si="6"/>
        <v>0</v>
      </c>
      <c r="E20" s="53">
        <f t="shared" si="7"/>
        <v>0</v>
      </c>
      <c r="F20" s="15">
        <v>2.9369999999999998</v>
      </c>
      <c r="G20" s="4">
        <v>2.169</v>
      </c>
      <c r="H20" t="s">
        <v>57</v>
      </c>
      <c r="I20" t="str">
        <f>VLOOKUP(A20,Setores!$A$2:$C$215,2,0)</f>
        <v>tech</v>
      </c>
      <c r="J20" t="str">
        <f>VLOOKUP(A20,Setores!$A$2:$C$215,3,0)</f>
        <v>high_beta</v>
      </c>
      <c r="K20" s="92">
        <v>6.0000000000000001E-3</v>
      </c>
      <c r="L20" s="42">
        <v>6.0000000000000001E-3</v>
      </c>
      <c r="M20" s="92">
        <f>VLOOKUP(A20,'Mandato Ibov'!$B$1:$C$215,2,0)</f>
        <v>1.3885916398949099E-2</v>
      </c>
      <c r="N20" s="58">
        <f t="shared" si="8"/>
        <v>-7.8859163989490992E-3</v>
      </c>
      <c r="O20" s="42">
        <f t="shared" si="9"/>
        <v>-7.8859163989490992E-3</v>
      </c>
      <c r="P20" s="95">
        <f>VLOOKUP(A20,'Mandato Ibov'!$B$2:$D$215,3,0)</f>
        <v>1.03883734260633E-2</v>
      </c>
      <c r="Q20" s="42">
        <f t="shared" si="10"/>
        <v>-4.3883734260633002E-3</v>
      </c>
      <c r="R20" s="15">
        <v>1</v>
      </c>
      <c r="S20" s="15">
        <v>1</v>
      </c>
      <c r="T20" s="15">
        <v>1</v>
      </c>
      <c r="U20" s="15">
        <v>1</v>
      </c>
      <c r="V20" s="15">
        <v>1</v>
      </c>
      <c r="W20" s="15">
        <v>0.184</v>
      </c>
      <c r="X20" s="15">
        <v>-0.57499999999999996</v>
      </c>
      <c r="Y20" s="15">
        <v>0.38900000000000001</v>
      </c>
      <c r="Z20" s="15">
        <v>0.34799999999999998</v>
      </c>
      <c r="AA20" s="15">
        <v>0.34699999999999998</v>
      </c>
      <c r="AB20" s="15">
        <v>0.76600000000000001</v>
      </c>
      <c r="AC20" s="15">
        <v>0.79300000000000004</v>
      </c>
      <c r="AD20" s="15">
        <v>1</v>
      </c>
      <c r="AE20" s="14">
        <v>1</v>
      </c>
      <c r="AF20" s="15">
        <v>1</v>
      </c>
      <c r="AG20" s="15">
        <v>1</v>
      </c>
      <c r="AH20" s="15">
        <v>0.58799999999999997</v>
      </c>
      <c r="AI20" s="15">
        <v>0.89800000000000002</v>
      </c>
      <c r="AJ20" s="16">
        <v>1</v>
      </c>
      <c r="AK20" s="4">
        <v>0.42399999999999999</v>
      </c>
      <c r="AL20" s="4">
        <v>-0.80900000000000005</v>
      </c>
      <c r="AM20" s="4">
        <v>0.44500000000000001</v>
      </c>
      <c r="AN20" s="4">
        <v>0.34100000000000003</v>
      </c>
      <c r="AO20" s="4">
        <v>0.35499999999999998</v>
      </c>
      <c r="AP20" s="4">
        <v>0.38200000000000001</v>
      </c>
      <c r="AQ20" s="4">
        <v>0.7</v>
      </c>
      <c r="AR20" s="4">
        <v>0.66400000000000003</v>
      </c>
      <c r="AS20" s="4">
        <v>0.36599999999999999</v>
      </c>
      <c r="AT20" s="4">
        <v>0.13700000000000001</v>
      </c>
      <c r="AU20" s="4">
        <v>-0.44500000000000001</v>
      </c>
      <c r="AV20" s="4">
        <v>0.85799999999999998</v>
      </c>
      <c r="AW20" s="4">
        <v>-0.52800000000000002</v>
      </c>
      <c r="AX20" s="4">
        <v>0.35799999999999998</v>
      </c>
      <c r="AY20" s="4">
        <v>0.41299999999999998</v>
      </c>
      <c r="AZ20" s="4">
        <v>-0.318</v>
      </c>
      <c r="BA20" s="4">
        <v>0.93200000000000005</v>
      </c>
      <c r="BB20" s="4">
        <v>0.33600000000000002</v>
      </c>
      <c r="BC20" s="4">
        <v>0.23400000000000001</v>
      </c>
      <c r="BD20" s="4">
        <v>0.79900000000000004</v>
      </c>
      <c r="BE20" s="4">
        <v>-1</v>
      </c>
      <c r="BF20" s="4">
        <v>-0.38200000000000001</v>
      </c>
      <c r="BG20" s="4">
        <v>-1</v>
      </c>
      <c r="BH20" s="4">
        <v>0.53300000000000003</v>
      </c>
      <c r="BI20" s="4">
        <v>-0.127</v>
      </c>
      <c r="BJ20" s="4">
        <v>0.91700000000000004</v>
      </c>
      <c r="BK20" s="4">
        <v>0.46400000000000002</v>
      </c>
      <c r="BL20" s="4"/>
      <c r="BM20" s="4">
        <f t="shared" si="11"/>
        <v>0.26190000000000002</v>
      </c>
    </row>
    <row r="21" spans="1:65" x14ac:dyDescent="0.3">
      <c r="A21" t="s">
        <v>70</v>
      </c>
      <c r="B21" s="53">
        <f t="shared" si="4"/>
        <v>0</v>
      </c>
      <c r="C21" s="53">
        <f t="shared" si="5"/>
        <v>0</v>
      </c>
      <c r="D21" s="53">
        <f t="shared" si="6"/>
        <v>0</v>
      </c>
      <c r="E21" s="53">
        <f t="shared" si="7"/>
        <v>0</v>
      </c>
      <c r="F21" s="15">
        <v>2.92</v>
      </c>
      <c r="G21" s="4">
        <v>3.7149999999999999</v>
      </c>
      <c r="H21" t="s">
        <v>71</v>
      </c>
      <c r="I21" t="str">
        <f>VLOOKUP(A21,Setores!$A$2:$C$215,2,0)</f>
        <v>basic_materials</v>
      </c>
      <c r="J21" t="str">
        <f>VLOOKUP(A21,Setores!$A$2:$C$215,3,0)</f>
        <v>low_beta</v>
      </c>
      <c r="K21" s="92">
        <v>0</v>
      </c>
      <c r="L21" s="42">
        <v>0</v>
      </c>
      <c r="M21" s="92">
        <f>VLOOKUP(A21,'Mandato Ibov'!$B$1:$C$215,2,0)</f>
        <v>1.3805492359958199E-2</v>
      </c>
      <c r="N21" s="58">
        <f t="shared" si="8"/>
        <v>-1.3805492359958199E-2</v>
      </c>
      <c r="O21" s="42">
        <f t="shared" si="9"/>
        <v>-1.3805492359958199E-2</v>
      </c>
      <c r="P21" s="95">
        <f>VLOOKUP(A21,'Mandato Ibov'!$B$2:$D$215,3,0)</f>
        <v>8.7249884552245208E-3</v>
      </c>
      <c r="Q21" s="42">
        <f t="shared" si="10"/>
        <v>-8.7249884552245208E-3</v>
      </c>
      <c r="R21" s="15">
        <v>8.6999999999999994E-2</v>
      </c>
      <c r="S21" s="15">
        <v>0.432</v>
      </c>
      <c r="T21" s="15">
        <v>-0.19</v>
      </c>
      <c r="U21" s="15">
        <v>0.2</v>
      </c>
      <c r="V21" s="15">
        <v>0.191</v>
      </c>
      <c r="W21" s="15">
        <v>0.58199999999999996</v>
      </c>
      <c r="X21" s="15">
        <v>0.73</v>
      </c>
      <c r="Y21" s="15">
        <v>0.879</v>
      </c>
      <c r="Z21" s="15">
        <v>0.97299999999999998</v>
      </c>
      <c r="AA21" s="15">
        <v>0.96799999999999997</v>
      </c>
      <c r="AB21" s="15">
        <v>0.78900000000000003</v>
      </c>
      <c r="AC21" s="15">
        <v>0.78700000000000003</v>
      </c>
      <c r="AD21" s="15">
        <v>1</v>
      </c>
      <c r="AE21" s="14">
        <v>-0.129</v>
      </c>
      <c r="AF21" s="15">
        <v>-0.58699999999999997</v>
      </c>
      <c r="AG21" s="15">
        <v>0.44400000000000001</v>
      </c>
      <c r="AH21" s="15">
        <v>-0.63800000000000001</v>
      </c>
      <c r="AI21" s="15">
        <v>0.17100000000000001</v>
      </c>
      <c r="AJ21" s="16">
        <v>-0.49099999999999999</v>
      </c>
      <c r="AK21" s="4">
        <v>-0.30599999999999999</v>
      </c>
      <c r="AL21" s="4">
        <v>0.66</v>
      </c>
      <c r="AM21" s="4">
        <v>-0.439</v>
      </c>
      <c r="AN21" s="4">
        <v>-0.48899999999999999</v>
      </c>
      <c r="AO21" s="4">
        <v>0.79900000000000004</v>
      </c>
      <c r="AP21" s="4">
        <v>0.125</v>
      </c>
      <c r="AQ21" s="4">
        <v>-0.77600000000000002</v>
      </c>
      <c r="AR21" s="4">
        <v>0.68600000000000005</v>
      </c>
      <c r="AS21" s="4">
        <v>0.40699999999999997</v>
      </c>
      <c r="AT21" s="4">
        <v>4.3999999999999997E-2</v>
      </c>
      <c r="AU21" s="4">
        <v>7.1999999999999995E-2</v>
      </c>
      <c r="AV21" s="4">
        <v>0.11899999999999999</v>
      </c>
      <c r="AW21" s="4">
        <v>0.67600000000000005</v>
      </c>
      <c r="AX21" s="4">
        <v>8.5999999999999993E-2</v>
      </c>
      <c r="AY21" s="4">
        <v>0.61399999999999999</v>
      </c>
      <c r="AZ21" s="4">
        <v>-0.94099999999999995</v>
      </c>
      <c r="BA21" s="4">
        <v>0.86699999999999999</v>
      </c>
      <c r="BB21" s="4">
        <v>-9.0999999999999998E-2</v>
      </c>
      <c r="BC21" s="4">
        <v>0.377</v>
      </c>
      <c r="BD21" s="4">
        <v>0.58299999999999996</v>
      </c>
      <c r="BE21" s="4">
        <v>-0.45700000000000002</v>
      </c>
      <c r="BF21" s="4">
        <v>-4.0000000000000001E-3</v>
      </c>
      <c r="BG21" s="4">
        <v>0.71799999999999997</v>
      </c>
      <c r="BH21" s="4">
        <v>-0.34899999999999998</v>
      </c>
      <c r="BI21" s="4">
        <v>-0.53200000000000003</v>
      </c>
      <c r="BJ21" s="4">
        <v>1</v>
      </c>
      <c r="BK21" s="4">
        <v>9.6000000000000002E-2</v>
      </c>
      <c r="BL21" s="4"/>
      <c r="BM21" s="4">
        <f t="shared" si="11"/>
        <v>0.16685</v>
      </c>
    </row>
    <row r="22" spans="1:65" x14ac:dyDescent="0.3">
      <c r="A22" t="s">
        <v>66</v>
      </c>
      <c r="B22" s="53">
        <f t="shared" si="4"/>
        <v>8.9999999999999993E-3</v>
      </c>
      <c r="C22" s="53">
        <f t="shared" si="5"/>
        <v>8.9999999999999993E-3</v>
      </c>
      <c r="D22" s="53">
        <f t="shared" si="6"/>
        <v>0</v>
      </c>
      <c r="E22" s="53">
        <f t="shared" si="7"/>
        <v>0</v>
      </c>
      <c r="F22" s="15">
        <v>2.9009999999999998</v>
      </c>
      <c r="G22" s="4">
        <v>2.258</v>
      </c>
      <c r="H22" t="s">
        <v>55</v>
      </c>
      <c r="I22" t="str">
        <f>VLOOKUP(A22,Setores!$A$2:$C$215,2,0)</f>
        <v>real_estate</v>
      </c>
      <c r="J22" t="str">
        <f>VLOOKUP(A22,Setores!$A$2:$C$215,3,0)</f>
        <v>low_beta</v>
      </c>
      <c r="K22" s="92">
        <v>8.9999999999999993E-3</v>
      </c>
      <c r="L22" s="42">
        <v>8.9999999999999993E-3</v>
      </c>
      <c r="M22" s="92">
        <f>VLOOKUP(A22,'Mandato Ibov'!$B$1:$C$215,2,0)</f>
        <v>1.3712912719449801E-2</v>
      </c>
      <c r="N22" s="58">
        <f t="shared" si="8"/>
        <v>-4.7129127194498015E-3</v>
      </c>
      <c r="O22" s="42">
        <f t="shared" si="9"/>
        <v>-4.7129127194498015E-3</v>
      </c>
      <c r="P22" s="95">
        <f>VLOOKUP(A22,'Mandato Ibov'!$B$2:$D$215,3,0)</f>
        <v>8.2322200544840494E-3</v>
      </c>
      <c r="Q22" s="42">
        <f t="shared" si="10"/>
        <v>7.6777994551594994E-4</v>
      </c>
      <c r="R22" s="15">
        <v>0.61099999999999999</v>
      </c>
      <c r="S22" s="15">
        <v>-4.0000000000000001E-3</v>
      </c>
      <c r="T22" s="15">
        <v>1</v>
      </c>
      <c r="U22" s="15">
        <v>0.67100000000000004</v>
      </c>
      <c r="V22" s="15">
        <v>0.65800000000000003</v>
      </c>
      <c r="W22" s="15">
        <v>0.82</v>
      </c>
      <c r="X22" s="15">
        <v>0.98299999999999998</v>
      </c>
      <c r="Y22" s="15">
        <v>0.42399999999999999</v>
      </c>
      <c r="Z22" s="15">
        <v>0.42</v>
      </c>
      <c r="AA22" s="15">
        <v>0.41899999999999998</v>
      </c>
      <c r="AB22" s="15">
        <v>0.89400000000000002</v>
      </c>
      <c r="AC22" s="15">
        <v>0.81499999999999995</v>
      </c>
      <c r="AD22" s="15">
        <v>0.751</v>
      </c>
      <c r="AE22" s="14">
        <v>1</v>
      </c>
      <c r="AF22" s="15">
        <v>1</v>
      </c>
      <c r="AG22" s="15">
        <v>-0.63500000000000001</v>
      </c>
      <c r="AH22" s="15">
        <v>1</v>
      </c>
      <c r="AI22" s="15">
        <v>-0.185</v>
      </c>
      <c r="AJ22" s="16">
        <v>1</v>
      </c>
      <c r="AK22" s="4">
        <v>0.377</v>
      </c>
      <c r="AL22" s="4">
        <v>1</v>
      </c>
      <c r="AM22" s="4">
        <v>0.215</v>
      </c>
      <c r="AN22" s="4">
        <v>-0.28199999999999997</v>
      </c>
      <c r="AO22" s="4">
        <v>-0.56499999999999995</v>
      </c>
      <c r="AP22" s="4">
        <v>-0.497</v>
      </c>
      <c r="AQ22" s="4">
        <v>0.69499999999999995</v>
      </c>
      <c r="AR22" s="4">
        <v>-0.375</v>
      </c>
      <c r="AS22" s="4">
        <v>-2.7E-2</v>
      </c>
      <c r="AT22" s="4">
        <v>-0.11899999999999999</v>
      </c>
      <c r="AU22" s="4">
        <v>0.14599999999999999</v>
      </c>
      <c r="AV22" s="4">
        <v>0.379</v>
      </c>
      <c r="AW22" s="4">
        <v>0.23799999999999999</v>
      </c>
      <c r="AX22" s="4">
        <v>-0.35799999999999998</v>
      </c>
      <c r="AY22" s="4">
        <v>5.2999999999999999E-2</v>
      </c>
      <c r="AZ22" s="4">
        <v>-0.182</v>
      </c>
      <c r="BA22" s="4">
        <v>7.0000000000000001E-3</v>
      </c>
      <c r="BB22" s="4">
        <v>0.60199999999999998</v>
      </c>
      <c r="BC22" s="4">
        <v>0.73</v>
      </c>
      <c r="BD22" s="4">
        <v>0.622</v>
      </c>
      <c r="BE22" s="4">
        <v>-0.114</v>
      </c>
      <c r="BF22" s="4">
        <v>-0.53700000000000003</v>
      </c>
      <c r="BG22" s="4">
        <v>0.54200000000000004</v>
      </c>
      <c r="BH22" s="4">
        <v>-0.85199999999999998</v>
      </c>
      <c r="BI22" s="4">
        <v>9.9000000000000005E-2</v>
      </c>
      <c r="BJ22" s="4">
        <v>0.66900000000000004</v>
      </c>
      <c r="BK22" s="4">
        <v>0.82199999999999995</v>
      </c>
      <c r="BL22" s="4"/>
      <c r="BM22" s="4">
        <f t="shared" si="11"/>
        <v>8.8974999999999999E-2</v>
      </c>
    </row>
    <row r="23" spans="1:65" x14ac:dyDescent="0.3">
      <c r="A23" t="s">
        <v>73</v>
      </c>
      <c r="B23" s="53">
        <f t="shared" si="4"/>
        <v>1.2E-2</v>
      </c>
      <c r="C23" s="53">
        <f t="shared" si="5"/>
        <v>1.2E-2</v>
      </c>
      <c r="D23" s="53">
        <f t="shared" si="6"/>
        <v>0</v>
      </c>
      <c r="E23" s="53">
        <f t="shared" si="7"/>
        <v>0</v>
      </c>
      <c r="F23" s="15">
        <v>2.8340000000000001</v>
      </c>
      <c r="G23" s="4">
        <v>3.0070000000000001</v>
      </c>
      <c r="H23" t="s">
        <v>57</v>
      </c>
      <c r="I23" t="str">
        <f>VLOOKUP(A23,Setores!$A$2:$C$215,2,0)</f>
        <v>banks</v>
      </c>
      <c r="J23" t="str">
        <f>VLOOKUP(A23,Setores!$A$2:$C$215,3,0)</f>
        <v>neutral_beta</v>
      </c>
      <c r="K23" s="92">
        <v>1.2E-2</v>
      </c>
      <c r="L23" s="42">
        <v>1.2E-2</v>
      </c>
      <c r="M23" s="92">
        <f>VLOOKUP(A23,'Mandato Ibov'!$B$1:$C$215,2,0)</f>
        <v>1.33957637248382E-2</v>
      </c>
      <c r="N23" s="58">
        <f t="shared" si="8"/>
        <v>-1.3957637248381994E-3</v>
      </c>
      <c r="O23" s="42">
        <f t="shared" si="9"/>
        <v>-1.3957637248381994E-3</v>
      </c>
      <c r="P23" s="95">
        <f>VLOOKUP(A23,'Mandato Ibov'!$B$2:$D$215,3,0)</f>
        <v>8.6331965293741098E-3</v>
      </c>
      <c r="Q23" s="42">
        <f t="shared" si="10"/>
        <v>3.3668034706258905E-3</v>
      </c>
      <c r="R23" s="15">
        <v>0.249</v>
      </c>
      <c r="S23" s="15">
        <v>0.52800000000000002</v>
      </c>
      <c r="T23" s="15">
        <v>-3.1E-2</v>
      </c>
      <c r="U23" s="15">
        <v>0.371</v>
      </c>
      <c r="V23" s="15">
        <v>0.36099999999999999</v>
      </c>
      <c r="W23" s="15">
        <v>0.53400000000000003</v>
      </c>
      <c r="X23" s="15">
        <v>0.67200000000000004</v>
      </c>
      <c r="Y23" s="15">
        <v>0.57099999999999995</v>
      </c>
      <c r="Z23" s="15">
        <v>0.91200000000000003</v>
      </c>
      <c r="AA23" s="15">
        <v>0.91100000000000003</v>
      </c>
      <c r="AB23" s="15">
        <v>0.86299999999999999</v>
      </c>
      <c r="AC23" s="15">
        <v>0.91400000000000003</v>
      </c>
      <c r="AD23" s="15">
        <v>0.94499999999999995</v>
      </c>
      <c r="AE23" s="14">
        <v>-7.6999999999999999E-2</v>
      </c>
      <c r="AF23" s="15">
        <v>0.65100000000000002</v>
      </c>
      <c r="AG23" s="15">
        <v>0.92400000000000004</v>
      </c>
      <c r="AH23" s="15">
        <v>-3.7999999999999999E-2</v>
      </c>
      <c r="AI23" s="15">
        <v>-0.27300000000000002</v>
      </c>
      <c r="AJ23" s="16">
        <v>-0.625</v>
      </c>
      <c r="AK23" s="4">
        <v>-5.8000000000000003E-2</v>
      </c>
      <c r="AL23" s="4">
        <v>0.32</v>
      </c>
      <c r="AM23" s="4">
        <v>0.58299999999999996</v>
      </c>
      <c r="AN23" s="4">
        <v>0.34200000000000003</v>
      </c>
      <c r="AO23" s="4">
        <v>0.114</v>
      </c>
      <c r="AP23" s="4">
        <v>-0.51400000000000001</v>
      </c>
      <c r="AQ23" s="4">
        <v>0.13800000000000001</v>
      </c>
      <c r="AR23" s="4">
        <v>0.32100000000000001</v>
      </c>
      <c r="AS23" s="4">
        <v>0.24099999999999999</v>
      </c>
      <c r="AT23" s="4">
        <v>-0.16200000000000001</v>
      </c>
      <c r="AU23" s="4">
        <v>-0.23799999999999999</v>
      </c>
      <c r="AV23" s="4">
        <v>-0.21199999999999999</v>
      </c>
      <c r="AW23" s="4">
        <v>0.442</v>
      </c>
      <c r="AX23" s="4">
        <v>-0.39300000000000002</v>
      </c>
      <c r="AY23" s="4">
        <v>0.67</v>
      </c>
      <c r="AZ23" s="4">
        <v>0.39300000000000002</v>
      </c>
      <c r="BA23" s="4">
        <v>0.65700000000000003</v>
      </c>
      <c r="BB23" s="4">
        <v>-0.40899999999999997</v>
      </c>
      <c r="BC23" s="4">
        <v>-0.23400000000000001</v>
      </c>
      <c r="BD23" s="4">
        <v>0.34</v>
      </c>
      <c r="BE23" s="4">
        <v>-4.3999999999999997E-2</v>
      </c>
      <c r="BF23" s="4">
        <v>0.29099999999999998</v>
      </c>
      <c r="BG23" s="4">
        <v>0.95799999999999996</v>
      </c>
      <c r="BH23" s="4">
        <v>-0.47799999999999998</v>
      </c>
      <c r="BI23" s="4">
        <v>-8.8999999999999996E-2</v>
      </c>
      <c r="BJ23" s="4">
        <v>0.20300000000000001</v>
      </c>
      <c r="BK23" s="4">
        <v>0.42599999999999999</v>
      </c>
      <c r="BL23" s="4"/>
      <c r="BM23" s="4">
        <f t="shared" si="11"/>
        <v>6.3625000000000001E-2</v>
      </c>
    </row>
    <row r="24" spans="1:65" x14ac:dyDescent="0.3">
      <c r="A24" t="s">
        <v>163</v>
      </c>
      <c r="B24" s="53">
        <f t="shared" si="4"/>
        <v>1.4E-2</v>
      </c>
      <c r="C24" s="53">
        <f t="shared" si="5"/>
        <v>1.4E-2</v>
      </c>
      <c r="D24" s="53">
        <f t="shared" si="6"/>
        <v>0</v>
      </c>
      <c r="E24" s="53">
        <f t="shared" si="7"/>
        <v>0</v>
      </c>
      <c r="F24" s="15">
        <v>2.64</v>
      </c>
      <c r="G24" s="4">
        <v>3.3180000000000001</v>
      </c>
      <c r="H24" t="s">
        <v>68</v>
      </c>
      <c r="I24" t="str">
        <f>VLOOKUP(A24,Setores!$A$2:$C$215,2,0)</f>
        <v>building_materials</v>
      </c>
      <c r="J24" t="str">
        <f>VLOOKUP(A24,Setores!$A$2:$C$215,3,0)</f>
        <v>neutral_beta</v>
      </c>
      <c r="K24" s="92">
        <v>1.4E-2</v>
      </c>
      <c r="L24" s="42">
        <v>1.4E-2</v>
      </c>
      <c r="M24" s="92">
        <f>VLOOKUP(A24,'Mandato Ibov'!$B$1:$C$215,2,0)</f>
        <v>1.24790436857528E-2</v>
      </c>
      <c r="N24" s="58">
        <f t="shared" si="8"/>
        <v>1.5209563142471998E-3</v>
      </c>
      <c r="O24" s="42">
        <f t="shared" si="9"/>
        <v>1.5209563142471998E-3</v>
      </c>
      <c r="P24" s="95">
        <f>VLOOKUP(A24,'Mandato Ibov'!$B$2:$D$215,3,0)</f>
        <v>6.5569513623760503E-3</v>
      </c>
      <c r="Q24" s="42">
        <f t="shared" si="10"/>
        <v>7.44304863762395E-3</v>
      </c>
      <c r="R24" s="15">
        <v>0.499</v>
      </c>
      <c r="S24" s="15">
        <v>0.28100000000000003</v>
      </c>
      <c r="T24" s="15">
        <v>0.11</v>
      </c>
      <c r="U24" s="15">
        <v>0.375</v>
      </c>
      <c r="V24" s="15">
        <v>0.126</v>
      </c>
      <c r="W24" s="15">
        <v>0.67300000000000004</v>
      </c>
      <c r="X24" s="15">
        <v>0.95299999999999996</v>
      </c>
      <c r="Y24" s="15">
        <v>0.191</v>
      </c>
      <c r="Z24" s="15">
        <v>0.70199999999999996</v>
      </c>
      <c r="AA24" s="15">
        <v>0.69699999999999995</v>
      </c>
      <c r="AB24" s="15">
        <v>0.90400000000000003</v>
      </c>
      <c r="AC24" s="15">
        <v>0.88800000000000001</v>
      </c>
      <c r="AD24" s="15">
        <v>0.84499999999999997</v>
      </c>
      <c r="AE24" s="14">
        <v>2.1999999999999999E-2</v>
      </c>
      <c r="AF24" s="15">
        <v>0.11600000000000001</v>
      </c>
      <c r="AG24" s="15">
        <v>-0.16500000000000001</v>
      </c>
      <c r="AH24" s="15">
        <v>-0.34100000000000003</v>
      </c>
      <c r="AI24" s="15">
        <v>0.34599999999999997</v>
      </c>
      <c r="AJ24" s="16">
        <v>6.0000000000000001E-3</v>
      </c>
      <c r="AK24" s="4">
        <v>-5.6000000000000001E-2</v>
      </c>
      <c r="AL24" s="4">
        <v>-0.23599999999999999</v>
      </c>
      <c r="AM24" s="4">
        <v>-0.61699999999999999</v>
      </c>
      <c r="AN24" s="4">
        <v>0.82499999999999996</v>
      </c>
      <c r="AO24" s="4">
        <v>0.20899999999999999</v>
      </c>
      <c r="AP24" s="4">
        <v>-0.249</v>
      </c>
      <c r="AQ24" s="4">
        <v>0.34</v>
      </c>
      <c r="AR24" s="4">
        <v>0.86399999999999999</v>
      </c>
      <c r="AS24" s="4">
        <v>0.25800000000000001</v>
      </c>
      <c r="AT24" s="4">
        <v>0.436</v>
      </c>
      <c r="AU24" s="4">
        <v>0.442</v>
      </c>
      <c r="AV24" s="4">
        <v>0.32500000000000001</v>
      </c>
      <c r="AW24" s="4">
        <v>0.39700000000000002</v>
      </c>
      <c r="AX24" s="4">
        <v>4.3999999999999997E-2</v>
      </c>
      <c r="AY24" s="4">
        <v>0.38400000000000001</v>
      </c>
      <c r="AZ24" s="4">
        <v>0.60699999999999998</v>
      </c>
      <c r="BA24" s="4">
        <v>0.46600000000000003</v>
      </c>
      <c r="BB24" s="4">
        <v>-0.29299999999999998</v>
      </c>
      <c r="BC24" s="4">
        <v>-0.375</v>
      </c>
      <c r="BD24" s="4">
        <v>0.39900000000000002</v>
      </c>
      <c r="BE24" s="4">
        <v>-0.373</v>
      </c>
      <c r="BF24" s="4">
        <v>-0.309</v>
      </c>
      <c r="BG24" s="4">
        <v>0.80800000000000005</v>
      </c>
      <c r="BH24" s="4">
        <v>-0.48299999999999998</v>
      </c>
      <c r="BI24" s="4">
        <v>0.215</v>
      </c>
      <c r="BJ24" s="4">
        <v>0.29499999999999998</v>
      </c>
      <c r="BK24" s="4">
        <v>4.7E-2</v>
      </c>
      <c r="BL24" s="4"/>
      <c r="BM24" s="4">
        <f t="shared" si="11"/>
        <v>0.23100000000000001</v>
      </c>
    </row>
    <row r="25" spans="1:65" x14ac:dyDescent="0.3">
      <c r="A25" t="s">
        <v>130</v>
      </c>
      <c r="B25" s="53">
        <v>5.0000000000000001E-3</v>
      </c>
      <c r="C25" s="53">
        <f t="shared" si="5"/>
        <v>5.0000000000000001E-3</v>
      </c>
      <c r="D25" s="53">
        <f t="shared" si="6"/>
        <v>0</v>
      </c>
      <c r="E25" s="53">
        <f t="shared" si="7"/>
        <v>0</v>
      </c>
      <c r="F25" s="15">
        <v>2.6240000000000001</v>
      </c>
      <c r="G25" s="4">
        <v>1.869</v>
      </c>
      <c r="H25" t="s">
        <v>71</v>
      </c>
      <c r="I25" t="str">
        <f>VLOOKUP(A25,Setores!$A$2:$C$215,2,0)</f>
        <v>basic_materials</v>
      </c>
      <c r="J25" t="str">
        <f>VLOOKUP(A25,Setores!$A$2:$C$215,3,0)</f>
        <v>very_high_beta</v>
      </c>
      <c r="K25" s="92">
        <v>5.0000000000000001E-3</v>
      </c>
      <c r="L25" s="42">
        <v>5.0000000000000001E-3</v>
      </c>
      <c r="M25" s="92">
        <f>VLOOKUP(A25,'Mandato Ibov'!$B$1:$C$215,2,0)</f>
        <v>1.24071191852617E-2</v>
      </c>
      <c r="N25" s="58">
        <f t="shared" si="8"/>
        <v>-7.4071191852616994E-3</v>
      </c>
      <c r="O25" s="42">
        <f t="shared" si="9"/>
        <v>-7.4071191852616994E-3</v>
      </c>
      <c r="P25" s="95">
        <f>VLOOKUP(A25,'Mandato Ibov'!$B$2:$D$215,3,0)</f>
        <v>1.1528511670401E-2</v>
      </c>
      <c r="Q25" s="42">
        <f t="shared" si="10"/>
        <v>-6.5285116704010002E-3</v>
      </c>
      <c r="R25" s="15">
        <v>0.33</v>
      </c>
      <c r="S25" s="15">
        <v>0.65800000000000003</v>
      </c>
      <c r="T25" s="15">
        <v>-0.46700000000000003</v>
      </c>
      <c r="U25" s="15">
        <v>0.58899999999999997</v>
      </c>
      <c r="V25" s="15">
        <v>0.20300000000000001</v>
      </c>
      <c r="W25" s="15">
        <v>0.22700000000000001</v>
      </c>
      <c r="X25" s="15">
        <v>-0.08</v>
      </c>
      <c r="Y25" s="15">
        <v>0.47</v>
      </c>
      <c r="Z25" s="15">
        <v>1</v>
      </c>
      <c r="AA25" s="15">
        <v>1</v>
      </c>
      <c r="AB25" s="15">
        <v>0.871</v>
      </c>
      <c r="AC25" s="15">
        <v>0.996</v>
      </c>
      <c r="AD25" s="15">
        <v>0.96599999999999997</v>
      </c>
      <c r="AE25" s="14">
        <v>-0.26500000000000001</v>
      </c>
      <c r="AF25" s="15">
        <v>-0.50800000000000001</v>
      </c>
      <c r="AG25" s="15">
        <v>1</v>
      </c>
      <c r="AH25" s="15">
        <v>-0.754</v>
      </c>
      <c r="AI25" s="15">
        <v>4.1000000000000002E-2</v>
      </c>
      <c r="AJ25" s="16">
        <v>-0.67800000000000005</v>
      </c>
      <c r="AK25" s="4">
        <v>0.10100000000000001</v>
      </c>
      <c r="AL25" s="4">
        <v>-0.54600000000000004</v>
      </c>
      <c r="AM25" s="4">
        <v>-0.20200000000000001</v>
      </c>
      <c r="AN25" s="4">
        <v>-0.54300000000000004</v>
      </c>
      <c r="AO25" s="4">
        <v>0.83399999999999996</v>
      </c>
      <c r="AP25" s="4">
        <v>0.81100000000000005</v>
      </c>
      <c r="AQ25" s="4">
        <v>0.495</v>
      </c>
      <c r="AR25" s="4">
        <v>0.92200000000000004</v>
      </c>
      <c r="AS25" s="4">
        <v>0.36299999999999999</v>
      </c>
      <c r="AT25" s="4">
        <v>0.95599999999999996</v>
      </c>
      <c r="AU25" s="4">
        <v>0.373</v>
      </c>
      <c r="AV25" s="4">
        <v>0.83499999999999996</v>
      </c>
      <c r="AW25" s="4">
        <v>4.5999999999999999E-2</v>
      </c>
      <c r="AX25" s="4">
        <v>0.16700000000000001</v>
      </c>
      <c r="AY25" s="4">
        <v>-0.35299999999999998</v>
      </c>
      <c r="AZ25" s="4">
        <v>0.14099999999999999</v>
      </c>
      <c r="BA25" s="4">
        <v>0.65700000000000003</v>
      </c>
      <c r="BB25" s="4">
        <v>-0.28199999999999997</v>
      </c>
      <c r="BC25" s="4">
        <v>0.33</v>
      </c>
      <c r="BD25" s="4">
        <v>0.64600000000000002</v>
      </c>
      <c r="BE25" s="4">
        <v>1</v>
      </c>
      <c r="BF25" s="4">
        <v>-0.36399999999999999</v>
      </c>
      <c r="BG25" s="4">
        <v>-0.78600000000000003</v>
      </c>
      <c r="BH25" s="4">
        <v>-1</v>
      </c>
      <c r="BI25" s="4">
        <v>0.36099999999999999</v>
      </c>
      <c r="BJ25" s="4">
        <v>-1.9E-2</v>
      </c>
      <c r="BK25" s="4">
        <v>-0.45500000000000002</v>
      </c>
      <c r="BL25" s="4"/>
      <c r="BM25" s="4">
        <f t="shared" si="11"/>
        <v>0.42712499999999998</v>
      </c>
    </row>
    <row r="26" spans="1:65" x14ac:dyDescent="0.3">
      <c r="A26" t="s">
        <v>82</v>
      </c>
      <c r="B26" s="53">
        <v>1.4999999999999999E-2</v>
      </c>
      <c r="C26" s="53">
        <f t="shared" si="5"/>
        <v>1.2999999999999999E-2</v>
      </c>
      <c r="D26" s="53">
        <f t="shared" si="6"/>
        <v>1.4999999999999999E-2</v>
      </c>
      <c r="E26" s="53">
        <f t="shared" si="7"/>
        <v>2E-3</v>
      </c>
      <c r="F26" s="15">
        <v>2.61</v>
      </c>
      <c r="G26" s="4">
        <v>3.5169999999999999</v>
      </c>
      <c r="H26" t="s">
        <v>71</v>
      </c>
      <c r="I26" t="str">
        <f>VLOOKUP(A26,Setores!$A$2:$C$215,2,0)</f>
        <v>basic_materials</v>
      </c>
      <c r="J26" t="str">
        <f>VLOOKUP(A26,Setores!$A$2:$C$215,3,0)</f>
        <v>neutral_beta</v>
      </c>
      <c r="K26" s="92">
        <v>0</v>
      </c>
      <c r="L26" s="42">
        <v>-2E-3</v>
      </c>
      <c r="M26" s="92">
        <f>VLOOKUP(A26,'Mandato Ibov'!$B$1:$C$215,2,0)</f>
        <v>1.47029891631534E-2</v>
      </c>
      <c r="N26" s="58">
        <f t="shared" si="8"/>
        <v>-1.47029891631534E-2</v>
      </c>
      <c r="O26" s="42">
        <f t="shared" si="9"/>
        <v>2.9701083684659929E-4</v>
      </c>
      <c r="P26" s="95">
        <f>VLOOKUP(A26,'Mandato Ibov'!$B$2:$D$215,3,0)</f>
        <v>1.0668914485443E-2</v>
      </c>
      <c r="Q26" s="42">
        <f t="shared" si="10"/>
        <v>-1.0668914485443E-2</v>
      </c>
      <c r="R26" s="15">
        <v>-0.11700000000000001</v>
      </c>
      <c r="S26" s="15">
        <v>0.40799999999999997</v>
      </c>
      <c r="T26" s="15">
        <v>-0.56599999999999995</v>
      </c>
      <c r="U26" s="15">
        <v>0.127</v>
      </c>
      <c r="V26" s="15">
        <v>5.5E-2</v>
      </c>
      <c r="W26" s="15">
        <v>0.433</v>
      </c>
      <c r="X26" s="15">
        <v>0.59299999999999997</v>
      </c>
      <c r="Y26" s="15">
        <v>0.84799999999999998</v>
      </c>
      <c r="Z26" s="15">
        <v>0.81299999999999994</v>
      </c>
      <c r="AA26" s="15">
        <v>0.80900000000000005</v>
      </c>
      <c r="AB26" s="15">
        <v>0.86499999999999999</v>
      </c>
      <c r="AC26" s="15">
        <v>0.76700000000000002</v>
      </c>
      <c r="AD26" s="15">
        <v>0.93899999999999995</v>
      </c>
      <c r="AE26" s="14">
        <v>-0.158</v>
      </c>
      <c r="AF26" s="15">
        <v>-0.60499999999999998</v>
      </c>
      <c r="AG26" s="15">
        <v>0.57399999999999995</v>
      </c>
      <c r="AH26" s="15">
        <v>-0.65</v>
      </c>
      <c r="AI26" s="15">
        <v>0.29799999999999999</v>
      </c>
      <c r="AJ26" s="16">
        <v>-0.49099999999999999</v>
      </c>
      <c r="AK26" s="4">
        <v>-0.30599999999999999</v>
      </c>
      <c r="AL26" s="4">
        <v>0.621</v>
      </c>
      <c r="AM26" s="4">
        <v>-0.439</v>
      </c>
      <c r="AN26" s="4">
        <v>-0.49099999999999999</v>
      </c>
      <c r="AO26" s="4">
        <v>0.871</v>
      </c>
      <c r="AP26" s="4">
        <v>0.22500000000000001</v>
      </c>
      <c r="AQ26" s="4">
        <v>-0.77200000000000002</v>
      </c>
      <c r="AR26" s="4">
        <v>0.68600000000000005</v>
      </c>
      <c r="AS26" s="4">
        <v>0.40300000000000002</v>
      </c>
      <c r="AT26" s="4">
        <v>4.3999999999999997E-2</v>
      </c>
      <c r="AU26" s="4">
        <v>0.12</v>
      </c>
      <c r="AV26" s="4">
        <v>0.11899999999999999</v>
      </c>
      <c r="AW26" s="4">
        <v>0.56299999999999994</v>
      </c>
      <c r="AX26" s="4">
        <v>0.02</v>
      </c>
      <c r="AY26" s="4">
        <v>0.55300000000000005</v>
      </c>
      <c r="AZ26" s="4">
        <v>-0.78700000000000003</v>
      </c>
      <c r="BA26" s="4">
        <v>0.34100000000000003</v>
      </c>
      <c r="BB26" s="4">
        <v>-9.0999999999999998E-2</v>
      </c>
      <c r="BC26" s="4">
        <v>0.377</v>
      </c>
      <c r="BD26" s="4">
        <v>0.60199999999999998</v>
      </c>
      <c r="BE26" s="4">
        <v>-0.32700000000000001</v>
      </c>
      <c r="BF26" s="4">
        <v>0.33500000000000002</v>
      </c>
      <c r="BG26" s="4">
        <v>0.67300000000000004</v>
      </c>
      <c r="BH26" s="4">
        <v>-0.40300000000000002</v>
      </c>
      <c r="BI26" s="4">
        <v>-0.36</v>
      </c>
      <c r="BJ26" s="4">
        <v>-0.27700000000000002</v>
      </c>
      <c r="BK26" s="4">
        <v>9.6000000000000002E-2</v>
      </c>
      <c r="BL26" s="4"/>
      <c r="BM26" s="4">
        <f t="shared" si="11"/>
        <v>0.17030000000000003</v>
      </c>
    </row>
    <row r="27" spans="1:65" x14ac:dyDescent="0.3">
      <c r="A27" t="s">
        <v>167</v>
      </c>
      <c r="B27" s="53">
        <f>K27</f>
        <v>8.9999999999999993E-3</v>
      </c>
      <c r="C27" s="53">
        <f t="shared" si="5"/>
        <v>8.9999999999999993E-3</v>
      </c>
      <c r="D27" s="53">
        <f t="shared" si="6"/>
        <v>0</v>
      </c>
      <c r="E27" s="53">
        <f t="shared" si="7"/>
        <v>0</v>
      </c>
      <c r="F27" s="15">
        <v>2.6019999999999999</v>
      </c>
      <c r="G27" s="4">
        <v>2.2549999999999999</v>
      </c>
      <c r="H27" t="s">
        <v>57</v>
      </c>
      <c r="I27" t="str">
        <f>VLOOKUP(A27,Setores!$A$2:$C$215,2,0)</f>
        <v>tech</v>
      </c>
      <c r="J27" t="str">
        <f>VLOOKUP(A27,Setores!$A$2:$C$215,3,0)</f>
        <v>high_beta</v>
      </c>
      <c r="K27" s="92">
        <v>8.9999999999999993E-3</v>
      </c>
      <c r="L27" s="42">
        <v>8.9999999999999993E-3</v>
      </c>
      <c r="M27" s="92">
        <f>VLOOKUP(A27,'Mandato Ibov'!$B$1:$C$215,2,0)</f>
        <v>1.2303014550779E-2</v>
      </c>
      <c r="N27" s="58">
        <f t="shared" si="8"/>
        <v>-3.3030145507790005E-3</v>
      </c>
      <c r="O27" s="42">
        <f t="shared" si="9"/>
        <v>-3.3030145507790005E-3</v>
      </c>
      <c r="P27" s="95">
        <f>VLOOKUP(A27,'Mandato Ibov'!$B$2:$D$215,3,0)</f>
        <v>8.8324623825414405E-3</v>
      </c>
      <c r="Q27" s="42">
        <f t="shared" si="10"/>
        <v>1.6753761745855883E-4</v>
      </c>
      <c r="R27" s="15">
        <v>0.71299999999999997</v>
      </c>
      <c r="S27" s="15">
        <v>0.61099999999999999</v>
      </c>
      <c r="T27" s="15">
        <v>0.23200000000000001</v>
      </c>
      <c r="U27" s="15">
        <v>0.68300000000000005</v>
      </c>
      <c r="V27" s="15">
        <v>0.433</v>
      </c>
      <c r="W27" s="15">
        <v>0.27500000000000002</v>
      </c>
      <c r="X27" s="15">
        <v>-7.0000000000000001E-3</v>
      </c>
      <c r="Y27" s="15">
        <v>0.34300000000000003</v>
      </c>
      <c r="Z27" s="15">
        <v>0.23300000000000001</v>
      </c>
      <c r="AA27" s="15">
        <v>0.23599999999999999</v>
      </c>
      <c r="AB27" s="15">
        <v>0.99399999999999999</v>
      </c>
      <c r="AC27" s="15">
        <v>0.89</v>
      </c>
      <c r="AD27" s="15">
        <v>0.877</v>
      </c>
      <c r="AE27" s="14">
        <v>0.83399999999999996</v>
      </c>
      <c r="AF27" s="15">
        <v>-0.13900000000000001</v>
      </c>
      <c r="AG27" s="15">
        <v>0.11600000000000001</v>
      </c>
      <c r="AH27" s="15">
        <v>-0.40100000000000002</v>
      </c>
      <c r="AI27" s="15">
        <v>0.13900000000000001</v>
      </c>
      <c r="AJ27" s="16">
        <v>0.27800000000000002</v>
      </c>
      <c r="AK27" s="4">
        <v>0.113</v>
      </c>
      <c r="AL27" s="4">
        <v>-0.28799999999999998</v>
      </c>
      <c r="AM27" s="4">
        <v>-0.69799999999999995</v>
      </c>
      <c r="AN27" s="4">
        <v>0.72099999999999997</v>
      </c>
      <c r="AO27" s="4">
        <v>0.29199999999999998</v>
      </c>
      <c r="AP27" s="4">
        <v>0.79100000000000004</v>
      </c>
      <c r="AQ27" s="4">
        <v>7.5999999999999998E-2</v>
      </c>
      <c r="AR27" s="4">
        <v>0.81499999999999995</v>
      </c>
      <c r="AS27" s="4">
        <v>0.80400000000000005</v>
      </c>
      <c r="AT27" s="4">
        <v>0.59399999999999997</v>
      </c>
      <c r="AU27" s="4">
        <v>-0.22900000000000001</v>
      </c>
      <c r="AV27" s="4">
        <v>0.84199999999999997</v>
      </c>
      <c r="AW27" s="4">
        <v>0.182</v>
      </c>
      <c r="AX27" s="4">
        <v>0.495</v>
      </c>
      <c r="AY27" s="4">
        <v>0.755</v>
      </c>
      <c r="AZ27" s="4">
        <v>-0.27100000000000002</v>
      </c>
      <c r="BA27" s="4">
        <v>0.61799999999999999</v>
      </c>
      <c r="BB27" s="4">
        <v>8.6999999999999994E-2</v>
      </c>
      <c r="BC27" s="4">
        <v>0.41299999999999998</v>
      </c>
      <c r="BD27" s="4">
        <v>0.44400000000000001</v>
      </c>
      <c r="BE27" s="4">
        <v>-0.99399999999999999</v>
      </c>
      <c r="BF27" s="4">
        <v>-1</v>
      </c>
      <c r="BG27" s="4">
        <v>-0.44700000000000001</v>
      </c>
      <c r="BH27" s="4">
        <v>0.16500000000000001</v>
      </c>
      <c r="BI27" s="4">
        <v>3.7999999999999999E-2</v>
      </c>
      <c r="BJ27" s="4">
        <v>2.5000000000000001E-2</v>
      </c>
      <c r="BK27" s="4">
        <v>-0.151</v>
      </c>
      <c r="BL27" s="4"/>
      <c r="BM27" s="4">
        <f t="shared" si="11"/>
        <v>0.38242500000000001</v>
      </c>
    </row>
    <row r="28" spans="1:65" x14ac:dyDescent="0.3">
      <c r="A28" t="s">
        <v>137</v>
      </c>
      <c r="B28" s="53">
        <f>K28</f>
        <v>7.0000000000000001E-3</v>
      </c>
      <c r="C28" s="53">
        <f t="shared" si="5"/>
        <v>7.0000000000000001E-3</v>
      </c>
      <c r="D28" s="53">
        <f t="shared" si="6"/>
        <v>0</v>
      </c>
      <c r="E28" s="53">
        <f t="shared" si="7"/>
        <v>0</v>
      </c>
      <c r="F28" s="15">
        <v>2.593</v>
      </c>
      <c r="G28" s="4">
        <v>1.861</v>
      </c>
      <c r="H28" t="s">
        <v>57</v>
      </c>
      <c r="I28" t="str">
        <f>VLOOKUP(A28,Setores!$A$2:$C$215,2,0)</f>
        <v>education</v>
      </c>
      <c r="J28" t="str">
        <f>VLOOKUP(A28,Setores!$A$2:$C$215,3,0)</f>
        <v>high_beta</v>
      </c>
      <c r="K28" s="92">
        <v>7.0000000000000001E-3</v>
      </c>
      <c r="L28" s="42">
        <v>7.0000000000000001E-3</v>
      </c>
      <c r="M28" s="92">
        <f>VLOOKUP(A28,'Mandato Ibov'!$B$1:$C$215,2,0)</f>
        <v>1.2257286910069901E-2</v>
      </c>
      <c r="N28" s="58">
        <f t="shared" si="8"/>
        <v>-5.2572869100699004E-3</v>
      </c>
      <c r="O28" s="42">
        <f t="shared" si="9"/>
        <v>-5.2572869100699004E-3</v>
      </c>
      <c r="P28" s="95">
        <f>VLOOKUP(A28,'Mandato Ibov'!$B$2:$D$215,3,0)</f>
        <v>8.4407640030692496E-3</v>
      </c>
      <c r="Q28" s="42">
        <f t="shared" si="10"/>
        <v>-1.4407640030692495E-3</v>
      </c>
      <c r="R28" s="15">
        <v>0.79900000000000004</v>
      </c>
      <c r="S28" s="15">
        <v>0.628</v>
      </c>
      <c r="T28" s="15">
        <v>0.58799999999999997</v>
      </c>
      <c r="U28" s="15">
        <v>0.72499999999999998</v>
      </c>
      <c r="V28" s="15">
        <v>0.60099999999999998</v>
      </c>
      <c r="W28" s="15">
        <v>0.41299999999999998</v>
      </c>
      <c r="X28" s="15">
        <v>0.161</v>
      </c>
      <c r="Y28" s="15">
        <v>0.16400000000000001</v>
      </c>
      <c r="Z28" s="15">
        <v>0.2</v>
      </c>
      <c r="AA28" s="15">
        <v>0.2</v>
      </c>
      <c r="AB28" s="15">
        <v>0.82199999999999995</v>
      </c>
      <c r="AC28" s="15">
        <v>0.58299999999999996</v>
      </c>
      <c r="AD28" s="15">
        <v>0.88800000000000001</v>
      </c>
      <c r="AE28" s="14">
        <v>0.877</v>
      </c>
      <c r="AF28" s="15">
        <v>0.45700000000000002</v>
      </c>
      <c r="AG28" s="15">
        <v>0.33700000000000002</v>
      </c>
      <c r="AH28" s="15">
        <v>-3.4000000000000002E-2</v>
      </c>
      <c r="AI28" s="15">
        <v>1</v>
      </c>
      <c r="AJ28" s="16">
        <v>1</v>
      </c>
      <c r="AK28" s="4">
        <v>0.184</v>
      </c>
      <c r="AL28" s="4">
        <v>-0.76</v>
      </c>
      <c r="AM28" s="4">
        <v>-0.52800000000000002</v>
      </c>
      <c r="AN28" s="4">
        <v>0.45700000000000002</v>
      </c>
      <c r="AO28" s="4">
        <v>0.25</v>
      </c>
      <c r="AP28" s="4">
        <v>0.47199999999999998</v>
      </c>
      <c r="AQ28" s="4">
        <v>0.47199999999999998</v>
      </c>
      <c r="AR28" s="4">
        <v>0.55900000000000005</v>
      </c>
      <c r="AS28" s="4">
        <v>3.7999999999999999E-2</v>
      </c>
      <c r="AT28" s="4">
        <v>0.45900000000000002</v>
      </c>
      <c r="AU28" s="4">
        <v>0.08</v>
      </c>
      <c r="AV28" s="4">
        <v>0.998</v>
      </c>
      <c r="AW28" s="4">
        <v>-0.629</v>
      </c>
      <c r="AX28" s="4">
        <v>2E-3</v>
      </c>
      <c r="AY28" s="4">
        <v>0.747</v>
      </c>
      <c r="AZ28" s="4">
        <v>0.52500000000000002</v>
      </c>
      <c r="BA28" s="4">
        <v>0.27300000000000002</v>
      </c>
      <c r="BB28" s="4">
        <v>-8.0000000000000002E-3</v>
      </c>
      <c r="BC28" s="4">
        <v>4.9000000000000002E-2</v>
      </c>
      <c r="BD28" s="4">
        <v>0.52600000000000002</v>
      </c>
      <c r="BE28" s="4">
        <v>-0.13500000000000001</v>
      </c>
      <c r="BF28" s="4">
        <v>0.54400000000000004</v>
      </c>
      <c r="BG28" s="4">
        <v>0.223</v>
      </c>
      <c r="BH28" s="4">
        <v>-0.623</v>
      </c>
      <c r="BI28" s="4">
        <v>0.27300000000000002</v>
      </c>
      <c r="BJ28" s="4">
        <v>-4.9000000000000002E-2</v>
      </c>
      <c r="BK28" s="4">
        <v>0.54700000000000004</v>
      </c>
      <c r="BL28" s="4"/>
      <c r="BM28" s="4">
        <f t="shared" si="11"/>
        <v>0.252025</v>
      </c>
    </row>
    <row r="29" spans="1:65" x14ac:dyDescent="0.3">
      <c r="A29" t="s">
        <v>136</v>
      </c>
      <c r="B29" s="53">
        <v>0.05</v>
      </c>
      <c r="C29" s="53">
        <f t="shared" si="5"/>
        <v>-0.03</v>
      </c>
      <c r="D29" s="53">
        <f t="shared" si="6"/>
        <v>2.0000000000000004E-2</v>
      </c>
      <c r="E29" s="53">
        <f t="shared" si="7"/>
        <v>0.08</v>
      </c>
      <c r="F29" s="15">
        <v>2.5590000000000002</v>
      </c>
      <c r="G29" s="4">
        <v>5.077</v>
      </c>
      <c r="H29" t="s">
        <v>71</v>
      </c>
      <c r="I29" t="str">
        <f>VLOOKUP(A29,Setores!$A$2:$C$215,2,0)</f>
        <v>crude_oil</v>
      </c>
      <c r="J29" t="str">
        <f>VLOOKUP(A29,Setores!$A$2:$C$215,3,0)</f>
        <v>very_low_beta</v>
      </c>
      <c r="K29" s="92">
        <v>0.03</v>
      </c>
      <c r="L29" s="42">
        <v>-0.05</v>
      </c>
      <c r="M29" s="92">
        <f>VLOOKUP(A29,'Mandato Ibov'!$B$1:$C$215,2,0)</f>
        <v>6.6604102001668497E-2</v>
      </c>
      <c r="N29" s="58">
        <f t="shared" si="8"/>
        <v>-3.6604102001668498E-2</v>
      </c>
      <c r="O29" s="42">
        <f t="shared" si="9"/>
        <v>-1.6604102001668494E-2</v>
      </c>
      <c r="P29" s="95">
        <f>VLOOKUP(A29,'Mandato Ibov'!$B$2:$D$215,3,0)</f>
        <v>7.3419562520658302E-2</v>
      </c>
      <c r="Q29" s="42">
        <f t="shared" si="10"/>
        <v>-4.3419562520658303E-2</v>
      </c>
      <c r="R29" s="15">
        <v>-0.29399999999999998</v>
      </c>
      <c r="S29" s="15">
        <v>0.28000000000000003</v>
      </c>
      <c r="T29" s="15">
        <v>-0.85299999999999998</v>
      </c>
      <c r="U29" s="15">
        <v>0.315</v>
      </c>
      <c r="V29" s="15">
        <v>-0.04</v>
      </c>
      <c r="W29" s="15">
        <v>0.44700000000000001</v>
      </c>
      <c r="X29" s="15">
        <v>0.53100000000000003</v>
      </c>
      <c r="Y29" s="15">
        <v>1</v>
      </c>
      <c r="Z29" s="15">
        <v>1</v>
      </c>
      <c r="AA29" s="15">
        <v>1</v>
      </c>
      <c r="AB29" s="15">
        <v>0.56100000000000005</v>
      </c>
      <c r="AC29" s="15">
        <v>0.73</v>
      </c>
      <c r="AD29" s="15">
        <v>0.88900000000000001</v>
      </c>
      <c r="AE29" s="14">
        <v>-1.7999999999999999E-2</v>
      </c>
      <c r="AF29" s="15">
        <v>-0.745</v>
      </c>
      <c r="AG29" s="15">
        <v>1</v>
      </c>
      <c r="AH29" s="15">
        <v>-0.93500000000000005</v>
      </c>
      <c r="AI29" s="15">
        <v>-0.54400000000000004</v>
      </c>
      <c r="AJ29" s="16">
        <v>-0.92200000000000004</v>
      </c>
      <c r="AK29" s="4">
        <v>0.151</v>
      </c>
      <c r="AL29" s="4">
        <v>0.432</v>
      </c>
      <c r="AM29" s="4">
        <v>-0.54200000000000004</v>
      </c>
      <c r="AN29" s="4">
        <v>-0.64700000000000002</v>
      </c>
      <c r="AO29" s="4">
        <v>0.94399999999999995</v>
      </c>
      <c r="AP29" s="4">
        <v>1</v>
      </c>
      <c r="AQ29" s="4">
        <v>-0.33500000000000002</v>
      </c>
      <c r="AR29" s="4">
        <v>0.14499999999999999</v>
      </c>
      <c r="AS29" s="4">
        <v>3.5000000000000003E-2</v>
      </c>
      <c r="AT29" s="4">
        <v>0.41199999999999998</v>
      </c>
      <c r="AU29" s="4">
        <v>0.26900000000000002</v>
      </c>
      <c r="AV29" s="4">
        <v>0.23</v>
      </c>
      <c r="AW29" s="4">
        <v>0.503</v>
      </c>
      <c r="AX29" s="4">
        <v>-0.21199999999999999</v>
      </c>
      <c r="AY29" s="4">
        <v>0.74299999999999999</v>
      </c>
      <c r="AZ29" s="4">
        <v>0.38900000000000001</v>
      </c>
      <c r="BA29" s="4">
        <v>0.39100000000000001</v>
      </c>
      <c r="BB29" s="4">
        <v>-0.151</v>
      </c>
      <c r="BC29" s="4">
        <v>-0.21299999999999999</v>
      </c>
      <c r="BD29" s="4">
        <v>0.60099999999999998</v>
      </c>
      <c r="BE29" s="4">
        <v>-0.67900000000000005</v>
      </c>
      <c r="BF29" s="4">
        <v>0.29299999999999998</v>
      </c>
      <c r="BG29" s="4">
        <v>0.39200000000000002</v>
      </c>
      <c r="BH29" s="4">
        <v>-0.90700000000000003</v>
      </c>
      <c r="BI29" s="4">
        <v>-1</v>
      </c>
      <c r="BJ29" s="4">
        <v>-0.247</v>
      </c>
      <c r="BK29" s="4">
        <v>-0.89800000000000002</v>
      </c>
      <c r="BL29" s="4"/>
      <c r="BM29" s="4">
        <f t="shared" si="11"/>
        <v>0.34197500000000003</v>
      </c>
    </row>
    <row r="30" spans="1:65" x14ac:dyDescent="0.3">
      <c r="A30" t="s">
        <v>84</v>
      </c>
      <c r="B30" s="53">
        <f>K30</f>
        <v>8.0000000000000002E-3</v>
      </c>
      <c r="C30" s="53">
        <f t="shared" si="5"/>
        <v>8.0000000000000002E-3</v>
      </c>
      <c r="D30" s="53">
        <f t="shared" si="6"/>
        <v>0</v>
      </c>
      <c r="E30" s="53">
        <f t="shared" si="7"/>
        <v>0</v>
      </c>
      <c r="F30" s="15">
        <v>2.5230000000000001</v>
      </c>
      <c r="G30" s="4">
        <v>1.9339999999999999</v>
      </c>
      <c r="H30" t="s">
        <v>57</v>
      </c>
      <c r="I30" t="str">
        <f>VLOOKUP(A30,Setores!$A$2:$C$215,2,0)</f>
        <v>banks</v>
      </c>
      <c r="J30" t="str">
        <f>VLOOKUP(A30,Setores!$A$2:$C$215,3,0)</f>
        <v>neutral_beta</v>
      </c>
      <c r="K30" s="92">
        <v>8.0000000000000002E-3</v>
      </c>
      <c r="L30" s="42">
        <v>8.0000000000000002E-3</v>
      </c>
      <c r="M30" s="92">
        <f>VLOOKUP(A30,'Mandato Ibov'!$B$1:$C$215,2,0)</f>
        <v>1.1926820688697199E-2</v>
      </c>
      <c r="N30" s="58">
        <f t="shared" si="8"/>
        <v>-3.9268206886971992E-3</v>
      </c>
      <c r="O30" s="42">
        <f t="shared" si="9"/>
        <v>-3.9268206886971992E-3</v>
      </c>
      <c r="P30" s="95">
        <f>VLOOKUP(A30,'Mandato Ibov'!$B$2:$D$215,3,0)</f>
        <v>1.33335221956458E-2</v>
      </c>
      <c r="Q30" s="42">
        <f t="shared" si="10"/>
        <v>-5.3335221956458002E-3</v>
      </c>
      <c r="R30" s="15">
        <v>0.32600000000000001</v>
      </c>
      <c r="S30" s="15">
        <v>0.39200000000000002</v>
      </c>
      <c r="T30" s="15">
        <v>0.23499999999999999</v>
      </c>
      <c r="U30" s="15">
        <v>0.47599999999999998</v>
      </c>
      <c r="V30" s="15">
        <v>0.39900000000000002</v>
      </c>
      <c r="W30" s="15">
        <v>0.13800000000000001</v>
      </c>
      <c r="X30" s="15">
        <v>-4.8000000000000001E-2</v>
      </c>
      <c r="Y30" s="15">
        <v>0.49299999999999999</v>
      </c>
      <c r="Z30" s="15">
        <v>0.47299999999999998</v>
      </c>
      <c r="AA30" s="15">
        <v>0.47</v>
      </c>
      <c r="AB30" s="15">
        <v>0.88400000000000001</v>
      </c>
      <c r="AC30" s="15">
        <v>0.92400000000000004</v>
      </c>
      <c r="AD30" s="15">
        <v>0.94599999999999995</v>
      </c>
      <c r="AE30" s="14">
        <v>-0.17499999999999999</v>
      </c>
      <c r="AF30" s="15">
        <v>0.65700000000000003</v>
      </c>
      <c r="AG30" s="15">
        <v>0.65500000000000003</v>
      </c>
      <c r="AH30" s="15">
        <v>-0.40300000000000002</v>
      </c>
      <c r="AI30" s="15">
        <v>1</v>
      </c>
      <c r="AJ30" s="16">
        <v>0.65300000000000002</v>
      </c>
      <c r="AK30" s="4">
        <v>-0.112</v>
      </c>
      <c r="AL30" s="4">
        <v>-7.0000000000000007E-2</v>
      </c>
      <c r="AM30" s="4">
        <v>-0.40699999999999997</v>
      </c>
      <c r="AN30" s="4">
        <v>5.8000000000000003E-2</v>
      </c>
      <c r="AO30" s="4">
        <v>0.54300000000000004</v>
      </c>
      <c r="AP30" s="4">
        <v>0.46600000000000003</v>
      </c>
      <c r="AQ30" s="4">
        <v>0.99199999999999999</v>
      </c>
      <c r="AR30" s="4">
        <v>0.51200000000000001</v>
      </c>
      <c r="AS30" s="4">
        <v>-0.16300000000000001</v>
      </c>
      <c r="AT30" s="4">
        <v>0.192</v>
      </c>
      <c r="AU30" s="4">
        <v>-0.23200000000000001</v>
      </c>
      <c r="AV30" s="4">
        <v>8.5000000000000006E-2</v>
      </c>
      <c r="AW30" s="4">
        <v>0.36399999999999999</v>
      </c>
      <c r="AX30" s="4">
        <v>-0.14099999999999999</v>
      </c>
      <c r="AY30" s="4">
        <v>0.47599999999999998</v>
      </c>
      <c r="AZ30" s="4">
        <v>0.44400000000000001</v>
      </c>
      <c r="BA30" s="4">
        <v>0.33300000000000002</v>
      </c>
      <c r="BB30" s="4">
        <v>-0.502</v>
      </c>
      <c r="BC30" s="4">
        <v>-2.3E-2</v>
      </c>
      <c r="BD30" s="4">
        <v>-0.60299999999999998</v>
      </c>
      <c r="BE30" s="4">
        <v>-0.496</v>
      </c>
      <c r="BF30" s="4">
        <v>0.188</v>
      </c>
      <c r="BG30" s="4">
        <v>-0.108</v>
      </c>
      <c r="BH30" s="4">
        <v>-1</v>
      </c>
      <c r="BI30" s="4">
        <v>-0.20399999999999999</v>
      </c>
      <c r="BJ30" s="4">
        <v>0.437</v>
      </c>
      <c r="BK30" s="4">
        <v>0.63800000000000001</v>
      </c>
      <c r="BL30" s="4"/>
      <c r="BM30" s="4">
        <f t="shared" si="11"/>
        <v>0.27042500000000003</v>
      </c>
    </row>
    <row r="31" spans="1:65" x14ac:dyDescent="0.3">
      <c r="A31" t="s">
        <v>90</v>
      </c>
      <c r="B31" s="53">
        <v>0.01</v>
      </c>
      <c r="C31" s="53">
        <f t="shared" si="5"/>
        <v>8.0000000000000002E-3</v>
      </c>
      <c r="D31" s="53">
        <f t="shared" si="6"/>
        <v>-9.9999999999999915E-4</v>
      </c>
      <c r="E31" s="53">
        <f t="shared" si="7"/>
        <v>2E-3</v>
      </c>
      <c r="F31" s="15">
        <v>2.5179999999999998</v>
      </c>
      <c r="G31" s="4">
        <v>2.4710000000000001</v>
      </c>
      <c r="H31" t="s">
        <v>68</v>
      </c>
      <c r="I31" t="str">
        <f>VLOOKUP(A31,Setores!$A$2:$C$215,2,0)</f>
        <v>capital_goods</v>
      </c>
      <c r="J31" t="str">
        <f>VLOOKUP(A31,Setores!$A$2:$C$215,3,0)</f>
        <v>high_beta</v>
      </c>
      <c r="K31" s="92">
        <v>1.0999999999999999E-2</v>
      </c>
      <c r="L31" s="42">
        <v>8.9999999999999993E-3</v>
      </c>
      <c r="M31" s="92">
        <f>VLOOKUP(A31,'Mandato Ibov'!$B$1:$C$215,2,0)</f>
        <v>1.3461488107040899E-2</v>
      </c>
      <c r="N31" s="58">
        <f t="shared" si="8"/>
        <v>-2.4614881070409E-3</v>
      </c>
      <c r="O31" s="42">
        <f t="shared" si="9"/>
        <v>-3.4614881070408991E-3</v>
      </c>
      <c r="P31" s="95">
        <f>VLOOKUP(A31,'Mandato Ibov'!$B$2:$D$215,3,0)</f>
        <v>8.3488414747326205E-3</v>
      </c>
      <c r="Q31" s="42">
        <f t="shared" si="10"/>
        <v>2.6511585252673789E-3</v>
      </c>
      <c r="R31" s="15">
        <v>0.34</v>
      </c>
      <c r="S31" s="15">
        <v>-0.216</v>
      </c>
      <c r="T31" s="15">
        <v>-7.0000000000000001E-3</v>
      </c>
      <c r="U31" s="15">
        <v>0.64300000000000002</v>
      </c>
      <c r="V31" s="15">
        <v>0.16800000000000001</v>
      </c>
      <c r="W31" s="15">
        <v>0.67900000000000005</v>
      </c>
      <c r="X31" s="15">
        <v>0.75700000000000001</v>
      </c>
      <c r="Y31" s="15">
        <v>0.58099999999999996</v>
      </c>
      <c r="Z31" s="15">
        <v>0.311</v>
      </c>
      <c r="AA31" s="15">
        <v>0.313</v>
      </c>
      <c r="AB31" s="15">
        <v>0.79800000000000004</v>
      </c>
      <c r="AC31" s="15">
        <v>0.77900000000000003</v>
      </c>
      <c r="AD31" s="15">
        <v>0.69299999999999995</v>
      </c>
      <c r="AE31" s="14">
        <v>1</v>
      </c>
      <c r="AF31" s="15">
        <v>0.57499999999999996</v>
      </c>
      <c r="AG31" s="15">
        <v>-0.214</v>
      </c>
      <c r="AH31" s="15">
        <v>-0.45900000000000002</v>
      </c>
      <c r="AI31" s="15">
        <v>-0.30599999999999999</v>
      </c>
      <c r="AJ31" s="16">
        <v>8.7999999999999995E-2</v>
      </c>
      <c r="AK31" s="4">
        <v>-3.5000000000000003E-2</v>
      </c>
      <c r="AL31" s="4">
        <v>0.433</v>
      </c>
      <c r="AM31" s="4">
        <v>-0.68500000000000005</v>
      </c>
      <c r="AN31" s="4">
        <v>0.42799999999999999</v>
      </c>
      <c r="AO31" s="4">
        <v>5.7000000000000002E-2</v>
      </c>
      <c r="AP31" s="4">
        <v>0.312</v>
      </c>
      <c r="AQ31" s="4">
        <v>0.59899999999999998</v>
      </c>
      <c r="AR31" s="4">
        <v>0.28299999999999997</v>
      </c>
      <c r="AS31" s="4">
        <v>-0.498</v>
      </c>
      <c r="AT31" s="4">
        <v>0.61399999999999999</v>
      </c>
      <c r="AU31" s="4">
        <v>-0.33700000000000002</v>
      </c>
      <c r="AV31" s="4">
        <v>0.63900000000000001</v>
      </c>
      <c r="AW31" s="4">
        <v>0.41399999999999998</v>
      </c>
      <c r="AX31" s="4">
        <v>0.114</v>
      </c>
      <c r="AY31" s="4">
        <v>0.84299999999999997</v>
      </c>
      <c r="AZ31" s="4">
        <v>0.56100000000000005</v>
      </c>
      <c r="BA31" s="4">
        <v>0.44800000000000001</v>
      </c>
      <c r="BB31" s="4">
        <v>-0.159</v>
      </c>
      <c r="BC31" s="4">
        <v>-0.188</v>
      </c>
      <c r="BD31" s="4">
        <v>0.3</v>
      </c>
      <c r="BE31" s="4">
        <v>-0.187</v>
      </c>
      <c r="BF31" s="4">
        <v>2.7E-2</v>
      </c>
      <c r="BG31" s="4">
        <v>0.58799999999999997</v>
      </c>
      <c r="BH31" s="4">
        <v>-0.85399999999999998</v>
      </c>
      <c r="BI31" s="4">
        <v>0.34599999999999997</v>
      </c>
      <c r="BJ31" s="4">
        <v>-0.38200000000000001</v>
      </c>
      <c r="BK31" s="4">
        <v>-0.151</v>
      </c>
      <c r="BL31" s="4"/>
      <c r="BM31" s="4">
        <f t="shared" si="11"/>
        <v>0.289775</v>
      </c>
    </row>
    <row r="32" spans="1:65" x14ac:dyDescent="0.3">
      <c r="A32" t="s">
        <v>146</v>
      </c>
      <c r="B32" s="53">
        <v>4.3999999999999997E-2</v>
      </c>
      <c r="C32" s="53">
        <f t="shared" si="5"/>
        <v>0</v>
      </c>
      <c r="D32" s="53">
        <f t="shared" si="6"/>
        <v>1.3999999999999999E-2</v>
      </c>
      <c r="E32" s="53">
        <f t="shared" si="7"/>
        <v>4.3999999999999997E-2</v>
      </c>
      <c r="F32" s="15">
        <v>2.4710000000000001</v>
      </c>
      <c r="G32" s="4">
        <v>4.4909999999999997</v>
      </c>
      <c r="H32" t="s">
        <v>71</v>
      </c>
      <c r="I32" t="str">
        <f>VLOOKUP(A32,Setores!$A$2:$C$215,2,0)</f>
        <v>crude_oil</v>
      </c>
      <c r="J32" t="str">
        <f>VLOOKUP(A32,Setores!$A$2:$C$215,3,0)</f>
        <v>very_low_beta</v>
      </c>
      <c r="K32" s="92">
        <v>0.03</v>
      </c>
      <c r="L32" s="42">
        <v>-1.4E-2</v>
      </c>
      <c r="M32" s="92">
        <f>VLOOKUP(A32,'Mandato Ibov'!$B$1:$C$215,2,0)</f>
        <v>6.4329873560453693E-2</v>
      </c>
      <c r="N32" s="58">
        <f t="shared" si="8"/>
        <v>-3.4329873560453694E-2</v>
      </c>
      <c r="O32" s="42">
        <f t="shared" si="9"/>
        <v>-2.0329873560453696E-2</v>
      </c>
      <c r="P32" s="95">
        <f>VLOOKUP(A32,'Mandato Ibov'!$B$2:$D$215,3,0)</f>
        <v>7.2962312421611497E-2</v>
      </c>
      <c r="Q32" s="42">
        <f t="shared" si="10"/>
        <v>-4.2962312421611498E-2</v>
      </c>
      <c r="R32" s="15">
        <v>-0.308</v>
      </c>
      <c r="S32" s="15">
        <v>0.26300000000000001</v>
      </c>
      <c r="T32" s="15">
        <v>-0.84799999999999998</v>
      </c>
      <c r="U32" s="15">
        <v>0.26500000000000001</v>
      </c>
      <c r="V32" s="15">
        <v>-6.7000000000000004E-2</v>
      </c>
      <c r="W32" s="15">
        <v>0.35799999999999998</v>
      </c>
      <c r="X32" s="15">
        <v>0.39600000000000002</v>
      </c>
      <c r="Y32" s="15">
        <v>0.94599999999999995</v>
      </c>
      <c r="Z32" s="15">
        <v>1</v>
      </c>
      <c r="AA32" s="15">
        <v>1</v>
      </c>
      <c r="AB32" s="15">
        <v>0.59599999999999997</v>
      </c>
      <c r="AC32" s="15">
        <v>0.75600000000000001</v>
      </c>
      <c r="AD32" s="15">
        <v>0.88500000000000001</v>
      </c>
      <c r="AE32" s="14">
        <v>-8.8999999999999996E-2</v>
      </c>
      <c r="AF32" s="15">
        <v>-0.77100000000000002</v>
      </c>
      <c r="AG32" s="15">
        <v>1</v>
      </c>
      <c r="AH32" s="15">
        <v>-0.94399999999999995</v>
      </c>
      <c r="AI32" s="15">
        <v>-0.56799999999999995</v>
      </c>
      <c r="AJ32" s="16">
        <v>-0.92600000000000005</v>
      </c>
      <c r="AK32" s="4">
        <v>0.151</v>
      </c>
      <c r="AL32" s="4">
        <v>0.35699999999999998</v>
      </c>
      <c r="AM32" s="4">
        <v>-0.54200000000000004</v>
      </c>
      <c r="AN32" s="4">
        <v>-0.65800000000000003</v>
      </c>
      <c r="AO32" s="4">
        <v>0.93500000000000005</v>
      </c>
      <c r="AP32" s="4">
        <v>1</v>
      </c>
      <c r="AQ32" s="4">
        <v>-0.33500000000000002</v>
      </c>
      <c r="AR32" s="4">
        <v>0.14499999999999999</v>
      </c>
      <c r="AS32" s="4">
        <v>3.5000000000000003E-2</v>
      </c>
      <c r="AT32" s="4">
        <v>0.41199999999999998</v>
      </c>
      <c r="AU32" s="4">
        <v>0.26900000000000002</v>
      </c>
      <c r="AV32" s="4">
        <v>0.223</v>
      </c>
      <c r="AW32" s="4">
        <v>0.40899999999999997</v>
      </c>
      <c r="AX32" s="4">
        <v>-0.21199999999999999</v>
      </c>
      <c r="AY32" s="4">
        <v>0.74299999999999999</v>
      </c>
      <c r="AZ32" s="4">
        <v>0.438</v>
      </c>
      <c r="BA32" s="4">
        <v>0.498</v>
      </c>
      <c r="BB32" s="4">
        <v>-0.151</v>
      </c>
      <c r="BC32" s="4">
        <v>-0.21299999999999999</v>
      </c>
      <c r="BD32" s="4">
        <v>0.624</v>
      </c>
      <c r="BE32" s="4">
        <v>-0.70499999999999996</v>
      </c>
      <c r="BF32" s="4">
        <v>0.311</v>
      </c>
      <c r="BG32" s="4">
        <v>0.27</v>
      </c>
      <c r="BH32" s="4">
        <v>-0.89300000000000002</v>
      </c>
      <c r="BI32" s="4">
        <v>-1</v>
      </c>
      <c r="BJ32" s="4">
        <v>-8.5000000000000006E-2</v>
      </c>
      <c r="BK32" s="4">
        <v>-0.89800000000000002</v>
      </c>
      <c r="BL32" s="4"/>
      <c r="BM32" s="4">
        <f t="shared" si="11"/>
        <v>0.32694999999999996</v>
      </c>
    </row>
    <row r="33" spans="1:65" x14ac:dyDescent="0.3">
      <c r="A33" t="s">
        <v>77</v>
      </c>
      <c r="B33" s="53">
        <f>K33</f>
        <v>8.9999999999999993E-3</v>
      </c>
      <c r="C33" s="53">
        <f t="shared" si="5"/>
        <v>8.9999999999999993E-3</v>
      </c>
      <c r="D33" s="53">
        <f t="shared" si="6"/>
        <v>0</v>
      </c>
      <c r="E33" s="53">
        <f t="shared" si="7"/>
        <v>0</v>
      </c>
      <c r="F33" s="15">
        <v>2.4249999999999998</v>
      </c>
      <c r="G33" s="4">
        <v>1.8420000000000001</v>
      </c>
      <c r="H33" t="s">
        <v>57</v>
      </c>
      <c r="I33" t="str">
        <f>VLOOKUP(A33,Setores!$A$2:$C$215,2,0)</f>
        <v>education</v>
      </c>
      <c r="J33" t="str">
        <f>VLOOKUP(A33,Setores!$A$2:$C$215,3,0)</f>
        <v>very_high_beta</v>
      </c>
      <c r="K33" s="92">
        <v>8.9999999999999993E-3</v>
      </c>
      <c r="L33" s="42">
        <v>8.9999999999999993E-3</v>
      </c>
      <c r="M33" s="92">
        <f>VLOOKUP(A33,'Mandato Ibov'!$B$1:$C$215,2,0)</f>
        <v>1.1465594682522401E-2</v>
      </c>
      <c r="N33" s="58">
        <f t="shared" si="8"/>
        <v>-2.4655946825224012E-3</v>
      </c>
      <c r="O33" s="42">
        <f t="shared" si="9"/>
        <v>-2.4655946825224012E-3</v>
      </c>
      <c r="P33" s="95">
        <f>VLOOKUP(A33,'Mandato Ibov'!$B$2:$D$215,3,0)</f>
        <v>8.9832565085435599E-3</v>
      </c>
      <c r="Q33" s="42">
        <f t="shared" si="10"/>
        <v>1.6743491456439399E-5</v>
      </c>
      <c r="R33" s="15">
        <v>0.69099999999999995</v>
      </c>
      <c r="S33" s="15">
        <v>-1.4E-2</v>
      </c>
      <c r="T33" s="15">
        <v>0.99</v>
      </c>
      <c r="U33" s="15">
        <v>0.68799999999999994</v>
      </c>
      <c r="V33" s="15">
        <v>0.60299999999999998</v>
      </c>
      <c r="W33" s="15">
        <v>0.48699999999999999</v>
      </c>
      <c r="X33" s="15">
        <v>0.433</v>
      </c>
      <c r="Y33" s="15">
        <v>0.112</v>
      </c>
      <c r="Z33" s="15">
        <v>0.14899999999999999</v>
      </c>
      <c r="AA33" s="15">
        <v>0.14799999999999999</v>
      </c>
      <c r="AB33" s="15">
        <v>0.90500000000000003</v>
      </c>
      <c r="AC33" s="15">
        <v>0.70099999999999996</v>
      </c>
      <c r="AD33" s="15">
        <v>0.64300000000000002</v>
      </c>
      <c r="AE33" s="14">
        <v>1</v>
      </c>
      <c r="AF33" s="15">
        <v>1</v>
      </c>
      <c r="AG33" s="15">
        <v>-0.46100000000000002</v>
      </c>
      <c r="AH33" s="15">
        <v>0.72799999999999998</v>
      </c>
      <c r="AI33" s="15">
        <v>-0.22800000000000001</v>
      </c>
      <c r="AJ33" s="16">
        <v>1</v>
      </c>
      <c r="AK33" s="4">
        <v>0.63300000000000001</v>
      </c>
      <c r="AL33" s="4">
        <v>0.309</v>
      </c>
      <c r="AM33" s="4">
        <v>-0.39200000000000002</v>
      </c>
      <c r="AN33" s="4">
        <v>0.60899999999999999</v>
      </c>
      <c r="AO33" s="4">
        <v>-0.624</v>
      </c>
      <c r="AP33" s="4">
        <v>-0.60399999999999998</v>
      </c>
      <c r="AQ33" s="4">
        <v>0.73399999999999999</v>
      </c>
      <c r="AR33" s="4">
        <v>2.1000000000000001E-2</v>
      </c>
      <c r="AS33" s="4">
        <v>-0.56699999999999995</v>
      </c>
      <c r="AT33" s="4">
        <v>0.41</v>
      </c>
      <c r="AU33" s="4">
        <v>0.08</v>
      </c>
      <c r="AV33" s="4">
        <v>0.89700000000000002</v>
      </c>
      <c r="AW33" s="4">
        <v>-0.28599999999999998</v>
      </c>
      <c r="AX33" s="4">
        <v>0.03</v>
      </c>
      <c r="AY33" s="4">
        <v>0.74399999999999999</v>
      </c>
      <c r="AZ33" s="4">
        <v>0.218</v>
      </c>
      <c r="BA33" s="4">
        <v>0.45</v>
      </c>
      <c r="BB33" s="4">
        <v>9.8000000000000004E-2</v>
      </c>
      <c r="BC33" s="4">
        <v>0.17100000000000001</v>
      </c>
      <c r="BD33" s="4">
        <v>0.26800000000000002</v>
      </c>
      <c r="BE33" s="4">
        <v>1</v>
      </c>
      <c r="BF33" s="4">
        <v>1</v>
      </c>
      <c r="BG33" s="4">
        <v>5.6000000000000001E-2</v>
      </c>
      <c r="BH33" s="4">
        <v>-0.29499999999999998</v>
      </c>
      <c r="BI33" s="4">
        <v>0.28499999999999998</v>
      </c>
      <c r="BJ33" s="4">
        <v>0.73399999999999999</v>
      </c>
      <c r="BK33" s="4">
        <v>0.55700000000000005</v>
      </c>
      <c r="BL33" s="4"/>
      <c r="BM33" s="4">
        <f t="shared" si="11"/>
        <v>0.15077500000000005</v>
      </c>
    </row>
    <row r="34" spans="1:65" x14ac:dyDescent="0.3">
      <c r="A34" t="s">
        <v>101</v>
      </c>
      <c r="B34" s="53">
        <f>K34</f>
        <v>1.2999999999999999E-2</v>
      </c>
      <c r="C34" s="53">
        <f t="shared" si="5"/>
        <v>1.2999999999999999E-2</v>
      </c>
      <c r="D34" s="53">
        <f t="shared" si="6"/>
        <v>0</v>
      </c>
      <c r="E34" s="53">
        <f t="shared" si="7"/>
        <v>0</v>
      </c>
      <c r="F34" s="15">
        <v>2.3660000000000001</v>
      </c>
      <c r="G34" s="4">
        <v>2.5790000000000002</v>
      </c>
      <c r="H34" t="s">
        <v>71</v>
      </c>
      <c r="I34" t="str">
        <f>VLOOKUP(A34,Setores!$A$2:$C$215,2,0)</f>
        <v>crude_oil</v>
      </c>
      <c r="J34" t="str">
        <f>VLOOKUP(A34,Setores!$A$2:$C$215,3,0)</f>
        <v>very_low_beta</v>
      </c>
      <c r="K34" s="92">
        <v>1.2999999999999999E-2</v>
      </c>
      <c r="L34" s="42">
        <v>1.2999999999999999E-2</v>
      </c>
      <c r="M34" s="92">
        <f>VLOOKUP(A34,'Mandato Ibov'!$B$1:$C$215,2,0)</f>
        <v>1.11870247999256E-2</v>
      </c>
      <c r="N34" s="58">
        <f t="shared" si="8"/>
        <v>1.8129752000743994E-3</v>
      </c>
      <c r="O34" s="42">
        <f t="shared" si="9"/>
        <v>1.8129752000743994E-3</v>
      </c>
      <c r="P34" s="95">
        <f>VLOOKUP(A34,'Mandato Ibov'!$B$2:$D$215,3,0)</f>
        <v>1.08942287325997E-2</v>
      </c>
      <c r="Q34" s="42">
        <f t="shared" si="10"/>
        <v>2.1057712674002992E-3</v>
      </c>
      <c r="R34" s="15">
        <v>0.33100000000000002</v>
      </c>
      <c r="S34" s="15">
        <v>0.40899999999999997</v>
      </c>
      <c r="T34" s="15">
        <v>-0.13100000000000001</v>
      </c>
      <c r="U34" s="15">
        <v>0.32400000000000001</v>
      </c>
      <c r="V34" s="15">
        <v>0.11899999999999999</v>
      </c>
      <c r="W34" s="15">
        <v>0.48399999999999999</v>
      </c>
      <c r="X34" s="15">
        <v>0.35</v>
      </c>
      <c r="Y34" s="15">
        <v>6.2E-2</v>
      </c>
      <c r="Z34" s="15">
        <v>0.72299999999999998</v>
      </c>
      <c r="AA34" s="15">
        <v>0.71799999999999997</v>
      </c>
      <c r="AB34" s="15">
        <v>0.75</v>
      </c>
      <c r="AC34" s="15">
        <v>0.86</v>
      </c>
      <c r="AD34" s="15">
        <v>0.99099999999999999</v>
      </c>
      <c r="AE34" s="14">
        <v>-0.318</v>
      </c>
      <c r="AF34" s="15">
        <v>-8.4000000000000005E-2</v>
      </c>
      <c r="AG34" s="15">
        <v>0.57399999999999995</v>
      </c>
      <c r="AH34" s="15">
        <v>-0.499</v>
      </c>
      <c r="AI34" s="15">
        <v>1</v>
      </c>
      <c r="AJ34" s="16">
        <v>0.28999999999999998</v>
      </c>
      <c r="AK34" s="4">
        <v>-0.30499999999999999</v>
      </c>
      <c r="AL34" s="4">
        <v>-0.94299999999999995</v>
      </c>
      <c r="AM34" s="4">
        <v>-0.72199999999999998</v>
      </c>
      <c r="AN34" s="4">
        <v>0.55600000000000005</v>
      </c>
      <c r="AO34" s="4">
        <v>0.76500000000000001</v>
      </c>
      <c r="AP34" s="4">
        <v>0.74</v>
      </c>
      <c r="AQ34" s="4">
        <v>0.81299999999999994</v>
      </c>
      <c r="AR34" s="4">
        <v>0.69599999999999995</v>
      </c>
      <c r="AS34" s="4">
        <v>0.12</v>
      </c>
      <c r="AT34" s="4">
        <v>0.191</v>
      </c>
      <c r="AU34" s="4">
        <v>-0.28899999999999998</v>
      </c>
      <c r="AV34" s="4">
        <v>0.54600000000000004</v>
      </c>
      <c r="AW34" s="4">
        <v>0.503</v>
      </c>
      <c r="AX34" s="4">
        <v>-0.16300000000000001</v>
      </c>
      <c r="AY34" s="4">
        <v>0.67100000000000004</v>
      </c>
      <c r="AZ34" s="4">
        <v>-0.49</v>
      </c>
      <c r="BA34" s="4">
        <v>0.96599999999999997</v>
      </c>
      <c r="BB34" s="4">
        <v>-0.371</v>
      </c>
      <c r="BC34" s="4">
        <v>-0.73</v>
      </c>
      <c r="BD34" s="4">
        <v>0.54600000000000004</v>
      </c>
      <c r="BE34" s="4">
        <v>-0.59299999999999997</v>
      </c>
      <c r="BF34" s="4">
        <v>0.24099999999999999</v>
      </c>
      <c r="BG34" s="4">
        <v>0.80900000000000005</v>
      </c>
      <c r="BH34" s="4">
        <v>-0.61499999999999999</v>
      </c>
      <c r="BI34" s="4">
        <v>-0.83799999999999997</v>
      </c>
      <c r="BJ34" s="4">
        <v>0.66</v>
      </c>
      <c r="BK34" s="4">
        <v>0.64500000000000002</v>
      </c>
      <c r="BL34" s="4"/>
      <c r="BM34" s="4">
        <f t="shared" si="11"/>
        <v>0.33390000000000009</v>
      </c>
    </row>
    <row r="35" spans="1:65" x14ac:dyDescent="0.3">
      <c r="A35" t="s">
        <v>599</v>
      </c>
      <c r="B35" s="53">
        <v>3.0000000000000001E-3</v>
      </c>
      <c r="C35" s="53">
        <f t="shared" si="5"/>
        <v>3.0000000000000001E-3</v>
      </c>
      <c r="D35" s="53">
        <f t="shared" si="6"/>
        <v>-7.0000000000000001E-3</v>
      </c>
      <c r="E35" s="53">
        <f t="shared" si="7"/>
        <v>0</v>
      </c>
      <c r="F35" s="15">
        <v>2.359</v>
      </c>
      <c r="G35" s="4">
        <v>1.7470000000000001</v>
      </c>
      <c r="H35" t="s">
        <v>57</v>
      </c>
      <c r="I35" t="str">
        <f>VLOOKUP(A35,Setores!$A$2:$C$215,2,0)</f>
        <v>consumer_services</v>
      </c>
      <c r="J35" t="str">
        <f>VLOOKUP(A35,Setores!$A$2:$C$215,3,0)</f>
        <v>very_low_beta</v>
      </c>
      <c r="K35" s="92">
        <v>0.01</v>
      </c>
      <c r="L35" s="42">
        <v>0.01</v>
      </c>
      <c r="M35" s="92">
        <f>VLOOKUP(A35,'Mandato Ibov'!$B$1:$C$215,2,0)</f>
        <v>1.11506274582279E-2</v>
      </c>
      <c r="N35" s="58">
        <f t="shared" si="8"/>
        <v>-1.1506274582278996E-3</v>
      </c>
      <c r="O35" s="42">
        <f t="shared" si="9"/>
        <v>-8.1506274582279006E-3</v>
      </c>
      <c r="P35" s="95">
        <f>VLOOKUP(A35,'Mandato Ibov'!$B$2:$D$215,3,0)</f>
        <v>0</v>
      </c>
      <c r="Q35" s="42">
        <f t="shared" si="10"/>
        <v>0.01</v>
      </c>
      <c r="R35" s="15">
        <v>0.84699999999999998</v>
      </c>
      <c r="S35" s="15">
        <v>0.872</v>
      </c>
      <c r="T35" s="15">
        <v>1</v>
      </c>
      <c r="U35" s="15">
        <v>0.53700000000000003</v>
      </c>
      <c r="V35" s="15">
        <v>0.86299999999999999</v>
      </c>
      <c r="W35" s="15">
        <v>0.23100000000000001</v>
      </c>
      <c r="X35" s="15">
        <v>-0.08</v>
      </c>
      <c r="Y35" s="15">
        <v>-0.224</v>
      </c>
      <c r="Z35" s="15">
        <v>0.215</v>
      </c>
      <c r="AA35" s="15">
        <v>0.214</v>
      </c>
      <c r="AB35" s="15">
        <v>0.80700000000000005</v>
      </c>
      <c r="AC35" s="15">
        <v>0.76600000000000001</v>
      </c>
      <c r="AD35" s="15">
        <v>0.79200000000000004</v>
      </c>
      <c r="AE35" s="14">
        <v>0.96399999999999997</v>
      </c>
      <c r="AF35" s="15">
        <v>1</v>
      </c>
      <c r="AG35" s="15">
        <v>0.189</v>
      </c>
      <c r="AH35" s="15">
        <v>1</v>
      </c>
      <c r="AI35" s="15">
        <v>0.64900000000000002</v>
      </c>
      <c r="AJ35" s="16">
        <v>0.61699999999999999</v>
      </c>
      <c r="AK35" s="4">
        <v>0.17599999999999999</v>
      </c>
      <c r="AL35" s="4">
        <v>-0.72299999999999998</v>
      </c>
      <c r="AM35" s="4">
        <v>0.64100000000000001</v>
      </c>
      <c r="AN35" s="4">
        <v>0.60099999999999998</v>
      </c>
      <c r="AO35" s="4">
        <v>-0.32200000000000001</v>
      </c>
      <c r="AP35" s="4">
        <v>0.13600000000000001</v>
      </c>
      <c r="AQ35" s="4">
        <v>0.47099999999999997</v>
      </c>
      <c r="AR35" s="4">
        <v>0.252</v>
      </c>
      <c r="AS35" s="4">
        <v>-0.14299999999999999</v>
      </c>
      <c r="AT35" s="4">
        <v>-4.1000000000000002E-2</v>
      </c>
      <c r="AU35" s="4">
        <v>-0.28199999999999997</v>
      </c>
      <c r="AV35" s="4">
        <v>0.46200000000000002</v>
      </c>
      <c r="AW35" s="4">
        <v>-0.19400000000000001</v>
      </c>
      <c r="AX35" s="4">
        <v>-0.33</v>
      </c>
      <c r="AY35" s="4">
        <v>0.94299999999999995</v>
      </c>
      <c r="AZ35" s="4">
        <v>-0.35899999999999999</v>
      </c>
      <c r="BA35" s="4">
        <v>0.98499999999999999</v>
      </c>
      <c r="BB35" s="4">
        <v>0.14799999999999999</v>
      </c>
      <c r="BC35" s="4">
        <v>3.5000000000000003E-2</v>
      </c>
      <c r="BD35" s="4">
        <v>0.35</v>
      </c>
      <c r="BE35" s="4">
        <v>1</v>
      </c>
      <c r="BF35" s="4">
        <v>0.46800000000000003</v>
      </c>
      <c r="BG35" s="4">
        <v>0.3</v>
      </c>
      <c r="BH35" s="4">
        <v>0.64500000000000002</v>
      </c>
      <c r="BI35" s="4">
        <v>-0.68</v>
      </c>
      <c r="BJ35" s="4">
        <v>0.81499999999999995</v>
      </c>
      <c r="BK35" s="4">
        <v>1</v>
      </c>
      <c r="BL35" s="4"/>
      <c r="BM35" s="4">
        <f t="shared" si="11"/>
        <v>0.1022</v>
      </c>
    </row>
    <row r="36" spans="1:65" x14ac:dyDescent="0.3">
      <c r="A36" t="s">
        <v>85</v>
      </c>
      <c r="B36" s="53">
        <f>K36</f>
        <v>7.0000000000000001E-3</v>
      </c>
      <c r="C36" s="53">
        <f t="shared" si="5"/>
        <v>7.0000000000000001E-3</v>
      </c>
      <c r="D36" s="53">
        <f t="shared" si="6"/>
        <v>0</v>
      </c>
      <c r="E36" s="53">
        <f t="shared" si="7"/>
        <v>0</v>
      </c>
      <c r="F36" s="15">
        <v>2.3580000000000001</v>
      </c>
      <c r="G36" s="4">
        <v>1.8360000000000001</v>
      </c>
      <c r="H36" t="s">
        <v>57</v>
      </c>
      <c r="I36" t="str">
        <f>VLOOKUP(A36,Setores!$A$2:$C$215,2,0)</f>
        <v>education</v>
      </c>
      <c r="J36" t="str">
        <f>VLOOKUP(A36,Setores!$A$2:$C$215,3,0)</f>
        <v>neutral_beta</v>
      </c>
      <c r="K36" s="92">
        <v>7.0000000000000001E-3</v>
      </c>
      <c r="L36" s="42">
        <v>7.0000000000000001E-3</v>
      </c>
      <c r="M36" s="92">
        <f>VLOOKUP(A36,'Mandato Ibov'!$B$1:$C$215,2,0)</f>
        <v>1.1147111136295899E-2</v>
      </c>
      <c r="N36" s="58">
        <f t="shared" si="8"/>
        <v>-4.1471111362958992E-3</v>
      </c>
      <c r="O36" s="42">
        <f t="shared" si="9"/>
        <v>-4.1471111362958992E-3</v>
      </c>
      <c r="P36" s="95">
        <f>VLOOKUP(A36,'Mandato Ibov'!$B$2:$D$215,3,0)</f>
        <v>1.05868248139467E-2</v>
      </c>
      <c r="Q36" s="42">
        <f t="shared" si="10"/>
        <v>-3.5868248139466997E-3</v>
      </c>
      <c r="R36" s="15">
        <v>0.55000000000000004</v>
      </c>
      <c r="S36" s="15">
        <v>0.58799999999999997</v>
      </c>
      <c r="T36" s="15">
        <v>0.40200000000000002</v>
      </c>
      <c r="U36" s="15">
        <v>0.60199999999999998</v>
      </c>
      <c r="V36" s="15">
        <v>0.54700000000000004</v>
      </c>
      <c r="W36" s="15">
        <v>0.17</v>
      </c>
      <c r="X36" s="15">
        <v>0.128</v>
      </c>
      <c r="Y36" s="15">
        <v>-0.11700000000000001</v>
      </c>
      <c r="Z36" s="15">
        <v>0.56399999999999995</v>
      </c>
      <c r="AA36" s="15">
        <v>0.56499999999999995</v>
      </c>
      <c r="AB36" s="15">
        <v>0.92600000000000005</v>
      </c>
      <c r="AC36" s="15">
        <v>0.91100000000000003</v>
      </c>
      <c r="AD36" s="15">
        <v>0.88200000000000001</v>
      </c>
      <c r="AE36" s="14">
        <v>0.504</v>
      </c>
      <c r="AF36" s="15">
        <v>1</v>
      </c>
      <c r="AG36" s="15">
        <v>0.47199999999999998</v>
      </c>
      <c r="AH36" s="15">
        <v>0.10199999999999999</v>
      </c>
      <c r="AI36" s="15">
        <v>0.19500000000000001</v>
      </c>
      <c r="AJ36" s="16">
        <v>0.47899999999999998</v>
      </c>
      <c r="AK36" s="4">
        <v>-0.04</v>
      </c>
      <c r="AL36" s="4">
        <v>-0.91200000000000003</v>
      </c>
      <c r="AM36" s="4">
        <v>0.17199999999999999</v>
      </c>
      <c r="AN36" s="4">
        <v>0.36699999999999999</v>
      </c>
      <c r="AO36" s="4">
        <v>-5.6000000000000001E-2</v>
      </c>
      <c r="AP36" s="4">
        <v>-0.22500000000000001</v>
      </c>
      <c r="AQ36" s="4">
        <v>0.61699999999999999</v>
      </c>
      <c r="AR36" s="4">
        <v>1</v>
      </c>
      <c r="AS36" s="4">
        <v>0.251</v>
      </c>
      <c r="AT36" s="4">
        <v>0.432</v>
      </c>
      <c r="AU36" s="4">
        <v>0.65900000000000003</v>
      </c>
      <c r="AV36" s="4">
        <v>0.51800000000000002</v>
      </c>
      <c r="AW36" s="4">
        <v>-0.34</v>
      </c>
      <c r="AX36" s="4">
        <v>-0.29799999999999999</v>
      </c>
      <c r="AY36" s="4">
        <v>0.58299999999999996</v>
      </c>
      <c r="AZ36" s="4">
        <v>0.23799999999999999</v>
      </c>
      <c r="BA36" s="4">
        <v>0.65</v>
      </c>
      <c r="BB36" s="4">
        <v>-0.21</v>
      </c>
      <c r="BC36" s="4">
        <v>-0.64600000000000002</v>
      </c>
      <c r="BD36" s="4">
        <v>0.42399999999999999</v>
      </c>
      <c r="BE36" s="4">
        <v>-0.81299999999999994</v>
      </c>
      <c r="BF36" s="4">
        <v>0.372</v>
      </c>
      <c r="BG36" s="4">
        <v>-7.4999999999999997E-2</v>
      </c>
      <c r="BH36" s="4">
        <v>-0.44</v>
      </c>
      <c r="BI36" s="4">
        <v>-0.157</v>
      </c>
      <c r="BJ36" s="4">
        <v>0.34699999999999998</v>
      </c>
      <c r="BK36" s="4">
        <v>0.38700000000000001</v>
      </c>
      <c r="BL36" s="4"/>
      <c r="BM36" s="4">
        <f t="shared" si="11"/>
        <v>0.18312500000000004</v>
      </c>
    </row>
    <row r="37" spans="1:65" x14ac:dyDescent="0.3">
      <c r="A37" t="s">
        <v>109</v>
      </c>
      <c r="B37" s="53">
        <v>0</v>
      </c>
      <c r="C37" s="53">
        <f t="shared" si="5"/>
        <v>0</v>
      </c>
      <c r="D37" s="53">
        <f t="shared" si="6"/>
        <v>-2.4E-2</v>
      </c>
      <c r="E37" s="53">
        <f t="shared" si="7"/>
        <v>0</v>
      </c>
      <c r="F37" s="15">
        <v>2.34</v>
      </c>
      <c r="G37" s="4">
        <v>3.177</v>
      </c>
      <c r="H37" t="s">
        <v>57</v>
      </c>
      <c r="I37" t="str">
        <f>VLOOKUP(A37,Setores!$A$2:$C$215,2,0)</f>
        <v>banks</v>
      </c>
      <c r="J37" t="str">
        <f>VLOOKUP(A37,Setores!$A$2:$C$215,3,0)</f>
        <v>neutral_beta</v>
      </c>
      <c r="K37" s="92">
        <v>2.4E-2</v>
      </c>
      <c r="L37" s="42">
        <v>2.4E-2</v>
      </c>
      <c r="M37" s="92">
        <f>VLOOKUP(A37,'Mandato Ibov'!$B$1:$C$215,2,0)</f>
        <v>1.10608129800272E-2</v>
      </c>
      <c r="N37" s="58">
        <f t="shared" si="8"/>
        <v>1.2939187019972801E-2</v>
      </c>
      <c r="O37" s="42">
        <f t="shared" si="9"/>
        <v>-1.10608129800272E-2</v>
      </c>
      <c r="P37" s="95">
        <f>VLOOKUP(A37,'Mandato Ibov'!$B$2:$D$215,3,0)</f>
        <v>7.1802677208213702E-3</v>
      </c>
      <c r="Q37" s="42">
        <f t="shared" si="10"/>
        <v>1.6819732279178629E-2</v>
      </c>
      <c r="R37" s="15">
        <v>-0.02</v>
      </c>
      <c r="S37" s="15">
        <v>-0.124</v>
      </c>
      <c r="T37" s="15">
        <v>-0.47699999999999998</v>
      </c>
      <c r="U37" s="15">
        <v>0.216</v>
      </c>
      <c r="V37" s="15">
        <v>-0.156</v>
      </c>
      <c r="W37" s="15">
        <v>0.42499999999999999</v>
      </c>
      <c r="X37" s="15">
        <v>0.67</v>
      </c>
      <c r="Y37" s="15">
        <v>0.54</v>
      </c>
      <c r="Z37" s="15">
        <v>0.67600000000000005</v>
      </c>
      <c r="AA37" s="15">
        <v>0.67500000000000004</v>
      </c>
      <c r="AB37" s="15">
        <v>0.872</v>
      </c>
      <c r="AC37" s="15">
        <v>0.84499999999999997</v>
      </c>
      <c r="AD37" s="15">
        <v>0.86399999999999999</v>
      </c>
      <c r="AE37" s="14">
        <v>0.14699999999999999</v>
      </c>
      <c r="AF37" s="15">
        <v>-0.222</v>
      </c>
      <c r="AG37" s="15">
        <v>0.09</v>
      </c>
      <c r="AH37" s="15">
        <v>-0.96399999999999997</v>
      </c>
      <c r="AI37" s="15">
        <v>-0.75800000000000001</v>
      </c>
      <c r="AJ37" s="16">
        <v>-0.81599999999999995</v>
      </c>
      <c r="AK37" s="4">
        <v>-0.17399999999999999</v>
      </c>
      <c r="AL37" s="4">
        <v>0.21099999999999999</v>
      </c>
      <c r="AM37" s="4">
        <v>-0.67900000000000005</v>
      </c>
      <c r="AN37" s="4">
        <v>-0.20799999999999999</v>
      </c>
      <c r="AO37" s="4">
        <v>0.498</v>
      </c>
      <c r="AP37" s="4">
        <v>-5.6000000000000001E-2</v>
      </c>
      <c r="AQ37" s="4">
        <v>8.9999999999999993E-3</v>
      </c>
      <c r="AR37" s="4">
        <v>0.30599999999999999</v>
      </c>
      <c r="AS37" s="4">
        <v>0.41299999999999998</v>
      </c>
      <c r="AT37" s="4">
        <v>-1E-3</v>
      </c>
      <c r="AU37" s="4">
        <v>-2E-3</v>
      </c>
      <c r="AV37" s="4">
        <v>0.40300000000000002</v>
      </c>
      <c r="AW37" s="4">
        <v>0.499</v>
      </c>
      <c r="AX37" s="4">
        <v>-0.40100000000000002</v>
      </c>
      <c r="AY37" s="4">
        <v>0.91</v>
      </c>
      <c r="AZ37" s="4">
        <v>0.66800000000000004</v>
      </c>
      <c r="BA37" s="4">
        <v>0.96699999999999997</v>
      </c>
      <c r="BB37" s="4">
        <v>-0.20699999999999999</v>
      </c>
      <c r="BC37" s="4">
        <v>1.4E-2</v>
      </c>
      <c r="BD37" s="4">
        <v>0.55700000000000005</v>
      </c>
      <c r="BE37" s="4">
        <v>-0.215</v>
      </c>
      <c r="BF37" s="4">
        <v>-0.33900000000000002</v>
      </c>
      <c r="BG37" s="4">
        <v>0.84099999999999997</v>
      </c>
      <c r="BH37" s="4">
        <v>-0.65600000000000003</v>
      </c>
      <c r="BI37" s="4">
        <v>-0.14599999999999999</v>
      </c>
      <c r="BJ37" s="4">
        <v>0.90300000000000002</v>
      </c>
      <c r="BK37" s="4">
        <v>-0.70899999999999996</v>
      </c>
      <c r="BL37" s="4"/>
      <c r="BM37" s="4">
        <f t="shared" si="11"/>
        <v>0.187525</v>
      </c>
    </row>
    <row r="38" spans="1:65" x14ac:dyDescent="0.3">
      <c r="A38" t="s">
        <v>97</v>
      </c>
      <c r="B38" s="53">
        <f t="shared" ref="B38:B44" si="12">K38</f>
        <v>1.6E-2</v>
      </c>
      <c r="C38" s="53">
        <f t="shared" si="5"/>
        <v>1.6E-2</v>
      </c>
      <c r="D38" s="53">
        <f t="shared" si="6"/>
        <v>0</v>
      </c>
      <c r="E38" s="53">
        <f t="shared" si="7"/>
        <v>0</v>
      </c>
      <c r="F38" s="15">
        <v>2.2639999999999998</v>
      </c>
      <c r="G38" s="4">
        <v>2.9649999999999999</v>
      </c>
      <c r="H38" t="s">
        <v>57</v>
      </c>
      <c r="I38" t="str">
        <f>VLOOKUP(A38,Setores!$A$2:$C$215,2,0)</f>
        <v>banks</v>
      </c>
      <c r="J38" t="str">
        <f>VLOOKUP(A38,Setores!$A$2:$C$215,3,0)</f>
        <v>low_beta</v>
      </c>
      <c r="K38" s="92">
        <v>1.6E-2</v>
      </c>
      <c r="L38" s="42">
        <v>1.6E-2</v>
      </c>
      <c r="M38" s="92">
        <f>VLOOKUP(A38,'Mandato Ibov'!$B$1:$C$215,2,0)</f>
        <v>1.0702295883290301E-2</v>
      </c>
      <c r="N38" s="58">
        <f t="shared" si="8"/>
        <v>5.2977041167096995E-3</v>
      </c>
      <c r="O38" s="42">
        <f t="shared" si="9"/>
        <v>5.2977041167096995E-3</v>
      </c>
      <c r="P38" s="95">
        <f>VLOOKUP(A38,'Mandato Ibov'!$B$2:$D$215,3,0)</f>
        <v>5.5117039047472699E-3</v>
      </c>
      <c r="Q38" s="42">
        <f t="shared" si="10"/>
        <v>1.048829609525273E-2</v>
      </c>
      <c r="R38" s="15">
        <v>-0.02</v>
      </c>
      <c r="S38" s="15">
        <v>0.153</v>
      </c>
      <c r="T38" s="15">
        <v>-0.27700000000000002</v>
      </c>
      <c r="U38" s="15">
        <v>-1.7000000000000001E-2</v>
      </c>
      <c r="V38" s="15">
        <v>-4.9000000000000002E-2</v>
      </c>
      <c r="W38" s="15">
        <v>0.30599999999999999</v>
      </c>
      <c r="X38" s="15">
        <v>0.439</v>
      </c>
      <c r="Y38" s="15">
        <v>0.38400000000000001</v>
      </c>
      <c r="Z38" s="15">
        <v>0.75700000000000001</v>
      </c>
      <c r="AA38" s="15">
        <v>0.753</v>
      </c>
      <c r="AB38" s="15">
        <v>0.84799999999999998</v>
      </c>
      <c r="AC38" s="15">
        <v>0.874</v>
      </c>
      <c r="AD38" s="15">
        <v>0.90300000000000002</v>
      </c>
      <c r="AE38" s="14">
        <v>-0.61099999999999999</v>
      </c>
      <c r="AF38" s="15">
        <v>0.41199999999999998</v>
      </c>
      <c r="AG38" s="15">
        <v>0.61799999999999999</v>
      </c>
      <c r="AH38" s="15">
        <v>-0.28499999999999998</v>
      </c>
      <c r="AI38" s="15">
        <v>5.2999999999999999E-2</v>
      </c>
      <c r="AJ38" s="16">
        <v>-0.77900000000000003</v>
      </c>
      <c r="AK38" s="4">
        <v>-0.11899999999999999</v>
      </c>
      <c r="AL38" s="4">
        <v>0.26100000000000001</v>
      </c>
      <c r="AM38" s="4">
        <v>-9.1999999999999998E-2</v>
      </c>
      <c r="AN38" s="4">
        <v>0.16900000000000001</v>
      </c>
      <c r="AO38" s="4">
        <v>0.27700000000000002</v>
      </c>
      <c r="AP38" s="4">
        <v>-0.112</v>
      </c>
      <c r="AQ38" s="4">
        <v>4.2999999999999997E-2</v>
      </c>
      <c r="AR38" s="4">
        <v>0.20799999999999999</v>
      </c>
      <c r="AS38" s="4">
        <v>-0.34</v>
      </c>
      <c r="AT38" s="4">
        <v>-0.13500000000000001</v>
      </c>
      <c r="AU38" s="4">
        <v>-0.27700000000000002</v>
      </c>
      <c r="AV38" s="4">
        <v>-0.55100000000000005</v>
      </c>
      <c r="AW38" s="4">
        <v>0.64800000000000002</v>
      </c>
      <c r="AX38" s="4">
        <v>9.7000000000000003E-2</v>
      </c>
      <c r="AY38" s="4">
        <v>0.80700000000000005</v>
      </c>
      <c r="AZ38" s="4">
        <v>0.58399999999999996</v>
      </c>
      <c r="BA38" s="4">
        <v>0.52</v>
      </c>
      <c r="BB38" s="4">
        <v>-0.33700000000000002</v>
      </c>
      <c r="BC38" s="4">
        <v>-0.107</v>
      </c>
      <c r="BD38" s="4">
        <v>0.47199999999999998</v>
      </c>
      <c r="BE38" s="4">
        <v>-0.17599999999999999</v>
      </c>
      <c r="BF38" s="4">
        <v>0.84799999999999998</v>
      </c>
      <c r="BG38" s="4">
        <v>0.92100000000000004</v>
      </c>
      <c r="BH38" s="4">
        <v>-0.59399999999999997</v>
      </c>
      <c r="BI38" s="4">
        <v>-0.251</v>
      </c>
      <c r="BJ38" s="4">
        <v>0.41899999999999998</v>
      </c>
      <c r="BK38" s="4">
        <v>0.433</v>
      </c>
      <c r="BL38" s="4"/>
      <c r="BM38" s="4">
        <f t="shared" si="11"/>
        <v>3.9974999999999997E-2</v>
      </c>
    </row>
    <row r="39" spans="1:65" x14ac:dyDescent="0.3">
      <c r="A39" t="s">
        <v>65</v>
      </c>
      <c r="B39" s="53">
        <f t="shared" si="12"/>
        <v>1.4E-2</v>
      </c>
      <c r="C39" s="53">
        <f t="shared" si="5"/>
        <v>1.4E-2</v>
      </c>
      <c r="D39" s="53">
        <f t="shared" si="6"/>
        <v>0</v>
      </c>
      <c r="E39" s="53">
        <f t="shared" si="7"/>
        <v>0</v>
      </c>
      <c r="F39" s="15">
        <v>2.2480000000000002</v>
      </c>
      <c r="G39" s="4">
        <v>2.456</v>
      </c>
      <c r="H39" t="s">
        <v>57</v>
      </c>
      <c r="I39" t="str">
        <f>VLOOKUP(A39,Setores!$A$2:$C$215,2,0)</f>
        <v>homebuilders</v>
      </c>
      <c r="J39" t="str">
        <f>VLOOKUP(A39,Setores!$A$2:$C$215,3,0)</f>
        <v>low_beta</v>
      </c>
      <c r="K39" s="92">
        <v>1.4E-2</v>
      </c>
      <c r="L39" s="42">
        <v>1.4E-2</v>
      </c>
      <c r="M39" s="92">
        <f>VLOOKUP(A39,'Mandato Ibov'!$B$1:$C$215,2,0)</f>
        <v>1.0627200068774901E-2</v>
      </c>
      <c r="N39" s="58">
        <f t="shared" si="8"/>
        <v>3.3727999312250997E-3</v>
      </c>
      <c r="O39" s="42">
        <f t="shared" si="9"/>
        <v>3.3727999312250997E-3</v>
      </c>
      <c r="P39" s="95">
        <f>VLOOKUP(A39,'Mandato Ibov'!$B$2:$D$215,3,0)</f>
        <v>8.7400116095888193E-3</v>
      </c>
      <c r="Q39" s="42">
        <f t="shared" si="10"/>
        <v>5.259988390411181E-3</v>
      </c>
      <c r="R39" s="15">
        <v>5.8999999999999997E-2</v>
      </c>
      <c r="S39" s="15">
        <v>-7.4999999999999997E-2</v>
      </c>
      <c r="T39" s="15">
        <v>0.40300000000000002</v>
      </c>
      <c r="U39" s="15">
        <v>2.9000000000000001E-2</v>
      </c>
      <c r="V39" s="15">
        <v>0.16800000000000001</v>
      </c>
      <c r="W39" s="15">
        <v>0.28799999999999998</v>
      </c>
      <c r="X39" s="15">
        <v>0.45600000000000002</v>
      </c>
      <c r="Y39" s="15">
        <v>0.35</v>
      </c>
      <c r="Z39" s="15">
        <v>0.56799999999999995</v>
      </c>
      <c r="AA39" s="15">
        <v>0.56599999999999995</v>
      </c>
      <c r="AB39" s="15">
        <v>0.85399999999999998</v>
      </c>
      <c r="AC39" s="15">
        <v>0.90800000000000003</v>
      </c>
      <c r="AD39" s="15">
        <v>0.77100000000000002</v>
      </c>
      <c r="AE39" s="14">
        <v>0.13700000000000001</v>
      </c>
      <c r="AF39" s="15">
        <v>0.11700000000000001</v>
      </c>
      <c r="AG39" s="15">
        <v>-0.40699999999999997</v>
      </c>
      <c r="AH39" s="15">
        <v>0.85299999999999998</v>
      </c>
      <c r="AI39" s="15">
        <v>6.8000000000000005E-2</v>
      </c>
      <c r="AJ39" s="16">
        <v>-2.1999999999999999E-2</v>
      </c>
      <c r="AK39" s="4">
        <v>-0.36099999999999999</v>
      </c>
      <c r="AL39" s="4">
        <v>0.97799999999999998</v>
      </c>
      <c r="AM39" s="4">
        <v>-3.5999999999999997E-2</v>
      </c>
      <c r="AN39" s="4">
        <v>-0.10299999999999999</v>
      </c>
      <c r="AO39" s="4">
        <v>-0.28199999999999997</v>
      </c>
      <c r="AP39" s="4">
        <v>-0.55100000000000005</v>
      </c>
      <c r="AQ39" s="4">
        <v>6.0000000000000001E-3</v>
      </c>
      <c r="AR39" s="4">
        <v>0.55400000000000005</v>
      </c>
      <c r="AS39" s="4">
        <v>0.47599999999999998</v>
      </c>
      <c r="AT39" s="4">
        <v>-0.105</v>
      </c>
      <c r="AU39" s="4">
        <v>-0.44600000000000001</v>
      </c>
      <c r="AV39" s="4">
        <v>-0.04</v>
      </c>
      <c r="AW39" s="4">
        <v>0.59099999999999997</v>
      </c>
      <c r="AX39" s="4">
        <v>-0.29299999999999998</v>
      </c>
      <c r="AY39" s="4">
        <v>0.53400000000000003</v>
      </c>
      <c r="AZ39" s="4">
        <v>0.36599999999999999</v>
      </c>
      <c r="BA39" s="4">
        <v>-3.4000000000000002E-2</v>
      </c>
      <c r="BB39" s="4">
        <v>-0.38300000000000001</v>
      </c>
      <c r="BC39" s="4">
        <v>-0.69199999999999995</v>
      </c>
      <c r="BD39" s="4">
        <v>-0.154</v>
      </c>
      <c r="BE39" s="4">
        <v>-0.43</v>
      </c>
      <c r="BF39" s="4">
        <v>-0.33600000000000002</v>
      </c>
      <c r="BG39" s="4">
        <v>0.78800000000000003</v>
      </c>
      <c r="BH39" s="4">
        <v>-0.27800000000000002</v>
      </c>
      <c r="BI39" s="4">
        <v>0.104</v>
      </c>
      <c r="BJ39" s="4">
        <v>0.73699999999999999</v>
      </c>
      <c r="BK39" s="4">
        <v>0.69299999999999995</v>
      </c>
      <c r="BL39" s="4"/>
      <c r="BM39" s="4">
        <f t="shared" si="11"/>
        <v>2.7124999999999996E-2</v>
      </c>
    </row>
    <row r="40" spans="1:65" x14ac:dyDescent="0.3">
      <c r="A40" t="s">
        <v>92</v>
      </c>
      <c r="B40" s="53">
        <f t="shared" si="12"/>
        <v>1.4E-2</v>
      </c>
      <c r="C40" s="53">
        <f t="shared" si="5"/>
        <v>1.4E-2</v>
      </c>
      <c r="D40" s="53">
        <f t="shared" si="6"/>
        <v>0</v>
      </c>
      <c r="E40" s="53">
        <f t="shared" si="7"/>
        <v>0</v>
      </c>
      <c r="F40" s="15">
        <v>2.2050000000000001</v>
      </c>
      <c r="G40" s="4">
        <v>2.1509999999999998</v>
      </c>
      <c r="H40" t="s">
        <v>57</v>
      </c>
      <c r="I40" t="str">
        <f>VLOOKUP(A40,Setores!$A$2:$C$215,2,0)</f>
        <v>tech</v>
      </c>
      <c r="J40" t="str">
        <f>VLOOKUP(A40,Setores!$A$2:$C$215,3,0)</f>
        <v>neutral_beta</v>
      </c>
      <c r="K40" s="92">
        <v>1.4E-2</v>
      </c>
      <c r="L40" s="42">
        <v>1.4E-2</v>
      </c>
      <c r="M40" s="92">
        <f>VLOOKUP(A40,'Mandato Ibov'!$B$1:$C$215,2,0)</f>
        <v>1.0425587748621099E-2</v>
      </c>
      <c r="N40" s="58">
        <f t="shared" si="8"/>
        <v>3.5744122513789011E-3</v>
      </c>
      <c r="O40" s="42">
        <f t="shared" si="9"/>
        <v>3.5744122513789011E-3</v>
      </c>
      <c r="P40" s="95">
        <f>VLOOKUP(A40,'Mandato Ibov'!$B$2:$D$215,3,0)</f>
        <v>9.1537293884835398E-3</v>
      </c>
      <c r="Q40" s="42">
        <f t="shared" si="10"/>
        <v>4.8462706115164605E-3</v>
      </c>
      <c r="R40" s="15">
        <v>0.41599999999999998</v>
      </c>
      <c r="S40" s="15">
        <v>0.14599999999999999</v>
      </c>
      <c r="T40" s="15">
        <v>0.371</v>
      </c>
      <c r="U40" s="15">
        <v>0.23599999999999999</v>
      </c>
      <c r="V40" s="15">
        <v>0.13500000000000001</v>
      </c>
      <c r="W40" s="15">
        <v>0.38100000000000001</v>
      </c>
      <c r="X40" s="15">
        <v>0.26</v>
      </c>
      <c r="Y40" s="15">
        <v>0.126</v>
      </c>
      <c r="Z40" s="15">
        <v>0.14399999999999999</v>
      </c>
      <c r="AA40" s="15">
        <v>0.14099999999999999</v>
      </c>
      <c r="AB40" s="15">
        <v>0.77700000000000002</v>
      </c>
      <c r="AC40" s="15">
        <v>0.93799999999999994</v>
      </c>
      <c r="AD40" s="15">
        <v>0.84399999999999997</v>
      </c>
      <c r="AE40" s="14">
        <v>0.222</v>
      </c>
      <c r="AF40" s="15">
        <v>-0.113</v>
      </c>
      <c r="AG40" s="15">
        <v>-0.27400000000000002</v>
      </c>
      <c r="AH40" s="15">
        <v>-0.377</v>
      </c>
      <c r="AI40" s="15">
        <v>0.998</v>
      </c>
      <c r="AJ40" s="16">
        <v>1</v>
      </c>
      <c r="AK40" s="4">
        <v>-0.34200000000000003</v>
      </c>
      <c r="AL40" s="4">
        <v>-0.16300000000000001</v>
      </c>
      <c r="AM40" s="4">
        <v>-0.86599999999999999</v>
      </c>
      <c r="AN40" s="4">
        <v>-7.4999999999999997E-2</v>
      </c>
      <c r="AO40" s="4">
        <v>0.182</v>
      </c>
      <c r="AP40" s="4">
        <v>0.68300000000000005</v>
      </c>
      <c r="AQ40" s="4">
        <v>0.432</v>
      </c>
      <c r="AR40" s="4">
        <v>0.36699999999999999</v>
      </c>
      <c r="AS40" s="4">
        <v>0.39100000000000001</v>
      </c>
      <c r="AT40" s="4">
        <v>0.38100000000000001</v>
      </c>
      <c r="AU40" s="4">
        <v>-0.434</v>
      </c>
      <c r="AV40" s="4">
        <v>0.66300000000000003</v>
      </c>
      <c r="AW40" s="4">
        <v>0.22</v>
      </c>
      <c r="AX40" s="4">
        <v>0.51700000000000002</v>
      </c>
      <c r="AY40" s="4">
        <v>0.92800000000000005</v>
      </c>
      <c r="AZ40" s="4">
        <v>0.55100000000000005</v>
      </c>
      <c r="BA40" s="4">
        <v>0.90200000000000002</v>
      </c>
      <c r="BB40" s="4">
        <v>-3.2000000000000001E-2</v>
      </c>
      <c r="BC40" s="4">
        <v>-5.1999999999999998E-2</v>
      </c>
      <c r="BD40" s="4">
        <v>-0.78200000000000003</v>
      </c>
      <c r="BE40" s="4">
        <v>-0.45</v>
      </c>
      <c r="BF40" s="4">
        <v>0.56799999999999995</v>
      </c>
      <c r="BG40" s="4">
        <v>0.69</v>
      </c>
      <c r="BH40" s="4">
        <v>-0.58299999999999996</v>
      </c>
      <c r="BI40" s="4">
        <v>-9.8000000000000004E-2</v>
      </c>
      <c r="BJ40" s="4">
        <v>0.30399999999999999</v>
      </c>
      <c r="BK40" s="4">
        <v>0.20799999999999999</v>
      </c>
      <c r="BL40" s="4"/>
      <c r="BM40" s="4">
        <f t="shared" si="11"/>
        <v>0.25282500000000008</v>
      </c>
    </row>
    <row r="41" spans="1:65" x14ac:dyDescent="0.3">
      <c r="A41" t="s">
        <v>79</v>
      </c>
      <c r="B41" s="53">
        <f t="shared" si="12"/>
        <v>1.2E-2</v>
      </c>
      <c r="C41" s="53">
        <f t="shared" si="5"/>
        <v>1.2E-2</v>
      </c>
      <c r="D41" s="53">
        <f t="shared" si="6"/>
        <v>0</v>
      </c>
      <c r="E41" s="53">
        <f t="shared" si="7"/>
        <v>0</v>
      </c>
      <c r="F41" s="15">
        <v>2.1789999999999998</v>
      </c>
      <c r="G41" s="4">
        <v>2.5619999999999998</v>
      </c>
      <c r="H41" t="s">
        <v>68</v>
      </c>
      <c r="I41" t="str">
        <f>VLOOKUP(A41,Setores!$A$2:$C$215,2,0)</f>
        <v>capital_goods</v>
      </c>
      <c r="J41" t="str">
        <f>VLOOKUP(A41,Setores!$A$2:$C$215,3,0)</f>
        <v>very_low_beta</v>
      </c>
      <c r="K41" s="92">
        <v>1.2E-2</v>
      </c>
      <c r="L41" s="42">
        <v>1.2E-2</v>
      </c>
      <c r="M41" s="92">
        <f>VLOOKUP(A41,'Mandato Ibov'!$B$1:$C$215,2,0)</f>
        <v>1.0299107233462199E-2</v>
      </c>
      <c r="N41" s="58">
        <f t="shared" si="8"/>
        <v>1.700892766537801E-3</v>
      </c>
      <c r="O41" s="42">
        <f t="shared" si="9"/>
        <v>1.700892766537801E-3</v>
      </c>
      <c r="P41" s="95">
        <f>VLOOKUP(A41,'Mandato Ibov'!$B$2:$D$215,3,0)</f>
        <v>1.16008431051586E-2</v>
      </c>
      <c r="Q41" s="42">
        <f t="shared" si="10"/>
        <v>3.991568948414001E-4</v>
      </c>
      <c r="R41" s="15">
        <v>0.03</v>
      </c>
      <c r="S41" s="15">
        <v>-0.222</v>
      </c>
      <c r="T41" s="15">
        <v>-3.6999999999999998E-2</v>
      </c>
      <c r="U41" s="15">
        <v>0.252</v>
      </c>
      <c r="V41" s="15">
        <v>-2.3E-2</v>
      </c>
      <c r="W41" s="15">
        <v>0.34</v>
      </c>
      <c r="X41" s="15">
        <v>0.51</v>
      </c>
      <c r="Y41" s="15">
        <v>0.33300000000000002</v>
      </c>
      <c r="Z41" s="15">
        <v>0.71499999999999997</v>
      </c>
      <c r="AA41" s="15">
        <v>0.71399999999999997</v>
      </c>
      <c r="AB41" s="15">
        <v>0.83599999999999997</v>
      </c>
      <c r="AC41" s="15">
        <v>0.76500000000000001</v>
      </c>
      <c r="AD41" s="15">
        <v>0.73599999999999999</v>
      </c>
      <c r="AE41" s="14">
        <v>0.22800000000000001</v>
      </c>
      <c r="AF41" s="15">
        <v>-0.32900000000000001</v>
      </c>
      <c r="AG41" s="15">
        <v>-0.27500000000000002</v>
      </c>
      <c r="AH41" s="15">
        <v>-0.49</v>
      </c>
      <c r="AI41" s="15">
        <v>6.3E-2</v>
      </c>
      <c r="AJ41" s="16">
        <v>0.27300000000000002</v>
      </c>
      <c r="AK41" s="4">
        <v>-0.14599999999999999</v>
      </c>
      <c r="AL41" s="4">
        <v>0.28000000000000003</v>
      </c>
      <c r="AM41" s="4">
        <v>-0.88600000000000001</v>
      </c>
      <c r="AN41" s="4">
        <v>1.9E-2</v>
      </c>
      <c r="AO41" s="4">
        <v>8.7999999999999995E-2</v>
      </c>
      <c r="AP41" s="4">
        <v>0.33100000000000002</v>
      </c>
      <c r="AQ41" s="4">
        <v>0.23699999999999999</v>
      </c>
      <c r="AR41" s="4">
        <v>0.377</v>
      </c>
      <c r="AS41" s="4">
        <v>-7.6999999999999999E-2</v>
      </c>
      <c r="AT41" s="4">
        <v>0.995</v>
      </c>
      <c r="AU41" s="4">
        <v>-0.30599999999999999</v>
      </c>
      <c r="AV41" s="4">
        <v>0.54200000000000004</v>
      </c>
      <c r="AW41" s="4">
        <v>0.65400000000000003</v>
      </c>
      <c r="AX41" s="4">
        <v>-4.8000000000000001E-2</v>
      </c>
      <c r="AY41" s="4">
        <v>0.71</v>
      </c>
      <c r="AZ41" s="4">
        <v>0.69599999999999995</v>
      </c>
      <c r="BA41" s="4">
        <v>-0.58399999999999996</v>
      </c>
      <c r="BB41" s="4">
        <v>-0.23799999999999999</v>
      </c>
      <c r="BC41" s="4">
        <v>-0.55800000000000005</v>
      </c>
      <c r="BD41" s="4">
        <v>7.5999999999999998E-2</v>
      </c>
      <c r="BE41" s="4">
        <v>-0.56899999999999995</v>
      </c>
      <c r="BF41" s="4">
        <v>8.5999999999999993E-2</v>
      </c>
      <c r="BG41" s="4">
        <v>0.66400000000000003</v>
      </c>
      <c r="BH41" s="4">
        <v>-0.47199999999999998</v>
      </c>
      <c r="BI41" s="4">
        <v>-0.04</v>
      </c>
      <c r="BJ41" s="4">
        <v>0.47199999999999998</v>
      </c>
      <c r="BK41" s="4">
        <v>3.4000000000000002E-2</v>
      </c>
      <c r="BL41" s="4"/>
      <c r="BM41" s="4">
        <f t="shared" si="11"/>
        <v>0.29762500000000003</v>
      </c>
    </row>
    <row r="42" spans="1:65" x14ac:dyDescent="0.3">
      <c r="A42" t="s">
        <v>600</v>
      </c>
      <c r="B42" s="53">
        <f t="shared" si="12"/>
        <v>8.9999999999999993E-3</v>
      </c>
      <c r="C42" s="53">
        <f t="shared" si="5"/>
        <v>8.9999999999999993E-3</v>
      </c>
      <c r="D42" s="53">
        <f t="shared" si="6"/>
        <v>0</v>
      </c>
      <c r="E42" s="53">
        <f t="shared" si="7"/>
        <v>0</v>
      </c>
      <c r="F42" s="15">
        <v>2.1739999999999999</v>
      </c>
      <c r="G42" s="4">
        <v>2.3370000000000002</v>
      </c>
      <c r="H42" t="s">
        <v>68</v>
      </c>
      <c r="I42" t="str">
        <f>VLOOKUP(A42,Setores!$A$2:$C$215,2,0)</f>
        <v>building_materials</v>
      </c>
      <c r="J42" t="str">
        <f>VLOOKUP(A42,Setores!$A$2:$C$215,3,0)</f>
        <v>very_low_beta</v>
      </c>
      <c r="K42" s="92">
        <v>8.9999999999999993E-3</v>
      </c>
      <c r="L42" s="42">
        <v>8.9999999999999993E-3</v>
      </c>
      <c r="M42" s="92">
        <f>VLOOKUP(A42,'Mandato Ibov'!$B$1:$C$215,2,0)</f>
        <v>1.0277042356205E-2</v>
      </c>
      <c r="N42" s="58">
        <f t="shared" si="8"/>
        <v>-1.2770423562050003E-3</v>
      </c>
      <c r="O42" s="42">
        <f t="shared" si="9"/>
        <v>-1.2770423562050003E-3</v>
      </c>
      <c r="P42" s="95">
        <f>VLOOKUP(A42,'Mandato Ibov'!$B$2:$D$215,3,0)</f>
        <v>8.0345058420280002E-3</v>
      </c>
      <c r="Q42" s="42">
        <f t="shared" si="10"/>
        <v>9.654941579719991E-4</v>
      </c>
      <c r="R42" s="15">
        <v>0.28499999999999998</v>
      </c>
      <c r="S42" s="15">
        <v>9.8000000000000004E-2</v>
      </c>
      <c r="T42" s="15">
        <v>0.184</v>
      </c>
      <c r="U42" s="15">
        <v>0.26900000000000002</v>
      </c>
      <c r="V42" s="15">
        <v>0.104</v>
      </c>
      <c r="W42" s="15">
        <v>7.3999999999999996E-2</v>
      </c>
      <c r="X42" s="15">
        <v>-1.4E-2</v>
      </c>
      <c r="Y42" s="15">
        <v>2.3E-2</v>
      </c>
      <c r="Z42" s="15">
        <v>0.77200000000000002</v>
      </c>
      <c r="AA42" s="15">
        <v>0.76800000000000002</v>
      </c>
      <c r="AB42" s="15">
        <v>1</v>
      </c>
      <c r="AC42" s="15">
        <v>0.91200000000000003</v>
      </c>
      <c r="AD42" s="15">
        <v>0.89700000000000002</v>
      </c>
      <c r="AE42" s="14">
        <v>7.0000000000000007E-2</v>
      </c>
      <c r="AF42" s="15">
        <v>-5.1999999999999998E-2</v>
      </c>
      <c r="AG42" s="15">
        <v>-0.122</v>
      </c>
      <c r="AH42" s="15">
        <v>-0.22800000000000001</v>
      </c>
      <c r="AI42" s="15">
        <v>-2.5999999999999999E-2</v>
      </c>
      <c r="AJ42" s="16">
        <v>0.157</v>
      </c>
      <c r="AK42" s="4">
        <v>0.14399999999999999</v>
      </c>
      <c r="AL42" s="4">
        <v>-0.28000000000000003</v>
      </c>
      <c r="AM42" s="4">
        <v>-0.20100000000000001</v>
      </c>
      <c r="AN42" s="4">
        <v>-0.51100000000000001</v>
      </c>
      <c r="AO42" s="4">
        <v>0.13900000000000001</v>
      </c>
      <c r="AP42" s="4">
        <v>3.5000000000000003E-2</v>
      </c>
      <c r="AQ42" s="4">
        <v>0.33400000000000002</v>
      </c>
      <c r="AR42" s="4">
        <v>0.63600000000000001</v>
      </c>
      <c r="AS42" s="4">
        <v>0.34200000000000003</v>
      </c>
      <c r="AT42" s="4">
        <v>0.36099999999999999</v>
      </c>
      <c r="AU42" s="4">
        <v>-0.13300000000000001</v>
      </c>
      <c r="AV42" s="4">
        <v>0.34599999999999997</v>
      </c>
      <c r="AW42" s="4">
        <v>0.61</v>
      </c>
      <c r="AX42" s="4">
        <v>0.124</v>
      </c>
      <c r="AY42" s="4">
        <v>0.76200000000000001</v>
      </c>
      <c r="AZ42" s="4">
        <v>0.51100000000000001</v>
      </c>
      <c r="BA42" s="4">
        <v>0.66300000000000003</v>
      </c>
      <c r="BB42" s="4">
        <v>-0.26700000000000002</v>
      </c>
      <c r="BC42" s="4">
        <v>-0.32200000000000001</v>
      </c>
      <c r="BD42" s="4">
        <v>0.68200000000000005</v>
      </c>
      <c r="BE42" s="4">
        <v>-1</v>
      </c>
      <c r="BF42" s="4">
        <v>-2.4E-2</v>
      </c>
      <c r="BG42" s="4">
        <v>-6.9000000000000006E-2</v>
      </c>
      <c r="BH42" s="4">
        <v>-0.69299999999999995</v>
      </c>
      <c r="BI42" s="4">
        <v>-2.5000000000000001E-2</v>
      </c>
      <c r="BJ42" s="4">
        <v>0.97899999999999998</v>
      </c>
      <c r="BK42" s="4">
        <v>0.14000000000000001</v>
      </c>
      <c r="BL42" s="4"/>
      <c r="BM42" s="4">
        <f t="shared" si="11"/>
        <v>0.24545</v>
      </c>
    </row>
    <row r="43" spans="1:65" x14ac:dyDescent="0.3">
      <c r="A43" t="s">
        <v>597</v>
      </c>
      <c r="B43" s="53">
        <f t="shared" si="12"/>
        <v>1.2999999999999999E-2</v>
      </c>
      <c r="C43" s="53">
        <f t="shared" si="5"/>
        <v>1.2999999999999999E-2</v>
      </c>
      <c r="D43" s="53">
        <f t="shared" si="6"/>
        <v>0</v>
      </c>
      <c r="E43" s="53">
        <f t="shared" si="7"/>
        <v>0</v>
      </c>
      <c r="F43" s="15">
        <v>2.1589999999999998</v>
      </c>
      <c r="G43" s="4">
        <v>2.298</v>
      </c>
      <c r="H43" t="s">
        <v>57</v>
      </c>
      <c r="I43" t="str">
        <f>VLOOKUP(A43,Setores!$A$2:$C$215,2,0)</f>
        <v>financial_services</v>
      </c>
      <c r="J43" t="str">
        <f>VLOOKUP(A43,Setores!$A$2:$C$215,3,0)</f>
        <v>very_low_beta</v>
      </c>
      <c r="K43" s="92">
        <v>1.2999999999999999E-2</v>
      </c>
      <c r="L43" s="42">
        <v>1.2999999999999999E-2</v>
      </c>
      <c r="M43" s="92">
        <f>VLOOKUP(A43,'Mandato Ibov'!$B$1:$C$215,2,0)</f>
        <v>1.0205891534610699E-2</v>
      </c>
      <c r="N43" s="58">
        <f t="shared" si="8"/>
        <v>2.7941084653893E-3</v>
      </c>
      <c r="O43" s="42">
        <f t="shared" si="9"/>
        <v>2.7941084653893E-3</v>
      </c>
      <c r="P43" s="95">
        <f>VLOOKUP(A43,'Mandato Ibov'!$B$2:$D$215,3,0)</f>
        <v>6.2863822606588999E-3</v>
      </c>
      <c r="Q43" s="42">
        <f t="shared" si="10"/>
        <v>6.7136177393410995E-3</v>
      </c>
      <c r="R43" s="15">
        <v>0.23</v>
      </c>
      <c r="S43" s="15">
        <v>-0.16900000000000001</v>
      </c>
      <c r="T43" s="15">
        <v>0.54100000000000004</v>
      </c>
      <c r="U43" s="15">
        <v>0.184</v>
      </c>
      <c r="V43" s="15">
        <v>0.20599999999999999</v>
      </c>
      <c r="W43" s="15">
        <v>0.29799999999999999</v>
      </c>
      <c r="X43" s="15">
        <v>0.46700000000000003</v>
      </c>
      <c r="Y43" s="15">
        <v>0.17</v>
      </c>
      <c r="Z43" s="15">
        <v>0.41</v>
      </c>
      <c r="AA43" s="15">
        <v>0.41099999999999998</v>
      </c>
      <c r="AB43" s="15">
        <v>0.78500000000000003</v>
      </c>
      <c r="AC43" s="15">
        <v>0.70899999999999996</v>
      </c>
      <c r="AD43" s="15">
        <v>0.752</v>
      </c>
      <c r="AE43" s="14">
        <v>0.52700000000000002</v>
      </c>
      <c r="AF43" s="15">
        <v>-0.121</v>
      </c>
      <c r="AG43" s="15">
        <v>-0.72199999999999998</v>
      </c>
      <c r="AH43" s="15">
        <v>0.47599999999999998</v>
      </c>
      <c r="AI43" s="15">
        <v>2.8000000000000001E-2</v>
      </c>
      <c r="AJ43" s="16">
        <v>1</v>
      </c>
      <c r="AK43" s="4">
        <v>-7.1999999999999995E-2</v>
      </c>
      <c r="AL43" s="4">
        <v>0.32500000000000001</v>
      </c>
      <c r="AM43" s="4">
        <v>-0.60399999999999998</v>
      </c>
      <c r="AN43" s="4">
        <v>0.36399999999999999</v>
      </c>
      <c r="AO43" s="4">
        <v>-0.13100000000000001</v>
      </c>
      <c r="AP43" s="4">
        <v>-0.33700000000000002</v>
      </c>
      <c r="AQ43" s="4">
        <v>6.0000000000000001E-3</v>
      </c>
      <c r="AR43" s="4">
        <v>9.6000000000000002E-2</v>
      </c>
      <c r="AS43" s="4">
        <v>-0.35</v>
      </c>
      <c r="AT43" s="4">
        <v>0.57199999999999995</v>
      </c>
      <c r="AU43" s="4">
        <v>2.3E-2</v>
      </c>
      <c r="AV43" s="4">
        <v>0.43</v>
      </c>
      <c r="AW43" s="4">
        <v>0.64600000000000002</v>
      </c>
      <c r="AX43" s="4">
        <v>-7.8E-2</v>
      </c>
      <c r="AY43" s="4">
        <v>0.88900000000000001</v>
      </c>
      <c r="AZ43" s="4">
        <v>0.36699999999999999</v>
      </c>
      <c r="BA43" s="4">
        <v>0.90700000000000003</v>
      </c>
      <c r="BB43" s="4">
        <v>-0.3</v>
      </c>
      <c r="BC43" s="4">
        <v>-0.32</v>
      </c>
      <c r="BD43" s="4">
        <v>-9.6000000000000002E-2</v>
      </c>
      <c r="BE43" s="4">
        <v>-0.63200000000000001</v>
      </c>
      <c r="BF43" s="4">
        <v>4.3999999999999997E-2</v>
      </c>
      <c r="BG43" s="4">
        <v>0.376</v>
      </c>
      <c r="BH43" s="4">
        <v>-0.39400000000000002</v>
      </c>
      <c r="BI43" s="4">
        <v>-0.68</v>
      </c>
      <c r="BJ43" s="4">
        <v>0.874</v>
      </c>
      <c r="BK43" s="4">
        <v>0.90300000000000002</v>
      </c>
      <c r="BL43" s="4"/>
      <c r="BM43" s="4">
        <f t="shared" si="11"/>
        <v>0.15455000000000002</v>
      </c>
    </row>
    <row r="44" spans="1:65" x14ac:dyDescent="0.3">
      <c r="A44" t="s">
        <v>116</v>
      </c>
      <c r="B44" s="53">
        <f t="shared" si="12"/>
        <v>1.0999999999999999E-2</v>
      </c>
      <c r="C44" s="53">
        <f t="shared" si="5"/>
        <v>1.0999999999999999E-2</v>
      </c>
      <c r="D44" s="53">
        <f t="shared" si="6"/>
        <v>0</v>
      </c>
      <c r="E44" s="53">
        <f t="shared" si="7"/>
        <v>0</v>
      </c>
      <c r="F44" s="15">
        <v>2.105</v>
      </c>
      <c r="G44" s="4">
        <v>2.21</v>
      </c>
      <c r="H44" t="s">
        <v>53</v>
      </c>
      <c r="I44" t="str">
        <f>VLOOKUP(A44,Setores!$A$2:$C$215,2,0)</f>
        <v>healthcare</v>
      </c>
      <c r="J44" t="str">
        <f>VLOOKUP(A44,Setores!$A$2:$C$215,3,0)</f>
        <v>high_beta</v>
      </c>
      <c r="K44" s="92">
        <v>1.0999999999999999E-2</v>
      </c>
      <c r="L44" s="42">
        <v>1.0999999999999999E-2</v>
      </c>
      <c r="M44" s="92">
        <f>VLOOKUP(A44,'Mandato Ibov'!$B$1:$C$215,2,0)</f>
        <v>9.9530478391366296E-3</v>
      </c>
      <c r="N44" s="58">
        <f t="shared" si="8"/>
        <v>1.0469521608633698E-3</v>
      </c>
      <c r="O44" s="42">
        <f t="shared" si="9"/>
        <v>1.0469521608633698E-3</v>
      </c>
      <c r="P44" s="95">
        <f>VLOOKUP(A44,'Mandato Ibov'!$B$2:$D$215,3,0)</f>
        <v>8.3576655835055393E-3</v>
      </c>
      <c r="Q44" s="42">
        <f t="shared" si="10"/>
        <v>2.6423344164944601E-3</v>
      </c>
      <c r="R44" s="15">
        <v>0.29699999999999999</v>
      </c>
      <c r="S44" s="15">
        <v>0.32900000000000001</v>
      </c>
      <c r="T44" s="15">
        <v>6.6000000000000003E-2</v>
      </c>
      <c r="U44" s="15">
        <v>0.16700000000000001</v>
      </c>
      <c r="V44" s="15">
        <v>8.5000000000000006E-2</v>
      </c>
      <c r="W44" s="15">
        <v>0.188</v>
      </c>
      <c r="X44" s="15">
        <v>0.156</v>
      </c>
      <c r="Y44" s="15">
        <v>2.1999999999999999E-2</v>
      </c>
      <c r="Z44" s="15">
        <v>0.41499999999999998</v>
      </c>
      <c r="AA44" s="15">
        <v>0.40899999999999997</v>
      </c>
      <c r="AB44" s="15">
        <v>0.85299999999999998</v>
      </c>
      <c r="AC44" s="15">
        <v>0.91300000000000003</v>
      </c>
      <c r="AD44" s="15">
        <v>0.88200000000000001</v>
      </c>
      <c r="AE44" s="14">
        <v>-0.127</v>
      </c>
      <c r="AF44" s="15">
        <v>-0.36899999999999999</v>
      </c>
      <c r="AG44" s="15">
        <v>0.111</v>
      </c>
      <c r="AH44" s="15">
        <v>-0.34499999999999997</v>
      </c>
      <c r="AI44" s="15">
        <v>1</v>
      </c>
      <c r="AJ44" s="16">
        <v>0.24199999999999999</v>
      </c>
      <c r="AK44" s="4">
        <v>-6.8000000000000005E-2</v>
      </c>
      <c r="AL44" s="4">
        <v>-0.58099999999999996</v>
      </c>
      <c r="AM44" s="4">
        <v>-0.56899999999999995</v>
      </c>
      <c r="AN44" s="4">
        <v>0.23100000000000001</v>
      </c>
      <c r="AO44" s="4">
        <v>0.47199999999999998</v>
      </c>
      <c r="AP44" s="4">
        <v>-0.38600000000000001</v>
      </c>
      <c r="AQ44" s="4">
        <v>0.245</v>
      </c>
      <c r="AR44" s="4">
        <v>0.36699999999999999</v>
      </c>
      <c r="AS44" s="4">
        <v>0.42299999999999999</v>
      </c>
      <c r="AT44" s="4">
        <v>0.436</v>
      </c>
      <c r="AU44" s="4">
        <v>-0.443</v>
      </c>
      <c r="AV44" s="4">
        <v>0.51400000000000001</v>
      </c>
      <c r="AW44" s="4">
        <v>0.33400000000000002</v>
      </c>
      <c r="AX44" s="4">
        <v>-0.16800000000000001</v>
      </c>
      <c r="AY44" s="4">
        <v>0.997</v>
      </c>
      <c r="AZ44" s="4">
        <v>0.65200000000000002</v>
      </c>
      <c r="BA44" s="4">
        <v>0.69699999999999995</v>
      </c>
      <c r="BB44" s="4">
        <v>-0.255</v>
      </c>
      <c r="BC44" s="4">
        <v>-0.24399999999999999</v>
      </c>
      <c r="BD44" s="4">
        <v>0.46300000000000002</v>
      </c>
      <c r="BE44" s="4">
        <v>0.33200000000000002</v>
      </c>
      <c r="BF44" s="4">
        <v>0.45800000000000002</v>
      </c>
      <c r="BG44" s="4">
        <v>0.55800000000000005</v>
      </c>
      <c r="BH44" s="4">
        <v>-0.17199999999999999</v>
      </c>
      <c r="BI44" s="4">
        <v>4.3999999999999997E-2</v>
      </c>
      <c r="BJ44" s="4">
        <v>0.23599999999999999</v>
      </c>
      <c r="BK44" s="4">
        <v>0.44600000000000001</v>
      </c>
      <c r="BL44" s="4"/>
      <c r="BM44" s="4">
        <f t="shared" si="11"/>
        <v>0.18440000000000004</v>
      </c>
    </row>
    <row r="45" spans="1:65" x14ac:dyDescent="0.3">
      <c r="A45" t="s">
        <v>64</v>
      </c>
      <c r="B45" s="53">
        <v>0</v>
      </c>
      <c r="C45" s="53">
        <f t="shared" si="5"/>
        <v>0</v>
      </c>
      <c r="D45" s="53">
        <f t="shared" si="6"/>
        <v>-8.0000000000000002E-3</v>
      </c>
      <c r="E45" s="53">
        <f t="shared" si="7"/>
        <v>0</v>
      </c>
      <c r="F45" s="15">
        <v>2.0529999999999999</v>
      </c>
      <c r="G45" s="4">
        <v>1.708</v>
      </c>
      <c r="H45" t="s">
        <v>55</v>
      </c>
      <c r="I45" t="str">
        <f>VLOOKUP(A45,Setores!$A$2:$C$215,2,0)</f>
        <v>utilities</v>
      </c>
      <c r="J45" t="str">
        <f>VLOOKUP(A45,Setores!$A$2:$C$215,3,0)</f>
        <v>high_beta</v>
      </c>
      <c r="K45" s="92">
        <v>8.0000000000000002E-3</v>
      </c>
      <c r="L45" s="42">
        <v>8.0000000000000002E-3</v>
      </c>
      <c r="M45" s="92">
        <f>VLOOKUP(A45,'Mandato Ibov'!$B$1:$C$215,2,0)</f>
        <v>9.7034553948081199E-3</v>
      </c>
      <c r="N45" s="58">
        <f t="shared" si="8"/>
        <v>-1.7034553948081198E-3</v>
      </c>
      <c r="O45" s="42">
        <f t="shared" si="9"/>
        <v>-9.7034553948081199E-3</v>
      </c>
      <c r="P45" s="95">
        <f>VLOOKUP(A45,'Mandato Ibov'!$B$2:$D$215,3,0)</f>
        <v>0</v>
      </c>
      <c r="Q45" s="42">
        <f t="shared" si="10"/>
        <v>8.0000000000000002E-3</v>
      </c>
      <c r="R45" s="15">
        <v>-2.4E-2</v>
      </c>
      <c r="S45" s="15">
        <v>-4.5999999999999999E-2</v>
      </c>
      <c r="T45" s="15">
        <v>-0.154</v>
      </c>
      <c r="U45" s="15">
        <v>0.249</v>
      </c>
      <c r="V45" s="15">
        <v>0.06</v>
      </c>
      <c r="W45" s="15">
        <v>0.17</v>
      </c>
      <c r="X45" s="15">
        <v>0.28699999999999998</v>
      </c>
      <c r="Y45" s="15">
        <v>0.30399999999999999</v>
      </c>
      <c r="Z45" s="15">
        <v>0.505</v>
      </c>
      <c r="AA45" s="15">
        <v>0.50800000000000001</v>
      </c>
      <c r="AB45" s="15">
        <v>0.85599999999999998</v>
      </c>
      <c r="AC45" s="15">
        <v>0.78700000000000003</v>
      </c>
      <c r="AD45" s="15">
        <v>0.78800000000000003</v>
      </c>
      <c r="AE45" s="14">
        <v>0.36299999999999999</v>
      </c>
      <c r="AF45" s="15">
        <v>-0.16</v>
      </c>
      <c r="AG45" s="15">
        <v>0.621</v>
      </c>
      <c r="AH45" s="15">
        <v>-0.56100000000000005</v>
      </c>
      <c r="AI45" s="15">
        <v>-0.47599999999999998</v>
      </c>
      <c r="AJ45" s="16">
        <v>-0.40699999999999997</v>
      </c>
      <c r="AK45" s="4">
        <v>0.40799999999999997</v>
      </c>
      <c r="AL45" s="4">
        <v>-0.32500000000000001</v>
      </c>
      <c r="AM45" s="4">
        <v>-0.34300000000000003</v>
      </c>
      <c r="AN45" s="4">
        <v>-0.32</v>
      </c>
      <c r="AO45" s="4">
        <v>0.28999999999999998</v>
      </c>
      <c r="AP45" s="4">
        <v>-0.624</v>
      </c>
      <c r="AQ45" s="4">
        <v>-1.4E-2</v>
      </c>
      <c r="AR45" s="4">
        <v>-0.52400000000000002</v>
      </c>
      <c r="AS45" s="4">
        <v>-0.79100000000000004</v>
      </c>
      <c r="AT45" s="4">
        <v>0.17199999999999999</v>
      </c>
      <c r="AU45" s="4">
        <v>0.26400000000000001</v>
      </c>
      <c r="AV45" s="4">
        <v>0.44</v>
      </c>
      <c r="AW45" s="4">
        <v>0.60899999999999999</v>
      </c>
      <c r="AX45" s="4">
        <v>-9.5000000000000001E-2</v>
      </c>
      <c r="AY45" s="4">
        <v>-0.214</v>
      </c>
      <c r="AZ45" s="4">
        <v>0.70199999999999996</v>
      </c>
      <c r="BA45" s="4">
        <v>0.76</v>
      </c>
      <c r="BB45" s="4">
        <v>1.7999999999999999E-2</v>
      </c>
      <c r="BC45" s="4">
        <v>0.47699999999999998</v>
      </c>
      <c r="BD45" s="4">
        <v>0.502</v>
      </c>
      <c r="BE45" s="4">
        <v>-0.107</v>
      </c>
      <c r="BF45" s="4">
        <v>0.72</v>
      </c>
      <c r="BG45" s="4">
        <v>9.8000000000000004E-2</v>
      </c>
      <c r="BH45" s="4">
        <v>-0.79100000000000004</v>
      </c>
      <c r="BI45" s="4">
        <v>0.16400000000000001</v>
      </c>
      <c r="BJ45" s="4">
        <v>0.98099999999999998</v>
      </c>
      <c r="BK45" s="4">
        <v>0.109</v>
      </c>
      <c r="BL45" s="4"/>
      <c r="BM45" s="4">
        <f t="shared" si="11"/>
        <v>3.2025000000000012E-2</v>
      </c>
    </row>
    <row r="46" spans="1:65" x14ac:dyDescent="0.3">
      <c r="A46" t="s">
        <v>118</v>
      </c>
      <c r="B46" s="53">
        <f>K46</f>
        <v>7.0000000000000001E-3</v>
      </c>
      <c r="C46" s="53">
        <f t="shared" si="5"/>
        <v>7.0000000000000001E-3</v>
      </c>
      <c r="D46" s="53">
        <f t="shared" si="6"/>
        <v>0</v>
      </c>
      <c r="E46" s="53">
        <f t="shared" si="7"/>
        <v>0</v>
      </c>
      <c r="F46" s="15">
        <v>2.016</v>
      </c>
      <c r="G46" s="4">
        <v>1.5589999999999999</v>
      </c>
      <c r="H46" t="s">
        <v>57</v>
      </c>
      <c r="I46" t="str">
        <f>VLOOKUP(A46,Setores!$A$2:$C$215,2,0)</f>
        <v>homebuilders</v>
      </c>
      <c r="J46" t="str">
        <f>VLOOKUP(A46,Setores!$A$2:$C$215,3,0)</f>
        <v>very_high_beta</v>
      </c>
      <c r="K46" s="92">
        <v>7.0000000000000001E-3</v>
      </c>
      <c r="L46" s="42">
        <v>7.0000000000000001E-3</v>
      </c>
      <c r="M46" s="92">
        <f>VLOOKUP(A46,'Mandato Ibov'!$B$1:$C$215,2,0)</f>
        <v>9.5300222819630197E-3</v>
      </c>
      <c r="N46" s="58">
        <f t="shared" si="8"/>
        <v>-2.5300222819630196E-3</v>
      </c>
      <c r="O46" s="42">
        <f t="shared" si="9"/>
        <v>-2.5300222819630196E-3</v>
      </c>
      <c r="P46" s="95">
        <f>VLOOKUP(A46,'Mandato Ibov'!$B$2:$D$215,3,0)</f>
        <v>7.8945348654157997E-3</v>
      </c>
      <c r="Q46" s="42">
        <f t="shared" si="10"/>
        <v>-8.9453486541579957E-4</v>
      </c>
      <c r="R46" s="15">
        <v>0.16900000000000001</v>
      </c>
      <c r="S46" s="15">
        <v>-0.09</v>
      </c>
      <c r="T46" s="15">
        <v>-2.7E-2</v>
      </c>
      <c r="U46" s="15">
        <v>0.28699999999999998</v>
      </c>
      <c r="V46" s="15">
        <v>0.05</v>
      </c>
      <c r="W46" s="15">
        <v>0.20799999999999999</v>
      </c>
      <c r="X46" s="15">
        <v>9.8000000000000004E-2</v>
      </c>
      <c r="Y46" s="15">
        <v>0.30199999999999999</v>
      </c>
      <c r="Z46" s="15">
        <v>0.182</v>
      </c>
      <c r="AA46" s="15">
        <v>0.17699999999999999</v>
      </c>
      <c r="AB46" s="15">
        <v>0.877</v>
      </c>
      <c r="AC46" s="15">
        <v>0.78100000000000003</v>
      </c>
      <c r="AD46" s="15">
        <v>0.755</v>
      </c>
      <c r="AE46" s="14">
        <v>0.35499999999999998</v>
      </c>
      <c r="AF46" s="15">
        <v>0.69499999999999995</v>
      </c>
      <c r="AG46" s="15">
        <v>-4.7E-2</v>
      </c>
      <c r="AH46" s="15">
        <v>-0.11899999999999999</v>
      </c>
      <c r="AI46" s="15">
        <v>0.69099999999999995</v>
      </c>
      <c r="AJ46" s="16">
        <v>-0.13900000000000001</v>
      </c>
      <c r="AK46" s="4">
        <v>-0.27</v>
      </c>
      <c r="AL46" s="4">
        <v>0.255</v>
      </c>
      <c r="AM46" s="4">
        <v>-0.56200000000000006</v>
      </c>
      <c r="AN46" s="4">
        <v>0.21</v>
      </c>
      <c r="AO46" s="4">
        <v>0.114</v>
      </c>
      <c r="AP46" s="4">
        <v>8.8999999999999996E-2</v>
      </c>
      <c r="AQ46" s="4">
        <v>0.48499999999999999</v>
      </c>
      <c r="AR46" s="4">
        <v>0.55700000000000005</v>
      </c>
      <c r="AS46" s="4">
        <v>0.38</v>
      </c>
      <c r="AT46" s="4">
        <v>0.14000000000000001</v>
      </c>
      <c r="AU46" s="4">
        <v>-0.23899999999999999</v>
      </c>
      <c r="AV46" s="4">
        <v>0.26</v>
      </c>
      <c r="AW46" s="4">
        <v>-0.30599999999999999</v>
      </c>
      <c r="AX46" s="4">
        <v>4.4999999999999998E-2</v>
      </c>
      <c r="AY46" s="4">
        <v>0.80400000000000005</v>
      </c>
      <c r="AZ46" s="4">
        <v>0.91800000000000004</v>
      </c>
      <c r="BA46" s="4">
        <v>-7.8E-2</v>
      </c>
      <c r="BB46" s="4">
        <v>-0.78200000000000003</v>
      </c>
      <c r="BC46" s="4">
        <v>-0.47899999999999998</v>
      </c>
      <c r="BD46" s="4">
        <v>0.123</v>
      </c>
      <c r="BE46" s="4">
        <v>0.26600000000000001</v>
      </c>
      <c r="BF46" s="4">
        <v>0.27600000000000002</v>
      </c>
      <c r="BG46" s="4">
        <v>0.27600000000000002</v>
      </c>
      <c r="BH46" s="4">
        <v>-0.98699999999999999</v>
      </c>
      <c r="BI46" s="4">
        <v>0.90400000000000003</v>
      </c>
      <c r="BJ46" s="4">
        <v>-0.56499999999999995</v>
      </c>
      <c r="BK46" s="4">
        <v>0.113</v>
      </c>
      <c r="BL46" s="4"/>
      <c r="BM46" s="4">
        <f t="shared" si="11"/>
        <v>0.13024999999999998</v>
      </c>
    </row>
    <row r="47" spans="1:65" x14ac:dyDescent="0.3">
      <c r="A47" t="s">
        <v>100</v>
      </c>
      <c r="B47" s="53">
        <f>K47</f>
        <v>1.2E-2</v>
      </c>
      <c r="C47" s="53">
        <f t="shared" si="5"/>
        <v>1.2E-2</v>
      </c>
      <c r="D47" s="53">
        <f t="shared" si="6"/>
        <v>0</v>
      </c>
      <c r="E47" s="53">
        <f t="shared" si="7"/>
        <v>0</v>
      </c>
      <c r="F47" s="15">
        <v>1.992</v>
      </c>
      <c r="G47" s="4">
        <v>2.4249999999999998</v>
      </c>
      <c r="H47" t="s">
        <v>68</v>
      </c>
      <c r="I47" t="str">
        <f>VLOOKUP(A47,Setores!$A$2:$C$215,2,0)</f>
        <v>capital_goods</v>
      </c>
      <c r="J47" t="str">
        <f>VLOOKUP(A47,Setores!$A$2:$C$215,3,0)</f>
        <v>low_beta</v>
      </c>
      <c r="K47" s="92">
        <v>1.2E-2</v>
      </c>
      <c r="L47" s="42">
        <v>1.2E-2</v>
      </c>
      <c r="M47" s="92">
        <f>VLOOKUP(A47,'Mandato Ibov'!$B$1:$C$215,2,0)</f>
        <v>9.4175449693149199E-3</v>
      </c>
      <c r="N47" s="58">
        <f t="shared" si="8"/>
        <v>2.5824550306850803E-3</v>
      </c>
      <c r="O47" s="42">
        <f t="shared" si="9"/>
        <v>2.5824550306850803E-3</v>
      </c>
      <c r="P47" s="95">
        <f>VLOOKUP(A47,'Mandato Ibov'!$B$2:$D$215,3,0)</f>
        <v>6.6476974681346501E-3</v>
      </c>
      <c r="Q47" s="42">
        <f t="shared" si="10"/>
        <v>5.3523025318653501E-3</v>
      </c>
      <c r="R47" s="15">
        <v>5.8999999999999997E-2</v>
      </c>
      <c r="S47" s="15">
        <v>4.0000000000000001E-3</v>
      </c>
      <c r="T47" s="15">
        <v>7.9000000000000001E-2</v>
      </c>
      <c r="U47" s="15">
        <v>-0.23499999999999999</v>
      </c>
      <c r="V47" s="15">
        <v>-0.13900000000000001</v>
      </c>
      <c r="W47" s="15">
        <v>0.152</v>
      </c>
      <c r="X47" s="15">
        <v>0.215</v>
      </c>
      <c r="Y47" s="15">
        <v>0.223</v>
      </c>
      <c r="Z47" s="15">
        <v>0.58899999999999997</v>
      </c>
      <c r="AA47" s="15">
        <v>0.58499999999999996</v>
      </c>
      <c r="AB47" s="15">
        <v>0.79200000000000004</v>
      </c>
      <c r="AC47" s="15">
        <v>0.69799999999999995</v>
      </c>
      <c r="AD47" s="15">
        <v>0.80600000000000005</v>
      </c>
      <c r="AE47" s="14">
        <v>-0.42499999999999999</v>
      </c>
      <c r="AF47" s="15">
        <v>-0.64</v>
      </c>
      <c r="AG47" s="15">
        <v>-0.22800000000000001</v>
      </c>
      <c r="AH47" s="15">
        <v>5.1999999999999998E-2</v>
      </c>
      <c r="AI47" s="15">
        <v>0.23200000000000001</v>
      </c>
      <c r="AJ47" s="16">
        <v>-0.252</v>
      </c>
      <c r="AK47" s="4">
        <v>-6.9000000000000006E-2</v>
      </c>
      <c r="AL47" s="4">
        <v>0.32900000000000001</v>
      </c>
      <c r="AM47" s="4">
        <v>-0.48699999999999999</v>
      </c>
      <c r="AN47" s="4">
        <v>0.34200000000000003</v>
      </c>
      <c r="AO47" s="4">
        <v>0.26200000000000001</v>
      </c>
      <c r="AP47" s="4">
        <v>-0.161</v>
      </c>
      <c r="AQ47" s="4">
        <v>-0.32200000000000001</v>
      </c>
      <c r="AR47" s="4">
        <v>6.4000000000000001E-2</v>
      </c>
      <c r="AS47" s="4">
        <v>-0.52400000000000002</v>
      </c>
      <c r="AT47" s="4">
        <v>0.20699999999999999</v>
      </c>
      <c r="AU47" s="4">
        <v>-0.32900000000000001</v>
      </c>
      <c r="AV47" s="4">
        <v>-0.20899999999999999</v>
      </c>
      <c r="AW47" s="4">
        <v>0.69</v>
      </c>
      <c r="AX47" s="4">
        <v>0.51</v>
      </c>
      <c r="AY47" s="4">
        <v>0.90800000000000003</v>
      </c>
      <c r="AZ47" s="4">
        <v>0.90200000000000002</v>
      </c>
      <c r="BA47" s="4">
        <v>0.61299999999999999</v>
      </c>
      <c r="BB47" s="4">
        <v>-2.5999999999999999E-2</v>
      </c>
      <c r="BC47" s="4">
        <v>-8.8999999999999996E-2</v>
      </c>
      <c r="BD47" s="4">
        <v>0.36599999999999999</v>
      </c>
      <c r="BE47" s="4">
        <v>-0.43099999999999999</v>
      </c>
      <c r="BF47" s="4">
        <v>-9.8000000000000004E-2</v>
      </c>
      <c r="BG47" s="4">
        <v>0.51500000000000001</v>
      </c>
      <c r="BH47" s="4">
        <v>-0.28699999999999998</v>
      </c>
      <c r="BI47" s="4">
        <v>2.7E-2</v>
      </c>
      <c r="BJ47" s="4">
        <v>0.88200000000000001</v>
      </c>
      <c r="BK47" s="4">
        <v>0.371</v>
      </c>
      <c r="BL47" s="4"/>
      <c r="BM47" s="4">
        <f t="shared" si="11"/>
        <v>5.8574999999999988E-2</v>
      </c>
    </row>
    <row r="48" spans="1:65" x14ac:dyDescent="0.3">
      <c r="A48" t="s">
        <v>106</v>
      </c>
      <c r="B48" s="53">
        <v>1.2999999999999999E-2</v>
      </c>
      <c r="C48" s="53">
        <f t="shared" si="5"/>
        <v>1.2999999999999999E-2</v>
      </c>
      <c r="D48" s="53">
        <f t="shared" si="6"/>
        <v>-1.0000000000000009E-3</v>
      </c>
      <c r="E48" s="53">
        <f t="shared" si="7"/>
        <v>0</v>
      </c>
      <c r="F48" s="15">
        <v>1.9890000000000001</v>
      </c>
      <c r="G48" s="4">
        <v>1.6419999999999999</v>
      </c>
      <c r="H48" t="s">
        <v>57</v>
      </c>
      <c r="I48" t="str">
        <f>VLOOKUP(A48,Setores!$A$2:$C$215,2,0)</f>
        <v>tech</v>
      </c>
      <c r="J48" t="str">
        <f>VLOOKUP(A48,Setores!$A$2:$C$215,3,0)</f>
        <v>neutral_beta</v>
      </c>
      <c r="K48" s="92">
        <v>1.4E-2</v>
      </c>
      <c r="L48" s="42">
        <v>1.4E-2</v>
      </c>
      <c r="M48" s="92">
        <f>VLOOKUP(A48,'Mandato Ibov'!$B$1:$C$215,2,0)</f>
        <v>9.4015787204751594E-3</v>
      </c>
      <c r="N48" s="58">
        <f t="shared" si="8"/>
        <v>4.5984212795248409E-3</v>
      </c>
      <c r="O48" s="42">
        <f t="shared" si="9"/>
        <v>3.59842127952484E-3</v>
      </c>
      <c r="P48" s="95">
        <f>VLOOKUP(A48,'Mandato Ibov'!$B$2:$D$215,3,0)</f>
        <v>0</v>
      </c>
      <c r="Q48" s="42">
        <f t="shared" si="10"/>
        <v>1.4E-2</v>
      </c>
      <c r="R48" s="15">
        <v>0.35</v>
      </c>
      <c r="S48" s="15">
        <v>0.72399999999999998</v>
      </c>
      <c r="T48" s="15">
        <v>0.42399999999999999</v>
      </c>
      <c r="U48" s="15">
        <v>8.1000000000000003E-2</v>
      </c>
      <c r="V48" s="15">
        <v>0.435</v>
      </c>
      <c r="W48" s="15">
        <v>-0.189</v>
      </c>
      <c r="X48" s="15">
        <v>-0.51900000000000002</v>
      </c>
      <c r="Y48" s="15">
        <v>-0.14799999999999999</v>
      </c>
      <c r="Z48" s="15">
        <v>0.46600000000000003</v>
      </c>
      <c r="AA48" s="15">
        <v>0.46100000000000002</v>
      </c>
      <c r="AB48" s="15">
        <v>0.81399999999999995</v>
      </c>
      <c r="AC48" s="15">
        <v>0.89900000000000002</v>
      </c>
      <c r="AD48" s="15">
        <v>0.94</v>
      </c>
      <c r="AE48" s="14">
        <v>-0.11899999999999999</v>
      </c>
      <c r="AF48" s="15">
        <v>0.56799999999999995</v>
      </c>
      <c r="AG48" s="15">
        <v>0.60399999999999998</v>
      </c>
      <c r="AH48" s="15">
        <v>1</v>
      </c>
      <c r="AI48" s="15">
        <v>0.56999999999999995</v>
      </c>
      <c r="AJ48" s="16">
        <v>-0.42099999999999999</v>
      </c>
      <c r="AK48" s="4">
        <v>0.75</v>
      </c>
      <c r="AL48" s="4">
        <v>-0.17599999999999999</v>
      </c>
      <c r="AM48" s="4">
        <v>0.68899999999999995</v>
      </c>
      <c r="AN48" s="4">
        <v>-0.20399999999999999</v>
      </c>
      <c r="AO48" s="4">
        <v>-0.21099999999999999</v>
      </c>
      <c r="AP48" s="4">
        <v>0.38700000000000001</v>
      </c>
      <c r="AQ48" s="4">
        <v>-0.48299999999999998</v>
      </c>
      <c r="AR48" s="4">
        <v>0.27100000000000002</v>
      </c>
      <c r="AS48" s="4">
        <v>0.19900000000000001</v>
      </c>
      <c r="AT48" s="4">
        <v>6.0000000000000001E-3</v>
      </c>
      <c r="AU48" s="4">
        <v>-0.434</v>
      </c>
      <c r="AV48" s="4">
        <v>-0.26200000000000001</v>
      </c>
      <c r="AW48" s="4">
        <v>-0.13200000000000001</v>
      </c>
      <c r="AX48" s="4">
        <v>-0.109</v>
      </c>
      <c r="AY48" s="4">
        <v>0.59599999999999997</v>
      </c>
      <c r="AZ48" s="4">
        <v>-0.17699999999999999</v>
      </c>
      <c r="BA48" s="4">
        <v>0.45500000000000002</v>
      </c>
      <c r="BB48" s="4">
        <v>0.17799999999999999</v>
      </c>
      <c r="BC48" s="4">
        <v>0.504</v>
      </c>
      <c r="BD48" s="4">
        <v>0.29599999999999999</v>
      </c>
      <c r="BE48" s="4">
        <v>7.2999999999999995E-2</v>
      </c>
      <c r="BF48" s="4">
        <v>0.41799999999999998</v>
      </c>
      <c r="BG48" s="4">
        <v>-0.05</v>
      </c>
      <c r="BH48" s="4">
        <v>0.17899999999999999</v>
      </c>
      <c r="BI48" s="4">
        <v>-7.0000000000000001E-3</v>
      </c>
      <c r="BJ48" s="4">
        <v>0.21199999999999999</v>
      </c>
      <c r="BK48" s="4">
        <v>0.85099999999999998</v>
      </c>
      <c r="BL48" s="4"/>
      <c r="BM48" s="4">
        <f t="shared" si="11"/>
        <v>4.0425000000000003E-2</v>
      </c>
    </row>
    <row r="49" spans="1:65" x14ac:dyDescent="0.3">
      <c r="A49" t="s">
        <v>74</v>
      </c>
      <c r="B49" s="53">
        <f>K49</f>
        <v>8.9999999999999993E-3</v>
      </c>
      <c r="C49" s="53">
        <f t="shared" si="5"/>
        <v>8.9999999999999993E-3</v>
      </c>
      <c r="D49" s="53">
        <f t="shared" si="6"/>
        <v>0</v>
      </c>
      <c r="E49" s="53">
        <f t="shared" si="7"/>
        <v>0</v>
      </c>
      <c r="F49" s="15">
        <v>1.97</v>
      </c>
      <c r="G49" s="4">
        <v>1.5469999999999999</v>
      </c>
      <c r="H49" t="s">
        <v>53</v>
      </c>
      <c r="I49" t="str">
        <f>VLOOKUP(A49,Setores!$A$2:$C$215,2,0)</f>
        <v>healthcare</v>
      </c>
      <c r="J49" t="str">
        <f>VLOOKUP(A49,Setores!$A$2:$C$215,3,0)</f>
        <v>high_beta</v>
      </c>
      <c r="K49" s="92">
        <v>8.9999999999999993E-3</v>
      </c>
      <c r="L49" s="42">
        <v>8.9999999999999993E-3</v>
      </c>
      <c r="M49" s="92">
        <f>VLOOKUP(A49,'Mandato Ibov'!$B$1:$C$215,2,0)</f>
        <v>9.3139248144015092E-3</v>
      </c>
      <c r="N49" s="58">
        <f t="shared" si="8"/>
        <v>-3.1392481440150992E-4</v>
      </c>
      <c r="O49" s="42">
        <f t="shared" si="9"/>
        <v>-3.1392481440150992E-4</v>
      </c>
      <c r="P49" s="95">
        <f>VLOOKUP(A49,'Mandato Ibov'!$B$2:$D$215,3,0)</f>
        <v>7.1644842729701097E-3</v>
      </c>
      <c r="Q49" s="42">
        <f t="shared" si="10"/>
        <v>1.8355157270298897E-3</v>
      </c>
      <c r="R49" s="15">
        <v>0.23499999999999999</v>
      </c>
      <c r="S49" s="15">
        <v>-9.9000000000000005E-2</v>
      </c>
      <c r="T49" s="15">
        <v>0.58599999999999997</v>
      </c>
      <c r="U49" s="15">
        <v>0.27400000000000002</v>
      </c>
      <c r="V49" s="15">
        <v>0.33300000000000002</v>
      </c>
      <c r="W49" s="15">
        <v>0.125</v>
      </c>
      <c r="X49" s="15">
        <v>5.0000000000000001E-3</v>
      </c>
      <c r="Y49" s="15">
        <v>1.9E-2</v>
      </c>
      <c r="Z49" s="15">
        <v>0.45300000000000001</v>
      </c>
      <c r="AA49" s="15">
        <v>0.45200000000000001</v>
      </c>
      <c r="AB49" s="15">
        <v>0.64100000000000001</v>
      </c>
      <c r="AC49" s="15">
        <v>0.754</v>
      </c>
      <c r="AD49" s="15">
        <v>0.72299999999999998</v>
      </c>
      <c r="AE49" s="14">
        <v>0.61899999999999999</v>
      </c>
      <c r="AF49" s="15">
        <v>0.497</v>
      </c>
      <c r="AG49" s="15">
        <v>-0.12</v>
      </c>
      <c r="AH49" s="15">
        <v>1</v>
      </c>
      <c r="AI49" s="15">
        <v>2.5000000000000001E-2</v>
      </c>
      <c r="AJ49" s="16">
        <v>0.158</v>
      </c>
      <c r="AK49" s="4">
        <v>0.78600000000000003</v>
      </c>
      <c r="AL49" s="4">
        <v>0.155</v>
      </c>
      <c r="AM49" s="4">
        <v>0.13600000000000001</v>
      </c>
      <c r="AN49" s="4">
        <v>0.14499999999999999</v>
      </c>
      <c r="AO49" s="4">
        <v>-0.30599999999999999</v>
      </c>
      <c r="AP49" s="4">
        <v>-0.23799999999999999</v>
      </c>
      <c r="AQ49" s="4">
        <v>0.186</v>
      </c>
      <c r="AR49" s="4">
        <v>-0.23200000000000001</v>
      </c>
      <c r="AS49" s="4">
        <v>-0.62</v>
      </c>
      <c r="AT49" s="4">
        <v>0.33</v>
      </c>
      <c r="AU49" s="4">
        <v>-0.60699999999999998</v>
      </c>
      <c r="AV49" s="4">
        <v>0.21299999999999999</v>
      </c>
      <c r="AW49" s="4">
        <v>0.23400000000000001</v>
      </c>
      <c r="AX49" s="4">
        <v>-0.128</v>
      </c>
      <c r="AY49" s="4">
        <v>0.878</v>
      </c>
      <c r="AZ49" s="4">
        <v>0.28599999999999998</v>
      </c>
      <c r="BA49" s="4">
        <v>0.16200000000000001</v>
      </c>
      <c r="BB49" s="4">
        <v>-6.7000000000000004E-2</v>
      </c>
      <c r="BC49" s="4">
        <v>4.2999999999999997E-2</v>
      </c>
      <c r="BD49" s="4">
        <v>0.16400000000000001</v>
      </c>
      <c r="BE49" s="4">
        <v>0.34200000000000003</v>
      </c>
      <c r="BF49" s="4">
        <v>-0.14199999999999999</v>
      </c>
      <c r="BG49" s="4">
        <v>0.24099999999999999</v>
      </c>
      <c r="BH49" s="4">
        <v>-0.70199999999999996</v>
      </c>
      <c r="BI49" s="4">
        <v>-0.11600000000000001</v>
      </c>
      <c r="BJ49" s="4">
        <v>0.83199999999999996</v>
      </c>
      <c r="BK49" s="4">
        <v>0.745</v>
      </c>
      <c r="BL49" s="4"/>
      <c r="BM49" s="4">
        <f t="shared" si="11"/>
        <v>0.10622500000000001</v>
      </c>
    </row>
    <row r="50" spans="1:65" x14ac:dyDescent="0.3">
      <c r="A50" t="s">
        <v>120</v>
      </c>
      <c r="B50" s="53">
        <f>K50</f>
        <v>1.2999999999999999E-2</v>
      </c>
      <c r="C50" s="53">
        <f t="shared" si="5"/>
        <v>0.01</v>
      </c>
      <c r="D50" s="53">
        <f t="shared" si="6"/>
        <v>0</v>
      </c>
      <c r="E50" s="53">
        <f t="shared" si="7"/>
        <v>2.9999999999999992E-3</v>
      </c>
      <c r="F50" s="15">
        <v>1.9690000000000001</v>
      </c>
      <c r="G50" s="4">
        <v>2.5529999999999999</v>
      </c>
      <c r="H50" t="s">
        <v>71</v>
      </c>
      <c r="I50" t="str">
        <f>VLOOKUP(A50,Setores!$A$2:$C$215,2,0)</f>
        <v>basic_materials</v>
      </c>
      <c r="J50" t="str">
        <f>VLOOKUP(A50,Setores!$A$2:$C$215,3,0)</f>
        <v>low_beta</v>
      </c>
      <c r="K50" s="92">
        <v>1.2999999999999999E-2</v>
      </c>
      <c r="L50" s="42">
        <v>0.01</v>
      </c>
      <c r="M50" s="92">
        <f>VLOOKUP(A50,'Mandato Ibov'!$B$1:$C$215,2,0)</f>
        <v>1.26016785796235E-2</v>
      </c>
      <c r="N50" s="58">
        <f t="shared" si="8"/>
        <v>3.9832142037649933E-4</v>
      </c>
      <c r="O50" s="42">
        <f t="shared" si="9"/>
        <v>3.9832142037649933E-4</v>
      </c>
      <c r="P50" s="95">
        <f>VLOOKUP(A50,'Mandato Ibov'!$B$2:$D$215,3,0)</f>
        <v>1.01111098295611E-2</v>
      </c>
      <c r="Q50" s="42">
        <f t="shared" si="10"/>
        <v>2.888890170438899E-3</v>
      </c>
      <c r="R50" s="15">
        <v>-0.27500000000000002</v>
      </c>
      <c r="S50" s="15">
        <v>0.45600000000000002</v>
      </c>
      <c r="T50" s="15">
        <v>-0.63400000000000001</v>
      </c>
      <c r="U50" s="15">
        <v>-2.1000000000000001E-2</v>
      </c>
      <c r="V50" s="15">
        <v>4.0000000000000001E-3</v>
      </c>
      <c r="W50" s="15">
        <v>-0.05</v>
      </c>
      <c r="X50" s="15">
        <v>-0.32600000000000001</v>
      </c>
      <c r="Y50" s="15">
        <v>0.25800000000000001</v>
      </c>
      <c r="Z50" s="15">
        <v>1</v>
      </c>
      <c r="AA50" s="15">
        <v>1</v>
      </c>
      <c r="AB50" s="15">
        <v>0.90500000000000003</v>
      </c>
      <c r="AC50" s="15">
        <v>0.97199999999999998</v>
      </c>
      <c r="AD50" s="15">
        <v>0.95699999999999996</v>
      </c>
      <c r="AE50" s="14">
        <v>-0.14399999999999999</v>
      </c>
      <c r="AF50" s="15">
        <v>-0.36399999999999999</v>
      </c>
      <c r="AG50" s="15">
        <v>1</v>
      </c>
      <c r="AH50" s="15">
        <v>-0.45500000000000002</v>
      </c>
      <c r="AI50" s="15">
        <v>-0.218</v>
      </c>
      <c r="AJ50" s="16">
        <v>-0.874</v>
      </c>
      <c r="AK50" s="4">
        <v>0.55200000000000005</v>
      </c>
      <c r="AL50" s="4">
        <v>-0.19800000000000001</v>
      </c>
      <c r="AM50" s="4">
        <v>0.55600000000000005</v>
      </c>
      <c r="AN50" s="4">
        <v>-0.623</v>
      </c>
      <c r="AO50" s="4">
        <v>0.55000000000000004</v>
      </c>
      <c r="AP50" s="4">
        <v>0.30099999999999999</v>
      </c>
      <c r="AQ50" s="4">
        <v>-0.86</v>
      </c>
      <c r="AR50" s="4">
        <v>0.48</v>
      </c>
      <c r="AS50" s="4">
        <v>0.40200000000000002</v>
      </c>
      <c r="AT50" s="4">
        <v>9.7000000000000003E-2</v>
      </c>
      <c r="AU50" s="4">
        <v>-0.53500000000000003</v>
      </c>
      <c r="AV50" s="4">
        <v>-0.152</v>
      </c>
      <c r="AW50" s="4">
        <v>0.41199999999999998</v>
      </c>
      <c r="AX50" s="4">
        <v>-6.0999999999999999E-2</v>
      </c>
      <c r="AY50" s="4">
        <v>0.8</v>
      </c>
      <c r="AZ50" s="4">
        <v>-0.158</v>
      </c>
      <c r="BA50" s="4">
        <v>-9.5000000000000001E-2</v>
      </c>
      <c r="BB50" s="4">
        <v>0.20100000000000001</v>
      </c>
      <c r="BC50" s="4">
        <v>7.2999999999999995E-2</v>
      </c>
      <c r="BD50" s="4">
        <v>0.69299999999999995</v>
      </c>
      <c r="BE50" s="4">
        <v>-1</v>
      </c>
      <c r="BF50" s="4">
        <v>-0.67</v>
      </c>
      <c r="BG50" s="4">
        <v>0.36499999999999999</v>
      </c>
      <c r="BH50" s="4">
        <v>-0.35099999999999998</v>
      </c>
      <c r="BI50" s="4">
        <v>-0.45900000000000002</v>
      </c>
      <c r="BJ50" s="4">
        <v>-0.183</v>
      </c>
      <c r="BK50" s="4">
        <v>-7.9000000000000001E-2</v>
      </c>
      <c r="BL50" s="4"/>
      <c r="BM50" s="4">
        <f t="shared" si="11"/>
        <v>0.13577500000000003</v>
      </c>
    </row>
    <row r="51" spans="1:65" x14ac:dyDescent="0.3">
      <c r="A51" t="s">
        <v>121</v>
      </c>
      <c r="B51" s="53">
        <v>4.2000000000000003E-2</v>
      </c>
      <c r="C51" s="53">
        <f t="shared" si="5"/>
        <v>1.0000000000000002E-2</v>
      </c>
      <c r="D51" s="53">
        <f t="shared" si="6"/>
        <v>1.5000000000000003E-2</v>
      </c>
      <c r="E51" s="53">
        <f t="shared" si="7"/>
        <v>3.2000000000000001E-2</v>
      </c>
      <c r="F51" s="15">
        <v>1.9079999999999999</v>
      </c>
      <c r="G51" s="4">
        <v>4.1550000000000002</v>
      </c>
      <c r="H51" t="s">
        <v>57</v>
      </c>
      <c r="I51" t="str">
        <f>VLOOKUP(A51,Setores!$A$2:$C$215,2,0)</f>
        <v>banks</v>
      </c>
      <c r="J51" t="str">
        <f>VLOOKUP(A51,Setores!$A$2:$C$215,3,0)</f>
        <v>neutral_beta</v>
      </c>
      <c r="K51" s="92">
        <v>2.7E-2</v>
      </c>
      <c r="L51" s="42">
        <v>-5.0000000000000001E-3</v>
      </c>
      <c r="M51" s="92">
        <f>VLOOKUP(A51,'Mandato Ibov'!$B$1:$C$215,2,0)</f>
        <v>4.9679965495512103E-2</v>
      </c>
      <c r="N51" s="58">
        <f t="shared" si="8"/>
        <v>-2.2679965495512103E-2</v>
      </c>
      <c r="O51" s="42">
        <f t="shared" si="9"/>
        <v>-7.6799654955121005E-3</v>
      </c>
      <c r="P51" s="95">
        <f>VLOOKUP(A51,'Mandato Ibov'!$B$2:$D$215,3,0)</f>
        <v>3.84341950038425E-2</v>
      </c>
      <c r="Q51" s="42">
        <f t="shared" si="10"/>
        <v>-1.14341950038425E-2</v>
      </c>
      <c r="R51" s="15">
        <v>-0.25</v>
      </c>
      <c r="S51" s="15">
        <v>-0.26600000000000001</v>
      </c>
      <c r="T51" s="15">
        <v>-0.77200000000000002</v>
      </c>
      <c r="U51" s="15">
        <v>9.1999999999999998E-2</v>
      </c>
      <c r="V51" s="15">
        <v>-0.34300000000000003</v>
      </c>
      <c r="W51" s="15">
        <v>0.26100000000000001</v>
      </c>
      <c r="X51" s="15">
        <v>0.53300000000000003</v>
      </c>
      <c r="Y51" s="15">
        <v>0.42899999999999999</v>
      </c>
      <c r="Z51" s="15">
        <v>0.50800000000000001</v>
      </c>
      <c r="AA51" s="15">
        <v>0.50800000000000001</v>
      </c>
      <c r="AB51" s="15">
        <v>0.77700000000000002</v>
      </c>
      <c r="AC51" s="15">
        <v>0.83099999999999996</v>
      </c>
      <c r="AD51" s="15">
        <v>0.77100000000000002</v>
      </c>
      <c r="AE51" s="14">
        <v>0.123</v>
      </c>
      <c r="AF51" s="15">
        <v>-0.218</v>
      </c>
      <c r="AG51" s="15">
        <v>6.3E-2</v>
      </c>
      <c r="AH51" s="15">
        <v>-0.96399999999999997</v>
      </c>
      <c r="AI51" s="15">
        <v>-0.76200000000000001</v>
      </c>
      <c r="AJ51" s="16">
        <v>-0.83</v>
      </c>
      <c r="AK51" s="4">
        <v>-0.17399999999999999</v>
      </c>
      <c r="AL51" s="4">
        <v>0.221</v>
      </c>
      <c r="AM51" s="4">
        <v>-0.67900000000000005</v>
      </c>
      <c r="AN51" s="4">
        <v>-0.20599999999999999</v>
      </c>
      <c r="AO51" s="4">
        <v>0.46300000000000002</v>
      </c>
      <c r="AP51" s="4">
        <v>-4.5999999999999999E-2</v>
      </c>
      <c r="AQ51" s="4">
        <v>8.9999999999999993E-3</v>
      </c>
      <c r="AR51" s="4">
        <v>0.30599999999999999</v>
      </c>
      <c r="AS51" s="4">
        <v>0.41299999999999998</v>
      </c>
      <c r="AT51" s="4">
        <v>-1E-3</v>
      </c>
      <c r="AU51" s="4">
        <v>-2E-3</v>
      </c>
      <c r="AV51" s="4">
        <v>0.379</v>
      </c>
      <c r="AW51" s="4">
        <v>0.436</v>
      </c>
      <c r="AX51" s="4">
        <v>-0.40100000000000002</v>
      </c>
      <c r="AY51" s="4">
        <v>0.91</v>
      </c>
      <c r="AZ51" s="4">
        <v>0.68799999999999994</v>
      </c>
      <c r="BA51" s="4">
        <v>0.65300000000000002</v>
      </c>
      <c r="BB51" s="4">
        <v>-0.20699999999999999</v>
      </c>
      <c r="BC51" s="4">
        <v>1.4E-2</v>
      </c>
      <c r="BD51" s="4">
        <v>0.55000000000000004</v>
      </c>
      <c r="BE51" s="4">
        <v>-0.128</v>
      </c>
      <c r="BF51" s="4">
        <v>-0.39500000000000002</v>
      </c>
      <c r="BG51" s="4">
        <v>0.82399999999999995</v>
      </c>
      <c r="BH51" s="4">
        <v>-0.68</v>
      </c>
      <c r="BI51" s="4">
        <v>-0.08</v>
      </c>
      <c r="BJ51" s="4">
        <v>-0.182</v>
      </c>
      <c r="BK51" s="4">
        <v>-0.70899999999999996</v>
      </c>
      <c r="BL51" s="4"/>
      <c r="BM51" s="4">
        <f t="shared" si="11"/>
        <v>0.17687500000000003</v>
      </c>
    </row>
    <row r="52" spans="1:65" x14ac:dyDescent="0.3">
      <c r="A52" t="s">
        <v>72</v>
      </c>
      <c r="B52" s="53">
        <f>K52</f>
        <v>8.9999999999999993E-3</v>
      </c>
      <c r="C52" s="53">
        <f t="shared" si="5"/>
        <v>8.9999999999999993E-3</v>
      </c>
      <c r="D52" s="53">
        <f t="shared" si="6"/>
        <v>0</v>
      </c>
      <c r="E52" s="53">
        <f t="shared" si="7"/>
        <v>0</v>
      </c>
      <c r="F52" s="15">
        <v>1.9039999999999999</v>
      </c>
      <c r="G52" s="4">
        <v>1.56</v>
      </c>
      <c r="H52" t="s">
        <v>57</v>
      </c>
      <c r="I52" t="str">
        <f>VLOOKUP(A52,Setores!$A$2:$C$215,2,0)</f>
        <v>apparel</v>
      </c>
      <c r="J52" t="str">
        <f>VLOOKUP(A52,Setores!$A$2:$C$215,3,0)</f>
        <v>high_beta</v>
      </c>
      <c r="K52" s="92">
        <v>8.9999999999999993E-3</v>
      </c>
      <c r="L52" s="42">
        <v>8.9999999999999993E-3</v>
      </c>
      <c r="M52" s="92">
        <f>VLOOKUP(A52,'Mandato Ibov'!$B$1:$C$215,2,0)</f>
        <v>9.0014530795023799E-3</v>
      </c>
      <c r="N52" s="58">
        <f t="shared" si="8"/>
        <v>-1.4530795023805915E-6</v>
      </c>
      <c r="O52" s="42">
        <f t="shared" si="9"/>
        <v>-1.4530795023805915E-6</v>
      </c>
      <c r="P52" s="95">
        <f>VLOOKUP(A52,'Mandato Ibov'!$B$2:$D$215,3,0)</f>
        <v>6.4494607091336396E-3</v>
      </c>
      <c r="Q52" s="42">
        <f t="shared" si="10"/>
        <v>2.5505392908663597E-3</v>
      </c>
      <c r="R52" s="15">
        <v>0.26600000000000001</v>
      </c>
      <c r="S52" s="15">
        <v>-0.21299999999999999</v>
      </c>
      <c r="T52" s="15">
        <v>0.12</v>
      </c>
      <c r="U52" s="15">
        <v>0.49299999999999999</v>
      </c>
      <c r="V52" s="15">
        <v>0.151</v>
      </c>
      <c r="W52" s="15">
        <v>0.20699999999999999</v>
      </c>
      <c r="X52" s="15">
        <v>0.20599999999999999</v>
      </c>
      <c r="Y52" s="15">
        <v>9.1999999999999998E-2</v>
      </c>
      <c r="Z52" s="15">
        <v>8.5999999999999993E-2</v>
      </c>
      <c r="AA52" s="15">
        <v>8.5000000000000006E-2</v>
      </c>
      <c r="AB52" s="15">
        <v>0.77600000000000002</v>
      </c>
      <c r="AC52" s="15">
        <v>0.75900000000000001</v>
      </c>
      <c r="AD52" s="15">
        <v>0.67200000000000004</v>
      </c>
      <c r="AE52" s="14">
        <v>0.90800000000000003</v>
      </c>
      <c r="AF52" s="15">
        <v>0.92500000000000004</v>
      </c>
      <c r="AG52" s="15">
        <v>-0.60099999999999998</v>
      </c>
      <c r="AH52" s="15">
        <v>-0.52400000000000002</v>
      </c>
      <c r="AI52" s="15">
        <v>-0.45600000000000002</v>
      </c>
      <c r="AJ52" s="16">
        <v>0.24399999999999999</v>
      </c>
      <c r="AK52" s="4">
        <v>-0.34200000000000003</v>
      </c>
      <c r="AL52" s="4">
        <v>-6.8000000000000005E-2</v>
      </c>
      <c r="AM52" s="4">
        <v>-0.79100000000000004</v>
      </c>
      <c r="AN52" s="4">
        <v>0.497</v>
      </c>
      <c r="AO52" s="4">
        <v>1.7999999999999999E-2</v>
      </c>
      <c r="AP52" s="4">
        <v>-0.70199999999999996</v>
      </c>
      <c r="AQ52" s="4">
        <v>0.82099999999999995</v>
      </c>
      <c r="AR52" s="4">
        <v>0.55200000000000005</v>
      </c>
      <c r="AS52" s="4">
        <v>0.51100000000000001</v>
      </c>
      <c r="AT52" s="4">
        <v>0.30299999999999999</v>
      </c>
      <c r="AU52" s="4">
        <v>-2.1000000000000001E-2</v>
      </c>
      <c r="AV52" s="4">
        <v>0.71399999999999997</v>
      </c>
      <c r="AW52" s="4">
        <v>-1.7000000000000001E-2</v>
      </c>
      <c r="AX52" s="4">
        <v>7.1999999999999995E-2</v>
      </c>
      <c r="AY52" s="4">
        <v>-5.2999999999999999E-2</v>
      </c>
      <c r="AZ52" s="4">
        <v>6.0999999999999999E-2</v>
      </c>
      <c r="BA52" s="4">
        <v>0.35</v>
      </c>
      <c r="BB52" s="4">
        <v>0.33800000000000002</v>
      </c>
      <c r="BC52" s="4">
        <v>-9.0999999999999998E-2</v>
      </c>
      <c r="BD52" s="4">
        <v>0.45600000000000002</v>
      </c>
      <c r="BE52" s="4">
        <v>-0.38400000000000001</v>
      </c>
      <c r="BF52" s="4">
        <v>-1.7999999999999999E-2</v>
      </c>
      <c r="BG52" s="4">
        <v>9.8000000000000004E-2</v>
      </c>
      <c r="BH52" s="4">
        <v>-8.0000000000000002E-3</v>
      </c>
      <c r="BI52" s="4">
        <v>0.219</v>
      </c>
      <c r="BJ52" s="4">
        <v>0.221</v>
      </c>
      <c r="BK52" s="4">
        <v>-0.24099999999999999</v>
      </c>
      <c r="BL52" s="4"/>
      <c r="BM52" s="4">
        <f t="shared" si="11"/>
        <v>0.1182</v>
      </c>
    </row>
    <row r="53" spans="1:65" x14ac:dyDescent="0.3">
      <c r="A53" t="s">
        <v>56</v>
      </c>
      <c r="B53" s="53">
        <v>0.02</v>
      </c>
      <c r="C53" s="53">
        <f t="shared" si="5"/>
        <v>0.02</v>
      </c>
      <c r="D53" s="53">
        <f t="shared" si="6"/>
        <v>8.0000000000000002E-3</v>
      </c>
      <c r="E53" s="53">
        <f t="shared" si="7"/>
        <v>0</v>
      </c>
      <c r="F53" s="15">
        <v>1.8919999999999999</v>
      </c>
      <c r="G53" s="4">
        <v>2.004</v>
      </c>
      <c r="H53" t="s">
        <v>55</v>
      </c>
      <c r="I53" t="str">
        <f>VLOOKUP(A53,Setores!$A$2:$C$215,2,0)</f>
        <v>utilities</v>
      </c>
      <c r="J53" t="str">
        <f>VLOOKUP(A53,Setores!$A$2:$C$215,3,0)</f>
        <v>neutral_beta</v>
      </c>
      <c r="K53" s="92">
        <v>1.2E-2</v>
      </c>
      <c r="L53" s="42">
        <v>1.2E-2</v>
      </c>
      <c r="M53" s="92">
        <f>VLOOKUP(A53,'Mandato Ibov'!$B$1:$C$215,2,0)</f>
        <v>8.9446895074581107E-3</v>
      </c>
      <c r="N53" s="58">
        <f t="shared" si="8"/>
        <v>3.0553104925418895E-3</v>
      </c>
      <c r="O53" s="42">
        <f t="shared" si="9"/>
        <v>1.105531049254189E-2</v>
      </c>
      <c r="P53" s="95">
        <f>VLOOKUP(A53,'Mandato Ibov'!$B$2:$D$215,3,0)</f>
        <v>0</v>
      </c>
      <c r="Q53" s="42">
        <f t="shared" si="10"/>
        <v>1.2E-2</v>
      </c>
      <c r="R53" s="15">
        <v>-7.0999999999999994E-2</v>
      </c>
      <c r="S53" s="15">
        <v>-0.20300000000000001</v>
      </c>
      <c r="T53" s="15">
        <v>-0.26700000000000002</v>
      </c>
      <c r="U53" s="15">
        <v>0.17299999999999999</v>
      </c>
      <c r="V53" s="15">
        <v>-7.4999999999999997E-2</v>
      </c>
      <c r="W53" s="15">
        <v>0.26600000000000001</v>
      </c>
      <c r="X53" s="15">
        <v>0.48599999999999999</v>
      </c>
      <c r="Y53" s="15">
        <v>0.17699999999999999</v>
      </c>
      <c r="Z53" s="15">
        <v>0.436</v>
      </c>
      <c r="AA53" s="15">
        <v>0.438</v>
      </c>
      <c r="AB53" s="15">
        <v>0.88900000000000001</v>
      </c>
      <c r="AC53" s="15">
        <v>0.68200000000000005</v>
      </c>
      <c r="AD53" s="15">
        <v>0.73499999999999999</v>
      </c>
      <c r="AE53" s="14">
        <v>0.41399999999999998</v>
      </c>
      <c r="AF53" s="15">
        <v>-0.13300000000000001</v>
      </c>
      <c r="AG53" s="15">
        <v>0.26500000000000001</v>
      </c>
      <c r="AH53" s="15">
        <v>-0.54800000000000004</v>
      </c>
      <c r="AI53" s="15">
        <v>-0.58799999999999997</v>
      </c>
      <c r="AJ53" s="16">
        <v>-0.40799999999999997</v>
      </c>
      <c r="AK53" s="4">
        <v>0.40799999999999997</v>
      </c>
      <c r="AL53" s="4">
        <v>-0.20300000000000001</v>
      </c>
      <c r="AM53" s="4">
        <v>-0.34300000000000003</v>
      </c>
      <c r="AN53" s="4">
        <v>-0.254</v>
      </c>
      <c r="AO53" s="4">
        <v>0.109</v>
      </c>
      <c r="AP53" s="4">
        <v>-0.3</v>
      </c>
      <c r="AQ53" s="4">
        <v>-1.4E-2</v>
      </c>
      <c r="AR53" s="4">
        <v>-0.52400000000000002</v>
      </c>
      <c r="AS53" s="4">
        <v>-0.79100000000000004</v>
      </c>
      <c r="AT53" s="4">
        <v>0.17199999999999999</v>
      </c>
      <c r="AU53" s="4">
        <v>0.26400000000000001</v>
      </c>
      <c r="AV53" s="4">
        <v>0.44</v>
      </c>
      <c r="AW53" s="4">
        <v>0.73499999999999999</v>
      </c>
      <c r="AX53" s="4">
        <v>-9.5000000000000001E-2</v>
      </c>
      <c r="AY53" s="4">
        <v>-0.214</v>
      </c>
      <c r="AZ53" s="4">
        <v>0.42599999999999999</v>
      </c>
      <c r="BA53" s="4">
        <v>1</v>
      </c>
      <c r="BB53" s="4">
        <v>1.7999999999999999E-2</v>
      </c>
      <c r="BC53" s="4">
        <v>0.47699999999999998</v>
      </c>
      <c r="BD53" s="4">
        <v>0.39500000000000002</v>
      </c>
      <c r="BE53" s="4">
        <v>-0.25700000000000001</v>
      </c>
      <c r="BF53" s="4">
        <v>0.46100000000000002</v>
      </c>
      <c r="BG53" s="4">
        <v>0.374</v>
      </c>
      <c r="BH53" s="4">
        <v>-0.68400000000000005</v>
      </c>
      <c r="BI53" s="4">
        <v>-0.10299999999999999</v>
      </c>
      <c r="BJ53" s="4">
        <v>0.621</v>
      </c>
      <c r="BK53" s="4">
        <v>0.109</v>
      </c>
      <c r="BL53" s="4"/>
      <c r="BM53" s="4">
        <f t="shared" si="11"/>
        <v>6.6674999999999998E-2</v>
      </c>
    </row>
    <row r="54" spans="1:65" x14ac:dyDescent="0.3">
      <c r="A54" t="s">
        <v>81</v>
      </c>
      <c r="B54" s="53">
        <f>K54</f>
        <v>2.5000000000000001E-2</v>
      </c>
      <c r="C54" s="53">
        <f t="shared" si="5"/>
        <v>1.7999999999999999E-2</v>
      </c>
      <c r="D54" s="53">
        <f t="shared" si="6"/>
        <v>0</v>
      </c>
      <c r="E54" s="53">
        <f t="shared" si="7"/>
        <v>7.0000000000000027E-3</v>
      </c>
      <c r="F54" s="15">
        <v>1.88</v>
      </c>
      <c r="G54" s="4">
        <v>2.726</v>
      </c>
      <c r="H54" t="s">
        <v>55</v>
      </c>
      <c r="I54" t="str">
        <f>VLOOKUP(A54,Setores!$A$2:$C$215,2,0)</f>
        <v>telecom</v>
      </c>
      <c r="J54" t="str">
        <f>VLOOKUP(A54,Setores!$A$2:$C$215,3,0)</f>
        <v>very_low_beta</v>
      </c>
      <c r="K54" s="92">
        <v>2.5000000000000001E-2</v>
      </c>
      <c r="L54" s="42">
        <v>1.7999999999999999E-2</v>
      </c>
      <c r="M54" s="92">
        <f>VLOOKUP(A54,'Mandato Ibov'!$B$1:$C$215,2,0)</f>
        <v>1.7856406115015801E-2</v>
      </c>
      <c r="N54" s="58">
        <f t="shared" si="8"/>
        <v>7.1435938849842007E-3</v>
      </c>
      <c r="O54" s="42">
        <f t="shared" si="9"/>
        <v>7.1435938849842007E-3</v>
      </c>
      <c r="P54" s="95">
        <f>VLOOKUP(A54,'Mandato Ibov'!$B$2:$D$215,3,0)</f>
        <v>1.07151584615112E-2</v>
      </c>
      <c r="Q54" s="42">
        <f t="shared" si="10"/>
        <v>1.4284841538488802E-2</v>
      </c>
      <c r="R54" s="15">
        <v>2.5999999999999999E-2</v>
      </c>
      <c r="S54" s="15">
        <v>-0.56200000000000006</v>
      </c>
      <c r="T54" s="15">
        <v>-0.47899999999999998</v>
      </c>
      <c r="U54" s="15">
        <v>0.40400000000000003</v>
      </c>
      <c r="V54" s="15">
        <v>-0.26100000000000001</v>
      </c>
      <c r="W54" s="15">
        <v>0.49099999999999999</v>
      </c>
      <c r="X54" s="15">
        <v>0.74</v>
      </c>
      <c r="Y54" s="15">
        <v>0.122</v>
      </c>
      <c r="Z54" s="15">
        <v>0.45</v>
      </c>
      <c r="AA54" s="15">
        <v>0.44700000000000001</v>
      </c>
      <c r="AB54" s="15">
        <v>0.81299999999999994</v>
      </c>
      <c r="AC54" s="15">
        <v>0.78900000000000003</v>
      </c>
      <c r="AD54" s="15">
        <v>0.63300000000000001</v>
      </c>
      <c r="AE54" s="14">
        <v>0.752</v>
      </c>
      <c r="AF54" s="15">
        <v>8.7999999999999995E-2</v>
      </c>
      <c r="AG54" s="15">
        <v>-0.53400000000000003</v>
      </c>
      <c r="AH54" s="15">
        <v>-0.90400000000000003</v>
      </c>
      <c r="AI54" s="15">
        <v>-0.86</v>
      </c>
      <c r="AJ54" s="16">
        <v>-0.49199999999999999</v>
      </c>
      <c r="AK54" s="4">
        <v>0.32500000000000001</v>
      </c>
      <c r="AL54" s="4">
        <v>-2.1000000000000001E-2</v>
      </c>
      <c r="AM54" s="4">
        <v>-0.82699999999999996</v>
      </c>
      <c r="AN54" s="4">
        <v>-0.128</v>
      </c>
      <c r="AO54" s="4">
        <v>-7.0999999999999994E-2</v>
      </c>
      <c r="AP54" s="4">
        <v>-0.251</v>
      </c>
      <c r="AQ54" s="4">
        <v>0.53800000000000003</v>
      </c>
      <c r="AR54" s="4">
        <v>0.26400000000000001</v>
      </c>
      <c r="AS54" s="4">
        <v>-0.314</v>
      </c>
      <c r="AT54" s="4">
        <v>0.433</v>
      </c>
      <c r="AU54" s="4">
        <v>0.246</v>
      </c>
      <c r="AV54" s="4">
        <v>1</v>
      </c>
      <c r="AW54" s="4">
        <v>0.72699999999999998</v>
      </c>
      <c r="AX54" s="4">
        <v>0.17299999999999999</v>
      </c>
      <c r="AY54" s="4">
        <v>0.77500000000000002</v>
      </c>
      <c r="AZ54" s="4">
        <v>0.39300000000000002</v>
      </c>
      <c r="BA54" s="4">
        <v>0.89500000000000002</v>
      </c>
      <c r="BB54" s="4">
        <v>0.28399999999999997</v>
      </c>
      <c r="BC54" s="4">
        <v>0.39700000000000002</v>
      </c>
      <c r="BD54" s="4">
        <v>0.61299999999999999</v>
      </c>
      <c r="BE54" s="4">
        <v>0.27</v>
      </c>
      <c r="BF54" s="4">
        <v>0.66300000000000003</v>
      </c>
      <c r="BG54" s="4">
        <v>0.35399999999999998</v>
      </c>
      <c r="BH54" s="4">
        <v>-0.70299999999999996</v>
      </c>
      <c r="BI54" s="4">
        <v>-0.36199999999999999</v>
      </c>
      <c r="BJ54" s="4">
        <v>2.1000000000000001E-2</v>
      </c>
      <c r="BK54" s="4">
        <v>-0.53600000000000003</v>
      </c>
      <c r="BL54" s="4"/>
      <c r="BM54" s="4">
        <f t="shared" si="11"/>
        <v>0.29372500000000001</v>
      </c>
    </row>
    <row r="55" spans="1:65" x14ac:dyDescent="0.3">
      <c r="A55" t="s">
        <v>95</v>
      </c>
      <c r="B55" s="53">
        <v>2.1999999999999999E-2</v>
      </c>
      <c r="C55" s="53">
        <f t="shared" si="5"/>
        <v>1.3999999999999999E-2</v>
      </c>
      <c r="D55" s="53">
        <f t="shared" si="6"/>
        <v>-1.0000000000000009E-3</v>
      </c>
      <c r="E55" s="53">
        <f t="shared" si="7"/>
        <v>8.0000000000000002E-3</v>
      </c>
      <c r="F55" s="15">
        <v>1.865</v>
      </c>
      <c r="G55" s="4">
        <v>3.3719999999999999</v>
      </c>
      <c r="H55" t="s">
        <v>53</v>
      </c>
      <c r="I55" t="str">
        <f>VLOOKUP(A55,Setores!$A$2:$C$215,2,0)</f>
        <v>float_financials</v>
      </c>
      <c r="J55" t="str">
        <f>VLOOKUP(A55,Setores!$A$2:$C$215,3,0)</f>
        <v>very_low_beta</v>
      </c>
      <c r="K55" s="92">
        <v>2.3E-2</v>
      </c>
      <c r="L55" s="42">
        <v>1.4999999999999999E-2</v>
      </c>
      <c r="M55" s="92">
        <f>VLOOKUP(A55,'Mandato Ibov'!$B$1:$C$215,2,0)</f>
        <v>2.00765364497726E-2</v>
      </c>
      <c r="N55" s="58">
        <f t="shared" si="8"/>
        <v>2.9234635502273995E-3</v>
      </c>
      <c r="O55" s="42">
        <f t="shared" si="9"/>
        <v>1.9234635502273986E-3</v>
      </c>
      <c r="P55" s="95">
        <f>VLOOKUP(A55,'Mandato Ibov'!$B$2:$D$215,3,0)</f>
        <v>2.09930344493163E-2</v>
      </c>
      <c r="Q55" s="42">
        <f t="shared" si="10"/>
        <v>2.0069655506836995E-3</v>
      </c>
      <c r="R55" s="15">
        <v>-0.41899999999999998</v>
      </c>
      <c r="S55" s="15">
        <v>-0.45200000000000001</v>
      </c>
      <c r="T55" s="15">
        <v>-0.64400000000000002</v>
      </c>
      <c r="U55" s="15">
        <v>0.107</v>
      </c>
      <c r="V55" s="15">
        <v>-0.23699999999999999</v>
      </c>
      <c r="W55" s="15">
        <v>0.377</v>
      </c>
      <c r="X55" s="15">
        <v>0.89</v>
      </c>
      <c r="Y55" s="15">
        <v>0.46200000000000002</v>
      </c>
      <c r="Z55" s="15">
        <v>0.55200000000000005</v>
      </c>
      <c r="AA55" s="15">
        <v>0.55400000000000005</v>
      </c>
      <c r="AB55" s="15">
        <v>0.75700000000000001</v>
      </c>
      <c r="AC55" s="15">
        <v>0.75</v>
      </c>
      <c r="AD55" s="15">
        <v>0.61</v>
      </c>
      <c r="AE55" s="14">
        <v>8.4000000000000005E-2</v>
      </c>
      <c r="AF55" s="15">
        <v>0.68600000000000005</v>
      </c>
      <c r="AG55" s="15">
        <v>-0.183</v>
      </c>
      <c r="AH55" s="15">
        <v>-0.82499999999999996</v>
      </c>
      <c r="AI55" s="15">
        <v>-0.84799999999999998</v>
      </c>
      <c r="AJ55" s="16">
        <v>-0.64900000000000002</v>
      </c>
      <c r="AK55" s="4">
        <v>-0.27900000000000003</v>
      </c>
      <c r="AL55" s="4">
        <v>0.57599999999999996</v>
      </c>
      <c r="AM55" s="4">
        <v>-0.94199999999999995</v>
      </c>
      <c r="AN55" s="4">
        <v>0.26700000000000002</v>
      </c>
      <c r="AO55" s="4">
        <v>0.23</v>
      </c>
      <c r="AP55" s="4">
        <v>0.34300000000000003</v>
      </c>
      <c r="AQ55" s="4">
        <v>5.0999999999999997E-2</v>
      </c>
      <c r="AR55" s="4">
        <v>0.26600000000000001</v>
      </c>
      <c r="AS55" s="4">
        <v>-0.35399999999999998</v>
      </c>
      <c r="AT55" s="4">
        <v>0.71499999999999997</v>
      </c>
      <c r="AU55" s="4">
        <v>0.21</v>
      </c>
      <c r="AV55" s="4">
        <v>-0.185</v>
      </c>
      <c r="AW55" s="4">
        <v>0.95099999999999996</v>
      </c>
      <c r="AX55" s="4">
        <v>0.71899999999999997</v>
      </c>
      <c r="AY55" s="4">
        <v>0.71599999999999997</v>
      </c>
      <c r="AZ55" s="4">
        <v>-0.23699999999999999</v>
      </c>
      <c r="BA55" s="4">
        <v>-0.64900000000000002</v>
      </c>
      <c r="BB55" s="4">
        <v>-0.10299999999999999</v>
      </c>
      <c r="BC55" s="4">
        <v>0.02</v>
      </c>
      <c r="BD55" s="4">
        <v>-1</v>
      </c>
      <c r="BE55" s="4">
        <v>-0.63200000000000001</v>
      </c>
      <c r="BF55" s="4">
        <v>-7.0999999999999994E-2</v>
      </c>
      <c r="BG55" s="4">
        <v>0.92800000000000005</v>
      </c>
      <c r="BH55" s="4">
        <v>-0.40799999999999997</v>
      </c>
      <c r="BI55" s="4">
        <v>-0.628</v>
      </c>
      <c r="BJ55" s="4">
        <v>-6.7000000000000004E-2</v>
      </c>
      <c r="BK55" s="4">
        <v>-0.60299999999999998</v>
      </c>
      <c r="BL55" s="4"/>
      <c r="BM55" s="4">
        <f t="shared" si="11"/>
        <v>0.236425</v>
      </c>
    </row>
    <row r="56" spans="1:65" x14ac:dyDescent="0.3">
      <c r="A56" t="s">
        <v>119</v>
      </c>
      <c r="B56" s="53">
        <f>K56</f>
        <v>0.01</v>
      </c>
      <c r="C56" s="53">
        <f t="shared" si="5"/>
        <v>0.01</v>
      </c>
      <c r="D56" s="53">
        <f t="shared" si="6"/>
        <v>0</v>
      </c>
      <c r="E56" s="53">
        <f t="shared" si="7"/>
        <v>0</v>
      </c>
      <c r="F56" s="15">
        <v>1.851</v>
      </c>
      <c r="G56" s="4">
        <v>1.738</v>
      </c>
      <c r="H56" t="s">
        <v>57</v>
      </c>
      <c r="I56" t="str">
        <f>VLOOKUP(A56,Setores!$A$2:$C$215,2,0)</f>
        <v>homebuilders</v>
      </c>
      <c r="J56" t="str">
        <f>VLOOKUP(A56,Setores!$A$2:$C$215,3,0)</f>
        <v>high_beta</v>
      </c>
      <c r="K56" s="92">
        <v>0.01</v>
      </c>
      <c r="L56" s="42">
        <v>0.01</v>
      </c>
      <c r="M56" s="92">
        <f>VLOOKUP(A56,'Mandato Ibov'!$B$1:$C$215,2,0)</f>
        <v>8.7508553503635195E-3</v>
      </c>
      <c r="N56" s="58">
        <f t="shared" si="8"/>
        <v>1.2491446496364807E-3</v>
      </c>
      <c r="O56" s="42">
        <f t="shared" si="9"/>
        <v>1.2491446496364807E-3</v>
      </c>
      <c r="P56" s="95">
        <f>VLOOKUP(A56,'Mandato Ibov'!$B$2:$D$215,3,0)</f>
        <v>0</v>
      </c>
      <c r="Q56" s="42">
        <f t="shared" si="10"/>
        <v>0.01</v>
      </c>
      <c r="R56" s="15">
        <v>0.29699999999999999</v>
      </c>
      <c r="S56" s="15">
        <v>9.5000000000000001E-2</v>
      </c>
      <c r="T56" s="15">
        <v>0.105</v>
      </c>
      <c r="U56" s="15">
        <v>0.20100000000000001</v>
      </c>
      <c r="V56" s="15">
        <v>5.5E-2</v>
      </c>
      <c r="W56" s="15">
        <v>0.22900000000000001</v>
      </c>
      <c r="X56" s="15">
        <v>0.28100000000000003</v>
      </c>
      <c r="Y56" s="15">
        <v>-0.13900000000000001</v>
      </c>
      <c r="Z56" s="15">
        <v>0.20799999999999999</v>
      </c>
      <c r="AA56" s="15">
        <v>0.20599999999999999</v>
      </c>
      <c r="AB56" s="15">
        <v>0.82199999999999995</v>
      </c>
      <c r="AC56" s="15">
        <v>0.88100000000000001</v>
      </c>
      <c r="AD56" s="15">
        <v>0.69699999999999995</v>
      </c>
      <c r="AE56" s="14">
        <v>0.40799999999999997</v>
      </c>
      <c r="AF56" s="15">
        <v>0.46700000000000003</v>
      </c>
      <c r="AG56" s="15">
        <v>-0.23499999999999999</v>
      </c>
      <c r="AH56" s="15">
        <v>-0.19400000000000001</v>
      </c>
      <c r="AI56" s="15">
        <v>-0.09</v>
      </c>
      <c r="AJ56" s="16">
        <v>-2.1000000000000001E-2</v>
      </c>
      <c r="AK56" s="4">
        <v>-0.10199999999999999</v>
      </c>
      <c r="AL56" s="4">
        <v>-0.21299999999999999</v>
      </c>
      <c r="AM56" s="4">
        <v>-0.186</v>
      </c>
      <c r="AN56" s="4">
        <v>0.74299999999999999</v>
      </c>
      <c r="AO56" s="4">
        <v>-0.309</v>
      </c>
      <c r="AP56" s="4">
        <v>-1.7000000000000001E-2</v>
      </c>
      <c r="AQ56" s="4">
        <v>0.47899999999999998</v>
      </c>
      <c r="AR56" s="4">
        <v>0.39200000000000002</v>
      </c>
      <c r="AS56" s="4">
        <v>0.35299999999999998</v>
      </c>
      <c r="AT56" s="4">
        <v>-5.3999999999999999E-2</v>
      </c>
      <c r="AU56" s="4">
        <v>0.432</v>
      </c>
      <c r="AV56" s="4">
        <v>0.34499999999999997</v>
      </c>
      <c r="AW56" s="4">
        <v>-0.111</v>
      </c>
      <c r="AX56" s="4">
        <v>0.186</v>
      </c>
      <c r="AY56" s="4">
        <v>0.442</v>
      </c>
      <c r="AZ56" s="4">
        <v>0.63100000000000001</v>
      </c>
      <c r="BA56" s="4">
        <v>0</v>
      </c>
      <c r="BB56" s="4">
        <v>-4.9000000000000002E-2</v>
      </c>
      <c r="BC56" s="4">
        <v>-8.5000000000000006E-2</v>
      </c>
      <c r="BD56" s="4">
        <v>0.24399999999999999</v>
      </c>
      <c r="BE56" s="4">
        <v>0.33500000000000002</v>
      </c>
      <c r="BF56" s="4">
        <v>-0.154</v>
      </c>
      <c r="BG56" s="4">
        <v>0.20300000000000001</v>
      </c>
      <c r="BH56" s="4">
        <v>-0.156</v>
      </c>
      <c r="BI56" s="4">
        <v>0.45700000000000002</v>
      </c>
      <c r="BJ56" s="4">
        <v>-1.2E-2</v>
      </c>
      <c r="BK56" s="4">
        <v>0.03</v>
      </c>
      <c r="BL56" s="4"/>
      <c r="BM56" s="4">
        <f t="shared" si="11"/>
        <v>0.107325</v>
      </c>
    </row>
    <row r="57" spans="1:65" x14ac:dyDescent="0.3">
      <c r="A57" t="s">
        <v>94</v>
      </c>
      <c r="B57" s="53">
        <f>K57</f>
        <v>1.4E-2</v>
      </c>
      <c r="C57" s="53">
        <f t="shared" si="5"/>
        <v>1.2E-2</v>
      </c>
      <c r="D57" s="53">
        <f t="shared" si="6"/>
        <v>0</v>
      </c>
      <c r="E57" s="53">
        <f t="shared" si="7"/>
        <v>2E-3</v>
      </c>
      <c r="F57" s="15">
        <v>1.8089999999999999</v>
      </c>
      <c r="G57" s="4">
        <v>2.5550000000000002</v>
      </c>
      <c r="H57" t="s">
        <v>55</v>
      </c>
      <c r="I57" t="str">
        <f>VLOOKUP(A57,Setores!$A$2:$C$215,2,0)</f>
        <v>real_estate</v>
      </c>
      <c r="J57" t="str">
        <f>VLOOKUP(A57,Setores!$A$2:$C$215,3,0)</f>
        <v>high_beta</v>
      </c>
      <c r="K57" s="92">
        <v>1.4E-2</v>
      </c>
      <c r="L57" s="42">
        <v>1.2E-2</v>
      </c>
      <c r="M57" s="92">
        <f>VLOOKUP(A57,'Mandato Ibov'!$B$1:$C$215,2,0)</f>
        <v>1.0070510469095101E-2</v>
      </c>
      <c r="N57" s="58">
        <f t="shared" si="8"/>
        <v>3.9294895309048995E-3</v>
      </c>
      <c r="O57" s="42">
        <f t="shared" si="9"/>
        <v>3.9294895309048995E-3</v>
      </c>
      <c r="P57" s="95">
        <f>VLOOKUP(A57,'Mandato Ibov'!$B$2:$D$215,3,0)</f>
        <v>9.8198343503725898E-3</v>
      </c>
      <c r="Q57" s="42">
        <f t="shared" si="10"/>
        <v>4.1801656496274105E-3</v>
      </c>
      <c r="R57" s="15">
        <v>0.253</v>
      </c>
      <c r="S57" s="15">
        <v>4.2000000000000003E-2</v>
      </c>
      <c r="T57" s="15">
        <v>-0.32400000000000001</v>
      </c>
      <c r="U57" s="15">
        <v>0.22500000000000001</v>
      </c>
      <c r="V57" s="15">
        <v>-0.19500000000000001</v>
      </c>
      <c r="W57" s="15">
        <v>0.498</v>
      </c>
      <c r="X57" s="15">
        <v>0.81599999999999995</v>
      </c>
      <c r="Y57" s="15">
        <v>-0.22</v>
      </c>
      <c r="Z57" s="15">
        <v>0.249</v>
      </c>
      <c r="AA57" s="15">
        <v>0.247</v>
      </c>
      <c r="AB57" s="15">
        <v>0.81100000000000005</v>
      </c>
      <c r="AC57" s="15">
        <v>0.78</v>
      </c>
      <c r="AD57" s="15">
        <v>0.63</v>
      </c>
      <c r="AE57" s="14">
        <v>7.6999999999999999E-2</v>
      </c>
      <c r="AF57" s="15">
        <v>-5.1999999999999998E-2</v>
      </c>
      <c r="AG57" s="15">
        <v>-0.32100000000000001</v>
      </c>
      <c r="AH57" s="15">
        <v>-0.79100000000000004</v>
      </c>
      <c r="AI57" s="15">
        <v>-0.16200000000000001</v>
      </c>
      <c r="AJ57" s="16">
        <v>2.8000000000000001E-2</v>
      </c>
      <c r="AK57" s="4">
        <v>-0.31</v>
      </c>
      <c r="AL57" s="4">
        <v>-0.69599999999999995</v>
      </c>
      <c r="AM57" s="4">
        <v>-0.67900000000000005</v>
      </c>
      <c r="AN57" s="4">
        <v>-0.20899999999999999</v>
      </c>
      <c r="AO57" s="4">
        <v>6.2E-2</v>
      </c>
      <c r="AP57" s="4">
        <v>0.36299999999999999</v>
      </c>
      <c r="AQ57" s="4">
        <v>0.80300000000000005</v>
      </c>
      <c r="AR57" s="4">
        <v>0.71599999999999997</v>
      </c>
      <c r="AS57" s="4">
        <v>0.37</v>
      </c>
      <c r="AT57" s="4">
        <v>0.20399999999999999</v>
      </c>
      <c r="AU57" s="4">
        <v>0.92800000000000005</v>
      </c>
      <c r="AV57" s="4">
        <v>0.81100000000000005</v>
      </c>
      <c r="AW57" s="4">
        <v>0.224</v>
      </c>
      <c r="AX57" s="4">
        <v>-0.16300000000000001</v>
      </c>
      <c r="AY57" s="4">
        <v>0.48399999999999999</v>
      </c>
      <c r="AZ57" s="4">
        <v>0.54900000000000004</v>
      </c>
      <c r="BA57" s="4">
        <v>0.51200000000000001</v>
      </c>
      <c r="BB57" s="4">
        <v>0.40600000000000003</v>
      </c>
      <c r="BC57" s="4">
        <v>9.0999999999999998E-2</v>
      </c>
      <c r="BD57" s="4">
        <v>0.52200000000000002</v>
      </c>
      <c r="BE57" s="4">
        <v>-0.29599999999999999</v>
      </c>
      <c r="BF57" s="4">
        <v>-0.23300000000000001</v>
      </c>
      <c r="BG57" s="4">
        <v>0.55300000000000005</v>
      </c>
      <c r="BH57" s="4">
        <v>-0.4</v>
      </c>
      <c r="BI57" s="4">
        <v>0.46500000000000002</v>
      </c>
      <c r="BJ57" s="4">
        <v>-0.23799999999999999</v>
      </c>
      <c r="BK57" s="4">
        <v>-0.17899999999999999</v>
      </c>
      <c r="BL57" s="4"/>
      <c r="BM57" s="4">
        <f t="shared" si="11"/>
        <v>0.28359999999999996</v>
      </c>
    </row>
    <row r="58" spans="1:65" x14ac:dyDescent="0.3">
      <c r="A58" t="s">
        <v>127</v>
      </c>
      <c r="B58" s="53">
        <f>K58</f>
        <v>1.2999999999999999E-2</v>
      </c>
      <c r="C58" s="53">
        <f t="shared" si="5"/>
        <v>8.9999999999999993E-3</v>
      </c>
      <c r="D58" s="53">
        <f t="shared" si="6"/>
        <v>0</v>
      </c>
      <c r="E58" s="53">
        <f t="shared" si="7"/>
        <v>4.0000000000000001E-3</v>
      </c>
      <c r="F58" s="15">
        <v>1.7310000000000001</v>
      </c>
      <c r="G58" s="4">
        <v>2.2589999999999999</v>
      </c>
      <c r="H58" t="s">
        <v>53</v>
      </c>
      <c r="I58" t="str">
        <f>VLOOKUP(A58,Setores!$A$2:$C$215,2,0)</f>
        <v>float_financials</v>
      </c>
      <c r="J58" t="str">
        <f>VLOOKUP(A58,Setores!$A$2:$C$215,3,0)</f>
        <v>very_low_beta</v>
      </c>
      <c r="K58" s="92">
        <v>1.2999999999999999E-2</v>
      </c>
      <c r="L58" s="42">
        <v>8.9999999999999993E-3</v>
      </c>
      <c r="M58" s="92">
        <f>VLOOKUP(A58,'Mandato Ibov'!$B$1:$C$215,2,0)</f>
        <v>1.1170637864297899E-2</v>
      </c>
      <c r="N58" s="58">
        <f t="shared" si="8"/>
        <v>1.8293621357020999E-3</v>
      </c>
      <c r="O58" s="42">
        <f t="shared" si="9"/>
        <v>1.8293621357020999E-3</v>
      </c>
      <c r="P58" s="95">
        <f>VLOOKUP(A58,'Mandato Ibov'!$B$2:$D$215,3,0)</f>
        <v>1.1771553987967099E-2</v>
      </c>
      <c r="Q58" s="42">
        <f t="shared" si="10"/>
        <v>1.2284460120329001E-3</v>
      </c>
      <c r="R58" s="15">
        <v>-6.3E-2</v>
      </c>
      <c r="S58" s="15">
        <v>-0.33200000000000002</v>
      </c>
      <c r="T58" s="15">
        <v>-0.53900000000000003</v>
      </c>
      <c r="U58" s="15">
        <v>0.13600000000000001</v>
      </c>
      <c r="V58" s="15">
        <v>-0.34200000000000003</v>
      </c>
      <c r="W58" s="15">
        <v>0.36099999999999999</v>
      </c>
      <c r="X58" s="15">
        <v>0.59399999999999997</v>
      </c>
      <c r="Y58" s="15">
        <v>2.5000000000000001E-2</v>
      </c>
      <c r="Z58" s="15">
        <v>0.45700000000000002</v>
      </c>
      <c r="AA58" s="15">
        <v>0.45600000000000002</v>
      </c>
      <c r="AB58" s="15">
        <v>0.76900000000000002</v>
      </c>
      <c r="AC58" s="15">
        <v>0.80100000000000005</v>
      </c>
      <c r="AD58" s="15">
        <v>0.68200000000000005</v>
      </c>
      <c r="AE58" s="14">
        <v>-2.4E-2</v>
      </c>
      <c r="AF58" s="15">
        <v>0.21299999999999999</v>
      </c>
      <c r="AG58" s="15">
        <v>-0.29199999999999998</v>
      </c>
      <c r="AH58" s="15">
        <v>-0.874</v>
      </c>
      <c r="AI58" s="15">
        <v>-0.77400000000000002</v>
      </c>
      <c r="AJ58" s="16">
        <v>-0.38400000000000001</v>
      </c>
      <c r="AK58" s="4">
        <v>-5.1999999999999998E-2</v>
      </c>
      <c r="AL58" s="4">
        <v>-0.26200000000000001</v>
      </c>
      <c r="AM58" s="4">
        <v>-0.73699999999999999</v>
      </c>
      <c r="AN58" s="4">
        <v>0.19400000000000001</v>
      </c>
      <c r="AO58" s="4">
        <v>0.16</v>
      </c>
      <c r="AP58" s="4">
        <v>0.222</v>
      </c>
      <c r="AQ58" s="4">
        <v>0.49099999999999999</v>
      </c>
      <c r="AR58" s="4">
        <v>0.36099999999999999</v>
      </c>
      <c r="AS58" s="4">
        <v>0.12</v>
      </c>
      <c r="AT58" s="4">
        <v>0.37</v>
      </c>
      <c r="AU58" s="4">
        <v>0.13600000000000001</v>
      </c>
      <c r="AV58" s="4">
        <v>0.35399999999999998</v>
      </c>
      <c r="AW58" s="4">
        <v>0.78600000000000003</v>
      </c>
      <c r="AX58" s="4">
        <v>0.23799999999999999</v>
      </c>
      <c r="AY58" s="4">
        <v>0.90800000000000003</v>
      </c>
      <c r="AZ58" s="4">
        <v>1</v>
      </c>
      <c r="BA58" s="4">
        <v>0.46700000000000003</v>
      </c>
      <c r="BB58" s="4">
        <v>-0.13</v>
      </c>
      <c r="BC58" s="4">
        <v>9.6000000000000002E-2</v>
      </c>
      <c r="BD58" s="4">
        <v>-0.185</v>
      </c>
      <c r="BE58" s="4">
        <v>-0.39</v>
      </c>
      <c r="BF58" s="4">
        <v>0.441</v>
      </c>
      <c r="BG58" s="4">
        <v>0.58499999999999996</v>
      </c>
      <c r="BH58" s="4">
        <v>-0.73399999999999999</v>
      </c>
      <c r="BI58" s="4">
        <v>-0.39200000000000002</v>
      </c>
      <c r="BJ58" s="4">
        <v>7.9000000000000001E-2</v>
      </c>
      <c r="BK58" s="4">
        <v>-0.26200000000000001</v>
      </c>
      <c r="BL58" s="4"/>
      <c r="BM58" s="4">
        <f t="shared" si="11"/>
        <v>0.28267500000000001</v>
      </c>
    </row>
    <row r="59" spans="1:65" x14ac:dyDescent="0.3">
      <c r="A59" t="s">
        <v>145</v>
      </c>
      <c r="B59" s="53">
        <f>K59</f>
        <v>8.0000000000000002E-3</v>
      </c>
      <c r="C59" s="53">
        <f t="shared" si="5"/>
        <v>8.0000000000000002E-3</v>
      </c>
      <c r="D59" s="53">
        <f t="shared" si="6"/>
        <v>0</v>
      </c>
      <c r="E59" s="53">
        <f t="shared" si="7"/>
        <v>0</v>
      </c>
      <c r="F59" s="15">
        <v>1.71</v>
      </c>
      <c r="G59" s="4">
        <v>1.266</v>
      </c>
      <c r="H59" t="s">
        <v>57</v>
      </c>
      <c r="I59" t="str">
        <f>VLOOKUP(A59,Setores!$A$2:$C$215,2,0)</f>
        <v>banks</v>
      </c>
      <c r="J59" t="str">
        <f>VLOOKUP(A59,Setores!$A$2:$C$215,3,0)</f>
        <v>high_beta</v>
      </c>
      <c r="K59" s="92">
        <v>8.0000000000000002E-3</v>
      </c>
      <c r="L59" s="42">
        <v>8.0000000000000002E-3</v>
      </c>
      <c r="M59" s="92">
        <f>VLOOKUP(A59,'Mandato Ibov'!$B$1:$C$215,2,0)</f>
        <v>8.0843904916714695E-3</v>
      </c>
      <c r="N59" s="58">
        <f t="shared" si="8"/>
        <v>-8.4390491671469323E-5</v>
      </c>
      <c r="O59" s="42">
        <f t="shared" si="9"/>
        <v>-8.4390491671469323E-5</v>
      </c>
      <c r="P59" s="95">
        <f>VLOOKUP(A59,'Mandato Ibov'!$B$2:$D$215,3,0)</f>
        <v>9.2208308592767099E-3</v>
      </c>
      <c r="Q59" s="42">
        <f t="shared" si="10"/>
        <v>-1.2208308592767097E-3</v>
      </c>
      <c r="R59" s="15">
        <v>6.0000000000000001E-3</v>
      </c>
      <c r="S59" s="15">
        <v>-9.4E-2</v>
      </c>
      <c r="T59" s="15">
        <v>-0.16</v>
      </c>
      <c r="U59" s="15">
        <v>-3.4000000000000002E-2</v>
      </c>
      <c r="V59" s="15">
        <v>-0.221</v>
      </c>
      <c r="W59" s="15">
        <v>-1.2999999999999999E-2</v>
      </c>
      <c r="X59" s="15">
        <v>-9.8000000000000004E-2</v>
      </c>
      <c r="Y59" s="15">
        <v>-5.0999999999999997E-2</v>
      </c>
      <c r="Z59" s="15">
        <v>0.50700000000000001</v>
      </c>
      <c r="AA59" s="15">
        <v>0.505</v>
      </c>
      <c r="AB59" s="15">
        <v>0.90200000000000002</v>
      </c>
      <c r="AC59" s="15">
        <v>0.85699999999999998</v>
      </c>
      <c r="AD59" s="15">
        <v>0.85199999999999998</v>
      </c>
      <c r="AE59" s="14">
        <v>-0.41</v>
      </c>
      <c r="AF59" s="15">
        <v>-0.11700000000000001</v>
      </c>
      <c r="AG59" s="15">
        <v>6.0999999999999999E-2</v>
      </c>
      <c r="AH59" s="15">
        <v>-0.72399999999999998</v>
      </c>
      <c r="AI59" s="15">
        <v>0.127</v>
      </c>
      <c r="AJ59" s="16">
        <v>-0.04</v>
      </c>
      <c r="AK59" s="4">
        <v>-0.216</v>
      </c>
      <c r="AL59" s="4">
        <v>-0.40200000000000002</v>
      </c>
      <c r="AM59" s="4">
        <v>-0.58799999999999997</v>
      </c>
      <c r="AN59" s="4">
        <v>-0.48099999999999998</v>
      </c>
      <c r="AO59" s="4">
        <v>0.26300000000000001</v>
      </c>
      <c r="AP59" s="4">
        <v>0.69199999999999995</v>
      </c>
      <c r="AQ59" s="4">
        <v>0.432</v>
      </c>
      <c r="AR59" s="4">
        <v>0.57999999999999996</v>
      </c>
      <c r="AS59" s="4">
        <v>0.41599999999999998</v>
      </c>
      <c r="AT59" s="4">
        <v>0.28999999999999998</v>
      </c>
      <c r="AU59" s="4">
        <v>-0.11</v>
      </c>
      <c r="AV59" s="4">
        <v>0.16600000000000001</v>
      </c>
      <c r="AW59" s="4">
        <v>0.34599999999999997</v>
      </c>
      <c r="AX59" s="4">
        <v>0.185</v>
      </c>
      <c r="AY59" s="4">
        <v>0.66800000000000004</v>
      </c>
      <c r="AZ59" s="4">
        <v>1</v>
      </c>
      <c r="BA59" s="4">
        <v>0.48499999999999999</v>
      </c>
      <c r="BB59" s="4">
        <v>-0.68200000000000005</v>
      </c>
      <c r="BC59" s="4">
        <v>-0.14699999999999999</v>
      </c>
      <c r="BD59" s="4">
        <v>-0.60399999999999998</v>
      </c>
      <c r="BE59" s="4">
        <v>0.25900000000000001</v>
      </c>
      <c r="BF59" s="4">
        <v>-0.67100000000000004</v>
      </c>
      <c r="BG59" s="4">
        <v>0.221</v>
      </c>
      <c r="BH59" s="4">
        <v>-1</v>
      </c>
      <c r="BI59" s="4">
        <v>0.27400000000000002</v>
      </c>
      <c r="BJ59" s="4">
        <v>0.92300000000000004</v>
      </c>
      <c r="BK59" s="4">
        <v>0.38800000000000001</v>
      </c>
      <c r="BL59" s="4"/>
      <c r="BM59" s="4">
        <f t="shared" si="11"/>
        <v>0.22817500000000002</v>
      </c>
    </row>
    <row r="60" spans="1:65" x14ac:dyDescent="0.3">
      <c r="A60" t="s">
        <v>105</v>
      </c>
      <c r="B60" s="53">
        <v>4.0000000000000001E-3</v>
      </c>
      <c r="C60" s="53">
        <f t="shared" si="5"/>
        <v>4.0000000000000001E-3</v>
      </c>
      <c r="D60" s="53">
        <f t="shared" si="6"/>
        <v>-1E-3</v>
      </c>
      <c r="E60" s="53">
        <f t="shared" si="7"/>
        <v>0</v>
      </c>
      <c r="F60" s="15">
        <v>1.71</v>
      </c>
      <c r="G60" s="4">
        <v>1.2569999999999999</v>
      </c>
      <c r="H60" t="s">
        <v>57</v>
      </c>
      <c r="I60" t="str">
        <f>VLOOKUP(A60,Setores!$A$2:$C$215,2,0)</f>
        <v>transportation</v>
      </c>
      <c r="J60" t="str">
        <f>VLOOKUP(A60,Setores!$A$2:$C$215,3,0)</f>
        <v>very_high_beta</v>
      </c>
      <c r="K60" s="92">
        <v>5.0000000000000001E-3</v>
      </c>
      <c r="L60" s="42">
        <v>5.0000000000000001E-3</v>
      </c>
      <c r="M60" s="92">
        <f>VLOOKUP(A60,'Mandato Ibov'!$B$1:$C$215,2,0)</f>
        <v>8.0837607896149903E-3</v>
      </c>
      <c r="N60" s="58">
        <f t="shared" si="8"/>
        <v>-3.0837607896149902E-3</v>
      </c>
      <c r="O60" s="42">
        <f t="shared" si="9"/>
        <v>-4.0837607896149902E-3</v>
      </c>
      <c r="P60" s="95">
        <f>VLOOKUP(A60,'Mandato Ibov'!$B$2:$D$215,3,0)</f>
        <v>6.2173201624620804E-3</v>
      </c>
      <c r="Q60" s="42">
        <f t="shared" si="10"/>
        <v>-1.2173201624620803E-3</v>
      </c>
      <c r="R60" s="15">
        <v>-0.153</v>
      </c>
      <c r="S60" s="15">
        <v>0.29399999999999998</v>
      </c>
      <c r="T60" s="15">
        <v>7.2999999999999995E-2</v>
      </c>
      <c r="U60" s="15">
        <v>-0.18</v>
      </c>
      <c r="V60" s="15">
        <v>0.22500000000000001</v>
      </c>
      <c r="W60" s="15">
        <v>-0.40799999999999997</v>
      </c>
      <c r="X60" s="15">
        <v>-0.51600000000000001</v>
      </c>
      <c r="Y60" s="15">
        <v>0.44500000000000001</v>
      </c>
      <c r="Z60" s="15">
        <v>7.0999999999999994E-2</v>
      </c>
      <c r="AA60" s="15">
        <v>7.0000000000000007E-2</v>
      </c>
      <c r="AB60" s="15">
        <v>0.58699999999999997</v>
      </c>
      <c r="AC60" s="15">
        <v>0.79800000000000004</v>
      </c>
      <c r="AD60" s="15">
        <v>0.78600000000000003</v>
      </c>
      <c r="AE60" s="14">
        <v>-0.443</v>
      </c>
      <c r="AF60" s="15">
        <v>-7.4999999999999997E-2</v>
      </c>
      <c r="AG60" s="15">
        <v>1</v>
      </c>
      <c r="AH60" s="15">
        <v>0.95299999999999996</v>
      </c>
      <c r="AI60" s="15">
        <v>0.97299999999999998</v>
      </c>
      <c r="AJ60" s="16">
        <v>-0.73299999999999998</v>
      </c>
      <c r="AK60" s="4">
        <v>0.70499999999999996</v>
      </c>
      <c r="AL60" s="4">
        <v>0.54100000000000004</v>
      </c>
      <c r="AM60" s="4">
        <v>-0.29899999999999999</v>
      </c>
      <c r="AN60" s="4">
        <v>8.6999999999999994E-2</v>
      </c>
      <c r="AO60" s="4">
        <v>0.52700000000000002</v>
      </c>
      <c r="AP60" s="4">
        <v>8.1000000000000003E-2</v>
      </c>
      <c r="AQ60" s="4">
        <v>-0.33</v>
      </c>
      <c r="AR60" s="4">
        <v>-1</v>
      </c>
      <c r="AS60" s="4">
        <v>-1</v>
      </c>
      <c r="AT60" s="4">
        <v>-9.8000000000000004E-2</v>
      </c>
      <c r="AU60" s="4">
        <v>-0.42199999999999999</v>
      </c>
      <c r="AV60" s="4">
        <v>-0.60499999999999998</v>
      </c>
      <c r="AW60" s="4">
        <v>-0.56799999999999995</v>
      </c>
      <c r="AX60" s="4">
        <v>-0.59299999999999997</v>
      </c>
      <c r="AY60" s="4">
        <v>0.109</v>
      </c>
      <c r="AZ60" s="4">
        <v>-0.23499999999999999</v>
      </c>
      <c r="BA60" s="4">
        <v>4.4999999999999998E-2</v>
      </c>
      <c r="BB60" s="4">
        <v>0.27700000000000002</v>
      </c>
      <c r="BC60" s="4">
        <v>0.41199999999999998</v>
      </c>
      <c r="BD60" s="4">
        <v>0.46899999999999997</v>
      </c>
      <c r="BE60" s="4">
        <v>0.56699999999999995</v>
      </c>
      <c r="BF60" s="4">
        <v>0.38600000000000001</v>
      </c>
      <c r="BG60" s="4">
        <v>3.6999999999999998E-2</v>
      </c>
      <c r="BH60" s="4">
        <v>-0.27</v>
      </c>
      <c r="BI60" s="4">
        <v>1</v>
      </c>
      <c r="BJ60" s="4">
        <v>0.40500000000000003</v>
      </c>
      <c r="BK60" s="4">
        <v>0.626</v>
      </c>
      <c r="BL60" s="4"/>
      <c r="BM60" s="4">
        <f t="shared" si="11"/>
        <v>-0.1227</v>
      </c>
    </row>
    <row r="61" spans="1:65" x14ac:dyDescent="0.3">
      <c r="A61" t="s">
        <v>62</v>
      </c>
      <c r="B61" s="53">
        <f>K61</f>
        <v>1.0999999999999999E-2</v>
      </c>
      <c r="C61" s="53">
        <f t="shared" si="5"/>
        <v>1.0999999999999999E-2</v>
      </c>
      <c r="D61" s="53">
        <f t="shared" si="6"/>
        <v>0</v>
      </c>
      <c r="E61" s="53">
        <f t="shared" si="7"/>
        <v>0</v>
      </c>
      <c r="F61" s="15">
        <v>1.603</v>
      </c>
      <c r="G61" s="4">
        <v>1.6910000000000001</v>
      </c>
      <c r="H61" t="s">
        <v>55</v>
      </c>
      <c r="I61" t="str">
        <f>VLOOKUP(A61,Setores!$A$2:$C$215,2,0)</f>
        <v>utilities</v>
      </c>
      <c r="J61" t="str">
        <f>VLOOKUP(A61,Setores!$A$2:$C$215,3,0)</f>
        <v>neutral_beta</v>
      </c>
      <c r="K61" s="92">
        <v>1.0999999999999999E-2</v>
      </c>
      <c r="L61" s="42">
        <v>1.0999999999999999E-2</v>
      </c>
      <c r="M61" s="92">
        <f>VLOOKUP(A61,'Mandato Ibov'!$B$1:$C$215,2,0)</f>
        <v>7.5780777522443899E-3</v>
      </c>
      <c r="N61" s="58">
        <f t="shared" si="8"/>
        <v>3.4219222477556094E-3</v>
      </c>
      <c r="O61" s="42">
        <f t="shared" si="9"/>
        <v>3.4219222477556094E-3</v>
      </c>
      <c r="P61" s="95">
        <f>VLOOKUP(A61,'Mandato Ibov'!$B$2:$D$215,3,0)</f>
        <v>0</v>
      </c>
      <c r="Q61" s="42">
        <f t="shared" si="10"/>
        <v>1.0999999999999999E-2</v>
      </c>
      <c r="R61" s="15">
        <v>-0.30199999999999999</v>
      </c>
      <c r="S61" s="15">
        <v>-0.313</v>
      </c>
      <c r="T61" s="15">
        <v>-0.52800000000000002</v>
      </c>
      <c r="U61" s="15">
        <v>9.5000000000000001E-2</v>
      </c>
      <c r="V61" s="15">
        <v>-0.189</v>
      </c>
      <c r="W61" s="15">
        <v>9.2999999999999999E-2</v>
      </c>
      <c r="X61" s="15">
        <v>0.35199999999999998</v>
      </c>
      <c r="Y61" s="15">
        <v>0.125</v>
      </c>
      <c r="Z61" s="15">
        <v>0.42099999999999999</v>
      </c>
      <c r="AA61" s="15">
        <v>0.42299999999999999</v>
      </c>
      <c r="AB61" s="15">
        <v>0.84099999999999997</v>
      </c>
      <c r="AC61" s="15">
        <v>0.78800000000000003</v>
      </c>
      <c r="AD61" s="15">
        <v>0.68</v>
      </c>
      <c r="AE61" s="14">
        <v>0.39800000000000002</v>
      </c>
      <c r="AF61" s="15">
        <v>-0.14000000000000001</v>
      </c>
      <c r="AG61" s="15">
        <v>0.35499999999999998</v>
      </c>
      <c r="AH61" s="15">
        <v>-0.55200000000000005</v>
      </c>
      <c r="AI61" s="15">
        <v>-0.55400000000000005</v>
      </c>
      <c r="AJ61" s="16">
        <v>-0.41099999999999998</v>
      </c>
      <c r="AK61" s="4">
        <v>0.40799999999999997</v>
      </c>
      <c r="AL61" s="4">
        <v>-0.222</v>
      </c>
      <c r="AM61" s="4">
        <v>-0.34300000000000003</v>
      </c>
      <c r="AN61" s="4">
        <v>-0.26900000000000002</v>
      </c>
      <c r="AO61" s="4">
        <v>0.13800000000000001</v>
      </c>
      <c r="AP61" s="4">
        <v>-0.39800000000000002</v>
      </c>
      <c r="AQ61" s="4">
        <v>-1.4E-2</v>
      </c>
      <c r="AR61" s="4">
        <v>-0.52400000000000002</v>
      </c>
      <c r="AS61" s="4">
        <v>-0.79100000000000004</v>
      </c>
      <c r="AT61" s="4">
        <v>0.17199999999999999</v>
      </c>
      <c r="AU61" s="4">
        <v>0.26400000000000001</v>
      </c>
      <c r="AV61" s="4">
        <v>0.438</v>
      </c>
      <c r="AW61" s="4">
        <v>0.71</v>
      </c>
      <c r="AX61" s="4">
        <v>-9.5000000000000001E-2</v>
      </c>
      <c r="AY61" s="4">
        <v>-0.214</v>
      </c>
      <c r="AZ61" s="4">
        <v>0.36299999999999999</v>
      </c>
      <c r="BA61" s="4">
        <v>0.21</v>
      </c>
      <c r="BB61" s="4">
        <v>1.7999999999999999E-2</v>
      </c>
      <c r="BC61" s="4">
        <v>0.47699999999999998</v>
      </c>
      <c r="BD61" s="4">
        <v>0.41099999999999998</v>
      </c>
      <c r="BE61" s="4">
        <v>-0.21</v>
      </c>
      <c r="BF61" s="4">
        <v>0.59099999999999997</v>
      </c>
      <c r="BG61" s="4">
        <v>0.379</v>
      </c>
      <c r="BH61" s="4">
        <v>-0.76700000000000002</v>
      </c>
      <c r="BI61" s="4">
        <v>-2E-3</v>
      </c>
      <c r="BJ61" s="4">
        <v>-7.0000000000000007E-2</v>
      </c>
      <c r="BK61" s="4">
        <v>0.109</v>
      </c>
      <c r="BL61" s="4"/>
      <c r="BM61" s="4">
        <f t="shared" si="11"/>
        <v>5.5750000000000001E-2</v>
      </c>
    </row>
    <row r="62" spans="1:65" x14ac:dyDescent="0.3">
      <c r="A62" t="s">
        <v>96</v>
      </c>
      <c r="B62" s="53">
        <f>K62</f>
        <v>8.9999999999999993E-3</v>
      </c>
      <c r="C62" s="53">
        <f t="shared" si="5"/>
        <v>7.0000000000000001E-3</v>
      </c>
      <c r="D62" s="53">
        <f t="shared" si="6"/>
        <v>0</v>
      </c>
      <c r="E62" s="53">
        <f t="shared" si="7"/>
        <v>1.9999999999999992E-3</v>
      </c>
      <c r="F62" s="15">
        <v>1.573</v>
      </c>
      <c r="G62" s="4">
        <v>1.5569999999999999</v>
      </c>
      <c r="H62" t="s">
        <v>57</v>
      </c>
      <c r="I62" t="str">
        <f>VLOOKUP(A62,Setores!$A$2:$C$215,2,0)</f>
        <v>homebuilders</v>
      </c>
      <c r="J62" t="str">
        <f>VLOOKUP(A62,Setores!$A$2:$C$215,3,0)</f>
        <v>neutral_beta</v>
      </c>
      <c r="K62" s="92">
        <v>8.9999999999999993E-3</v>
      </c>
      <c r="L62" s="42">
        <v>7.0000000000000001E-3</v>
      </c>
      <c r="M62" s="92">
        <f>VLOOKUP(A62,'Mandato Ibov'!$B$1:$C$215,2,0)</f>
        <v>8.5717033607764104E-3</v>
      </c>
      <c r="N62" s="58">
        <f t="shared" si="8"/>
        <v>4.2829663922358888E-4</v>
      </c>
      <c r="O62" s="42">
        <f t="shared" si="9"/>
        <v>4.2829663922358888E-4</v>
      </c>
      <c r="P62" s="95">
        <f>VLOOKUP(A62,'Mandato Ibov'!$B$2:$D$215,3,0)</f>
        <v>0</v>
      </c>
      <c r="Q62" s="42">
        <f t="shared" si="10"/>
        <v>8.9999999999999993E-3</v>
      </c>
      <c r="R62" s="15">
        <v>-7.0999999999999994E-2</v>
      </c>
      <c r="S62" s="15">
        <v>-0.74199999999999999</v>
      </c>
      <c r="T62" s="15">
        <v>-0.29099999999999998</v>
      </c>
      <c r="U62" s="15">
        <v>0.33</v>
      </c>
      <c r="V62" s="15">
        <v>-0.255</v>
      </c>
      <c r="W62" s="15">
        <v>0.19700000000000001</v>
      </c>
      <c r="X62" s="15">
        <v>0.27800000000000002</v>
      </c>
      <c r="Y62" s="15">
        <v>0.13600000000000001</v>
      </c>
      <c r="Z62" s="15">
        <v>0.29599999999999999</v>
      </c>
      <c r="AA62" s="15">
        <v>0.29599999999999999</v>
      </c>
      <c r="AB62" s="15">
        <v>0.76100000000000001</v>
      </c>
      <c r="AC62" s="15">
        <v>0.56399999999999995</v>
      </c>
      <c r="AD62" s="15">
        <v>0.54600000000000004</v>
      </c>
      <c r="AE62" s="14">
        <v>1</v>
      </c>
      <c r="AF62" s="15">
        <v>0.29799999999999999</v>
      </c>
      <c r="AG62" s="15">
        <v>-0.85799999999999998</v>
      </c>
      <c r="AH62" s="15">
        <v>-0.61699999999999999</v>
      </c>
      <c r="AI62" s="15">
        <v>-0.755</v>
      </c>
      <c r="AJ62" s="16">
        <v>-3.0000000000000001E-3</v>
      </c>
      <c r="AK62" s="4">
        <v>-7.3999999999999996E-2</v>
      </c>
      <c r="AL62" s="4">
        <v>0.39100000000000001</v>
      </c>
      <c r="AM62" s="4">
        <v>-0.874</v>
      </c>
      <c r="AN62" s="4">
        <v>0.27</v>
      </c>
      <c r="AO62" s="4">
        <v>-0.32900000000000001</v>
      </c>
      <c r="AP62" s="4">
        <v>-0.57299999999999995</v>
      </c>
      <c r="AQ62" s="4">
        <v>0.38800000000000001</v>
      </c>
      <c r="AR62" s="4">
        <v>0.33400000000000002</v>
      </c>
      <c r="AS62" s="4">
        <v>4.2999999999999997E-2</v>
      </c>
      <c r="AT62" s="4">
        <v>1</v>
      </c>
      <c r="AU62" s="4">
        <v>-5.2999999999999999E-2</v>
      </c>
      <c r="AV62" s="4">
        <v>0.85599999999999998</v>
      </c>
      <c r="AW62" s="4">
        <v>0.111</v>
      </c>
      <c r="AX62" s="4">
        <v>0.34</v>
      </c>
      <c r="AY62" s="4">
        <v>0.76900000000000002</v>
      </c>
      <c r="AZ62" s="4">
        <v>0.98499999999999999</v>
      </c>
      <c r="BA62" s="4">
        <v>0.35499999999999998</v>
      </c>
      <c r="BB62" s="4">
        <v>-0.81399999999999995</v>
      </c>
      <c r="BC62" s="4">
        <v>-0.158</v>
      </c>
      <c r="BD62" s="4">
        <v>0.20200000000000001</v>
      </c>
      <c r="BE62" s="4">
        <v>0.13300000000000001</v>
      </c>
      <c r="BF62" s="4">
        <v>-0.20699999999999999</v>
      </c>
      <c r="BG62" s="4">
        <v>1E-3</v>
      </c>
      <c r="BH62" s="4">
        <v>-0.94399999999999995</v>
      </c>
      <c r="BI62" s="4">
        <v>0.30399999999999999</v>
      </c>
      <c r="BJ62" s="4">
        <v>-0.53100000000000003</v>
      </c>
      <c r="BK62" s="4">
        <v>-0.35799999999999998</v>
      </c>
      <c r="BL62" s="4"/>
      <c r="BM62" s="4">
        <f t="shared" si="11"/>
        <v>0.19700000000000001</v>
      </c>
    </row>
    <row r="63" spans="1:65" x14ac:dyDescent="0.3">
      <c r="A63" t="s">
        <v>188</v>
      </c>
      <c r="B63" s="53">
        <v>2.8000000000000001E-2</v>
      </c>
      <c r="C63" s="53">
        <f t="shared" si="5"/>
        <v>2.1000000000000001E-2</v>
      </c>
      <c r="D63" s="53">
        <f t="shared" si="6"/>
        <v>2.0000000000000018E-3</v>
      </c>
      <c r="E63" s="53">
        <f t="shared" si="7"/>
        <v>6.9999999999999993E-3</v>
      </c>
      <c r="F63" s="15">
        <v>1.4990000000000001</v>
      </c>
      <c r="G63" s="4">
        <v>2.371</v>
      </c>
      <c r="H63" t="s">
        <v>55</v>
      </c>
      <c r="I63" t="str">
        <f>VLOOKUP(A63,Setores!$A$2:$C$215,2,0)</f>
        <v>utilities</v>
      </c>
      <c r="J63" t="str">
        <f>VLOOKUP(A63,Setores!$A$2:$C$215,3,0)</f>
        <v>high_beta</v>
      </c>
      <c r="K63" s="92">
        <v>2.5999999999999999E-2</v>
      </c>
      <c r="L63" s="42">
        <v>1.9E-2</v>
      </c>
      <c r="M63" s="92">
        <f>VLOOKUP(A63,'Mandato Ibov'!$B$1:$C$215,2,0)</f>
        <v>1.3541126510371501E-2</v>
      </c>
      <c r="N63" s="58">
        <f t="shared" si="8"/>
        <v>1.2458873489628498E-2</v>
      </c>
      <c r="O63" s="42">
        <f t="shared" si="9"/>
        <v>1.44588734896285E-2</v>
      </c>
      <c r="P63" s="95">
        <f>VLOOKUP(A63,'Mandato Ibov'!$B$2:$D$215,3,0)</f>
        <v>1.8209433754541801E-2</v>
      </c>
      <c r="Q63" s="42">
        <f t="shared" si="10"/>
        <v>7.7905662454581977E-3</v>
      </c>
      <c r="R63" s="15">
        <v>-0.214</v>
      </c>
      <c r="S63" s="15">
        <v>-0.21</v>
      </c>
      <c r="T63" s="15">
        <v>-0.80400000000000005</v>
      </c>
      <c r="U63" s="15">
        <v>-0.109</v>
      </c>
      <c r="V63" s="15">
        <v>-0.51500000000000001</v>
      </c>
      <c r="W63" s="15">
        <v>0.17399999999999999</v>
      </c>
      <c r="X63" s="15">
        <v>0.36199999999999999</v>
      </c>
      <c r="Y63" s="15">
        <v>-2.9000000000000001E-2</v>
      </c>
      <c r="Z63" s="15">
        <v>0.40500000000000003</v>
      </c>
      <c r="AA63" s="15">
        <v>0.40699999999999997</v>
      </c>
      <c r="AB63" s="15">
        <v>0.80400000000000005</v>
      </c>
      <c r="AC63" s="15">
        <v>0.81799999999999995</v>
      </c>
      <c r="AD63" s="15">
        <v>0.72799999999999998</v>
      </c>
      <c r="AE63" s="14">
        <v>-0.42899999999999999</v>
      </c>
      <c r="AF63" s="15">
        <v>-0.252</v>
      </c>
      <c r="AG63" s="15">
        <v>0.14899999999999999</v>
      </c>
      <c r="AH63" s="15">
        <v>-1</v>
      </c>
      <c r="AI63" s="15">
        <v>-0.65</v>
      </c>
      <c r="AJ63" s="16">
        <v>-0.84599999999999997</v>
      </c>
      <c r="AK63" s="4">
        <v>-0.378</v>
      </c>
      <c r="AL63" s="4">
        <v>-0.33600000000000002</v>
      </c>
      <c r="AM63" s="4">
        <v>-0.55300000000000005</v>
      </c>
      <c r="AN63" s="4">
        <v>-0.317</v>
      </c>
      <c r="AO63" s="4">
        <v>0.41299999999999998</v>
      </c>
      <c r="AP63" s="4">
        <v>0.52900000000000003</v>
      </c>
      <c r="AQ63" s="4">
        <v>0.46899999999999997</v>
      </c>
      <c r="AR63" s="4">
        <v>1</v>
      </c>
      <c r="AS63" s="4">
        <v>0.65</v>
      </c>
      <c r="AT63" s="4">
        <v>-0.216</v>
      </c>
      <c r="AU63" s="4">
        <v>2E-3</v>
      </c>
      <c r="AV63" s="4">
        <v>0.17899999999999999</v>
      </c>
      <c r="AW63" s="4">
        <v>0.33</v>
      </c>
      <c r="AX63" s="4">
        <v>-0.58199999999999996</v>
      </c>
      <c r="AY63" s="4">
        <v>0.63900000000000001</v>
      </c>
      <c r="AZ63" s="4">
        <v>0.43</v>
      </c>
      <c r="BA63" s="4">
        <v>0.80500000000000005</v>
      </c>
      <c r="BB63" s="4">
        <v>-7.3999999999999996E-2</v>
      </c>
      <c r="BC63" s="4">
        <v>-0.29499999999999998</v>
      </c>
      <c r="BD63" s="4">
        <v>0.70899999999999996</v>
      </c>
      <c r="BE63" s="4">
        <v>0.24199999999999999</v>
      </c>
      <c r="BF63" s="4">
        <v>0.61399999999999999</v>
      </c>
      <c r="BG63" s="4">
        <v>0.753</v>
      </c>
      <c r="BH63" s="4">
        <v>-0.71899999999999997</v>
      </c>
      <c r="BI63" s="4">
        <v>9.7000000000000003E-2</v>
      </c>
      <c r="BJ63" s="4">
        <v>0.21299999999999999</v>
      </c>
      <c r="BK63" s="4">
        <v>-1</v>
      </c>
      <c r="BL63" s="4"/>
      <c r="BM63" s="4">
        <f t="shared" si="11"/>
        <v>0.20859999999999998</v>
      </c>
    </row>
    <row r="64" spans="1:65" x14ac:dyDescent="0.3">
      <c r="A64" t="s">
        <v>93</v>
      </c>
      <c r="B64" s="53">
        <v>1.4E-2</v>
      </c>
      <c r="C64" s="53">
        <f t="shared" si="5"/>
        <v>8.0000000000000002E-3</v>
      </c>
      <c r="D64" s="53">
        <f t="shared" si="6"/>
        <v>-2E-3</v>
      </c>
      <c r="E64" s="53">
        <f t="shared" si="7"/>
        <v>6.0000000000000001E-3</v>
      </c>
      <c r="F64" s="15">
        <v>1.488</v>
      </c>
      <c r="G64" s="4">
        <v>2.4790000000000001</v>
      </c>
      <c r="H64" t="s">
        <v>55</v>
      </c>
      <c r="I64" t="str">
        <f>VLOOKUP(A64,Setores!$A$2:$C$215,2,0)</f>
        <v>real_estate</v>
      </c>
      <c r="J64" t="str">
        <f>VLOOKUP(A64,Setores!$A$2:$C$215,3,0)</f>
        <v>high_beta</v>
      </c>
      <c r="K64" s="92">
        <v>1.6E-2</v>
      </c>
      <c r="L64" s="42">
        <v>0.01</v>
      </c>
      <c r="M64" s="92">
        <f>VLOOKUP(A64,'Mandato Ibov'!$B$1:$C$215,2,0)</f>
        <v>1.2212999033706101E-2</v>
      </c>
      <c r="N64" s="58">
        <f t="shared" si="8"/>
        <v>3.7870009662938995E-3</v>
      </c>
      <c r="O64" s="42">
        <f t="shared" si="9"/>
        <v>1.7870009662938995E-3</v>
      </c>
      <c r="P64" s="95">
        <f>VLOOKUP(A64,'Mandato Ibov'!$B$2:$D$215,3,0)</f>
        <v>0</v>
      </c>
      <c r="Q64" s="42">
        <f t="shared" si="10"/>
        <v>1.6E-2</v>
      </c>
      <c r="R64" s="15">
        <v>-0.26300000000000001</v>
      </c>
      <c r="S64" s="15">
        <v>-0.16400000000000001</v>
      </c>
      <c r="T64" s="15">
        <v>-0.69699999999999995</v>
      </c>
      <c r="U64" s="15">
        <v>-0.217</v>
      </c>
      <c r="V64" s="15">
        <v>-0.44500000000000001</v>
      </c>
      <c r="W64" s="15">
        <v>0.25700000000000001</v>
      </c>
      <c r="X64" s="15">
        <v>0.68600000000000005</v>
      </c>
      <c r="Y64" s="15">
        <v>-1.2999999999999999E-2</v>
      </c>
      <c r="Z64" s="15">
        <v>0.314</v>
      </c>
      <c r="AA64" s="15">
        <v>0.313</v>
      </c>
      <c r="AB64" s="15">
        <v>0.77</v>
      </c>
      <c r="AC64" s="15">
        <v>0.76400000000000001</v>
      </c>
      <c r="AD64" s="15">
        <v>0.624</v>
      </c>
      <c r="AE64" s="14">
        <v>-8.5000000000000006E-2</v>
      </c>
      <c r="AF64" s="15">
        <v>-0.38500000000000001</v>
      </c>
      <c r="AG64" s="15">
        <v>-3.6999999999999998E-2</v>
      </c>
      <c r="AH64" s="15">
        <v>-0.76800000000000002</v>
      </c>
      <c r="AI64" s="15">
        <v>-0.25</v>
      </c>
      <c r="AJ64" s="16">
        <v>-0.53100000000000003</v>
      </c>
      <c r="AK64" s="4">
        <v>-0.11700000000000001</v>
      </c>
      <c r="AL64" s="4">
        <v>-0.122</v>
      </c>
      <c r="AM64" s="4">
        <v>-0.53400000000000003</v>
      </c>
      <c r="AN64" s="4">
        <v>0.129</v>
      </c>
      <c r="AO64" s="4">
        <v>0.129</v>
      </c>
      <c r="AP64" s="4">
        <v>0.32900000000000001</v>
      </c>
      <c r="AQ64" s="4">
        <v>-0.251</v>
      </c>
      <c r="AR64" s="4">
        <v>0.27800000000000002</v>
      </c>
      <c r="AS64" s="4">
        <v>-0.41399999999999998</v>
      </c>
      <c r="AT64" s="4">
        <v>-0.10299999999999999</v>
      </c>
      <c r="AU64" s="4">
        <v>0.81200000000000006</v>
      </c>
      <c r="AV64" s="4">
        <v>0.20599999999999999</v>
      </c>
      <c r="AW64" s="4">
        <v>0.316</v>
      </c>
      <c r="AX64" s="4">
        <v>0.29399999999999998</v>
      </c>
      <c r="AY64" s="4">
        <v>0.51</v>
      </c>
      <c r="AZ64" s="4">
        <v>0.45300000000000001</v>
      </c>
      <c r="BA64" s="4">
        <v>-0.314</v>
      </c>
      <c r="BB64" s="4">
        <v>0.216</v>
      </c>
      <c r="BC64" s="4">
        <v>0.216</v>
      </c>
      <c r="BD64" s="4">
        <v>0.503</v>
      </c>
      <c r="BE64" s="4">
        <v>-0.108</v>
      </c>
      <c r="BF64" s="4">
        <v>-0.22600000000000001</v>
      </c>
      <c r="BG64" s="4">
        <v>0.76100000000000001</v>
      </c>
      <c r="BH64" s="4">
        <v>-0.45700000000000002</v>
      </c>
      <c r="BI64" s="4">
        <v>0.38200000000000001</v>
      </c>
      <c r="BJ64" s="4">
        <v>-0.60699999999999998</v>
      </c>
      <c r="BK64" s="4">
        <v>-0.40400000000000003</v>
      </c>
      <c r="BL64" s="4"/>
      <c r="BM64" s="4">
        <f t="shared" si="11"/>
        <v>9.3975000000000003E-2</v>
      </c>
    </row>
    <row r="65" spans="1:65" x14ac:dyDescent="0.3">
      <c r="A65" t="s">
        <v>131</v>
      </c>
      <c r="B65" s="53">
        <f>K65</f>
        <v>1.6E-2</v>
      </c>
      <c r="C65" s="53">
        <f t="shared" si="5"/>
        <v>1.4999999999999999E-2</v>
      </c>
      <c r="D65" s="53">
        <f t="shared" si="6"/>
        <v>0</v>
      </c>
      <c r="E65" s="53">
        <f t="shared" si="7"/>
        <v>1.0000000000000009E-3</v>
      </c>
      <c r="F65" s="15">
        <v>1.4590000000000001</v>
      </c>
      <c r="G65" s="4">
        <v>1.506</v>
      </c>
      <c r="H65" t="s">
        <v>71</v>
      </c>
      <c r="I65" t="str">
        <f>VLOOKUP(A65,Setores!$A$2:$C$215,2,0)</f>
        <v>crude_oil</v>
      </c>
      <c r="J65" t="str">
        <f>VLOOKUP(A65,Setores!$A$2:$C$215,3,0)</f>
        <v>very_low_beta</v>
      </c>
      <c r="K65" s="92">
        <v>1.6E-2</v>
      </c>
      <c r="L65" s="42">
        <v>1.4999999999999999E-2</v>
      </c>
      <c r="M65" s="92">
        <f>VLOOKUP(A65,'Mandato Ibov'!$B$1:$C$215,2,0)</f>
        <v>7.4838147606559402E-3</v>
      </c>
      <c r="N65" s="58">
        <f t="shared" si="8"/>
        <v>8.516185239344061E-3</v>
      </c>
      <c r="O65" s="42">
        <f t="shared" si="9"/>
        <v>8.516185239344061E-3</v>
      </c>
      <c r="P65" s="95">
        <f>VLOOKUP(A65,'Mandato Ibov'!$B$2:$D$215,3,0)</f>
        <v>1.11377040011765E-2</v>
      </c>
      <c r="Q65" s="42">
        <f t="shared" si="10"/>
        <v>4.8622959988235005E-3</v>
      </c>
      <c r="R65" s="15">
        <v>-0.62</v>
      </c>
      <c r="S65" s="15">
        <v>0.30199999999999999</v>
      </c>
      <c r="T65" s="15">
        <v>-0.76900000000000002</v>
      </c>
      <c r="U65" s="15">
        <v>-0.52400000000000002</v>
      </c>
      <c r="V65" s="15">
        <v>-0.27400000000000002</v>
      </c>
      <c r="W65" s="15">
        <v>-0.13800000000000001</v>
      </c>
      <c r="X65" s="15">
        <v>-0.11700000000000001</v>
      </c>
      <c r="Y65" s="15">
        <v>0.36699999999999999</v>
      </c>
      <c r="Z65" s="15">
        <v>0.54200000000000004</v>
      </c>
      <c r="AA65" s="15">
        <v>0.54200000000000004</v>
      </c>
      <c r="AB65" s="15">
        <v>0.503</v>
      </c>
      <c r="AC65" s="15">
        <v>0.63200000000000001</v>
      </c>
      <c r="AD65" s="15">
        <v>0.76700000000000002</v>
      </c>
      <c r="AE65" s="14">
        <v>-0.84599999999999997</v>
      </c>
      <c r="AF65" s="15">
        <v>-0.82899999999999996</v>
      </c>
      <c r="AG65" s="15">
        <v>1</v>
      </c>
      <c r="AH65" s="15">
        <v>-0.27500000000000002</v>
      </c>
      <c r="AI65" s="15">
        <v>0.75</v>
      </c>
      <c r="AJ65" s="16">
        <v>-0.72099999999999997</v>
      </c>
      <c r="AK65" s="4">
        <v>-0.316</v>
      </c>
      <c r="AL65" s="4">
        <v>0.35799999999999998</v>
      </c>
      <c r="AM65" s="4">
        <v>-0.127</v>
      </c>
      <c r="AN65" s="4">
        <v>0.03</v>
      </c>
      <c r="AO65" s="4">
        <v>0.496</v>
      </c>
      <c r="AP65" s="4">
        <v>0.98299999999999998</v>
      </c>
      <c r="AQ65" s="4">
        <v>-0.51100000000000001</v>
      </c>
      <c r="AR65" s="4">
        <v>-0.16</v>
      </c>
      <c r="AS65" s="4">
        <v>-0.52100000000000002</v>
      </c>
      <c r="AT65" s="4">
        <v>2E-3</v>
      </c>
      <c r="AU65" s="4">
        <v>8.7999999999999995E-2</v>
      </c>
      <c r="AV65" s="4">
        <v>-0.79800000000000004</v>
      </c>
      <c r="AW65" s="4">
        <v>0.33800000000000002</v>
      </c>
      <c r="AX65" s="4">
        <v>0.156</v>
      </c>
      <c r="AY65" s="4">
        <v>0.80400000000000005</v>
      </c>
      <c r="AZ65" s="4">
        <v>0.28100000000000003</v>
      </c>
      <c r="BA65" s="4">
        <v>-0.17499999999999999</v>
      </c>
      <c r="BB65" s="4">
        <v>-8.1000000000000003E-2</v>
      </c>
      <c r="BC65" s="4">
        <v>-0.47399999999999998</v>
      </c>
      <c r="BD65" s="4">
        <v>-0.24199999999999999</v>
      </c>
      <c r="BE65" s="4">
        <v>-0.22900000000000001</v>
      </c>
      <c r="BF65" s="4">
        <v>2.8000000000000001E-2</v>
      </c>
      <c r="BG65" s="4">
        <v>0.48299999999999998</v>
      </c>
      <c r="BH65" s="4">
        <v>-0.13600000000000001</v>
      </c>
      <c r="BI65" s="4">
        <v>-0.95699999999999996</v>
      </c>
      <c r="BJ65" s="4">
        <v>-0.49</v>
      </c>
      <c r="BK65" s="4">
        <v>0.46500000000000002</v>
      </c>
      <c r="BL65" s="4"/>
      <c r="BM65" s="4">
        <f t="shared" si="11"/>
        <v>4.5424999999999986E-2</v>
      </c>
    </row>
    <row r="66" spans="1:65" x14ac:dyDescent="0.3">
      <c r="A66" t="s">
        <v>201</v>
      </c>
      <c r="B66" s="53">
        <v>1.2500000000000001E-2</v>
      </c>
      <c r="C66" s="53">
        <f t="shared" si="5"/>
        <v>1.2500000000000001E-2</v>
      </c>
      <c r="D66" s="53">
        <f t="shared" si="6"/>
        <v>-2.4999999999999988E-3</v>
      </c>
      <c r="E66" s="53">
        <f t="shared" si="7"/>
        <v>0</v>
      </c>
      <c r="F66" s="15">
        <v>1.44</v>
      </c>
      <c r="G66" s="4">
        <v>1.1120000000000001</v>
      </c>
      <c r="H66" t="s">
        <v>71</v>
      </c>
      <c r="I66" t="str">
        <f>VLOOKUP(A66,Setores!$A$2:$C$215,2,0)</f>
        <v>food</v>
      </c>
      <c r="J66" t="str">
        <f>VLOOKUP(A66,Setores!$A$2:$C$215,3,0)</f>
        <v>very_low_beta</v>
      </c>
      <c r="K66" s="92">
        <v>1.4999999999999999E-2</v>
      </c>
      <c r="L66" s="42">
        <v>1.4999999999999999E-2</v>
      </c>
      <c r="M66" s="92">
        <f>VLOOKUP(A66,'Mandato Ibov'!$B$1:$C$215,2,0)</f>
        <v>6.8086575041707599E-3</v>
      </c>
      <c r="N66" s="58">
        <f t="shared" si="8"/>
        <v>8.1913424958292395E-3</v>
      </c>
      <c r="O66" s="42">
        <f t="shared" si="9"/>
        <v>5.6913424958292408E-3</v>
      </c>
      <c r="P66" s="95">
        <f>VLOOKUP(A66,'Mandato Ibov'!$B$2:$D$215,3,0)</f>
        <v>0</v>
      </c>
      <c r="Q66" s="42">
        <f t="shared" si="10"/>
        <v>1.4999999999999999E-2</v>
      </c>
      <c r="R66" s="15">
        <v>2E-3</v>
      </c>
      <c r="S66" s="15">
        <v>0.64300000000000002</v>
      </c>
      <c r="T66" s="15">
        <v>0.04</v>
      </c>
      <c r="U66" s="15">
        <v>-0.309</v>
      </c>
      <c r="V66" s="15">
        <v>0.13300000000000001</v>
      </c>
      <c r="W66" s="15">
        <v>-0.26200000000000001</v>
      </c>
      <c r="X66" s="15">
        <v>-0.55800000000000005</v>
      </c>
      <c r="Y66" s="15">
        <v>-0.47699999999999998</v>
      </c>
      <c r="Z66" s="15">
        <v>0.34100000000000003</v>
      </c>
      <c r="AA66" s="15">
        <v>0.34200000000000003</v>
      </c>
      <c r="AB66" s="15">
        <v>0.96299999999999997</v>
      </c>
      <c r="AC66" s="15">
        <v>1</v>
      </c>
      <c r="AD66" s="15">
        <v>0.90600000000000003</v>
      </c>
      <c r="AE66" s="14">
        <v>-0.151</v>
      </c>
      <c r="AF66" s="15">
        <v>-0.185</v>
      </c>
      <c r="AG66" s="15">
        <v>0.86899999999999999</v>
      </c>
      <c r="AH66" s="15">
        <v>0.80900000000000005</v>
      </c>
      <c r="AI66" s="15">
        <v>0.67</v>
      </c>
      <c r="AJ66" s="16">
        <v>-0.65700000000000003</v>
      </c>
      <c r="AK66" s="4">
        <v>0.33100000000000002</v>
      </c>
      <c r="AL66" s="4">
        <v>-0.86399999999999999</v>
      </c>
      <c r="AM66" s="4">
        <v>0.44900000000000001</v>
      </c>
      <c r="AN66" s="4">
        <v>-0.16700000000000001</v>
      </c>
      <c r="AO66" s="4">
        <v>-2.9000000000000001E-2</v>
      </c>
      <c r="AP66" s="4">
        <v>0.52200000000000002</v>
      </c>
      <c r="AQ66" s="4">
        <v>-1</v>
      </c>
      <c r="AR66" s="4">
        <v>0.91700000000000004</v>
      </c>
      <c r="AS66" s="4">
        <v>7.0000000000000007E-2</v>
      </c>
      <c r="AT66" s="4">
        <v>-0.21199999999999999</v>
      </c>
      <c r="AU66" s="4">
        <v>-0.39800000000000002</v>
      </c>
      <c r="AV66" s="4">
        <v>-0.26200000000000001</v>
      </c>
      <c r="AW66" s="4">
        <v>0.22600000000000001</v>
      </c>
      <c r="AX66" s="4">
        <v>-0.13200000000000001</v>
      </c>
      <c r="AY66" s="4">
        <v>-3.9E-2</v>
      </c>
      <c r="AZ66" s="4">
        <v>-0.92500000000000004</v>
      </c>
      <c r="BA66" s="4">
        <v>0.72</v>
      </c>
      <c r="BB66" s="4">
        <v>3.4000000000000002E-2</v>
      </c>
      <c r="BC66" s="4">
        <v>6.4000000000000001E-2</v>
      </c>
      <c r="BD66" s="4">
        <v>2.3E-2</v>
      </c>
      <c r="BE66" s="4">
        <v>1.7000000000000001E-2</v>
      </c>
      <c r="BF66" s="4">
        <v>0.33900000000000002</v>
      </c>
      <c r="BG66" s="4">
        <v>0.39700000000000002</v>
      </c>
      <c r="BH66" s="4">
        <v>0.44400000000000001</v>
      </c>
      <c r="BI66" s="4">
        <v>-0.56799999999999995</v>
      </c>
      <c r="BJ66" s="4">
        <v>0.627</v>
      </c>
      <c r="BK66" s="4">
        <v>0.82799999999999996</v>
      </c>
      <c r="BL66" s="4"/>
      <c r="BM66" s="4">
        <f t="shared" si="11"/>
        <v>-5.1049999999999991E-2</v>
      </c>
    </row>
    <row r="67" spans="1:65" x14ac:dyDescent="0.3">
      <c r="A67" t="s">
        <v>184</v>
      </c>
      <c r="B67" s="53">
        <v>0.02</v>
      </c>
      <c r="C67" s="53">
        <f t="shared" si="5"/>
        <v>-1.4000000000000002E-2</v>
      </c>
      <c r="D67" s="53">
        <f t="shared" si="6"/>
        <v>2.0000000000000018E-3</v>
      </c>
      <c r="E67" s="53">
        <f t="shared" si="7"/>
        <v>3.4000000000000002E-2</v>
      </c>
      <c r="F67" s="15">
        <v>1.4330000000000001</v>
      </c>
      <c r="G67" s="4">
        <v>3.0430000000000001</v>
      </c>
      <c r="H67" t="s">
        <v>57</v>
      </c>
      <c r="I67" t="str">
        <f>VLOOKUP(A67,Setores!$A$2:$C$215,2,0)</f>
        <v>financial_services</v>
      </c>
      <c r="J67" t="str">
        <f>VLOOKUP(A67,Setores!$A$2:$C$215,3,0)</f>
        <v>very_high_beta</v>
      </c>
      <c r="K67" s="92">
        <v>1.7999999999999999E-2</v>
      </c>
      <c r="L67" s="42">
        <v>-1.6E-2</v>
      </c>
      <c r="M67" s="92">
        <f>VLOOKUP(A67,'Mandato Ibov'!$B$1:$C$215,2,0)</f>
        <v>3.7303715968391701E-2</v>
      </c>
      <c r="N67" s="58">
        <f t="shared" si="8"/>
        <v>-1.9303715968391703E-2</v>
      </c>
      <c r="O67" s="42">
        <f t="shared" si="9"/>
        <v>-1.7303715968391701E-2</v>
      </c>
      <c r="P67" s="95">
        <f>VLOOKUP(A67,'Mandato Ibov'!$B$2:$D$215,3,0)</f>
        <v>2.9710474128738201E-2</v>
      </c>
      <c r="Q67" s="42">
        <f t="shared" si="10"/>
        <v>-1.1710474128738203E-2</v>
      </c>
      <c r="R67" s="15">
        <v>-0.18099999999999999</v>
      </c>
      <c r="S67" s="15">
        <v>-0.20100000000000001</v>
      </c>
      <c r="T67" s="15">
        <v>-0.82499999999999996</v>
      </c>
      <c r="U67" s="15">
        <v>-3.6999999999999998E-2</v>
      </c>
      <c r="V67" s="15">
        <v>-0.53400000000000003</v>
      </c>
      <c r="W67" s="15">
        <v>0.22600000000000001</v>
      </c>
      <c r="X67" s="15">
        <v>0.749</v>
      </c>
      <c r="Y67" s="15">
        <v>-0.17499999999999999</v>
      </c>
      <c r="Z67" s="15">
        <v>0.39500000000000002</v>
      </c>
      <c r="AA67" s="15">
        <v>0.39600000000000002</v>
      </c>
      <c r="AB67" s="15">
        <v>0.70099999999999996</v>
      </c>
      <c r="AC67" s="15">
        <v>0.72399999999999998</v>
      </c>
      <c r="AD67" s="15">
        <v>0.626</v>
      </c>
      <c r="AE67" s="14">
        <v>-3.1E-2</v>
      </c>
      <c r="AF67" s="15">
        <v>-0.59599999999999997</v>
      </c>
      <c r="AG67" s="15">
        <v>-0.32</v>
      </c>
      <c r="AH67" s="15">
        <v>-0.999</v>
      </c>
      <c r="AI67" s="15">
        <v>-0.751</v>
      </c>
      <c r="AJ67" s="16">
        <v>-0.73599999999999999</v>
      </c>
      <c r="AK67" s="4">
        <v>-0.38</v>
      </c>
      <c r="AL67" s="4">
        <v>-0.52900000000000003</v>
      </c>
      <c r="AM67" s="4">
        <v>-0.998</v>
      </c>
      <c r="AN67" s="4">
        <v>-0.20499999999999999</v>
      </c>
      <c r="AO67" s="4">
        <v>0.314</v>
      </c>
      <c r="AP67" s="4">
        <v>0.40799999999999997</v>
      </c>
      <c r="AQ67" s="4">
        <v>0.22500000000000001</v>
      </c>
      <c r="AR67" s="4">
        <v>0.435</v>
      </c>
      <c r="AS67" s="4">
        <v>0.78</v>
      </c>
      <c r="AT67" s="4">
        <v>0.45200000000000001</v>
      </c>
      <c r="AU67" s="4">
        <v>1</v>
      </c>
      <c r="AV67" s="4">
        <v>0.74</v>
      </c>
      <c r="AW67" s="4">
        <v>-2.1000000000000001E-2</v>
      </c>
      <c r="AX67" s="4">
        <v>0.161</v>
      </c>
      <c r="AY67" s="4">
        <v>0.17699999999999999</v>
      </c>
      <c r="AZ67" s="4">
        <v>-6.9000000000000006E-2</v>
      </c>
      <c r="BA67" s="4">
        <v>0.44600000000000001</v>
      </c>
      <c r="BB67" s="4">
        <v>0.23699999999999999</v>
      </c>
      <c r="BC67" s="4">
        <v>0.28000000000000003</v>
      </c>
      <c r="BD67" s="4">
        <v>0.41099999999999998</v>
      </c>
      <c r="BE67" s="4">
        <v>3.9E-2</v>
      </c>
      <c r="BF67" s="4">
        <v>0.23300000000000001</v>
      </c>
      <c r="BG67" s="4">
        <v>0.90600000000000003</v>
      </c>
      <c r="BH67" s="4">
        <v>-0.35799999999999998</v>
      </c>
      <c r="BI67" s="4">
        <v>0.315</v>
      </c>
      <c r="BJ67" s="4">
        <v>-0.504</v>
      </c>
      <c r="BK67" s="4">
        <v>-0.78900000000000003</v>
      </c>
      <c r="BL67" s="4"/>
      <c r="BM67" s="4">
        <f t="shared" si="11"/>
        <v>0.236875</v>
      </c>
    </row>
    <row r="68" spans="1:65" x14ac:dyDescent="0.3">
      <c r="A68" t="s">
        <v>205</v>
      </c>
      <c r="B68" s="53">
        <f>K68</f>
        <v>2.1999999999999999E-2</v>
      </c>
      <c r="C68" s="53">
        <f t="shared" si="5"/>
        <v>5.9999999999999984E-3</v>
      </c>
      <c r="D68" s="53">
        <f t="shared" si="6"/>
        <v>0</v>
      </c>
      <c r="E68" s="53">
        <f t="shared" si="7"/>
        <v>1.6E-2</v>
      </c>
      <c r="F68" s="15">
        <v>1.381</v>
      </c>
      <c r="G68" s="4">
        <v>2.577</v>
      </c>
      <c r="H68" t="s">
        <v>57</v>
      </c>
      <c r="I68" t="str">
        <f>VLOOKUP(A68,Setores!$A$2:$C$215,2,0)</f>
        <v>consumer_services</v>
      </c>
      <c r="J68" t="str">
        <f>VLOOKUP(A68,Setores!$A$2:$C$215,3,0)</f>
        <v>low_beta</v>
      </c>
      <c r="K68" s="92">
        <v>2.1999999999999999E-2</v>
      </c>
      <c r="L68" s="42">
        <v>6.0000000000000001E-3</v>
      </c>
      <c r="M68" s="92">
        <f>VLOOKUP(A68,'Mandato Ibov'!$B$1:$C$215,2,0)</f>
        <v>2.37015528320778E-2</v>
      </c>
      <c r="N68" s="58">
        <f t="shared" si="8"/>
        <v>-1.701552832077801E-3</v>
      </c>
      <c r="O68" s="42">
        <f t="shared" si="9"/>
        <v>-1.701552832077801E-3</v>
      </c>
      <c r="P68" s="95">
        <f>VLOOKUP(A68,'Mandato Ibov'!$B$2:$D$215,3,0)</f>
        <v>3.8800321745654898E-2</v>
      </c>
      <c r="Q68" s="42">
        <f t="shared" si="10"/>
        <v>-1.6800321745654899E-2</v>
      </c>
      <c r="R68" s="15">
        <v>-0.39900000000000002</v>
      </c>
      <c r="S68" s="15">
        <v>-0.157</v>
      </c>
      <c r="T68" s="15">
        <v>-0.88600000000000001</v>
      </c>
      <c r="U68" s="15">
        <v>-8.7999999999999995E-2</v>
      </c>
      <c r="V68" s="15">
        <v>-0.48199999999999998</v>
      </c>
      <c r="W68" s="15">
        <v>-0.26500000000000001</v>
      </c>
      <c r="X68" s="15">
        <v>-0.34799999999999998</v>
      </c>
      <c r="Y68" s="15">
        <v>0.10299999999999999</v>
      </c>
      <c r="Z68" s="15">
        <v>0.64300000000000002</v>
      </c>
      <c r="AA68" s="15">
        <v>0.64500000000000002</v>
      </c>
      <c r="AB68" s="15">
        <v>0.72599999999999998</v>
      </c>
      <c r="AC68" s="15">
        <v>0.8</v>
      </c>
      <c r="AD68" s="15">
        <v>0.81</v>
      </c>
      <c r="AE68" s="14">
        <v>-0.46899999999999997</v>
      </c>
      <c r="AF68" s="15">
        <v>-0.34799999999999998</v>
      </c>
      <c r="AG68" s="15">
        <v>0.52900000000000003</v>
      </c>
      <c r="AH68" s="15">
        <v>-0.92200000000000004</v>
      </c>
      <c r="AI68" s="15">
        <v>-0.39800000000000002</v>
      </c>
      <c r="AJ68" s="16">
        <v>-0.97</v>
      </c>
      <c r="AK68" s="4">
        <v>-4.8000000000000001E-2</v>
      </c>
      <c r="AL68" s="4">
        <v>-0.378</v>
      </c>
      <c r="AM68" s="4">
        <v>-0.65100000000000002</v>
      </c>
      <c r="AN68" s="4">
        <v>-0.28000000000000003</v>
      </c>
      <c r="AO68" s="4">
        <v>0.70699999999999996</v>
      </c>
      <c r="AP68" s="4">
        <v>0.44400000000000001</v>
      </c>
      <c r="AQ68" s="4">
        <v>0.27800000000000002</v>
      </c>
      <c r="AR68" s="4">
        <v>0.88500000000000001</v>
      </c>
      <c r="AS68" s="4">
        <v>0.39700000000000002</v>
      </c>
      <c r="AT68" s="4">
        <v>0.52900000000000003</v>
      </c>
      <c r="AU68" s="4">
        <v>-0.61599999999999999</v>
      </c>
      <c r="AV68" s="4">
        <v>-7.0000000000000001E-3</v>
      </c>
      <c r="AW68" s="4">
        <v>0.184</v>
      </c>
      <c r="AX68" s="4">
        <v>-0.36699999999999999</v>
      </c>
      <c r="AY68" s="4">
        <v>0.53200000000000003</v>
      </c>
      <c r="AZ68" s="4">
        <v>0.57799999999999996</v>
      </c>
      <c r="BA68" s="4">
        <v>-4.2999999999999997E-2</v>
      </c>
      <c r="BB68" s="4">
        <v>-0.11700000000000001</v>
      </c>
      <c r="BC68" s="4">
        <v>0.11899999999999999</v>
      </c>
      <c r="BD68" s="4">
        <v>0.78100000000000003</v>
      </c>
      <c r="BE68" s="4">
        <v>-0.87</v>
      </c>
      <c r="BF68" s="4">
        <v>-0.64600000000000002</v>
      </c>
      <c r="BG68" s="4">
        <v>0.41699999999999998</v>
      </c>
      <c r="BH68" s="4">
        <v>-0.70099999999999996</v>
      </c>
      <c r="BI68" s="4">
        <v>-0.314</v>
      </c>
      <c r="BJ68" s="4">
        <v>-0.41099999999999998</v>
      </c>
      <c r="BK68" s="4">
        <v>-0.57699999999999996</v>
      </c>
      <c r="BL68" s="4"/>
      <c r="BM68" s="4">
        <f t="shared" si="11"/>
        <v>0.22642500000000004</v>
      </c>
    </row>
    <row r="69" spans="1:65" x14ac:dyDescent="0.3">
      <c r="A69" t="s">
        <v>153</v>
      </c>
      <c r="B69" s="53">
        <f>K69</f>
        <v>2.1000000000000001E-2</v>
      </c>
      <c r="C69" s="53">
        <f t="shared" si="5"/>
        <v>8.0000000000000002E-3</v>
      </c>
      <c r="D69" s="53">
        <f t="shared" si="6"/>
        <v>0</v>
      </c>
      <c r="E69" s="53">
        <f t="shared" si="7"/>
        <v>1.3000000000000001E-2</v>
      </c>
      <c r="F69" s="15">
        <v>1.349</v>
      </c>
      <c r="G69" s="4">
        <v>2.1659999999999999</v>
      </c>
      <c r="H69" t="s">
        <v>57</v>
      </c>
      <c r="I69" t="str">
        <f>VLOOKUP(A69,Setores!$A$2:$C$215,2,0)</f>
        <v>consumer_services</v>
      </c>
      <c r="J69" t="str">
        <f>VLOOKUP(A69,Setores!$A$2:$C$215,3,0)</f>
        <v>very_low_beta</v>
      </c>
      <c r="K69" s="92">
        <v>2.1000000000000001E-2</v>
      </c>
      <c r="L69" s="42">
        <v>8.0000000000000002E-3</v>
      </c>
      <c r="M69" s="92">
        <f>VLOOKUP(A69,'Mandato Ibov'!$B$1:$C$215,2,0)</f>
        <v>1.9311292481536999E-2</v>
      </c>
      <c r="N69" s="58">
        <f t="shared" si="8"/>
        <v>1.6887075184630028E-3</v>
      </c>
      <c r="O69" s="42">
        <f t="shared" si="9"/>
        <v>1.6887075184630028E-3</v>
      </c>
      <c r="P69" s="95">
        <f>VLOOKUP(A69,'Mandato Ibov'!$B$2:$D$215,3,0)</f>
        <v>2.4527827659646399E-2</v>
      </c>
      <c r="Q69" s="42">
        <f t="shared" si="10"/>
        <v>-3.5278276596463973E-3</v>
      </c>
      <c r="R69" s="15">
        <v>-0.41199999999999998</v>
      </c>
      <c r="S69" s="15">
        <v>-8.7999999999999995E-2</v>
      </c>
      <c r="T69" s="15">
        <v>-0.88500000000000001</v>
      </c>
      <c r="U69" s="15">
        <v>-0.13400000000000001</v>
      </c>
      <c r="V69" s="15">
        <v>-0.45200000000000001</v>
      </c>
      <c r="W69" s="15">
        <v>-0.253</v>
      </c>
      <c r="X69" s="15">
        <v>-0.24299999999999999</v>
      </c>
      <c r="Y69" s="15">
        <v>1.6E-2</v>
      </c>
      <c r="Z69" s="15">
        <v>0.66700000000000004</v>
      </c>
      <c r="AA69" s="15">
        <v>0.66900000000000004</v>
      </c>
      <c r="AB69" s="15">
        <v>0.54100000000000004</v>
      </c>
      <c r="AC69" s="15">
        <v>0.83399999999999996</v>
      </c>
      <c r="AD69" s="15">
        <v>0.82899999999999996</v>
      </c>
      <c r="AE69" s="14">
        <v>-0.63800000000000001</v>
      </c>
      <c r="AF69" s="15">
        <v>-0.309</v>
      </c>
      <c r="AG69" s="15">
        <v>0.70699999999999996</v>
      </c>
      <c r="AH69" s="15">
        <v>-0.91300000000000003</v>
      </c>
      <c r="AI69" s="15">
        <v>-0.27600000000000002</v>
      </c>
      <c r="AJ69" s="16">
        <v>-0.93300000000000005</v>
      </c>
      <c r="AK69" s="4">
        <v>-9.5000000000000001E-2</v>
      </c>
      <c r="AL69" s="4">
        <v>-0.46300000000000002</v>
      </c>
      <c r="AM69" s="4">
        <v>-0.64400000000000002</v>
      </c>
      <c r="AN69" s="4">
        <v>0.10199999999999999</v>
      </c>
      <c r="AO69" s="4">
        <v>0.70599999999999996</v>
      </c>
      <c r="AP69" s="4">
        <v>0.65</v>
      </c>
      <c r="AQ69" s="4">
        <v>0.315</v>
      </c>
      <c r="AR69" s="4">
        <v>0.71699999999999997</v>
      </c>
      <c r="AS69" s="4">
        <v>0.41799999999999998</v>
      </c>
      <c r="AT69" s="4">
        <v>0.54700000000000004</v>
      </c>
      <c r="AU69" s="4">
        <v>-0.61899999999999999</v>
      </c>
      <c r="AV69" s="4">
        <v>-0.122</v>
      </c>
      <c r="AW69" s="4">
        <v>9.7000000000000003E-2</v>
      </c>
      <c r="AX69" s="4">
        <v>-0.154</v>
      </c>
      <c r="AY69" s="4">
        <v>0.89800000000000002</v>
      </c>
      <c r="AZ69" s="4">
        <v>-0.25800000000000001</v>
      </c>
      <c r="BA69" s="4">
        <v>0.57999999999999996</v>
      </c>
      <c r="BB69" s="4">
        <v>-0.51400000000000001</v>
      </c>
      <c r="BC69" s="4">
        <v>-0.501</v>
      </c>
      <c r="BD69" s="4">
        <v>0.52900000000000003</v>
      </c>
      <c r="BE69" s="4">
        <v>-0.70099999999999996</v>
      </c>
      <c r="BF69" s="4">
        <v>-0.16500000000000001</v>
      </c>
      <c r="BG69" s="4">
        <v>0.68600000000000005</v>
      </c>
      <c r="BH69" s="4">
        <v>-0.52900000000000003</v>
      </c>
      <c r="BI69" s="4">
        <v>-0.57899999999999996</v>
      </c>
      <c r="BJ69" s="4">
        <v>-0.17799999999999999</v>
      </c>
      <c r="BK69" s="4">
        <v>-0.502</v>
      </c>
      <c r="BL69" s="4"/>
      <c r="BM69" s="4">
        <f t="shared" si="11"/>
        <v>0.24380000000000002</v>
      </c>
    </row>
    <row r="70" spans="1:65" x14ac:dyDescent="0.3">
      <c r="A70" t="s">
        <v>152</v>
      </c>
      <c r="B70" s="53">
        <v>7.0000000000000001E-3</v>
      </c>
      <c r="C70" s="53">
        <f t="shared" si="5"/>
        <v>7.0000000000000001E-3</v>
      </c>
      <c r="D70" s="53">
        <f t="shared" si="6"/>
        <v>-1.9999999999999992E-3</v>
      </c>
      <c r="E70" s="53">
        <f t="shared" si="7"/>
        <v>0</v>
      </c>
      <c r="F70" s="15">
        <v>1.3220000000000001</v>
      </c>
      <c r="G70" s="4">
        <v>1.004</v>
      </c>
      <c r="H70" t="s">
        <v>57</v>
      </c>
      <c r="I70" t="str">
        <f>VLOOKUP(A70,Setores!$A$2:$C$215,2,0)</f>
        <v>homebuilders</v>
      </c>
      <c r="J70" t="str">
        <f>VLOOKUP(A70,Setores!$A$2:$C$215,3,0)</f>
        <v>high_beta</v>
      </c>
      <c r="K70" s="92">
        <v>8.9999999999999993E-3</v>
      </c>
      <c r="L70" s="42">
        <v>8.9999999999999993E-3</v>
      </c>
      <c r="M70" s="92">
        <f>VLOOKUP(A70,'Mandato Ibov'!$B$1:$C$215,2,0)</f>
        <v>6.2474643544103304E-3</v>
      </c>
      <c r="N70" s="58">
        <f t="shared" si="8"/>
        <v>2.7525356455896689E-3</v>
      </c>
      <c r="O70" s="42">
        <f t="shared" si="9"/>
        <v>7.5253564558966975E-4</v>
      </c>
      <c r="P70" s="95">
        <f>VLOOKUP(A70,'Mandato Ibov'!$B$2:$D$215,3,0)</f>
        <v>1.05708774967961E-2</v>
      </c>
      <c r="Q70" s="42">
        <f t="shared" si="10"/>
        <v>-1.5708774967961008E-3</v>
      </c>
      <c r="R70" s="15">
        <v>0.19</v>
      </c>
      <c r="S70" s="15">
        <v>-6.0999999999999999E-2</v>
      </c>
      <c r="T70" s="15">
        <v>-0.24199999999999999</v>
      </c>
      <c r="U70" s="15">
        <v>0.26500000000000001</v>
      </c>
      <c r="V70" s="15">
        <v>-9.6000000000000002E-2</v>
      </c>
      <c r="W70" s="15">
        <v>-0.20399999999999999</v>
      </c>
      <c r="X70" s="15">
        <v>-0.51</v>
      </c>
      <c r="Y70" s="15">
        <v>-0.221</v>
      </c>
      <c r="Z70" s="15">
        <v>2.7E-2</v>
      </c>
      <c r="AA70" s="15">
        <v>2.4E-2</v>
      </c>
      <c r="AB70" s="15">
        <v>0.82799999999999996</v>
      </c>
      <c r="AC70" s="15">
        <v>0.76500000000000001</v>
      </c>
      <c r="AD70" s="15">
        <v>0.57699999999999996</v>
      </c>
      <c r="AE70" s="14">
        <v>0.14399999999999999</v>
      </c>
      <c r="AF70" s="15">
        <v>0.40400000000000003</v>
      </c>
      <c r="AG70" s="15">
        <v>-3.4000000000000002E-2</v>
      </c>
      <c r="AH70" s="15">
        <v>-0.53</v>
      </c>
      <c r="AI70" s="15">
        <v>0.40400000000000003</v>
      </c>
      <c r="AJ70" s="16">
        <v>0.371</v>
      </c>
      <c r="AK70" s="4">
        <v>-0.112</v>
      </c>
      <c r="AL70" s="4">
        <v>-0.752</v>
      </c>
      <c r="AM70" s="4">
        <v>-0.73699999999999999</v>
      </c>
      <c r="AN70" s="4">
        <v>0.377</v>
      </c>
      <c r="AO70" s="4">
        <v>0.26700000000000002</v>
      </c>
      <c r="AP70" s="4">
        <v>0.214</v>
      </c>
      <c r="AQ70" s="4">
        <v>1</v>
      </c>
      <c r="AR70" s="4">
        <v>0.58499999999999996</v>
      </c>
      <c r="AS70" s="4">
        <v>0.29299999999999998</v>
      </c>
      <c r="AT70" s="4">
        <v>0.47199999999999998</v>
      </c>
      <c r="AU70" s="4">
        <v>-0.23499999999999999</v>
      </c>
      <c r="AV70" s="4">
        <v>0.70199999999999996</v>
      </c>
      <c r="AW70" s="4">
        <v>-0.30399999999999999</v>
      </c>
      <c r="AX70" s="4">
        <v>1.9E-2</v>
      </c>
      <c r="AY70" s="4">
        <v>-0.47599999999999998</v>
      </c>
      <c r="AZ70" s="4">
        <v>0.85199999999999998</v>
      </c>
      <c r="BA70" s="4">
        <v>0.51900000000000002</v>
      </c>
      <c r="BB70" s="4">
        <v>-0.496</v>
      </c>
      <c r="BC70" s="4">
        <v>-0.14199999999999999</v>
      </c>
      <c r="BD70" s="4">
        <v>0.47699999999999998</v>
      </c>
      <c r="BE70" s="4">
        <v>0.11</v>
      </c>
      <c r="BF70" s="4">
        <v>-0.52200000000000002</v>
      </c>
      <c r="BG70" s="4">
        <v>-0.433</v>
      </c>
      <c r="BH70" s="4">
        <v>-0.67</v>
      </c>
      <c r="BI70" s="4">
        <v>0.41799999999999998</v>
      </c>
      <c r="BJ70" s="4">
        <v>-0.72899999999999998</v>
      </c>
      <c r="BK70" s="4">
        <v>2.5000000000000001E-2</v>
      </c>
      <c r="BL70" s="4"/>
      <c r="BM70" s="4">
        <f t="shared" si="11"/>
        <v>0.18564999999999995</v>
      </c>
    </row>
    <row r="71" spans="1:65" x14ac:dyDescent="0.3">
      <c r="A71" t="s">
        <v>107</v>
      </c>
      <c r="B71" s="53">
        <v>1.4E-2</v>
      </c>
      <c r="C71" s="53">
        <f t="shared" si="5"/>
        <v>1.0000000000000002E-2</v>
      </c>
      <c r="D71" s="53">
        <f t="shared" si="6"/>
        <v>-3.9999999999999983E-3</v>
      </c>
      <c r="E71" s="53">
        <f t="shared" si="7"/>
        <v>3.9999999999999983E-3</v>
      </c>
      <c r="F71" s="15">
        <v>1.3080000000000001</v>
      </c>
      <c r="G71" s="4">
        <v>2.0059999999999998</v>
      </c>
      <c r="H71" t="s">
        <v>53</v>
      </c>
      <c r="I71" t="str">
        <f>VLOOKUP(A71,Setores!$A$2:$C$215,2,0)</f>
        <v>float_financials</v>
      </c>
      <c r="J71" t="str">
        <f>VLOOKUP(A71,Setores!$A$2:$C$215,3,0)</f>
        <v>very_low_beta</v>
      </c>
      <c r="K71" s="92">
        <v>1.7999999999999999E-2</v>
      </c>
      <c r="L71" s="42">
        <v>1.4E-2</v>
      </c>
      <c r="M71" s="92">
        <f>VLOOKUP(A71,'Mandato Ibov'!$B$1:$C$215,2,0)</f>
        <v>9.2528808688038203E-3</v>
      </c>
      <c r="N71" s="58">
        <f t="shared" si="8"/>
        <v>8.7471191311961783E-3</v>
      </c>
      <c r="O71" s="42">
        <f t="shared" si="9"/>
        <v>4.74711913119618E-3</v>
      </c>
      <c r="P71" s="95">
        <f>VLOOKUP(A71,'Mandato Ibov'!$B$2:$D$215,3,0)</f>
        <v>1.44926533004326E-2</v>
      </c>
      <c r="Q71" s="42">
        <f t="shared" si="10"/>
        <v>3.5073466995673985E-3</v>
      </c>
      <c r="R71" s="15">
        <v>-0.64300000000000002</v>
      </c>
      <c r="S71" s="15">
        <v>-0.5</v>
      </c>
      <c r="T71" s="15">
        <v>-0.81799999999999995</v>
      </c>
      <c r="U71" s="15">
        <v>-0.16900000000000001</v>
      </c>
      <c r="V71" s="15">
        <v>-0.45900000000000002</v>
      </c>
      <c r="W71" s="15">
        <v>-7.4999999999999997E-2</v>
      </c>
      <c r="X71" s="15">
        <v>0.45</v>
      </c>
      <c r="Y71" s="15">
        <v>0.16500000000000001</v>
      </c>
      <c r="Z71" s="15">
        <v>0.39</v>
      </c>
      <c r="AA71" s="15">
        <v>0.39400000000000002</v>
      </c>
      <c r="AB71" s="15">
        <v>0.755</v>
      </c>
      <c r="AC71" s="15">
        <v>0.77500000000000002</v>
      </c>
      <c r="AD71" s="15">
        <v>0.66100000000000003</v>
      </c>
      <c r="AE71" s="14">
        <v>-0.246</v>
      </c>
      <c r="AF71" s="15">
        <v>-0.112</v>
      </c>
      <c r="AG71" s="15">
        <v>0.11600000000000001</v>
      </c>
      <c r="AH71" s="15">
        <v>-0.91600000000000004</v>
      </c>
      <c r="AI71" s="15">
        <v>-0.57499999999999996</v>
      </c>
      <c r="AJ71" s="16">
        <v>-0.57999999999999996</v>
      </c>
      <c r="AK71" s="4">
        <v>-0.23100000000000001</v>
      </c>
      <c r="AL71" s="4">
        <v>9.4E-2</v>
      </c>
      <c r="AM71" s="4">
        <v>-0.9</v>
      </c>
      <c r="AN71" s="4">
        <v>-0.16500000000000001</v>
      </c>
      <c r="AO71" s="4">
        <v>0.49</v>
      </c>
      <c r="AP71" s="4">
        <v>0.34300000000000003</v>
      </c>
      <c r="AQ71" s="4">
        <v>5.1999999999999998E-2</v>
      </c>
      <c r="AR71" s="4">
        <v>0.30499999999999999</v>
      </c>
      <c r="AS71" s="4">
        <v>9.9000000000000005E-2</v>
      </c>
      <c r="AT71" s="4">
        <v>0.21199999999999999</v>
      </c>
      <c r="AU71" s="4">
        <v>0.156</v>
      </c>
      <c r="AV71" s="4">
        <v>5.0999999999999997E-2</v>
      </c>
      <c r="AW71" s="4">
        <v>0.81699999999999995</v>
      </c>
      <c r="AX71" s="4">
        <v>-0.15</v>
      </c>
      <c r="AY71" s="4">
        <v>0.85699999999999998</v>
      </c>
      <c r="AZ71" s="4">
        <v>-0.66600000000000004</v>
      </c>
      <c r="BA71" s="4">
        <v>-0.157</v>
      </c>
      <c r="BB71" s="4">
        <v>-0.17799999999999999</v>
      </c>
      <c r="BC71" s="4">
        <v>-0.03</v>
      </c>
      <c r="BD71" s="4">
        <v>-0.89400000000000002</v>
      </c>
      <c r="BE71" s="4">
        <v>-0.27200000000000002</v>
      </c>
      <c r="BF71" s="4">
        <v>0.72599999999999998</v>
      </c>
      <c r="BG71" s="4">
        <v>0.84899999999999998</v>
      </c>
      <c r="BH71" s="4">
        <v>-0.63</v>
      </c>
      <c r="BI71" s="4">
        <v>-0.379</v>
      </c>
      <c r="BJ71" s="4">
        <v>0.22700000000000001</v>
      </c>
      <c r="BK71" s="4">
        <v>-0.496</v>
      </c>
      <c r="BL71" s="4"/>
      <c r="BM71" s="4">
        <f t="shared" si="11"/>
        <v>0.22232499999999999</v>
      </c>
    </row>
    <row r="72" spans="1:65" x14ac:dyDescent="0.3">
      <c r="A72" t="s">
        <v>123</v>
      </c>
      <c r="B72" s="53">
        <v>1.4999999999999999E-2</v>
      </c>
      <c r="C72" s="53">
        <f t="shared" si="5"/>
        <v>4.9999999999999992E-3</v>
      </c>
      <c r="D72" s="53">
        <f t="shared" si="6"/>
        <v>-5.000000000000001E-3</v>
      </c>
      <c r="E72" s="53">
        <f t="shared" si="7"/>
        <v>0.01</v>
      </c>
      <c r="F72" s="15">
        <v>1.306</v>
      </c>
      <c r="G72" s="4">
        <v>2.2490000000000001</v>
      </c>
      <c r="H72" t="s">
        <v>55</v>
      </c>
      <c r="I72" t="str">
        <f>VLOOKUP(A72,Setores!$A$2:$C$215,2,0)</f>
        <v>telecom</v>
      </c>
      <c r="J72" t="str">
        <f>VLOOKUP(A72,Setores!$A$2:$C$215,3,0)</f>
        <v>very_low_beta</v>
      </c>
      <c r="K72" s="92">
        <v>0.02</v>
      </c>
      <c r="L72" s="42">
        <v>0.01</v>
      </c>
      <c r="M72" s="92">
        <f>VLOOKUP(A72,'Mandato Ibov'!$B$1:$C$215,2,0)</f>
        <v>1.5823875519093901E-2</v>
      </c>
      <c r="N72" s="58">
        <f t="shared" si="8"/>
        <v>4.1761244809060995E-3</v>
      </c>
      <c r="O72" s="42">
        <f t="shared" si="9"/>
        <v>-8.238755190939015E-4</v>
      </c>
      <c r="P72" s="95">
        <f>VLOOKUP(A72,'Mandato Ibov'!$B$2:$D$215,3,0)</f>
        <v>0</v>
      </c>
      <c r="Q72" s="42">
        <f t="shared" si="10"/>
        <v>0.02</v>
      </c>
      <c r="R72" s="15">
        <v>-0.36099999999999999</v>
      </c>
      <c r="S72" s="15">
        <v>-0.57299999999999995</v>
      </c>
      <c r="T72" s="15">
        <v>-0.79</v>
      </c>
      <c r="U72" s="15">
        <v>-5.5E-2</v>
      </c>
      <c r="V72" s="15">
        <v>-0.57699999999999996</v>
      </c>
      <c r="W72" s="15">
        <v>0.112</v>
      </c>
      <c r="X72" s="15">
        <v>0.38</v>
      </c>
      <c r="Y72" s="15">
        <v>-0.19400000000000001</v>
      </c>
      <c r="Z72" s="15">
        <v>0.60099999999999998</v>
      </c>
      <c r="AA72" s="15">
        <v>0.59699999999999998</v>
      </c>
      <c r="AB72" s="15">
        <v>0.77</v>
      </c>
      <c r="AC72" s="15">
        <v>0.83499999999999996</v>
      </c>
      <c r="AD72" s="15">
        <v>0.68700000000000006</v>
      </c>
      <c r="AE72" s="14">
        <v>6.0999999999999999E-2</v>
      </c>
      <c r="AF72" s="15">
        <v>-0.311</v>
      </c>
      <c r="AG72" s="15">
        <v>-0.376</v>
      </c>
      <c r="AH72" s="15">
        <v>-0.996</v>
      </c>
      <c r="AI72" s="15">
        <v>-0.84199999999999997</v>
      </c>
      <c r="AJ72" s="16">
        <v>-0.74399999999999999</v>
      </c>
      <c r="AK72" s="4">
        <v>-0.20799999999999999</v>
      </c>
      <c r="AL72" s="4">
        <v>-0.38400000000000001</v>
      </c>
      <c r="AM72" s="4">
        <v>-0.52500000000000002</v>
      </c>
      <c r="AN72" s="4">
        <v>-0.54</v>
      </c>
      <c r="AO72" s="4">
        <v>0.13400000000000001</v>
      </c>
      <c r="AP72" s="4">
        <v>-0.14699999999999999</v>
      </c>
      <c r="AQ72" s="4">
        <v>0.32900000000000001</v>
      </c>
      <c r="AR72" s="4">
        <v>0.34899999999999998</v>
      </c>
      <c r="AS72" s="4">
        <v>0.379</v>
      </c>
      <c r="AT72" s="4">
        <v>0.13500000000000001</v>
      </c>
      <c r="AU72" s="4">
        <v>0.03</v>
      </c>
      <c r="AV72" s="4">
        <v>0.77100000000000002</v>
      </c>
      <c r="AW72" s="4">
        <v>0.83699999999999997</v>
      </c>
      <c r="AX72" s="4">
        <v>-0.11</v>
      </c>
      <c r="AY72" s="4">
        <v>0.99399999999999999</v>
      </c>
      <c r="AZ72" s="4">
        <v>0.40600000000000003</v>
      </c>
      <c r="BA72" s="4">
        <v>0.72399999999999998</v>
      </c>
      <c r="BB72" s="4">
        <v>4.2000000000000003E-2</v>
      </c>
      <c r="BC72" s="4">
        <v>-3.5999999999999997E-2</v>
      </c>
      <c r="BD72" s="4">
        <v>0.54400000000000004</v>
      </c>
      <c r="BE72" s="4">
        <v>-3.5999999999999997E-2</v>
      </c>
      <c r="BF72" s="4">
        <v>0.59299999999999997</v>
      </c>
      <c r="BG72" s="4">
        <v>0.64300000000000002</v>
      </c>
      <c r="BH72" s="4">
        <v>-0.63800000000000001</v>
      </c>
      <c r="BI72" s="4">
        <v>-0.375</v>
      </c>
      <c r="BJ72" s="4">
        <v>6.9000000000000006E-2</v>
      </c>
      <c r="BK72" s="4">
        <v>-0.79800000000000004</v>
      </c>
      <c r="BL72" s="4"/>
      <c r="BM72" s="4">
        <f t="shared" si="11"/>
        <v>0.22687499999999999</v>
      </c>
    </row>
    <row r="73" spans="1:65" x14ac:dyDescent="0.3">
      <c r="A73" t="s">
        <v>63</v>
      </c>
      <c r="B73" s="53">
        <v>0.01</v>
      </c>
      <c r="C73" s="53">
        <f t="shared" ref="C73:C136" si="13">B73-E73</f>
        <v>0.01</v>
      </c>
      <c r="D73" s="53">
        <f t="shared" ref="D73:D136" si="14">B73-K73</f>
        <v>-2.9999999999999992E-3</v>
      </c>
      <c r="E73" s="53">
        <f t="shared" ref="E73:E136" si="15">K73-L73</f>
        <v>0</v>
      </c>
      <c r="F73" s="15">
        <v>1.2529999999999999</v>
      </c>
      <c r="G73" s="4">
        <v>1.4930000000000001</v>
      </c>
      <c r="H73" t="s">
        <v>57</v>
      </c>
      <c r="I73" t="str">
        <f>VLOOKUP(A73,Setores!$A$2:$C$215,2,0)</f>
        <v>apparel</v>
      </c>
      <c r="J73" t="str">
        <f>VLOOKUP(A73,Setores!$A$2:$C$215,3,0)</f>
        <v>low_beta</v>
      </c>
      <c r="K73" s="92">
        <v>1.2999999999999999E-2</v>
      </c>
      <c r="L73" s="42">
        <v>1.2999999999999999E-2</v>
      </c>
      <c r="M73" s="92">
        <f>VLOOKUP(A73,'Mandato Ibov'!$B$1:$C$215,2,0)</f>
        <v>5.9259027203233802E-3</v>
      </c>
      <c r="N73" s="58">
        <f t="shared" ref="N73:N136" si="16">K73-M73</f>
        <v>7.0740972796766192E-3</v>
      </c>
      <c r="O73" s="42">
        <f t="shared" ref="O73:O136" si="17">B73-M73</f>
        <v>4.07409727967662E-3</v>
      </c>
      <c r="P73" s="95">
        <f>VLOOKUP(A73,'Mandato Ibov'!$B$2:$D$215,3,0)</f>
        <v>0</v>
      </c>
      <c r="Q73" s="42">
        <f t="shared" ref="Q73:Q136" si="18">K73-P73</f>
        <v>1.2999999999999999E-2</v>
      </c>
      <c r="R73" s="15">
        <v>-0.44600000000000001</v>
      </c>
      <c r="S73" s="15">
        <v>-0.81699999999999995</v>
      </c>
      <c r="T73" s="15">
        <v>-0.20100000000000001</v>
      </c>
      <c r="U73" s="15">
        <v>-0.23</v>
      </c>
      <c r="V73" s="15">
        <v>-0.438</v>
      </c>
      <c r="W73" s="15">
        <v>0.19800000000000001</v>
      </c>
      <c r="X73" s="15">
        <v>0.624</v>
      </c>
      <c r="Y73" s="15">
        <v>0.05</v>
      </c>
      <c r="Z73" s="15">
        <v>0.30499999999999999</v>
      </c>
      <c r="AA73" s="15">
        <v>0.308</v>
      </c>
      <c r="AB73" s="15">
        <v>0.63700000000000001</v>
      </c>
      <c r="AC73" s="15">
        <v>0.505</v>
      </c>
      <c r="AD73" s="15">
        <v>0.44</v>
      </c>
      <c r="AE73" s="14">
        <v>0.26800000000000002</v>
      </c>
      <c r="AF73" s="15">
        <v>7.0000000000000001E-3</v>
      </c>
      <c r="AG73" s="15">
        <v>-0.93300000000000005</v>
      </c>
      <c r="AH73" s="15">
        <v>-0.23100000000000001</v>
      </c>
      <c r="AI73" s="15">
        <v>-0.76600000000000001</v>
      </c>
      <c r="AJ73" s="16">
        <v>0.24299999999999999</v>
      </c>
      <c r="AK73" s="4">
        <v>-0.251</v>
      </c>
      <c r="AL73" s="4">
        <v>1</v>
      </c>
      <c r="AM73" s="4">
        <v>-0.74399999999999999</v>
      </c>
      <c r="AN73" s="4">
        <v>0.52700000000000002</v>
      </c>
      <c r="AO73" s="4">
        <v>-0.71099999999999997</v>
      </c>
      <c r="AP73" s="4">
        <v>-0.317</v>
      </c>
      <c r="AQ73" s="4">
        <v>0.151</v>
      </c>
      <c r="AR73" s="4">
        <v>-5.6000000000000001E-2</v>
      </c>
      <c r="AS73" s="4">
        <v>-0.5</v>
      </c>
      <c r="AT73" s="4">
        <v>0.67</v>
      </c>
      <c r="AU73" s="4">
        <v>0.114</v>
      </c>
      <c r="AV73" s="4">
        <v>-1.0999999999999999E-2</v>
      </c>
      <c r="AW73" s="4">
        <v>0.42199999999999999</v>
      </c>
      <c r="AX73" s="4">
        <v>3.1E-2</v>
      </c>
      <c r="AY73" s="4">
        <v>0.58299999999999996</v>
      </c>
      <c r="AZ73" s="4">
        <v>1</v>
      </c>
      <c r="BA73" s="4">
        <v>-0.193</v>
      </c>
      <c r="BB73" s="4">
        <v>-0.79900000000000004</v>
      </c>
      <c r="BC73" s="4">
        <v>-0.77700000000000002</v>
      </c>
      <c r="BD73" s="4">
        <v>-0.51900000000000002</v>
      </c>
      <c r="BE73" s="4">
        <v>6.4000000000000001E-2</v>
      </c>
      <c r="BF73" s="4">
        <v>0.23899999999999999</v>
      </c>
      <c r="BG73" s="4">
        <v>0.752</v>
      </c>
      <c r="BH73" s="4">
        <v>-0.60299999999999998</v>
      </c>
      <c r="BI73" s="4">
        <v>-0.17100000000000001</v>
      </c>
      <c r="BJ73" s="4">
        <v>0.20899999999999999</v>
      </c>
      <c r="BK73" s="4">
        <v>0.115</v>
      </c>
      <c r="BL73" s="4"/>
      <c r="BM73" s="4">
        <f t="shared" si="11"/>
        <v>4.6925000000000008E-2</v>
      </c>
    </row>
    <row r="74" spans="1:65" x14ac:dyDescent="0.3">
      <c r="A74" t="s">
        <v>76</v>
      </c>
      <c r="B74" s="53">
        <v>4.0000000000000001E-3</v>
      </c>
      <c r="C74" s="53">
        <f t="shared" si="13"/>
        <v>4.0000000000000001E-3</v>
      </c>
      <c r="D74" s="53">
        <f t="shared" si="14"/>
        <v>-1E-3</v>
      </c>
      <c r="E74" s="53">
        <f t="shared" si="15"/>
        <v>0</v>
      </c>
      <c r="F74" s="15">
        <v>1.2310000000000001</v>
      </c>
      <c r="G74" s="4">
        <v>0.89700000000000002</v>
      </c>
      <c r="H74" t="s">
        <v>57</v>
      </c>
      <c r="I74" t="str">
        <f>VLOOKUP(A74,Setores!$A$2:$C$215,2,0)</f>
        <v>homebuilders</v>
      </c>
      <c r="J74" t="str">
        <f>VLOOKUP(A74,Setores!$A$2:$C$215,3,0)</f>
        <v>very_high_beta</v>
      </c>
      <c r="K74" s="92">
        <v>5.0000000000000001E-3</v>
      </c>
      <c r="L74" s="42">
        <v>5.0000000000000001E-3</v>
      </c>
      <c r="M74" s="92">
        <f>VLOOKUP(A74,'Mandato Ibov'!$B$1:$C$215,2,0)</f>
        <v>5.8206888047700302E-3</v>
      </c>
      <c r="N74" s="58">
        <f t="shared" si="16"/>
        <v>-8.206888047700301E-4</v>
      </c>
      <c r="O74" s="42">
        <f t="shared" si="17"/>
        <v>-1.8206888047700301E-3</v>
      </c>
      <c r="P74" s="95">
        <f>VLOOKUP(A74,'Mandato Ibov'!$B$2:$D$215,3,0)</f>
        <v>0</v>
      </c>
      <c r="Q74" s="42">
        <f t="shared" si="18"/>
        <v>5.0000000000000001E-3</v>
      </c>
      <c r="R74" s="15">
        <v>5.5E-2</v>
      </c>
      <c r="S74" s="15">
        <v>-0.45700000000000002</v>
      </c>
      <c r="T74" s="15">
        <v>0.45700000000000002</v>
      </c>
      <c r="U74" s="15">
        <v>-0.217</v>
      </c>
      <c r="V74" s="15">
        <v>-6.5000000000000002E-2</v>
      </c>
      <c r="W74" s="15">
        <v>-6.4000000000000001E-2</v>
      </c>
      <c r="X74" s="15">
        <v>-3.1E-2</v>
      </c>
      <c r="Y74" s="15">
        <v>-0.34899999999999998</v>
      </c>
      <c r="Z74" s="15">
        <v>4.2999999999999997E-2</v>
      </c>
      <c r="AA74" s="15">
        <v>4.1000000000000002E-2</v>
      </c>
      <c r="AB74" s="15">
        <v>0.79600000000000004</v>
      </c>
      <c r="AC74" s="15">
        <v>0.58199999999999996</v>
      </c>
      <c r="AD74" s="15">
        <v>0.52400000000000002</v>
      </c>
      <c r="AE74" s="14">
        <v>-9.2999999999999999E-2</v>
      </c>
      <c r="AF74" s="15">
        <v>0.84799999999999998</v>
      </c>
      <c r="AG74" s="15">
        <v>-0.68799999999999994</v>
      </c>
      <c r="AH74" s="15">
        <v>0.66100000000000003</v>
      </c>
      <c r="AI74" s="15">
        <v>-0.27200000000000002</v>
      </c>
      <c r="AJ74" s="16">
        <v>0.29799999999999999</v>
      </c>
      <c r="AK74" s="4">
        <v>-2.8000000000000001E-2</v>
      </c>
      <c r="AL74" s="4">
        <v>0.30199999999999999</v>
      </c>
      <c r="AM74" s="4">
        <v>-0.20599999999999999</v>
      </c>
      <c r="AN74" s="4">
        <v>0.70399999999999996</v>
      </c>
      <c r="AO74" s="4">
        <v>-0.47099999999999997</v>
      </c>
      <c r="AP74" s="4">
        <v>-1</v>
      </c>
      <c r="AQ74" s="4">
        <v>0.42799999999999999</v>
      </c>
      <c r="AR74" s="4">
        <v>-1.7000000000000001E-2</v>
      </c>
      <c r="AS74" s="4">
        <v>-0.37</v>
      </c>
      <c r="AT74" s="4">
        <v>-1.2E-2</v>
      </c>
      <c r="AU74" s="4">
        <v>-9.8000000000000004E-2</v>
      </c>
      <c r="AV74" s="4">
        <v>-0.28199999999999997</v>
      </c>
      <c r="AW74" s="4">
        <v>-0.32500000000000001</v>
      </c>
      <c r="AX74" s="4">
        <v>5.2999999999999999E-2</v>
      </c>
      <c r="AY74" s="4">
        <v>0.63</v>
      </c>
      <c r="AZ74" s="4">
        <v>0.254</v>
      </c>
      <c r="BA74" s="4">
        <v>0.66600000000000004</v>
      </c>
      <c r="BB74" s="4">
        <v>4.7E-2</v>
      </c>
      <c r="BC74" s="4">
        <v>-0.106</v>
      </c>
      <c r="BD74" s="4">
        <v>0.245</v>
      </c>
      <c r="BE74" s="4">
        <v>1</v>
      </c>
      <c r="BF74" s="4">
        <v>0.47299999999999998</v>
      </c>
      <c r="BG74" s="4">
        <v>0.32300000000000001</v>
      </c>
      <c r="BH74" s="4">
        <v>-0.38200000000000001</v>
      </c>
      <c r="BI74" s="4">
        <v>0.71399999999999997</v>
      </c>
      <c r="BJ74" s="4">
        <v>0.79700000000000004</v>
      </c>
      <c r="BK74" s="4">
        <v>0.52500000000000002</v>
      </c>
      <c r="BL74" s="4"/>
      <c r="BM74" s="4">
        <f t="shared" ref="BM74:BM137" si="19">10%*AK74+5%*AL74+2.5%*AM74+2.5%*AN74+10%*AO74+10%*AP74+10%*AQ74+5%*AR74+5%*AS74+10%*AT74+5%*AU74+5%*AY74+10%*AV74+10%*AW74</f>
        <v>-0.13420000000000004</v>
      </c>
    </row>
    <row r="75" spans="1:65" x14ac:dyDescent="0.3">
      <c r="A75" t="s">
        <v>166</v>
      </c>
      <c r="B75" s="53">
        <f>K75</f>
        <v>1.7999999999999999E-2</v>
      </c>
      <c r="C75" s="53">
        <f t="shared" si="13"/>
        <v>1.7999999999999999E-2</v>
      </c>
      <c r="D75" s="53">
        <f t="shared" si="14"/>
        <v>0</v>
      </c>
      <c r="E75" s="53">
        <f t="shared" si="15"/>
        <v>0</v>
      </c>
      <c r="F75" s="15">
        <v>1.228</v>
      </c>
      <c r="G75" s="4">
        <v>1.286</v>
      </c>
      <c r="H75" t="s">
        <v>55</v>
      </c>
      <c r="I75" t="str">
        <f>VLOOKUP(A75,Setores!$A$2:$C$215,2,0)</f>
        <v>utilities</v>
      </c>
      <c r="J75" t="str">
        <f>VLOOKUP(A75,Setores!$A$2:$C$215,3,0)</f>
        <v>very_low_beta</v>
      </c>
      <c r="K75" s="92">
        <v>1.7999999999999999E-2</v>
      </c>
      <c r="L75" s="42">
        <v>1.7999999999999999E-2</v>
      </c>
      <c r="M75" s="92">
        <f>VLOOKUP(A75,'Mandato Ibov'!$B$1:$C$215,2,0)</f>
        <v>5.8052099528144397E-3</v>
      </c>
      <c r="N75" s="58">
        <f t="shared" si="16"/>
        <v>1.2194790047185558E-2</v>
      </c>
      <c r="O75" s="42">
        <f t="shared" si="17"/>
        <v>1.2194790047185558E-2</v>
      </c>
      <c r="P75" s="95">
        <f>VLOOKUP(A75,'Mandato Ibov'!$B$2:$D$215,3,0)</f>
        <v>8.4555686250271204E-3</v>
      </c>
      <c r="Q75" s="42">
        <f t="shared" si="18"/>
        <v>9.5444313749728782E-3</v>
      </c>
      <c r="R75" s="15">
        <v>-0.68600000000000005</v>
      </c>
      <c r="S75" s="15">
        <v>-0.32100000000000001</v>
      </c>
      <c r="T75" s="15">
        <v>-0.82399999999999995</v>
      </c>
      <c r="U75" s="15">
        <v>-0.503</v>
      </c>
      <c r="V75" s="15">
        <v>-0.56200000000000006</v>
      </c>
      <c r="W75" s="15">
        <v>-0.26100000000000001</v>
      </c>
      <c r="X75" s="15">
        <v>-0.107</v>
      </c>
      <c r="Y75" s="15">
        <v>0.217</v>
      </c>
      <c r="Z75" s="15">
        <v>0.61</v>
      </c>
      <c r="AA75" s="15">
        <v>0.61399999999999999</v>
      </c>
      <c r="AB75" s="15">
        <v>0.65300000000000002</v>
      </c>
      <c r="AC75" s="15">
        <v>0.748</v>
      </c>
      <c r="AD75" s="15">
        <v>0.72099999999999997</v>
      </c>
      <c r="AE75" s="14">
        <v>-0.83</v>
      </c>
      <c r="AF75" s="15">
        <v>-0.77</v>
      </c>
      <c r="AG75" s="15">
        <v>0.54100000000000004</v>
      </c>
      <c r="AH75" s="15">
        <v>-0.91100000000000003</v>
      </c>
      <c r="AI75" s="15">
        <v>-0.38500000000000001</v>
      </c>
      <c r="AJ75" s="16">
        <v>-0.96199999999999997</v>
      </c>
      <c r="AK75" s="4">
        <v>-0.32400000000000001</v>
      </c>
      <c r="AL75" s="4">
        <v>0.185</v>
      </c>
      <c r="AM75" s="4">
        <v>-0.52200000000000002</v>
      </c>
      <c r="AN75" s="4">
        <v>-0.58899999999999997</v>
      </c>
      <c r="AO75" s="4">
        <v>0.52400000000000002</v>
      </c>
      <c r="AP75" s="4">
        <v>0.99199999999999999</v>
      </c>
      <c r="AQ75" s="4">
        <v>-0.23799999999999999</v>
      </c>
      <c r="AR75" s="4">
        <v>0.187</v>
      </c>
      <c r="AS75" s="4">
        <v>-0.246</v>
      </c>
      <c r="AT75" s="4">
        <v>0.2</v>
      </c>
      <c r="AU75" s="4">
        <v>-0.33100000000000002</v>
      </c>
      <c r="AV75" s="4">
        <v>-0.54600000000000004</v>
      </c>
      <c r="AW75" s="4">
        <v>0.58799999999999997</v>
      </c>
      <c r="AX75" s="4">
        <v>-0.59699999999999998</v>
      </c>
      <c r="AY75" s="4">
        <v>0.85299999999999998</v>
      </c>
      <c r="AZ75" s="4">
        <v>0.56599999999999995</v>
      </c>
      <c r="BA75" s="4">
        <v>0.10299999999999999</v>
      </c>
      <c r="BB75" s="4">
        <v>-0.432</v>
      </c>
      <c r="BC75" s="4">
        <v>-0.66500000000000004</v>
      </c>
      <c r="BD75" s="4">
        <v>0.23499999999999999</v>
      </c>
      <c r="BE75" s="4">
        <v>3.1E-2</v>
      </c>
      <c r="BF75" s="4">
        <v>-0.13400000000000001</v>
      </c>
      <c r="BG75" s="4">
        <v>0.54</v>
      </c>
      <c r="BH75" s="4">
        <v>-0.53200000000000003</v>
      </c>
      <c r="BI75" s="4">
        <v>-0.40899999999999997</v>
      </c>
      <c r="BJ75" s="4">
        <v>0.95199999999999996</v>
      </c>
      <c r="BK75" s="4">
        <v>-0.378</v>
      </c>
      <c r="BL75" s="4"/>
      <c r="BM75" s="4">
        <f t="shared" si="19"/>
        <v>0.12422499999999997</v>
      </c>
    </row>
    <row r="76" spans="1:65" x14ac:dyDescent="0.3">
      <c r="A76" t="s">
        <v>110</v>
      </c>
      <c r="B76" s="53">
        <v>2.5000000000000001E-2</v>
      </c>
      <c r="C76" s="53">
        <f t="shared" si="13"/>
        <v>2.5000000000000001E-2</v>
      </c>
      <c r="D76" s="53">
        <f t="shared" si="14"/>
        <v>2.0000000000000018E-3</v>
      </c>
      <c r="E76" s="53">
        <f t="shared" si="15"/>
        <v>0</v>
      </c>
      <c r="F76" s="15">
        <v>1.1910000000000001</v>
      </c>
      <c r="G76" s="4">
        <v>1.6180000000000001</v>
      </c>
      <c r="H76" t="s">
        <v>57</v>
      </c>
      <c r="I76" t="str">
        <f>VLOOKUP(A76,Setores!$A$2:$C$215,2,0)</f>
        <v>banks</v>
      </c>
      <c r="J76" t="str">
        <f>VLOOKUP(A76,Setores!$A$2:$C$215,3,0)</f>
        <v>low_beta</v>
      </c>
      <c r="K76" s="92">
        <v>2.3E-2</v>
      </c>
      <c r="L76" s="42">
        <v>2.3E-2</v>
      </c>
      <c r="M76" s="92">
        <f>VLOOKUP(A76,'Mandato Ibov'!$B$1:$C$215,2,0)</f>
        <v>5.6328167415824202E-3</v>
      </c>
      <c r="N76" s="58">
        <f t="shared" si="16"/>
        <v>1.736718325841758E-2</v>
      </c>
      <c r="O76" s="42">
        <f t="shared" si="17"/>
        <v>1.9367183258417582E-2</v>
      </c>
      <c r="P76" s="95">
        <f>VLOOKUP(A76,'Mandato Ibov'!$B$2:$D$215,3,0)</f>
        <v>7.7314623861190401E-3</v>
      </c>
      <c r="Q76" s="42">
        <f t="shared" si="18"/>
        <v>1.5268537613880959E-2</v>
      </c>
      <c r="R76" s="15">
        <v>-0.748</v>
      </c>
      <c r="S76" s="15">
        <v>-0.55700000000000005</v>
      </c>
      <c r="T76" s="15">
        <v>-0.86899999999999999</v>
      </c>
      <c r="U76" s="15">
        <v>-0.34499999999999997</v>
      </c>
      <c r="V76" s="15">
        <v>-0.56499999999999995</v>
      </c>
      <c r="W76" s="15">
        <v>-0.28499999999999998</v>
      </c>
      <c r="X76" s="15">
        <v>-3.1E-2</v>
      </c>
      <c r="Y76" s="15">
        <v>0.20699999999999999</v>
      </c>
      <c r="Z76" s="15">
        <v>0.61599999999999999</v>
      </c>
      <c r="AA76" s="15">
        <v>0.61499999999999999</v>
      </c>
      <c r="AB76" s="15">
        <v>0.76300000000000001</v>
      </c>
      <c r="AC76" s="15">
        <v>0.78100000000000003</v>
      </c>
      <c r="AD76" s="15">
        <v>0.69499999999999995</v>
      </c>
      <c r="AE76" s="14">
        <v>-0.58399999999999996</v>
      </c>
      <c r="AF76" s="15">
        <v>9.6000000000000002E-2</v>
      </c>
      <c r="AG76" s="15">
        <v>0.36</v>
      </c>
      <c r="AH76" s="15">
        <v>-0.94799999999999995</v>
      </c>
      <c r="AI76" s="15">
        <v>-0.74399999999999999</v>
      </c>
      <c r="AJ76" s="16">
        <v>-0.96099999999999997</v>
      </c>
      <c r="AK76" s="4">
        <v>-0.247</v>
      </c>
      <c r="AL76" s="4">
        <v>0.13500000000000001</v>
      </c>
      <c r="AM76" s="4">
        <v>-0.55700000000000005</v>
      </c>
      <c r="AN76" s="4">
        <v>-0.193</v>
      </c>
      <c r="AO76" s="4">
        <v>0.56699999999999995</v>
      </c>
      <c r="AP76" s="4">
        <v>7.3999999999999996E-2</v>
      </c>
      <c r="AQ76" s="4">
        <v>0.23400000000000001</v>
      </c>
      <c r="AR76" s="4">
        <v>0.26900000000000002</v>
      </c>
      <c r="AS76" s="4">
        <v>-0.112</v>
      </c>
      <c r="AT76" s="4">
        <v>-8.1000000000000003E-2</v>
      </c>
      <c r="AU76" s="4">
        <v>-0.222</v>
      </c>
      <c r="AV76" s="4">
        <v>-0.20899999999999999</v>
      </c>
      <c r="AW76" s="4">
        <v>0.47399999999999998</v>
      </c>
      <c r="AX76" s="4">
        <v>-0.45300000000000001</v>
      </c>
      <c r="AY76" s="4">
        <v>0.16200000000000001</v>
      </c>
      <c r="AZ76" s="4">
        <v>0.61199999999999999</v>
      </c>
      <c r="BA76" s="4">
        <v>-0.46200000000000002</v>
      </c>
      <c r="BB76" s="4">
        <v>-0.34100000000000003</v>
      </c>
      <c r="BC76" s="4">
        <v>-0.317</v>
      </c>
      <c r="BD76" s="4">
        <v>-0.82699999999999996</v>
      </c>
      <c r="BE76" s="4">
        <v>-9.1999999999999998E-2</v>
      </c>
      <c r="BF76" s="4">
        <v>-3.5999999999999997E-2</v>
      </c>
      <c r="BG76" s="4">
        <v>0.82</v>
      </c>
      <c r="BH76" s="4">
        <v>-0.82899999999999996</v>
      </c>
      <c r="BI76" s="4">
        <v>-0.22900000000000001</v>
      </c>
      <c r="BJ76" s="4">
        <v>0.34300000000000003</v>
      </c>
      <c r="BK76" s="4">
        <v>-0.93899999999999995</v>
      </c>
      <c r="BL76" s="4"/>
      <c r="BM76" s="4">
        <f t="shared" si="19"/>
        <v>7.4050000000000005E-2</v>
      </c>
    </row>
    <row r="77" spans="1:65" x14ac:dyDescent="0.3">
      <c r="A77" t="s">
        <v>598</v>
      </c>
      <c r="B77" s="53">
        <v>0.01</v>
      </c>
      <c r="C77" s="53">
        <f t="shared" si="13"/>
        <v>0.01</v>
      </c>
      <c r="D77" s="53">
        <f t="shared" si="14"/>
        <v>-2E-3</v>
      </c>
      <c r="E77" s="53">
        <f t="shared" si="15"/>
        <v>0</v>
      </c>
      <c r="F77" s="15">
        <v>1.1519999999999999</v>
      </c>
      <c r="G77" s="4">
        <v>1.03</v>
      </c>
      <c r="H77" t="s">
        <v>53</v>
      </c>
      <c r="I77" t="str">
        <f>VLOOKUP(A77,Setores!$A$2:$C$215,2,0)</f>
        <v>healthcare</v>
      </c>
      <c r="J77" t="str">
        <f>VLOOKUP(A77,Setores!$A$2:$C$215,3,0)</f>
        <v>low_beta</v>
      </c>
      <c r="K77" s="92">
        <v>1.2E-2</v>
      </c>
      <c r="L77" s="42">
        <v>1.2E-2</v>
      </c>
      <c r="M77" s="92">
        <f>VLOOKUP(A77,'Mandato Ibov'!$B$1:$C$215,2,0)</f>
        <v>5.4466529801277296E-3</v>
      </c>
      <c r="N77" s="58">
        <f t="shared" si="16"/>
        <v>6.5533470198722707E-3</v>
      </c>
      <c r="O77" s="42">
        <f t="shared" si="17"/>
        <v>4.5533470198722706E-3</v>
      </c>
      <c r="P77" s="95">
        <f>VLOOKUP(A77,'Mandato Ibov'!$B$2:$D$215,3,0)</f>
        <v>8.0269653214029395E-3</v>
      </c>
      <c r="Q77" s="42">
        <f t="shared" si="18"/>
        <v>3.9730346785970608E-3</v>
      </c>
      <c r="R77" s="15">
        <v>-0.45</v>
      </c>
      <c r="S77" s="15">
        <v>-0.51100000000000001</v>
      </c>
      <c r="T77" s="15">
        <v>-0.71599999999999997</v>
      </c>
      <c r="U77" s="15">
        <v>-0.20599999999999999</v>
      </c>
      <c r="V77" s="15">
        <v>-0.52700000000000002</v>
      </c>
      <c r="W77" s="15">
        <v>-0.13600000000000001</v>
      </c>
      <c r="X77" s="15">
        <v>6.5000000000000002E-2</v>
      </c>
      <c r="Y77" s="15">
        <v>3.7999999999999999E-2</v>
      </c>
      <c r="Z77" s="15">
        <v>0.29699999999999999</v>
      </c>
      <c r="AA77" s="15">
        <v>0.29799999999999999</v>
      </c>
      <c r="AB77" s="15">
        <v>0.59099999999999997</v>
      </c>
      <c r="AC77" s="15">
        <v>0.66100000000000003</v>
      </c>
      <c r="AD77" s="15">
        <v>0.626</v>
      </c>
      <c r="AE77" s="14">
        <v>-3.3000000000000002E-2</v>
      </c>
      <c r="AF77" s="15">
        <v>-0.84499999999999997</v>
      </c>
      <c r="AG77" s="15">
        <v>-0.31900000000000001</v>
      </c>
      <c r="AH77" s="15">
        <v>-0.98699999999999999</v>
      </c>
      <c r="AI77" s="15">
        <v>-0.49099999999999999</v>
      </c>
      <c r="AJ77" s="16">
        <v>-0.441</v>
      </c>
      <c r="AK77" s="4">
        <v>-0.50700000000000001</v>
      </c>
      <c r="AL77" s="4">
        <v>-0.122</v>
      </c>
      <c r="AM77" s="4">
        <v>-0.94599999999999995</v>
      </c>
      <c r="AN77" s="4">
        <v>-0.94799999999999995</v>
      </c>
      <c r="AO77" s="4">
        <v>0.35499999999999998</v>
      </c>
      <c r="AP77" s="4">
        <v>0.98599999999999999</v>
      </c>
      <c r="AQ77" s="4">
        <v>-9.6000000000000002E-2</v>
      </c>
      <c r="AR77" s="4">
        <v>0.187</v>
      </c>
      <c r="AS77" s="4">
        <v>-0.7</v>
      </c>
      <c r="AT77" s="4">
        <v>0.96</v>
      </c>
      <c r="AU77" s="4">
        <v>-3.9E-2</v>
      </c>
      <c r="AV77" s="4">
        <v>0.90800000000000003</v>
      </c>
      <c r="AW77" s="4">
        <v>0.73199999999999998</v>
      </c>
      <c r="AX77" s="4">
        <v>0.66600000000000004</v>
      </c>
      <c r="AY77" s="4">
        <v>0.64700000000000002</v>
      </c>
      <c r="AZ77" s="4">
        <v>0.41399999999999998</v>
      </c>
      <c r="BA77" s="4">
        <v>0.999</v>
      </c>
      <c r="BB77" s="4">
        <v>0.224</v>
      </c>
      <c r="BC77" s="4">
        <v>9.4E-2</v>
      </c>
      <c r="BD77" s="4">
        <v>-0.876</v>
      </c>
      <c r="BE77" s="4">
        <v>-4.7E-2</v>
      </c>
      <c r="BF77" s="4">
        <v>-0.38600000000000001</v>
      </c>
      <c r="BG77" s="4">
        <v>0.19400000000000001</v>
      </c>
      <c r="BH77" s="4">
        <v>-0.47499999999999998</v>
      </c>
      <c r="BI77" s="4">
        <v>-0.19900000000000001</v>
      </c>
      <c r="BJ77" s="4">
        <v>0.114</v>
      </c>
      <c r="BK77" s="4">
        <v>-0.73699999999999999</v>
      </c>
      <c r="BL77" s="4"/>
      <c r="BM77" s="4">
        <f t="shared" si="19"/>
        <v>0.28510000000000002</v>
      </c>
    </row>
    <row r="78" spans="1:65" x14ac:dyDescent="0.3">
      <c r="A78" t="s">
        <v>160</v>
      </c>
      <c r="B78" s="53">
        <v>0</v>
      </c>
      <c r="C78" s="53">
        <f t="shared" si="13"/>
        <v>0</v>
      </c>
      <c r="D78" s="53">
        <f t="shared" si="14"/>
        <v>-8.9999999999999993E-3</v>
      </c>
      <c r="E78" s="53">
        <f t="shared" si="15"/>
        <v>0</v>
      </c>
      <c r="F78" s="15">
        <v>1.151</v>
      </c>
      <c r="G78" s="4">
        <v>0.86099999999999999</v>
      </c>
      <c r="H78" t="s">
        <v>57</v>
      </c>
      <c r="I78" t="str">
        <f>VLOOKUP(A78,Setores!$A$2:$C$215,2,0)</f>
        <v>financial_services</v>
      </c>
      <c r="J78" t="str">
        <f>VLOOKUP(A78,Setores!$A$2:$C$215,3,0)</f>
        <v>neutral_beta</v>
      </c>
      <c r="K78" s="92">
        <v>8.9999999999999993E-3</v>
      </c>
      <c r="L78" s="42">
        <v>8.9999999999999993E-3</v>
      </c>
      <c r="M78" s="92">
        <f>VLOOKUP(A78,'Mandato Ibov'!$B$1:$C$215,2,0)</f>
        <v>5.4418808891014301E-3</v>
      </c>
      <c r="N78" s="58">
        <f t="shared" si="16"/>
        <v>3.5581191108985692E-3</v>
      </c>
      <c r="O78" s="42">
        <f t="shared" si="17"/>
        <v>-5.4418808891014301E-3</v>
      </c>
      <c r="P78" s="95">
        <f>VLOOKUP(A78,'Mandato Ibov'!$B$2:$D$215,3,0)</f>
        <v>0</v>
      </c>
      <c r="Q78" s="42">
        <f t="shared" si="18"/>
        <v>8.9999999999999993E-3</v>
      </c>
      <c r="R78" s="15">
        <v>-0.11700000000000001</v>
      </c>
      <c r="S78" s="15">
        <v>-0.14199999999999999</v>
      </c>
      <c r="T78" s="15">
        <v>-0.17599999999999999</v>
      </c>
      <c r="U78" s="15">
        <v>-0.16500000000000001</v>
      </c>
      <c r="V78" s="15">
        <v>-0.17799999999999999</v>
      </c>
      <c r="W78" s="15">
        <v>-0.34399999999999997</v>
      </c>
      <c r="X78" s="15">
        <v>-0.32</v>
      </c>
      <c r="Y78" s="15">
        <v>-0.502</v>
      </c>
      <c r="Z78" s="15">
        <v>0.45300000000000001</v>
      </c>
      <c r="AA78" s="15">
        <v>0.45</v>
      </c>
      <c r="AB78" s="15">
        <v>0.81599999999999995</v>
      </c>
      <c r="AC78" s="15">
        <v>1</v>
      </c>
      <c r="AD78" s="15">
        <v>0.67200000000000004</v>
      </c>
      <c r="AE78" s="14">
        <v>-0.156</v>
      </c>
      <c r="AF78" s="15">
        <v>0.70199999999999996</v>
      </c>
      <c r="AG78" s="15">
        <v>-0.19900000000000001</v>
      </c>
      <c r="AH78" s="15">
        <v>-0.47799999999999998</v>
      </c>
      <c r="AI78" s="15">
        <v>-0.82599999999999996</v>
      </c>
      <c r="AJ78" s="16">
        <v>-0.55000000000000004</v>
      </c>
      <c r="AK78" s="4">
        <v>0.42899999999999999</v>
      </c>
      <c r="AL78" s="4">
        <v>-0.48399999999999999</v>
      </c>
      <c r="AM78" s="4">
        <v>-3.4000000000000002E-2</v>
      </c>
      <c r="AN78" s="4">
        <v>0.95299999999999996</v>
      </c>
      <c r="AO78" s="4">
        <v>-0.218</v>
      </c>
      <c r="AP78" s="4">
        <v>-6.3E-2</v>
      </c>
      <c r="AQ78" s="4">
        <v>5.6000000000000001E-2</v>
      </c>
      <c r="AR78" s="4">
        <v>0.26300000000000001</v>
      </c>
      <c r="AS78" s="4">
        <v>-7.2999999999999995E-2</v>
      </c>
      <c r="AT78" s="4">
        <v>0.17799999999999999</v>
      </c>
      <c r="AU78" s="4">
        <v>0.40799999999999997</v>
      </c>
      <c r="AV78" s="4">
        <v>-0.39200000000000002</v>
      </c>
      <c r="AW78" s="4">
        <v>4.2000000000000003E-2</v>
      </c>
      <c r="AX78" s="4">
        <v>-0.16500000000000001</v>
      </c>
      <c r="AY78" s="4">
        <v>8.8999999999999996E-2</v>
      </c>
      <c r="AZ78" s="4">
        <v>-1.4E-2</v>
      </c>
      <c r="BA78" s="4">
        <v>-0.02</v>
      </c>
      <c r="BB78" s="4">
        <v>-5.3999999999999999E-2</v>
      </c>
      <c r="BC78" s="4">
        <v>0.24399999999999999</v>
      </c>
      <c r="BD78" s="4">
        <v>0.33600000000000002</v>
      </c>
      <c r="BE78" s="4">
        <v>8.9999999999999993E-3</v>
      </c>
      <c r="BF78" s="4">
        <v>0.437</v>
      </c>
      <c r="BG78" s="4">
        <v>-0.24</v>
      </c>
      <c r="BH78" s="4">
        <v>0.27400000000000002</v>
      </c>
      <c r="BI78" s="4">
        <v>-0.16500000000000001</v>
      </c>
      <c r="BJ78" s="4">
        <v>0.99199999999999999</v>
      </c>
      <c r="BK78" s="4">
        <v>-0.11899999999999999</v>
      </c>
      <c r="BL78" s="4"/>
      <c r="BM78" s="4">
        <f t="shared" si="19"/>
        <v>3.6324999999999996E-2</v>
      </c>
    </row>
    <row r="79" spans="1:65" x14ac:dyDescent="0.3">
      <c r="A79" t="s">
        <v>150</v>
      </c>
      <c r="B79" s="53">
        <f t="shared" ref="B79:B88" si="20">K79</f>
        <v>0</v>
      </c>
      <c r="C79" s="53">
        <f t="shared" si="13"/>
        <v>0</v>
      </c>
      <c r="D79" s="53">
        <f t="shared" si="14"/>
        <v>0</v>
      </c>
      <c r="E79" s="53">
        <f t="shared" si="15"/>
        <v>0</v>
      </c>
      <c r="F79" s="15">
        <v>1.143</v>
      </c>
      <c r="G79" s="4">
        <v>0.97399999999999998</v>
      </c>
      <c r="H79" t="s">
        <v>53</v>
      </c>
      <c r="I79" t="str">
        <f>VLOOKUP(A79,Setores!$A$2:$C$215,2,0)</f>
        <v>healthcare</v>
      </c>
      <c r="J79" t="str">
        <f>VLOOKUP(A79,Setores!$A$2:$C$215,3,0)</f>
        <v>low_beta</v>
      </c>
      <c r="K79" s="92">
        <v>0</v>
      </c>
      <c r="L79" s="42">
        <v>0</v>
      </c>
      <c r="M79" s="92">
        <f>VLOOKUP(A79,'Mandato Ibov'!$B$1:$C$215,2,0)</f>
        <v>0</v>
      </c>
      <c r="N79" s="58">
        <f t="shared" si="16"/>
        <v>0</v>
      </c>
      <c r="O79" s="42">
        <f t="shared" si="17"/>
        <v>0</v>
      </c>
      <c r="P79" s="95">
        <f>VLOOKUP(A79,'Mandato Ibov'!$B$2:$D$215,3,0)</f>
        <v>0</v>
      </c>
      <c r="Q79" s="42">
        <f t="shared" si="18"/>
        <v>0</v>
      </c>
      <c r="R79" s="15">
        <v>-0.18099999999999999</v>
      </c>
      <c r="S79" s="15">
        <v>-3.6999999999999998E-2</v>
      </c>
      <c r="T79" s="15">
        <v>-0.18</v>
      </c>
      <c r="U79" s="15">
        <v>-0.503</v>
      </c>
      <c r="V79" s="15">
        <v>-0.35399999999999998</v>
      </c>
      <c r="W79" s="15">
        <v>-0.182</v>
      </c>
      <c r="X79" s="15">
        <v>-0.112</v>
      </c>
      <c r="Y79" s="15">
        <v>-0.28299999999999997</v>
      </c>
      <c r="Z79" s="15">
        <v>0.14499999999999999</v>
      </c>
      <c r="AA79" s="15">
        <v>0.14299999999999999</v>
      </c>
      <c r="AB79" s="15">
        <v>0.69799999999999995</v>
      </c>
      <c r="AC79" s="15">
        <v>0.59599999999999997</v>
      </c>
      <c r="AD79" s="15">
        <v>0.70099999999999996</v>
      </c>
      <c r="AE79" s="14">
        <v>-0.39900000000000002</v>
      </c>
      <c r="AF79" s="15">
        <v>-0.86699999999999999</v>
      </c>
      <c r="AG79" s="15">
        <v>-0.25700000000000001</v>
      </c>
      <c r="AH79" s="15">
        <v>-0.32700000000000001</v>
      </c>
      <c r="AI79" s="15">
        <v>0.317</v>
      </c>
      <c r="AJ79" s="16">
        <v>-0.17499999999999999</v>
      </c>
      <c r="AK79" s="4">
        <v>-0.218</v>
      </c>
      <c r="AL79" s="4">
        <v>-0.33</v>
      </c>
      <c r="AM79" s="4">
        <v>-0.46899999999999997</v>
      </c>
      <c r="AN79" s="4">
        <v>0.254</v>
      </c>
      <c r="AO79" s="4">
        <v>0.185</v>
      </c>
      <c r="AP79" s="4">
        <v>0.32900000000000001</v>
      </c>
      <c r="AQ79" s="4">
        <v>-0.26500000000000001</v>
      </c>
      <c r="AR79" s="4">
        <v>-0.32800000000000001</v>
      </c>
      <c r="AS79" s="4">
        <v>-0.30199999999999999</v>
      </c>
      <c r="AT79" s="4">
        <v>6.0999999999999999E-2</v>
      </c>
      <c r="AU79" s="4">
        <v>-0.14299999999999999</v>
      </c>
      <c r="AV79" s="4">
        <v>3.5000000000000003E-2</v>
      </c>
      <c r="AW79" s="4">
        <v>0.28799999999999998</v>
      </c>
      <c r="AX79" s="4">
        <v>0.254</v>
      </c>
      <c r="AY79" s="4">
        <v>0.81699999999999995</v>
      </c>
      <c r="AZ79" s="4">
        <v>0.78</v>
      </c>
      <c r="BA79" s="4">
        <v>0.60299999999999998</v>
      </c>
      <c r="BB79" s="4">
        <v>-7.3999999999999996E-2</v>
      </c>
      <c r="BC79" s="4">
        <v>-0.17100000000000001</v>
      </c>
      <c r="BD79" s="4">
        <v>0.21299999999999999</v>
      </c>
      <c r="BE79" s="4">
        <v>-0.33300000000000002</v>
      </c>
      <c r="BF79" s="4">
        <v>0.5</v>
      </c>
      <c r="BG79" s="4">
        <v>0.48599999999999999</v>
      </c>
      <c r="BH79" s="4">
        <v>0.26600000000000001</v>
      </c>
      <c r="BI79" s="4">
        <v>-0.153</v>
      </c>
      <c r="BJ79" s="4">
        <v>0.70699999999999996</v>
      </c>
      <c r="BK79" s="4">
        <v>0.35</v>
      </c>
      <c r="BL79" s="4"/>
      <c r="BM79" s="4">
        <f t="shared" si="19"/>
        <v>2.1825000000000001E-2</v>
      </c>
    </row>
    <row r="80" spans="1:65" x14ac:dyDescent="0.3">
      <c r="A80" t="s">
        <v>165</v>
      </c>
      <c r="B80" s="53">
        <f t="shared" si="20"/>
        <v>0</v>
      </c>
      <c r="C80" s="53">
        <f t="shared" si="13"/>
        <v>0</v>
      </c>
      <c r="D80" s="53">
        <f t="shared" si="14"/>
        <v>0</v>
      </c>
      <c r="E80" s="53">
        <f t="shared" si="15"/>
        <v>0</v>
      </c>
      <c r="F80" s="15">
        <v>1.1279999999999999</v>
      </c>
      <c r="G80" s="4">
        <v>0.85099999999999998</v>
      </c>
      <c r="H80" t="s">
        <v>71</v>
      </c>
      <c r="I80" t="str">
        <f>VLOOKUP(A80,Setores!$A$2:$C$215,2,0)</f>
        <v>basic_materials</v>
      </c>
      <c r="J80" t="str">
        <f>VLOOKUP(A80,Setores!$A$2:$C$215,3,0)</f>
        <v>neutral_beta</v>
      </c>
      <c r="K80" s="92">
        <v>0</v>
      </c>
      <c r="L80" s="42">
        <v>0</v>
      </c>
      <c r="M80" s="92">
        <f>VLOOKUP(A80,'Mandato Ibov'!$B$1:$C$215,2,0)</f>
        <v>0</v>
      </c>
      <c r="N80" s="58">
        <f t="shared" si="16"/>
        <v>0</v>
      </c>
      <c r="O80" s="42">
        <f t="shared" si="17"/>
        <v>0</v>
      </c>
      <c r="P80" s="95">
        <f>VLOOKUP(A80,'Mandato Ibov'!$B$2:$D$215,3,0)</f>
        <v>0</v>
      </c>
      <c r="Q80" s="42">
        <f t="shared" si="18"/>
        <v>0</v>
      </c>
      <c r="R80" s="15">
        <v>-0.36399999999999999</v>
      </c>
      <c r="S80" s="15">
        <v>0.245</v>
      </c>
      <c r="T80" s="15">
        <v>-0.63600000000000001</v>
      </c>
      <c r="U80" s="15">
        <v>-0.31</v>
      </c>
      <c r="V80" s="15">
        <v>-0.18099999999999999</v>
      </c>
      <c r="W80" s="15">
        <v>-0.64400000000000002</v>
      </c>
      <c r="X80" s="15">
        <v>-0.82399999999999995</v>
      </c>
      <c r="Y80" s="15">
        <v>-0.13800000000000001</v>
      </c>
      <c r="Z80" s="15">
        <v>0.48299999999999998</v>
      </c>
      <c r="AA80" s="15">
        <v>0.48399999999999999</v>
      </c>
      <c r="AB80" s="15">
        <v>0.61099999999999999</v>
      </c>
      <c r="AC80" s="15">
        <v>0.57199999999999995</v>
      </c>
      <c r="AD80" s="15">
        <v>0.879</v>
      </c>
      <c r="AE80" s="14">
        <v>-0.20499999999999999</v>
      </c>
      <c r="AF80" s="15">
        <v>-0.49099999999999999</v>
      </c>
      <c r="AG80" s="15">
        <v>0.98</v>
      </c>
      <c r="AH80" s="15">
        <v>-0.73099999999999998</v>
      </c>
      <c r="AI80" s="15">
        <v>-0.23</v>
      </c>
      <c r="AJ80" s="16">
        <v>-0.92100000000000004</v>
      </c>
      <c r="AK80" s="4">
        <v>-0.254</v>
      </c>
      <c r="AL80" s="4">
        <v>-0.67500000000000004</v>
      </c>
      <c r="AM80" s="4">
        <v>0.224</v>
      </c>
      <c r="AN80" s="4">
        <v>-0.46</v>
      </c>
      <c r="AO80" s="4">
        <v>0.66800000000000004</v>
      </c>
      <c r="AP80" s="4">
        <v>0.626</v>
      </c>
      <c r="AQ80" s="4">
        <v>-0.53500000000000003</v>
      </c>
      <c r="AR80" s="4">
        <v>1</v>
      </c>
      <c r="AS80" s="4">
        <v>0.155</v>
      </c>
      <c r="AT80" s="4">
        <v>-0.11799999999999999</v>
      </c>
      <c r="AU80" s="4">
        <v>-0.8</v>
      </c>
      <c r="AV80" s="4">
        <v>6.7000000000000004E-2</v>
      </c>
      <c r="AW80" s="4">
        <v>-0.13400000000000001</v>
      </c>
      <c r="AX80" s="4">
        <v>0.124</v>
      </c>
      <c r="AY80" s="4">
        <v>0.622</v>
      </c>
      <c r="AZ80" s="4">
        <v>-1</v>
      </c>
      <c r="BA80" s="4">
        <v>0.74299999999999999</v>
      </c>
      <c r="BB80" s="4">
        <v>0.50600000000000001</v>
      </c>
      <c r="BC80" s="4">
        <v>0.26600000000000001</v>
      </c>
      <c r="BD80" s="4">
        <v>0.77300000000000002</v>
      </c>
      <c r="BE80" s="4">
        <v>-1</v>
      </c>
      <c r="BF80" s="4">
        <v>0.62</v>
      </c>
      <c r="BG80" s="4">
        <v>-0.42599999999999999</v>
      </c>
      <c r="BH80" s="4">
        <v>3.0000000000000001E-3</v>
      </c>
      <c r="BI80" s="4">
        <v>-0.32400000000000001</v>
      </c>
      <c r="BJ80" s="4">
        <v>0.83499999999999996</v>
      </c>
      <c r="BK80" s="4">
        <v>-8.9999999999999993E-3</v>
      </c>
      <c r="BL80" s="4"/>
      <c r="BM80" s="4">
        <f t="shared" si="19"/>
        <v>4.1199999999999994E-2</v>
      </c>
    </row>
    <row r="81" spans="1:65" x14ac:dyDescent="0.3">
      <c r="A81" t="s">
        <v>99</v>
      </c>
      <c r="B81" s="53">
        <f t="shared" si="20"/>
        <v>0</v>
      </c>
      <c r="C81" s="53">
        <f t="shared" si="13"/>
        <v>0</v>
      </c>
      <c r="D81" s="53">
        <f t="shared" si="14"/>
        <v>0</v>
      </c>
      <c r="E81" s="53">
        <f t="shared" si="15"/>
        <v>0</v>
      </c>
      <c r="F81" s="15">
        <v>1.111</v>
      </c>
      <c r="G81" s="4">
        <v>1.143</v>
      </c>
      <c r="H81" t="s">
        <v>57</v>
      </c>
      <c r="I81" t="str">
        <f>VLOOKUP(A81,Setores!$A$2:$C$215,2,0)</f>
        <v>homebuilders</v>
      </c>
      <c r="J81" t="str">
        <f>VLOOKUP(A81,Setores!$A$2:$C$215,3,0)</f>
        <v>neutral_beta</v>
      </c>
      <c r="K81" s="92">
        <v>0</v>
      </c>
      <c r="L81" s="42">
        <v>0</v>
      </c>
      <c r="M81" s="92">
        <f>VLOOKUP(A81,'Mandato Ibov'!$B$1:$C$215,2,0)</f>
        <v>0</v>
      </c>
      <c r="N81" s="58">
        <f t="shared" si="16"/>
        <v>0</v>
      </c>
      <c r="O81" s="42">
        <f t="shared" si="17"/>
        <v>0</v>
      </c>
      <c r="P81" s="95">
        <f>VLOOKUP(A81,'Mandato Ibov'!$B$2:$D$215,3,0)</f>
        <v>0</v>
      </c>
      <c r="Q81" s="42">
        <f t="shared" si="18"/>
        <v>0</v>
      </c>
      <c r="R81" s="15">
        <v>-0.17100000000000001</v>
      </c>
      <c r="S81" s="15">
        <v>-0.58899999999999997</v>
      </c>
      <c r="T81" s="15">
        <v>0.26900000000000002</v>
      </c>
      <c r="U81" s="15">
        <v>-0.23899999999999999</v>
      </c>
      <c r="V81" s="15">
        <v>-0.151</v>
      </c>
      <c r="W81" s="15">
        <v>-3.1E-2</v>
      </c>
      <c r="X81" s="15">
        <v>7.1999999999999995E-2</v>
      </c>
      <c r="Y81" s="15">
        <v>-0.36799999999999999</v>
      </c>
      <c r="Z81" s="15">
        <v>0.17799999999999999</v>
      </c>
      <c r="AA81" s="15">
        <v>0.17699999999999999</v>
      </c>
      <c r="AB81" s="15">
        <v>0.53100000000000003</v>
      </c>
      <c r="AC81" s="15">
        <v>0.61699999999999999</v>
      </c>
      <c r="AD81" s="15">
        <v>0.55100000000000005</v>
      </c>
      <c r="AE81" s="14">
        <v>0.32600000000000001</v>
      </c>
      <c r="AF81" s="15">
        <v>0.53</v>
      </c>
      <c r="AG81" s="15">
        <v>-0.65800000000000003</v>
      </c>
      <c r="AH81" s="15">
        <v>0.60399999999999998</v>
      </c>
      <c r="AI81" s="15">
        <v>-0.376</v>
      </c>
      <c r="AJ81" s="16">
        <v>0.159</v>
      </c>
      <c r="AK81" s="4">
        <v>-0.223</v>
      </c>
      <c r="AL81" s="4">
        <v>0.378</v>
      </c>
      <c r="AM81" s="4">
        <v>9.0999999999999998E-2</v>
      </c>
      <c r="AN81" s="4">
        <v>0.157</v>
      </c>
      <c r="AO81" s="4">
        <v>-0.753</v>
      </c>
      <c r="AP81" s="4">
        <v>-0.84499999999999997</v>
      </c>
      <c r="AQ81" s="4">
        <v>0.38700000000000001</v>
      </c>
      <c r="AR81" s="4">
        <v>-6.3E-2</v>
      </c>
      <c r="AS81" s="4">
        <v>-0.158</v>
      </c>
      <c r="AT81" s="4">
        <v>-0.14399999999999999</v>
      </c>
      <c r="AU81" s="4">
        <v>-0.45800000000000002</v>
      </c>
      <c r="AV81" s="4">
        <v>5.6000000000000001E-2</v>
      </c>
      <c r="AW81" s="4">
        <v>6.6000000000000003E-2</v>
      </c>
      <c r="AX81" s="4">
        <v>-2E-3</v>
      </c>
      <c r="AY81" s="4">
        <v>0.64</v>
      </c>
      <c r="AZ81" s="4">
        <v>0.32500000000000001</v>
      </c>
      <c r="BA81" s="4">
        <v>0.1</v>
      </c>
      <c r="BB81" s="4">
        <v>-9.9000000000000005E-2</v>
      </c>
      <c r="BC81" s="4">
        <v>-0.442</v>
      </c>
      <c r="BD81" s="4">
        <v>7.2999999999999995E-2</v>
      </c>
      <c r="BE81" s="4">
        <v>0.60599999999999998</v>
      </c>
      <c r="BF81" s="4">
        <v>0.3</v>
      </c>
      <c r="BG81" s="4">
        <v>0.86099999999999999</v>
      </c>
      <c r="BH81" s="4">
        <v>-0.26700000000000002</v>
      </c>
      <c r="BI81" s="4">
        <v>0.187</v>
      </c>
      <c r="BJ81" s="4">
        <v>0.53400000000000003</v>
      </c>
      <c r="BK81" s="4">
        <v>0.49299999999999999</v>
      </c>
      <c r="BL81" s="4"/>
      <c r="BM81" s="4">
        <f t="shared" si="19"/>
        <v>-0.12245000000000003</v>
      </c>
    </row>
    <row r="82" spans="1:65" x14ac:dyDescent="0.3">
      <c r="A82" t="s">
        <v>237</v>
      </c>
      <c r="B82" s="53">
        <f t="shared" si="20"/>
        <v>0</v>
      </c>
      <c r="C82" s="53">
        <f t="shared" si="13"/>
        <v>0</v>
      </c>
      <c r="D82" s="53">
        <f t="shared" si="14"/>
        <v>0</v>
      </c>
      <c r="E82" s="53">
        <f t="shared" si="15"/>
        <v>0</v>
      </c>
      <c r="F82" s="15">
        <v>1.097</v>
      </c>
      <c r="G82" s="4">
        <v>0.76800000000000002</v>
      </c>
      <c r="H82" t="s">
        <v>53</v>
      </c>
      <c r="I82" t="str">
        <f>VLOOKUP(A82,Setores!$A$2:$C$215,2,0)</f>
        <v>healthcare</v>
      </c>
      <c r="J82" t="str">
        <f>VLOOKUP(A82,Setores!$A$2:$C$215,3,0)</f>
        <v>very_high_beta</v>
      </c>
      <c r="K82" s="92">
        <v>0</v>
      </c>
      <c r="L82" s="42">
        <v>0</v>
      </c>
      <c r="M82" s="92">
        <f>VLOOKUP(A82,'Mandato Ibov'!$B$1:$C$215,2,0)</f>
        <v>0</v>
      </c>
      <c r="N82" s="58">
        <f t="shared" si="16"/>
        <v>0</v>
      </c>
      <c r="O82" s="42">
        <f t="shared" si="17"/>
        <v>0</v>
      </c>
      <c r="P82" s="95">
        <f>VLOOKUP(A82,'Mandato Ibov'!$B$2:$D$215,3,0)</f>
        <v>0</v>
      </c>
      <c r="Q82" s="42">
        <f t="shared" si="18"/>
        <v>0</v>
      </c>
      <c r="R82" s="15">
        <v>0.38700000000000001</v>
      </c>
      <c r="S82" s="15">
        <v>0.82799999999999996</v>
      </c>
      <c r="T82" s="15">
        <v>0.56000000000000005</v>
      </c>
      <c r="U82" s="15">
        <v>9.0999999999999998E-2</v>
      </c>
      <c r="V82" s="15">
        <v>0.56499999999999995</v>
      </c>
      <c r="W82" s="15">
        <v>-0.57099999999999995</v>
      </c>
      <c r="X82" s="15">
        <v>-0.79</v>
      </c>
      <c r="Y82" s="15">
        <v>-0.503</v>
      </c>
      <c r="Z82" s="15">
        <v>-0.14899999999999999</v>
      </c>
      <c r="AA82" s="15">
        <v>-0.14799999999999999</v>
      </c>
      <c r="AB82" s="15">
        <v>0.32400000000000001</v>
      </c>
      <c r="AC82" s="15">
        <v>0.42499999999999999</v>
      </c>
      <c r="AD82" s="15">
        <v>0.312</v>
      </c>
      <c r="AE82" s="14">
        <v>0.437</v>
      </c>
      <c r="AF82" s="15">
        <v>0.64</v>
      </c>
      <c r="AG82" s="15">
        <v>0.76400000000000001</v>
      </c>
      <c r="AH82" s="15">
        <v>1</v>
      </c>
      <c r="AI82" s="15">
        <v>0.65800000000000003</v>
      </c>
      <c r="AJ82" s="16">
        <v>-0.52400000000000002</v>
      </c>
      <c r="AK82" s="4">
        <v>0.67400000000000004</v>
      </c>
      <c r="AL82" s="4">
        <v>-0.89100000000000001</v>
      </c>
      <c r="AM82" s="4">
        <v>0.80200000000000005</v>
      </c>
      <c r="AN82" s="4">
        <v>0.217</v>
      </c>
      <c r="AO82" s="4">
        <v>-0.22800000000000001</v>
      </c>
      <c r="AP82" s="4">
        <v>0.249</v>
      </c>
      <c r="AQ82" s="4">
        <v>-0.30399999999999999</v>
      </c>
      <c r="AR82" s="4">
        <v>0.26500000000000001</v>
      </c>
      <c r="AS82" s="4">
        <v>5.1999999999999998E-2</v>
      </c>
      <c r="AT82" s="4">
        <v>7.0000000000000001E-3</v>
      </c>
      <c r="AU82" s="4">
        <v>-0.62</v>
      </c>
      <c r="AV82" s="4">
        <v>-0.01</v>
      </c>
      <c r="AW82" s="4">
        <v>-0.55800000000000005</v>
      </c>
      <c r="AX82" s="4">
        <v>-0.61199999999999999</v>
      </c>
      <c r="AY82" s="4">
        <v>-0.33600000000000002</v>
      </c>
      <c r="AZ82" s="4">
        <v>-0.51300000000000001</v>
      </c>
      <c r="BA82" s="4">
        <v>0.98399999999999999</v>
      </c>
      <c r="BB82" s="4">
        <v>0.104</v>
      </c>
      <c r="BC82" s="4">
        <v>-3.0000000000000001E-3</v>
      </c>
      <c r="BD82" s="4">
        <v>0.32300000000000001</v>
      </c>
      <c r="BE82" s="4">
        <v>0.54700000000000004</v>
      </c>
      <c r="BF82" s="4">
        <v>0.51500000000000001</v>
      </c>
      <c r="BG82" s="4">
        <v>-0.63900000000000001</v>
      </c>
      <c r="BH82" s="4">
        <v>1</v>
      </c>
      <c r="BI82" s="4">
        <v>0.38600000000000001</v>
      </c>
      <c r="BJ82" s="4">
        <v>0.59499999999999997</v>
      </c>
      <c r="BK82" s="4">
        <v>0.99399999999999999</v>
      </c>
      <c r="BL82" s="4"/>
      <c r="BM82" s="4">
        <f t="shared" si="19"/>
        <v>-6.8025000000000016E-2</v>
      </c>
    </row>
    <row r="83" spans="1:65" x14ac:dyDescent="0.3">
      <c r="A83" t="s">
        <v>164</v>
      </c>
      <c r="B83" s="53">
        <f t="shared" si="20"/>
        <v>0</v>
      </c>
      <c r="C83" s="53">
        <f t="shared" si="13"/>
        <v>0</v>
      </c>
      <c r="D83" s="53">
        <f t="shared" si="14"/>
        <v>0</v>
      </c>
      <c r="E83" s="53">
        <f t="shared" si="15"/>
        <v>0</v>
      </c>
      <c r="F83" s="15">
        <v>1.093</v>
      </c>
      <c r="G83" s="4">
        <v>1.1719999999999999</v>
      </c>
      <c r="H83" t="s">
        <v>68</v>
      </c>
      <c r="I83" t="str">
        <f>VLOOKUP(A83,Setores!$A$2:$C$215,2,0)</f>
        <v>capital_goods</v>
      </c>
      <c r="J83" t="str">
        <f>VLOOKUP(A83,Setores!$A$2:$C$215,3,0)</f>
        <v>neutral_beta</v>
      </c>
      <c r="K83" s="92">
        <v>0</v>
      </c>
      <c r="L83" s="42">
        <v>0</v>
      </c>
      <c r="M83" s="92">
        <f>VLOOKUP(A83,'Mandato Ibov'!$B$1:$C$215,2,0)</f>
        <v>0</v>
      </c>
      <c r="N83" s="58">
        <f t="shared" si="16"/>
        <v>0</v>
      </c>
      <c r="O83" s="42">
        <f t="shared" si="17"/>
        <v>0</v>
      </c>
      <c r="P83" s="95">
        <f>VLOOKUP(A83,'Mandato Ibov'!$B$2:$D$215,3,0)</f>
        <v>0</v>
      </c>
      <c r="Q83" s="42">
        <f t="shared" si="18"/>
        <v>0</v>
      </c>
      <c r="R83" s="15">
        <v>-7.0999999999999994E-2</v>
      </c>
      <c r="S83" s="15">
        <v>-2E-3</v>
      </c>
      <c r="T83" s="15">
        <v>-5.6000000000000001E-2</v>
      </c>
      <c r="U83" s="15">
        <v>-0.33</v>
      </c>
      <c r="V83" s="15">
        <v>-0.218</v>
      </c>
      <c r="W83" s="15">
        <v>-0.25900000000000001</v>
      </c>
      <c r="X83" s="15">
        <v>-0.40699999999999997</v>
      </c>
      <c r="Y83" s="15">
        <v>-0.60499999999999998</v>
      </c>
      <c r="Z83" s="15">
        <v>0.53200000000000003</v>
      </c>
      <c r="AA83" s="15">
        <v>0.52900000000000003</v>
      </c>
      <c r="AB83" s="15">
        <v>0.62</v>
      </c>
      <c r="AC83" s="15">
        <v>0.70899999999999996</v>
      </c>
      <c r="AD83" s="15">
        <v>0.70599999999999996</v>
      </c>
      <c r="AE83" s="14">
        <v>-0.22800000000000001</v>
      </c>
      <c r="AF83" s="15">
        <v>4.0000000000000001E-3</v>
      </c>
      <c r="AG83" s="15">
        <v>-0.16</v>
      </c>
      <c r="AH83" s="15">
        <v>0.54800000000000004</v>
      </c>
      <c r="AI83" s="15">
        <v>-0.37</v>
      </c>
      <c r="AJ83" s="16">
        <v>-0.53100000000000003</v>
      </c>
      <c r="AK83" s="4">
        <v>0.314</v>
      </c>
      <c r="AL83" s="4">
        <v>-0.46500000000000002</v>
      </c>
      <c r="AM83" s="4">
        <v>0.71699999999999997</v>
      </c>
      <c r="AN83" s="4">
        <v>-0.25700000000000001</v>
      </c>
      <c r="AO83" s="4">
        <v>-0.433</v>
      </c>
      <c r="AP83" s="4">
        <v>-0.17499999999999999</v>
      </c>
      <c r="AQ83" s="4">
        <v>5.8000000000000003E-2</v>
      </c>
      <c r="AR83" s="4">
        <v>0.314</v>
      </c>
      <c r="AS83" s="4">
        <v>6.9000000000000006E-2</v>
      </c>
      <c r="AT83" s="4">
        <v>8.9999999999999993E-3</v>
      </c>
      <c r="AU83" s="4">
        <v>-0.54300000000000004</v>
      </c>
      <c r="AV83" s="4">
        <v>-0.217</v>
      </c>
      <c r="AW83" s="4">
        <v>0.54</v>
      </c>
      <c r="AX83" s="4">
        <v>-0.21099999999999999</v>
      </c>
      <c r="AY83" s="4">
        <v>0.92800000000000005</v>
      </c>
      <c r="AZ83" s="4">
        <v>1</v>
      </c>
      <c r="BA83" s="4">
        <v>4.8000000000000001E-2</v>
      </c>
      <c r="BB83" s="4">
        <v>0.224</v>
      </c>
      <c r="BC83" s="4">
        <v>0.13800000000000001</v>
      </c>
      <c r="BD83" s="4">
        <v>0.29499999999999998</v>
      </c>
      <c r="BE83" s="4">
        <v>-0.28799999999999998</v>
      </c>
      <c r="BF83" s="4">
        <v>-0.224</v>
      </c>
      <c r="BG83" s="4">
        <v>0.38300000000000001</v>
      </c>
      <c r="BH83" s="4">
        <v>-4.2999999999999997E-2</v>
      </c>
      <c r="BI83" s="4">
        <v>0.24</v>
      </c>
      <c r="BJ83" s="4">
        <v>6.0999999999999999E-2</v>
      </c>
      <c r="BK83" s="4">
        <v>0.45400000000000001</v>
      </c>
      <c r="BL83" s="4"/>
      <c r="BM83" s="4">
        <f t="shared" si="19"/>
        <v>3.6250000000000004E-2</v>
      </c>
    </row>
    <row r="84" spans="1:65" x14ac:dyDescent="0.3">
      <c r="A84" t="s">
        <v>143</v>
      </c>
      <c r="B84" s="53">
        <f t="shared" si="20"/>
        <v>0</v>
      </c>
      <c r="C84" s="53">
        <f t="shared" si="13"/>
        <v>-3.0000000000000001E-3</v>
      </c>
      <c r="D84" s="53">
        <f t="shared" si="14"/>
        <v>0</v>
      </c>
      <c r="E84" s="53">
        <f t="shared" si="15"/>
        <v>3.0000000000000001E-3</v>
      </c>
      <c r="F84" s="15">
        <v>1.08</v>
      </c>
      <c r="G84" s="4">
        <v>1.333</v>
      </c>
      <c r="H84" t="s">
        <v>53</v>
      </c>
      <c r="I84" t="str">
        <f>VLOOKUP(A84,Setores!$A$2:$C$215,2,0)</f>
        <v>healthcare</v>
      </c>
      <c r="J84" t="str">
        <f>VLOOKUP(A84,Setores!$A$2:$C$215,3,0)</f>
        <v>low_beta</v>
      </c>
      <c r="K84" s="92">
        <v>0</v>
      </c>
      <c r="L84" s="42">
        <v>-3.0000000000000001E-3</v>
      </c>
      <c r="M84" s="92">
        <f>VLOOKUP(A84,'Mandato Ibov'!$B$1:$C$215,2,0)</f>
        <v>0</v>
      </c>
      <c r="N84" s="58">
        <f t="shared" si="16"/>
        <v>0</v>
      </c>
      <c r="O84" s="42">
        <f t="shared" si="17"/>
        <v>0</v>
      </c>
      <c r="P84" s="95">
        <f>VLOOKUP(A84,'Mandato Ibov'!$B$2:$D$215,3,0)</f>
        <v>6.7214707201330203E-3</v>
      </c>
      <c r="Q84" s="42">
        <f t="shared" si="18"/>
        <v>-6.7214707201330203E-3</v>
      </c>
      <c r="R84" s="15">
        <v>-0.39500000000000002</v>
      </c>
      <c r="S84" s="15">
        <v>-0.47</v>
      </c>
      <c r="T84" s="15">
        <v>-0.7</v>
      </c>
      <c r="U84" s="15">
        <v>-0.315</v>
      </c>
      <c r="V84" s="15">
        <v>-0.57499999999999996</v>
      </c>
      <c r="W84" s="15">
        <v>-8.5999999999999993E-2</v>
      </c>
      <c r="X84" s="15">
        <v>0.13200000000000001</v>
      </c>
      <c r="Y84" s="15">
        <v>-0.22</v>
      </c>
      <c r="Z84" s="15">
        <v>0.32700000000000001</v>
      </c>
      <c r="AA84" s="15">
        <v>0.32500000000000001</v>
      </c>
      <c r="AB84" s="15">
        <v>0.81699999999999995</v>
      </c>
      <c r="AC84" s="15">
        <v>0.82499999999999996</v>
      </c>
      <c r="AD84" s="15">
        <v>0.622</v>
      </c>
      <c r="AE84" s="14">
        <v>-0.26400000000000001</v>
      </c>
      <c r="AF84" s="15">
        <v>-0.39200000000000002</v>
      </c>
      <c r="AG84" s="15">
        <v>-0.313</v>
      </c>
      <c r="AH84" s="15">
        <v>-0.65200000000000002</v>
      </c>
      <c r="AI84" s="15">
        <v>-0.32800000000000001</v>
      </c>
      <c r="AJ84" s="16">
        <v>-0.78800000000000003</v>
      </c>
      <c r="AK84" s="4">
        <v>1.6E-2</v>
      </c>
      <c r="AL84" s="4">
        <v>-8.4000000000000005E-2</v>
      </c>
      <c r="AM84" s="4">
        <v>-0.64</v>
      </c>
      <c r="AN84" s="4">
        <v>0.221</v>
      </c>
      <c r="AO84" s="4">
        <v>6.4000000000000001E-2</v>
      </c>
      <c r="AP84" s="4">
        <v>-0.10199999999999999</v>
      </c>
      <c r="AQ84" s="4">
        <v>5.8000000000000003E-2</v>
      </c>
      <c r="AR84" s="4">
        <v>0.33200000000000002</v>
      </c>
      <c r="AS84" s="4">
        <v>0.11899999999999999</v>
      </c>
      <c r="AT84" s="4">
        <v>0.217</v>
      </c>
      <c r="AU84" s="4">
        <v>-0.29199999999999998</v>
      </c>
      <c r="AV84" s="4">
        <v>7.0999999999999994E-2</v>
      </c>
      <c r="AW84" s="4">
        <v>0.45700000000000002</v>
      </c>
      <c r="AX84" s="4">
        <v>-0.158</v>
      </c>
      <c r="AY84" s="4">
        <v>0.92600000000000005</v>
      </c>
      <c r="AZ84" s="4">
        <v>0.50800000000000001</v>
      </c>
      <c r="BA84" s="4">
        <v>-8.9999999999999993E-3</v>
      </c>
      <c r="BB84" s="4">
        <v>-0.11799999999999999</v>
      </c>
      <c r="BC84" s="4">
        <v>-2.5999999999999999E-2</v>
      </c>
      <c r="BD84" s="4">
        <v>0.48799999999999999</v>
      </c>
      <c r="BE84" s="4">
        <v>-0.183</v>
      </c>
      <c r="BF84" s="4">
        <v>9.6000000000000002E-2</v>
      </c>
      <c r="BG84" s="4">
        <v>0.71</v>
      </c>
      <c r="BH84" s="4">
        <v>-0.123</v>
      </c>
      <c r="BI84" s="4">
        <v>-0.183</v>
      </c>
      <c r="BJ84" s="4">
        <v>4.5999999999999999E-2</v>
      </c>
      <c r="BK84" s="4">
        <v>-0.14499999999999999</v>
      </c>
      <c r="BL84" s="4"/>
      <c r="BM84" s="4">
        <f t="shared" si="19"/>
        <v>0.117675</v>
      </c>
    </row>
    <row r="85" spans="1:65" x14ac:dyDescent="0.3">
      <c r="A85" t="s">
        <v>132</v>
      </c>
      <c r="B85" s="53">
        <f t="shared" si="20"/>
        <v>0</v>
      </c>
      <c r="C85" s="53">
        <f t="shared" si="13"/>
        <v>0</v>
      </c>
      <c r="D85" s="53">
        <f t="shared" si="14"/>
        <v>0</v>
      </c>
      <c r="E85" s="53">
        <f t="shared" si="15"/>
        <v>0</v>
      </c>
      <c r="F85" s="15">
        <v>1.08</v>
      </c>
      <c r="G85" s="4">
        <v>0.88400000000000001</v>
      </c>
      <c r="H85" t="s">
        <v>53</v>
      </c>
      <c r="I85" t="str">
        <f>VLOOKUP(A85,Setores!$A$2:$C$215,2,0)</f>
        <v>healthcare</v>
      </c>
      <c r="J85" t="str">
        <f>VLOOKUP(A85,Setores!$A$2:$C$215,3,0)</f>
        <v>high_beta</v>
      </c>
      <c r="K85" s="92">
        <v>0</v>
      </c>
      <c r="L85" s="42">
        <v>0</v>
      </c>
      <c r="M85" s="92">
        <f>VLOOKUP(A85,'Mandato Ibov'!$B$1:$C$215,2,0)</f>
        <v>0</v>
      </c>
      <c r="N85" s="58">
        <f t="shared" si="16"/>
        <v>0</v>
      </c>
      <c r="O85" s="42">
        <f t="shared" si="17"/>
        <v>0</v>
      </c>
      <c r="P85" s="95">
        <f>VLOOKUP(A85,'Mandato Ibov'!$B$2:$D$215,3,0)</f>
        <v>0</v>
      </c>
      <c r="Q85" s="42">
        <f t="shared" si="18"/>
        <v>0</v>
      </c>
      <c r="R85" s="15">
        <v>-0.27500000000000002</v>
      </c>
      <c r="S85" s="15">
        <v>-0.47799999999999998</v>
      </c>
      <c r="T85" s="15">
        <v>-0.47399999999999998</v>
      </c>
      <c r="U85" s="15">
        <v>-0.25900000000000001</v>
      </c>
      <c r="V85" s="15">
        <v>-0.46500000000000002</v>
      </c>
      <c r="W85" s="15">
        <v>-0.13400000000000001</v>
      </c>
      <c r="X85" s="15">
        <v>-0.01</v>
      </c>
      <c r="Y85" s="15">
        <v>-0.29899999999999999</v>
      </c>
      <c r="Z85" s="15">
        <v>0.30399999999999999</v>
      </c>
      <c r="AA85" s="15">
        <v>0.29799999999999999</v>
      </c>
      <c r="AB85" s="15">
        <v>0.748</v>
      </c>
      <c r="AC85" s="15">
        <v>0.77600000000000002</v>
      </c>
      <c r="AD85" s="15">
        <v>0.63400000000000001</v>
      </c>
      <c r="AE85" s="14">
        <v>-0.14799999999999999</v>
      </c>
      <c r="AF85" s="15">
        <v>-0.20699999999999999</v>
      </c>
      <c r="AG85" s="15">
        <v>-0.45800000000000002</v>
      </c>
      <c r="AH85" s="15">
        <v>-0.51900000000000002</v>
      </c>
      <c r="AI85" s="15">
        <v>4.5999999999999999E-2</v>
      </c>
      <c r="AJ85" s="16">
        <v>-0.39700000000000002</v>
      </c>
      <c r="AK85" s="4">
        <v>-0.187</v>
      </c>
      <c r="AL85" s="4">
        <v>-5.7000000000000002E-2</v>
      </c>
      <c r="AM85" s="4">
        <v>-0.41899999999999998</v>
      </c>
      <c r="AN85" s="4">
        <v>-0.113</v>
      </c>
      <c r="AO85" s="4">
        <v>-1.6E-2</v>
      </c>
      <c r="AP85" s="4">
        <v>-0.99099999999999999</v>
      </c>
      <c r="AQ85" s="4">
        <v>0.23899999999999999</v>
      </c>
      <c r="AR85" s="4">
        <v>1</v>
      </c>
      <c r="AS85" s="4">
        <v>0.38400000000000001</v>
      </c>
      <c r="AT85" s="4">
        <v>0.30399999999999999</v>
      </c>
      <c r="AU85" s="4">
        <v>-0.46</v>
      </c>
      <c r="AV85" s="4">
        <v>0.36399999999999999</v>
      </c>
      <c r="AW85" s="4">
        <v>-0.14000000000000001</v>
      </c>
      <c r="AX85" s="4">
        <v>-0.15</v>
      </c>
      <c r="AY85" s="4">
        <v>0.88</v>
      </c>
      <c r="AZ85" s="4">
        <v>0.442</v>
      </c>
      <c r="BA85" s="4">
        <v>0.73899999999999999</v>
      </c>
      <c r="BB85" s="4">
        <v>-0.38800000000000001</v>
      </c>
      <c r="BC85" s="4">
        <v>-0.435</v>
      </c>
      <c r="BD85" s="4">
        <v>0.50700000000000001</v>
      </c>
      <c r="BE85" s="4">
        <v>0.36699999999999999</v>
      </c>
      <c r="BF85" s="4">
        <v>0.19800000000000001</v>
      </c>
      <c r="BG85" s="4">
        <v>0.71699999999999997</v>
      </c>
      <c r="BH85" s="4">
        <v>-0.33400000000000002</v>
      </c>
      <c r="BI85" s="4">
        <v>0.14199999999999999</v>
      </c>
      <c r="BJ85" s="4">
        <v>-0.105</v>
      </c>
      <c r="BK85" s="4">
        <v>0.20599999999999999</v>
      </c>
      <c r="BL85" s="4"/>
      <c r="BM85" s="4">
        <f t="shared" si="19"/>
        <v>3.1350000000000003E-2</v>
      </c>
    </row>
    <row r="86" spans="1:65" x14ac:dyDescent="0.3">
      <c r="A86" t="s">
        <v>228</v>
      </c>
      <c r="B86" s="53">
        <f t="shared" si="20"/>
        <v>0</v>
      </c>
      <c r="C86" s="53">
        <f t="shared" si="13"/>
        <v>0</v>
      </c>
      <c r="D86" s="53">
        <f t="shared" si="14"/>
        <v>0</v>
      </c>
      <c r="E86" s="53">
        <f t="shared" si="15"/>
        <v>0</v>
      </c>
      <c r="F86" s="15">
        <v>1.0720000000000001</v>
      </c>
      <c r="G86" s="4">
        <v>0.81200000000000006</v>
      </c>
      <c r="H86" t="s">
        <v>57</v>
      </c>
      <c r="I86" t="str">
        <f>VLOOKUP(A86,Setores!$A$2:$C$215,2,0)</f>
        <v>consumer_durables</v>
      </c>
      <c r="J86" t="str">
        <f>VLOOKUP(A86,Setores!$A$2:$C$215,3,0)</f>
        <v>high_beta</v>
      </c>
      <c r="K86" s="92">
        <v>0</v>
      </c>
      <c r="L86" s="42">
        <v>0</v>
      </c>
      <c r="M86" s="92">
        <f>VLOOKUP(A86,'Mandato Ibov'!$B$1:$C$215,2,0)</f>
        <v>0</v>
      </c>
      <c r="N86" s="58">
        <f t="shared" si="16"/>
        <v>0</v>
      </c>
      <c r="O86" s="42">
        <f t="shared" si="17"/>
        <v>0</v>
      </c>
      <c r="P86" s="95">
        <f>VLOOKUP(A86,'Mandato Ibov'!$B$2:$D$215,3,0)</f>
        <v>0</v>
      </c>
      <c r="Q86" s="42">
        <f t="shared" si="18"/>
        <v>0</v>
      </c>
      <c r="R86" s="15">
        <v>3.2000000000000001E-2</v>
      </c>
      <c r="S86" s="15">
        <v>0.45</v>
      </c>
      <c r="T86" s="15">
        <v>-4.1000000000000002E-2</v>
      </c>
      <c r="U86" s="15">
        <v>-0.27</v>
      </c>
      <c r="V86" s="15">
        <v>-4.8000000000000001E-2</v>
      </c>
      <c r="W86" s="15">
        <v>-0.40300000000000002</v>
      </c>
      <c r="X86" s="15">
        <v>-0.60199999999999998</v>
      </c>
      <c r="Y86" s="15">
        <v>-0.501</v>
      </c>
      <c r="Z86" s="15">
        <v>-0.10299999999999999</v>
      </c>
      <c r="AA86" s="15">
        <v>-0.10199999999999999</v>
      </c>
      <c r="AB86" s="15">
        <v>0.73099999999999998</v>
      </c>
      <c r="AC86" s="15">
        <v>0.81</v>
      </c>
      <c r="AD86" s="15">
        <v>0.69899999999999995</v>
      </c>
      <c r="AE86" s="14">
        <v>-0.93100000000000005</v>
      </c>
      <c r="AF86" s="15">
        <v>0.2</v>
      </c>
      <c r="AG86" s="15">
        <v>0.84199999999999997</v>
      </c>
      <c r="AH86" s="15">
        <v>-0.48099999999999998</v>
      </c>
      <c r="AI86" s="15">
        <v>1</v>
      </c>
      <c r="AJ86" s="16">
        <v>0.38900000000000001</v>
      </c>
      <c r="AK86" s="4">
        <v>-0.17499999999999999</v>
      </c>
      <c r="AL86" s="4">
        <v>-0.85099999999999998</v>
      </c>
      <c r="AM86" s="4">
        <v>-0.46500000000000002</v>
      </c>
      <c r="AN86" s="4">
        <v>0.20100000000000001</v>
      </c>
      <c r="AO86" s="4">
        <v>-5.0000000000000001E-3</v>
      </c>
      <c r="AP86" s="4">
        <v>0.93200000000000005</v>
      </c>
      <c r="AQ86" s="4">
        <v>0.32600000000000001</v>
      </c>
      <c r="AR86" s="4">
        <v>0.44800000000000001</v>
      </c>
      <c r="AS86" s="4">
        <v>0.28599999999999998</v>
      </c>
      <c r="AT86" s="4">
        <v>0.27500000000000002</v>
      </c>
      <c r="AU86" s="4">
        <v>-0.308</v>
      </c>
      <c r="AV86" s="4">
        <v>-0.157</v>
      </c>
      <c r="AW86" s="4">
        <v>-0.39900000000000002</v>
      </c>
      <c r="AX86" s="4">
        <v>0.21</v>
      </c>
      <c r="AY86" s="4">
        <v>-0.34399999999999997</v>
      </c>
      <c r="AZ86" s="4">
        <v>4.4999999999999998E-2</v>
      </c>
      <c r="BA86" s="4">
        <v>-2.8000000000000001E-2</v>
      </c>
      <c r="BB86" s="4">
        <v>0.17100000000000001</v>
      </c>
      <c r="BC86" s="4">
        <v>0.51800000000000002</v>
      </c>
      <c r="BD86" s="4">
        <v>-0.88300000000000001</v>
      </c>
      <c r="BE86" s="4">
        <v>-0.246</v>
      </c>
      <c r="BF86" s="4">
        <v>0.29299999999999998</v>
      </c>
      <c r="BG86" s="4">
        <v>0.29299999999999998</v>
      </c>
      <c r="BH86" s="4">
        <v>0.28799999999999998</v>
      </c>
      <c r="BI86" s="4">
        <v>-2.5000000000000001E-2</v>
      </c>
      <c r="BJ86" s="4">
        <v>0.25</v>
      </c>
      <c r="BK86" s="4">
        <v>-5.3999999999999999E-2</v>
      </c>
      <c r="BL86" s="4"/>
      <c r="BM86" s="4">
        <f t="shared" si="19"/>
        <v>3.4650000000000014E-2</v>
      </c>
    </row>
    <row r="87" spans="1:65" x14ac:dyDescent="0.3">
      <c r="A87" t="s">
        <v>125</v>
      </c>
      <c r="B87" s="53">
        <f t="shared" si="20"/>
        <v>0</v>
      </c>
      <c r="C87" s="53">
        <f t="shared" si="13"/>
        <v>-4.0000000000000001E-3</v>
      </c>
      <c r="D87" s="53">
        <f t="shared" si="14"/>
        <v>0</v>
      </c>
      <c r="E87" s="53">
        <f t="shared" si="15"/>
        <v>4.0000000000000001E-3</v>
      </c>
      <c r="F87" s="15">
        <v>1.052</v>
      </c>
      <c r="G87" s="4">
        <v>1.633</v>
      </c>
      <c r="H87" t="s">
        <v>55</v>
      </c>
      <c r="I87" t="str">
        <f>VLOOKUP(A87,Setores!$A$2:$C$215,2,0)</f>
        <v>real_estate</v>
      </c>
      <c r="J87" t="str">
        <f>VLOOKUP(A87,Setores!$A$2:$C$215,3,0)</f>
        <v>high_beta</v>
      </c>
      <c r="K87" s="92">
        <v>0</v>
      </c>
      <c r="L87" s="42">
        <v>-4.0000000000000001E-3</v>
      </c>
      <c r="M87" s="92">
        <f>VLOOKUP(A87,'Mandato Ibov'!$B$1:$C$215,2,0)</f>
        <v>0</v>
      </c>
      <c r="N87" s="58">
        <f t="shared" si="16"/>
        <v>0</v>
      </c>
      <c r="O87" s="42">
        <f t="shared" si="17"/>
        <v>0</v>
      </c>
      <c r="P87" s="95">
        <f>VLOOKUP(A87,'Mandato Ibov'!$B$2:$D$215,3,0)</f>
        <v>0</v>
      </c>
      <c r="Q87" s="42">
        <f t="shared" si="18"/>
        <v>0</v>
      </c>
      <c r="R87" s="15">
        <v>-0.34599999999999997</v>
      </c>
      <c r="S87" s="15">
        <v>-0.48499999999999999</v>
      </c>
      <c r="T87" s="15">
        <v>-0.77400000000000002</v>
      </c>
      <c r="U87" s="15">
        <v>-0.29499999999999998</v>
      </c>
      <c r="V87" s="15">
        <v>-0.65600000000000003</v>
      </c>
      <c r="W87" s="15">
        <v>0.13300000000000001</v>
      </c>
      <c r="X87" s="15">
        <v>0.67600000000000005</v>
      </c>
      <c r="Y87" s="15">
        <v>-0.38800000000000001</v>
      </c>
      <c r="Z87" s="15">
        <v>0.29799999999999999</v>
      </c>
      <c r="AA87" s="15">
        <v>0.29899999999999999</v>
      </c>
      <c r="AB87" s="15">
        <v>0.7</v>
      </c>
      <c r="AC87" s="15">
        <v>0.72199999999999998</v>
      </c>
      <c r="AD87" s="15">
        <v>0.55100000000000005</v>
      </c>
      <c r="AE87" s="14">
        <v>-0.24099999999999999</v>
      </c>
      <c r="AF87" s="15">
        <v>-0.55900000000000005</v>
      </c>
      <c r="AG87" s="15">
        <v>-0.52300000000000002</v>
      </c>
      <c r="AH87" s="15">
        <v>-0.86299999999999999</v>
      </c>
      <c r="AI87" s="15">
        <v>-0.56399999999999995</v>
      </c>
      <c r="AJ87" s="16">
        <v>-0.58499999999999996</v>
      </c>
      <c r="AK87" s="4">
        <v>-0.28899999999999998</v>
      </c>
      <c r="AL87" s="4">
        <v>-0.39300000000000002</v>
      </c>
      <c r="AM87" s="4">
        <v>-0.77100000000000002</v>
      </c>
      <c r="AN87" s="4">
        <v>0.21299999999999999</v>
      </c>
      <c r="AO87" s="4">
        <v>-8.9999999999999993E-3</v>
      </c>
      <c r="AP87" s="4">
        <v>0.10100000000000001</v>
      </c>
      <c r="AQ87" s="4">
        <v>4.7E-2</v>
      </c>
      <c r="AR87" s="4">
        <v>0.39300000000000002</v>
      </c>
      <c r="AS87" s="4">
        <v>0.33300000000000002</v>
      </c>
      <c r="AT87" s="4">
        <v>0.43099999999999999</v>
      </c>
      <c r="AU87" s="4">
        <v>0.90100000000000002</v>
      </c>
      <c r="AV87" s="4">
        <v>0.35099999999999998</v>
      </c>
      <c r="AW87" s="4">
        <v>0.30399999999999999</v>
      </c>
      <c r="AX87" s="4">
        <v>-0.58399999999999996</v>
      </c>
      <c r="AY87" s="4">
        <v>0.80700000000000005</v>
      </c>
      <c r="AZ87" s="4">
        <v>0.29699999999999999</v>
      </c>
      <c r="BA87" s="4">
        <v>-9.9000000000000005E-2</v>
      </c>
      <c r="BB87" s="4">
        <v>-0.42</v>
      </c>
      <c r="BC87" s="4">
        <v>0.41</v>
      </c>
      <c r="BD87" s="4">
        <v>0.35199999999999998</v>
      </c>
      <c r="BE87" s="4">
        <v>-2.8000000000000001E-2</v>
      </c>
      <c r="BF87" s="4">
        <v>-3.1E-2</v>
      </c>
      <c r="BG87" s="4">
        <v>0.70399999999999996</v>
      </c>
      <c r="BH87" s="4">
        <v>-0.36</v>
      </c>
      <c r="BI87" s="4">
        <v>0.54700000000000004</v>
      </c>
      <c r="BJ87" s="4">
        <v>-0.26600000000000001</v>
      </c>
      <c r="BK87" s="4">
        <v>-0.42</v>
      </c>
      <c r="BL87" s="4"/>
      <c r="BM87" s="4">
        <f t="shared" si="19"/>
        <v>0.18170000000000003</v>
      </c>
    </row>
    <row r="88" spans="1:65" x14ac:dyDescent="0.3">
      <c r="A88" t="s">
        <v>196</v>
      </c>
      <c r="B88" s="53">
        <f t="shared" si="20"/>
        <v>0</v>
      </c>
      <c r="C88" s="53">
        <f t="shared" si="13"/>
        <v>0</v>
      </c>
      <c r="D88" s="53">
        <f t="shared" si="14"/>
        <v>0</v>
      </c>
      <c r="E88" s="53">
        <f t="shared" si="15"/>
        <v>0</v>
      </c>
      <c r="F88" s="15">
        <v>1.046</v>
      </c>
      <c r="G88" s="4">
        <v>0.76200000000000001</v>
      </c>
      <c r="H88" t="s">
        <v>57</v>
      </c>
      <c r="I88" t="str">
        <f>VLOOKUP(A88,Setores!$A$2:$C$215,2,0)</f>
        <v>education</v>
      </c>
      <c r="J88" t="str">
        <f>VLOOKUP(A88,Setores!$A$2:$C$215,3,0)</f>
        <v>very_high_beta</v>
      </c>
      <c r="K88" s="92">
        <v>0</v>
      </c>
      <c r="L88" s="42">
        <v>0</v>
      </c>
      <c r="M88" s="92">
        <f>VLOOKUP(A88,'Mandato Ibov'!$B$1:$C$215,2,0)</f>
        <v>0</v>
      </c>
      <c r="N88" s="58">
        <f t="shared" si="16"/>
        <v>0</v>
      </c>
      <c r="O88" s="42">
        <f t="shared" si="17"/>
        <v>0</v>
      </c>
      <c r="P88" s="95">
        <f>VLOOKUP(A88,'Mandato Ibov'!$B$2:$D$215,3,0)</f>
        <v>7.4640141019849098E-3</v>
      </c>
      <c r="Q88" s="42">
        <f t="shared" si="18"/>
        <v>-7.4640141019849098E-3</v>
      </c>
      <c r="R88" s="15">
        <v>8.3000000000000004E-2</v>
      </c>
      <c r="S88" s="15">
        <v>0.16200000000000001</v>
      </c>
      <c r="T88" s="15">
        <v>0.125</v>
      </c>
      <c r="U88" s="15">
        <v>2.5000000000000001E-2</v>
      </c>
      <c r="V88" s="15">
        <v>0.14499999999999999</v>
      </c>
      <c r="W88" s="15">
        <v>-0.27200000000000002</v>
      </c>
      <c r="X88" s="15">
        <v>-0.39</v>
      </c>
      <c r="Y88" s="15">
        <v>-0.55800000000000005</v>
      </c>
      <c r="Z88" s="15">
        <v>-5.3999999999999999E-2</v>
      </c>
      <c r="AA88" s="15">
        <v>-5.2999999999999999E-2</v>
      </c>
      <c r="AB88" s="15">
        <v>0.56899999999999995</v>
      </c>
      <c r="AC88" s="15">
        <v>0.55600000000000005</v>
      </c>
      <c r="AD88" s="15">
        <v>0.53900000000000003</v>
      </c>
      <c r="AE88" s="14">
        <v>0.183</v>
      </c>
      <c r="AF88" s="15">
        <v>0.93899999999999995</v>
      </c>
      <c r="AG88" s="15">
        <v>0.125</v>
      </c>
      <c r="AH88" s="15">
        <v>0.38900000000000001</v>
      </c>
      <c r="AI88" s="15">
        <v>-0.113</v>
      </c>
      <c r="AJ88" s="16">
        <v>0.67100000000000004</v>
      </c>
      <c r="AK88" s="4">
        <v>0.14299999999999999</v>
      </c>
      <c r="AL88" s="4">
        <v>-0.753</v>
      </c>
      <c r="AM88" s="4">
        <v>0.249</v>
      </c>
      <c r="AN88" s="4">
        <v>0.14699999999999999</v>
      </c>
      <c r="AO88" s="4">
        <v>-0.19800000000000001</v>
      </c>
      <c r="AP88" s="4">
        <v>-0.436</v>
      </c>
      <c r="AQ88" s="4">
        <v>0.56399999999999995</v>
      </c>
      <c r="AR88" s="4">
        <v>0.23100000000000001</v>
      </c>
      <c r="AS88" s="4">
        <v>0.188</v>
      </c>
      <c r="AT88" s="4">
        <v>7.8E-2</v>
      </c>
      <c r="AU88" s="4">
        <v>0.126</v>
      </c>
      <c r="AV88" s="4">
        <v>0.23400000000000001</v>
      </c>
      <c r="AW88" s="4">
        <v>-0.88500000000000001</v>
      </c>
      <c r="AX88" s="4">
        <v>-0.47399999999999998</v>
      </c>
      <c r="AY88" s="4">
        <v>0.64300000000000002</v>
      </c>
      <c r="AZ88" s="4">
        <v>0.17299999999999999</v>
      </c>
      <c r="BA88" s="4">
        <v>0.53300000000000003</v>
      </c>
      <c r="BB88" s="4">
        <v>0.159</v>
      </c>
      <c r="BC88" s="4">
        <v>-0.219</v>
      </c>
      <c r="BD88" s="4">
        <v>0.20399999999999999</v>
      </c>
      <c r="BE88" s="4">
        <v>0.46899999999999997</v>
      </c>
      <c r="BF88" s="4">
        <v>0.315</v>
      </c>
      <c r="BG88" s="4">
        <v>0.27600000000000002</v>
      </c>
      <c r="BH88" s="4">
        <v>-0.153</v>
      </c>
      <c r="BI88" s="4">
        <v>0.50700000000000001</v>
      </c>
      <c r="BJ88" s="4">
        <v>-0.59399999999999997</v>
      </c>
      <c r="BK88" s="4">
        <v>0.65300000000000002</v>
      </c>
      <c r="BL88" s="4"/>
      <c r="BM88" s="4">
        <f t="shared" si="19"/>
        <v>-1.8350000000000005E-2</v>
      </c>
    </row>
    <row r="89" spans="1:65" x14ac:dyDescent="0.3">
      <c r="A89" t="s">
        <v>104</v>
      </c>
      <c r="B89" s="53">
        <v>5.0000000000000001E-3</v>
      </c>
      <c r="C89" s="53">
        <f t="shared" si="13"/>
        <v>5.0000000000000001E-3</v>
      </c>
      <c r="D89" s="53">
        <f t="shared" si="14"/>
        <v>5.0000000000000001E-3</v>
      </c>
      <c r="E89" s="53">
        <f t="shared" si="15"/>
        <v>0</v>
      </c>
      <c r="F89" s="15">
        <v>1.0429999999999999</v>
      </c>
      <c r="G89" s="4">
        <v>1.4079999999999999</v>
      </c>
      <c r="H89" t="s">
        <v>55</v>
      </c>
      <c r="I89" t="str">
        <f>VLOOKUP(A89,Setores!$A$2:$C$215,2,0)</f>
        <v>utilities</v>
      </c>
      <c r="J89" t="str">
        <f>VLOOKUP(A89,Setores!$A$2:$C$215,3,0)</f>
        <v>low_beta</v>
      </c>
      <c r="K89" s="92">
        <v>0</v>
      </c>
      <c r="L89" s="42">
        <v>0</v>
      </c>
      <c r="M89" s="92">
        <f>VLOOKUP(A89,'Mandato Ibov'!$B$1:$C$215,2,0)</f>
        <v>0</v>
      </c>
      <c r="N89" s="58">
        <f t="shared" si="16"/>
        <v>0</v>
      </c>
      <c r="O89" s="42">
        <f t="shared" si="17"/>
        <v>5.0000000000000001E-3</v>
      </c>
      <c r="P89" s="95">
        <f>VLOOKUP(A89,'Mandato Ibov'!$B$2:$D$215,3,0)</f>
        <v>0</v>
      </c>
      <c r="Q89" s="42">
        <f t="shared" si="18"/>
        <v>0</v>
      </c>
      <c r="R89" s="15">
        <v>-0.55000000000000004</v>
      </c>
      <c r="S89" s="15">
        <v>-0.73899999999999999</v>
      </c>
      <c r="T89" s="15">
        <v>-0.71599999999999997</v>
      </c>
      <c r="U89" s="15">
        <v>-0.42099999999999999</v>
      </c>
      <c r="V89" s="15">
        <v>-0.69199999999999995</v>
      </c>
      <c r="W89" s="15">
        <v>9.1999999999999998E-2</v>
      </c>
      <c r="X89" s="15">
        <v>0.71899999999999997</v>
      </c>
      <c r="Y89" s="15">
        <v>-0.28799999999999998</v>
      </c>
      <c r="Z89" s="15">
        <v>0.48399999999999999</v>
      </c>
      <c r="AA89" s="15">
        <v>0.48199999999999998</v>
      </c>
      <c r="AB89" s="15">
        <v>0.63400000000000001</v>
      </c>
      <c r="AC89" s="15">
        <v>0.72099999999999997</v>
      </c>
      <c r="AD89" s="15">
        <v>0.59199999999999997</v>
      </c>
      <c r="AE89" s="14">
        <v>-0.27</v>
      </c>
      <c r="AF89" s="15">
        <v>-0.53200000000000003</v>
      </c>
      <c r="AG89" s="15">
        <v>-0.66800000000000004</v>
      </c>
      <c r="AH89" s="15">
        <v>-0.76300000000000001</v>
      </c>
      <c r="AI89" s="15">
        <v>-0.67600000000000005</v>
      </c>
      <c r="AJ89" s="16">
        <v>-0.88100000000000001</v>
      </c>
      <c r="AK89" s="4">
        <v>-0.182</v>
      </c>
      <c r="AL89" s="4">
        <v>0.187</v>
      </c>
      <c r="AM89" s="4">
        <v>-0.59899999999999998</v>
      </c>
      <c r="AN89" s="4">
        <v>-0.217</v>
      </c>
      <c r="AO89" s="4">
        <v>-0.27</v>
      </c>
      <c r="AP89" s="4">
        <v>6.0000000000000001E-3</v>
      </c>
      <c r="AQ89" s="4">
        <v>-0.13600000000000001</v>
      </c>
      <c r="AR89" s="4">
        <v>0.17599999999999999</v>
      </c>
      <c r="AS89" s="4">
        <v>0.124</v>
      </c>
      <c r="AT89" s="4">
        <v>0.113</v>
      </c>
      <c r="AU89" s="4">
        <v>0.53700000000000003</v>
      </c>
      <c r="AV89" s="4">
        <v>2.1999999999999999E-2</v>
      </c>
      <c r="AW89" s="4">
        <v>0.89300000000000002</v>
      </c>
      <c r="AX89" s="4">
        <v>-0.84499999999999997</v>
      </c>
      <c r="AY89" s="4">
        <v>0.438</v>
      </c>
      <c r="AZ89" s="4">
        <v>-6.5000000000000002E-2</v>
      </c>
      <c r="BA89" s="4">
        <v>0.88500000000000001</v>
      </c>
      <c r="BB89" s="4">
        <v>-0.16400000000000001</v>
      </c>
      <c r="BC89" s="4">
        <v>-0.36799999999999999</v>
      </c>
      <c r="BD89" s="4">
        <v>0.36399999999999999</v>
      </c>
      <c r="BE89" s="4">
        <v>-0.16600000000000001</v>
      </c>
      <c r="BF89" s="4">
        <v>0.11600000000000001</v>
      </c>
      <c r="BG89" s="4">
        <v>0.83899999999999997</v>
      </c>
      <c r="BH89" s="4">
        <v>-0.379</v>
      </c>
      <c r="BI89" s="4">
        <v>-0.30099999999999999</v>
      </c>
      <c r="BJ89" s="4">
        <v>0.93100000000000005</v>
      </c>
      <c r="BK89" s="4">
        <v>5.3999999999999999E-2</v>
      </c>
      <c r="BL89" s="4"/>
      <c r="BM89" s="4">
        <f t="shared" si="19"/>
        <v>9.7300000000000011E-2</v>
      </c>
    </row>
    <row r="90" spans="1:65" x14ac:dyDescent="0.3">
      <c r="A90" t="s">
        <v>78</v>
      </c>
      <c r="B90" s="53">
        <f>K90</f>
        <v>0</v>
      </c>
      <c r="C90" s="53">
        <f t="shared" si="13"/>
        <v>0</v>
      </c>
      <c r="D90" s="53">
        <f t="shared" si="14"/>
        <v>0</v>
      </c>
      <c r="E90" s="53">
        <f t="shared" si="15"/>
        <v>0</v>
      </c>
      <c r="F90" s="15">
        <v>1.0409999999999999</v>
      </c>
      <c r="G90" s="4">
        <v>1.149</v>
      </c>
      <c r="H90" t="s">
        <v>57</v>
      </c>
      <c r="I90" t="str">
        <f>VLOOKUP(A90,Setores!$A$2:$C$215,2,0)</f>
        <v>transportation</v>
      </c>
      <c r="J90" t="str">
        <f>VLOOKUP(A90,Setores!$A$2:$C$215,3,0)</f>
        <v>neutral_beta</v>
      </c>
      <c r="K90" s="92">
        <v>0</v>
      </c>
      <c r="L90" s="42">
        <v>0</v>
      </c>
      <c r="M90" s="92">
        <f>VLOOKUP(A90,'Mandato Ibov'!$B$1:$C$215,2,0)</f>
        <v>0</v>
      </c>
      <c r="N90" s="58">
        <f t="shared" si="16"/>
        <v>0</v>
      </c>
      <c r="O90" s="42">
        <f t="shared" si="17"/>
        <v>0</v>
      </c>
      <c r="P90" s="95">
        <f>VLOOKUP(A90,'Mandato Ibov'!$B$2:$D$215,3,0)</f>
        <v>0</v>
      </c>
      <c r="Q90" s="42">
        <f t="shared" si="18"/>
        <v>0</v>
      </c>
      <c r="R90" s="15">
        <v>-0.23899999999999999</v>
      </c>
      <c r="S90" s="15">
        <v>-0.78700000000000003</v>
      </c>
      <c r="T90" s="15">
        <v>-3.0000000000000001E-3</v>
      </c>
      <c r="U90" s="15">
        <v>-0.308</v>
      </c>
      <c r="V90" s="15">
        <v>-0.46400000000000002</v>
      </c>
      <c r="W90" s="15">
        <v>3.1E-2</v>
      </c>
      <c r="X90" s="15">
        <v>0.3</v>
      </c>
      <c r="Y90" s="15">
        <v>-0.35399999999999998</v>
      </c>
      <c r="Z90" s="15">
        <v>0.214</v>
      </c>
      <c r="AA90" s="15">
        <v>0.218</v>
      </c>
      <c r="AB90" s="15">
        <v>0.58199999999999996</v>
      </c>
      <c r="AC90" s="15">
        <v>0.54300000000000004</v>
      </c>
      <c r="AD90" s="15">
        <v>0.53400000000000003</v>
      </c>
      <c r="AE90" s="14">
        <v>2.9000000000000001E-2</v>
      </c>
      <c r="AF90" s="15">
        <v>-0.27800000000000002</v>
      </c>
      <c r="AG90" s="15">
        <v>-1</v>
      </c>
      <c r="AH90" s="15">
        <v>-0.113</v>
      </c>
      <c r="AI90" s="15">
        <v>-0.51700000000000002</v>
      </c>
      <c r="AJ90" s="16">
        <v>0.81599999999999995</v>
      </c>
      <c r="AK90" s="4">
        <v>-0.219</v>
      </c>
      <c r="AL90" s="4">
        <v>0.35099999999999998</v>
      </c>
      <c r="AM90" s="4">
        <v>-0.86199999999999999</v>
      </c>
      <c r="AN90" s="4">
        <v>0.24099999999999999</v>
      </c>
      <c r="AO90" s="4">
        <v>-0.55100000000000005</v>
      </c>
      <c r="AP90" s="4">
        <v>-0.67700000000000005</v>
      </c>
      <c r="AQ90" s="4">
        <v>0.104</v>
      </c>
      <c r="AR90" s="4">
        <v>0.19400000000000001</v>
      </c>
      <c r="AS90" s="4">
        <v>-0.318</v>
      </c>
      <c r="AT90" s="4">
        <v>0.81699999999999995</v>
      </c>
      <c r="AU90" s="4">
        <v>-0.28000000000000003</v>
      </c>
      <c r="AV90" s="4">
        <v>0.17599999999999999</v>
      </c>
      <c r="AW90" s="4">
        <v>0.378</v>
      </c>
      <c r="AX90" s="4">
        <v>0.214</v>
      </c>
      <c r="AY90" s="4">
        <v>0.85099999999999998</v>
      </c>
      <c r="AZ90" s="4">
        <v>0.318</v>
      </c>
      <c r="BA90" s="4">
        <v>0.42099999999999999</v>
      </c>
      <c r="BB90" s="4">
        <v>-0.13100000000000001</v>
      </c>
      <c r="BC90" s="4">
        <v>-0.36199999999999999</v>
      </c>
      <c r="BD90" s="4">
        <v>0.34699999999999998</v>
      </c>
      <c r="BE90" s="4">
        <v>-0.23899999999999999</v>
      </c>
      <c r="BF90" s="4">
        <v>-0.27400000000000002</v>
      </c>
      <c r="BG90" s="4">
        <v>0.75</v>
      </c>
      <c r="BH90" s="4">
        <v>-0.59599999999999997</v>
      </c>
      <c r="BI90" s="4">
        <v>0.24299999999999999</v>
      </c>
      <c r="BJ90" s="4">
        <v>0.36799999999999999</v>
      </c>
      <c r="BK90" s="4">
        <v>0.58799999999999997</v>
      </c>
      <c r="BL90" s="4"/>
      <c r="BM90" s="4">
        <f t="shared" si="19"/>
        <v>2.717499999999996E-2</v>
      </c>
    </row>
    <row r="91" spans="1:65" x14ac:dyDescent="0.3">
      <c r="A91" t="s">
        <v>142</v>
      </c>
      <c r="B91" s="53">
        <f>K91</f>
        <v>0</v>
      </c>
      <c r="C91" s="53">
        <f t="shared" si="13"/>
        <v>0</v>
      </c>
      <c r="D91" s="53">
        <f t="shared" si="14"/>
        <v>0</v>
      </c>
      <c r="E91" s="53">
        <f t="shared" si="15"/>
        <v>0</v>
      </c>
      <c r="F91" s="15">
        <v>1</v>
      </c>
      <c r="G91" s="4">
        <v>0.81699999999999995</v>
      </c>
      <c r="H91" t="s">
        <v>53</v>
      </c>
      <c r="I91" t="str">
        <f>VLOOKUP(A91,Setores!$A$2:$C$215,2,0)</f>
        <v>consumer_staples</v>
      </c>
      <c r="J91" t="str">
        <f>VLOOKUP(A91,Setores!$A$2:$C$215,3,0)</f>
        <v>low_beta</v>
      </c>
      <c r="K91" s="92">
        <v>0</v>
      </c>
      <c r="L91" s="42">
        <v>0</v>
      </c>
      <c r="M91" s="92">
        <f>VLOOKUP(A91,'Mandato Ibov'!$B$1:$C$215,2,0)</f>
        <v>0</v>
      </c>
      <c r="N91" s="58">
        <f t="shared" si="16"/>
        <v>0</v>
      </c>
      <c r="O91" s="42">
        <f t="shared" si="17"/>
        <v>0</v>
      </c>
      <c r="P91" s="95">
        <f>VLOOKUP(A91,'Mandato Ibov'!$B$2:$D$215,3,0)</f>
        <v>0</v>
      </c>
      <c r="Q91" s="42">
        <f t="shared" si="18"/>
        <v>0</v>
      </c>
      <c r="R91" s="15">
        <v>3.1E-2</v>
      </c>
      <c r="S91" s="15">
        <v>-0.48399999999999999</v>
      </c>
      <c r="T91" s="15">
        <v>-9.6000000000000002E-2</v>
      </c>
      <c r="U91" s="15">
        <v>-0.123</v>
      </c>
      <c r="V91" s="15">
        <v>-0.38400000000000001</v>
      </c>
      <c r="W91" s="15">
        <v>-4.5999999999999999E-2</v>
      </c>
      <c r="X91" s="15">
        <v>-0.115</v>
      </c>
      <c r="Y91" s="15">
        <v>-0.61699999999999999</v>
      </c>
      <c r="Z91" s="15">
        <v>0.20499999999999999</v>
      </c>
      <c r="AA91" s="15">
        <v>0.20300000000000001</v>
      </c>
      <c r="AB91" s="15">
        <v>0.65200000000000002</v>
      </c>
      <c r="AC91" s="15">
        <v>0.56100000000000005</v>
      </c>
      <c r="AD91" s="15">
        <v>0.59099999999999997</v>
      </c>
      <c r="AE91" s="14">
        <v>0.33100000000000002</v>
      </c>
      <c r="AF91" s="15">
        <v>0.04</v>
      </c>
      <c r="AG91" s="15">
        <v>-0.85499999999999998</v>
      </c>
      <c r="AH91" s="15">
        <v>-0.58399999999999996</v>
      </c>
      <c r="AI91" s="15">
        <v>-0.80300000000000005</v>
      </c>
      <c r="AJ91" s="16">
        <v>0.03</v>
      </c>
      <c r="AK91" s="4">
        <v>-5.8000000000000003E-2</v>
      </c>
      <c r="AL91" s="4">
        <v>-0.50800000000000001</v>
      </c>
      <c r="AM91" s="4">
        <v>-0.123</v>
      </c>
      <c r="AN91" s="4">
        <v>0.42</v>
      </c>
      <c r="AO91" s="4">
        <v>-0.53800000000000003</v>
      </c>
      <c r="AP91" s="4">
        <v>-0.3</v>
      </c>
      <c r="AQ91" s="4">
        <v>0.38500000000000001</v>
      </c>
      <c r="AR91" s="4">
        <v>0.51900000000000002</v>
      </c>
      <c r="AS91" s="4">
        <v>0.18099999999999999</v>
      </c>
      <c r="AT91" s="4">
        <v>0.13200000000000001</v>
      </c>
      <c r="AU91" s="4">
        <v>-0.35699999999999998</v>
      </c>
      <c r="AV91" s="4">
        <v>0.55700000000000005</v>
      </c>
      <c r="AW91" s="4">
        <v>0.54400000000000004</v>
      </c>
      <c r="AX91" s="4">
        <v>0.26200000000000001</v>
      </c>
      <c r="AY91" s="4">
        <v>0.877</v>
      </c>
      <c r="AZ91" s="4">
        <v>1</v>
      </c>
      <c r="BA91" s="4">
        <v>0.64400000000000002</v>
      </c>
      <c r="BB91" s="4">
        <v>9.0999999999999998E-2</v>
      </c>
      <c r="BC91" s="4">
        <v>-6.0000000000000001E-3</v>
      </c>
      <c r="BD91" s="4">
        <v>0.51500000000000001</v>
      </c>
      <c r="BE91" s="4">
        <v>7.9000000000000001E-2</v>
      </c>
      <c r="BF91" s="4">
        <v>1</v>
      </c>
      <c r="BG91" s="4">
        <v>0.111</v>
      </c>
      <c r="BH91" s="4">
        <v>-3.2000000000000001E-2</v>
      </c>
      <c r="BI91" s="4">
        <v>-0.247</v>
      </c>
      <c r="BJ91" s="4">
        <v>0.52600000000000002</v>
      </c>
      <c r="BK91" s="4">
        <v>7.2999999999999995E-2</v>
      </c>
      <c r="BL91" s="4"/>
      <c r="BM91" s="4">
        <f t="shared" si="19"/>
        <v>0.11522500000000002</v>
      </c>
    </row>
    <row r="92" spans="1:65" x14ac:dyDescent="0.3">
      <c r="A92" t="s">
        <v>108</v>
      </c>
      <c r="B92" s="53">
        <f>K92</f>
        <v>0</v>
      </c>
      <c r="C92" s="53">
        <f t="shared" si="13"/>
        <v>0</v>
      </c>
      <c r="D92" s="53">
        <f t="shared" si="14"/>
        <v>0</v>
      </c>
      <c r="E92" s="53">
        <f t="shared" si="15"/>
        <v>0</v>
      </c>
      <c r="F92" s="15">
        <v>0.98599999999999999</v>
      </c>
      <c r="G92" s="4">
        <v>1.3129999999999999</v>
      </c>
      <c r="H92" t="s">
        <v>55</v>
      </c>
      <c r="I92" t="str">
        <f>VLOOKUP(A92,Setores!$A$2:$C$215,2,0)</f>
        <v>utilities</v>
      </c>
      <c r="J92" t="str">
        <f>VLOOKUP(A92,Setores!$A$2:$C$215,3,0)</f>
        <v>very_low_beta</v>
      </c>
      <c r="K92" s="92">
        <v>0</v>
      </c>
      <c r="L92" s="42">
        <v>0</v>
      </c>
      <c r="M92" s="92">
        <f>VLOOKUP(A92,'Mandato Ibov'!$B$1:$C$215,2,0)</f>
        <v>0</v>
      </c>
      <c r="N92" s="58">
        <f t="shared" si="16"/>
        <v>0</v>
      </c>
      <c r="O92" s="42">
        <f t="shared" si="17"/>
        <v>0</v>
      </c>
      <c r="P92" s="95">
        <f>VLOOKUP(A92,'Mandato Ibov'!$B$2:$D$215,3,0)</f>
        <v>0</v>
      </c>
      <c r="Q92" s="42">
        <f t="shared" si="18"/>
        <v>0</v>
      </c>
      <c r="R92" s="15">
        <v>-0.621</v>
      </c>
      <c r="S92" s="15">
        <v>-0.76400000000000001</v>
      </c>
      <c r="T92" s="15">
        <v>-0.72499999999999998</v>
      </c>
      <c r="U92" s="15">
        <v>-0.45300000000000001</v>
      </c>
      <c r="V92" s="15">
        <v>-0.70699999999999996</v>
      </c>
      <c r="W92" s="15">
        <v>0.04</v>
      </c>
      <c r="X92" s="15">
        <v>0.67300000000000004</v>
      </c>
      <c r="Y92" s="15">
        <v>-0.308</v>
      </c>
      <c r="Z92" s="15">
        <v>0.57099999999999995</v>
      </c>
      <c r="AA92" s="15">
        <v>0.56899999999999995</v>
      </c>
      <c r="AB92" s="15">
        <v>0.61499999999999999</v>
      </c>
      <c r="AC92" s="15">
        <v>0.72</v>
      </c>
      <c r="AD92" s="15">
        <v>0.57899999999999996</v>
      </c>
      <c r="AE92" s="14">
        <v>-0.26500000000000001</v>
      </c>
      <c r="AF92" s="15">
        <v>-0.52800000000000002</v>
      </c>
      <c r="AG92" s="15">
        <v>-0.70599999999999996</v>
      </c>
      <c r="AH92" s="15">
        <v>-0.76100000000000001</v>
      </c>
      <c r="AI92" s="15">
        <v>-0.70899999999999996</v>
      </c>
      <c r="AJ92" s="16">
        <v>-0.88100000000000001</v>
      </c>
      <c r="AK92" s="4">
        <v>-0.182</v>
      </c>
      <c r="AL92" s="4">
        <v>0.19400000000000001</v>
      </c>
      <c r="AM92" s="4">
        <v>-0.59899999999999998</v>
      </c>
      <c r="AN92" s="4">
        <v>-0.21299999999999999</v>
      </c>
      <c r="AO92" s="4">
        <v>-0.28999999999999998</v>
      </c>
      <c r="AP92" s="4">
        <v>1.4E-2</v>
      </c>
      <c r="AQ92" s="4">
        <v>-0.13600000000000001</v>
      </c>
      <c r="AR92" s="4">
        <v>0.17599999999999999</v>
      </c>
      <c r="AS92" s="4">
        <v>0.124</v>
      </c>
      <c r="AT92" s="4">
        <v>0.113</v>
      </c>
      <c r="AU92" s="4">
        <v>0.53700000000000003</v>
      </c>
      <c r="AV92" s="4">
        <v>2.1999999999999999E-2</v>
      </c>
      <c r="AW92" s="4">
        <v>0.9</v>
      </c>
      <c r="AX92" s="4">
        <v>-0.84499999999999997</v>
      </c>
      <c r="AY92" s="4">
        <v>0.438</v>
      </c>
      <c r="AZ92" s="4">
        <v>3.7999999999999999E-2</v>
      </c>
      <c r="BA92" s="4">
        <v>0.22900000000000001</v>
      </c>
      <c r="BB92" s="4">
        <v>-0.16400000000000001</v>
      </c>
      <c r="BC92" s="4">
        <v>-0.36799999999999999</v>
      </c>
      <c r="BD92" s="4">
        <v>0.35899999999999999</v>
      </c>
      <c r="BE92" s="4">
        <v>-0.192</v>
      </c>
      <c r="BF92" s="4">
        <v>4.1000000000000002E-2</v>
      </c>
      <c r="BG92" s="4">
        <v>0.86599999999999999</v>
      </c>
      <c r="BH92" s="4">
        <v>-0.36399999999999999</v>
      </c>
      <c r="BI92" s="4">
        <v>-0.34599999999999997</v>
      </c>
      <c r="BJ92" s="4">
        <v>1</v>
      </c>
      <c r="BK92" s="4">
        <v>5.3999999999999999E-2</v>
      </c>
      <c r="BL92" s="4"/>
      <c r="BM92" s="4">
        <f t="shared" si="19"/>
        <v>9.7250000000000017E-2</v>
      </c>
    </row>
    <row r="93" spans="1:65" x14ac:dyDescent="0.3">
      <c r="A93" t="s">
        <v>185</v>
      </c>
      <c r="B93" s="53">
        <v>7.0000000000000001E-3</v>
      </c>
      <c r="C93" s="53">
        <f t="shared" si="13"/>
        <v>-1.0999999999999999E-2</v>
      </c>
      <c r="D93" s="53">
        <f t="shared" si="14"/>
        <v>7.0000000000000001E-3</v>
      </c>
      <c r="E93" s="53">
        <f t="shared" si="15"/>
        <v>1.7999999999999999E-2</v>
      </c>
      <c r="F93" s="15">
        <v>0.97299999999999998</v>
      </c>
      <c r="G93" s="4">
        <v>2.06</v>
      </c>
      <c r="H93" t="s">
        <v>55</v>
      </c>
      <c r="I93" t="str">
        <f>VLOOKUP(A93,Setores!$A$2:$C$215,2,0)</f>
        <v>utilities</v>
      </c>
      <c r="J93" t="str">
        <f>VLOOKUP(A93,Setores!$A$2:$C$215,3,0)</f>
        <v>neutral_beta</v>
      </c>
      <c r="K93" s="92">
        <v>0</v>
      </c>
      <c r="L93" s="42">
        <v>-1.7999999999999999E-2</v>
      </c>
      <c r="M93" s="92">
        <f>VLOOKUP(A93,'Mandato Ibov'!$B$1:$C$215,2,0)</f>
        <v>0</v>
      </c>
      <c r="N93" s="58">
        <f t="shared" si="16"/>
        <v>0</v>
      </c>
      <c r="O93" s="42">
        <f t="shared" si="17"/>
        <v>7.0000000000000001E-3</v>
      </c>
      <c r="P93" s="95">
        <f>VLOOKUP(A93,'Mandato Ibov'!$B$2:$D$215,3,0)</f>
        <v>3.4397874562385501E-2</v>
      </c>
      <c r="Q93" s="42">
        <f t="shared" si="18"/>
        <v>-3.4397874562385501E-2</v>
      </c>
      <c r="R93" s="15">
        <v>-0.60599999999999998</v>
      </c>
      <c r="S93" s="15">
        <v>-0.51500000000000001</v>
      </c>
      <c r="T93" s="15">
        <v>-0.92200000000000004</v>
      </c>
      <c r="U93" s="15">
        <v>-0.45100000000000001</v>
      </c>
      <c r="V93" s="15">
        <v>-0.75900000000000001</v>
      </c>
      <c r="W93" s="15">
        <v>-7.0999999999999994E-2</v>
      </c>
      <c r="X93" s="15">
        <v>8.8999999999999996E-2</v>
      </c>
      <c r="Y93" s="15">
        <v>-0.13800000000000001</v>
      </c>
      <c r="Z93" s="15">
        <v>0.33500000000000002</v>
      </c>
      <c r="AA93" s="15">
        <v>0.33700000000000002</v>
      </c>
      <c r="AB93" s="15">
        <v>0.74099999999999999</v>
      </c>
      <c r="AC93" s="15">
        <v>0.79600000000000004</v>
      </c>
      <c r="AD93" s="15">
        <v>0.67200000000000004</v>
      </c>
      <c r="AE93" s="14">
        <v>-0.76600000000000001</v>
      </c>
      <c r="AF93" s="15">
        <v>-0.47</v>
      </c>
      <c r="AG93" s="15">
        <v>6.5000000000000002E-2</v>
      </c>
      <c r="AH93" s="15">
        <v>-0.94599999999999995</v>
      </c>
      <c r="AI93" s="15">
        <v>-0.435</v>
      </c>
      <c r="AJ93" s="16">
        <v>-0.93899999999999995</v>
      </c>
      <c r="AK93" s="4">
        <v>-0.34499999999999997</v>
      </c>
      <c r="AL93" s="4">
        <v>-0.23</v>
      </c>
      <c r="AM93" s="4">
        <v>-0.65900000000000003</v>
      </c>
      <c r="AN93" s="4">
        <v>-0.55400000000000005</v>
      </c>
      <c r="AO93" s="4">
        <v>0.40300000000000002</v>
      </c>
      <c r="AP93" s="4">
        <v>0.82399999999999995</v>
      </c>
      <c r="AQ93" s="4">
        <v>0.254</v>
      </c>
      <c r="AR93" s="4">
        <v>0.30099999999999999</v>
      </c>
      <c r="AS93" s="4">
        <v>0.45400000000000001</v>
      </c>
      <c r="AT93" s="4">
        <v>4.0000000000000001E-3</v>
      </c>
      <c r="AU93" s="4">
        <v>-0.29399999999999998</v>
      </c>
      <c r="AV93" s="4">
        <v>-0.27900000000000003</v>
      </c>
      <c r="AW93" s="4">
        <v>0.66200000000000003</v>
      </c>
      <c r="AX93" s="4">
        <v>-0.53800000000000003</v>
      </c>
      <c r="AY93" s="4">
        <v>0.94599999999999995</v>
      </c>
      <c r="AZ93" s="4">
        <v>1</v>
      </c>
      <c r="BA93" s="4">
        <v>0.56499999999999995</v>
      </c>
      <c r="BB93" s="4">
        <v>0.152</v>
      </c>
      <c r="BC93" s="4">
        <v>-0.38</v>
      </c>
      <c r="BD93" s="4">
        <v>0.38300000000000001</v>
      </c>
      <c r="BE93" s="4">
        <v>-0.23499999999999999</v>
      </c>
      <c r="BF93" s="4">
        <v>-0.18099999999999999</v>
      </c>
      <c r="BG93" s="4">
        <v>0.8</v>
      </c>
      <c r="BH93" s="4">
        <v>-0.89</v>
      </c>
      <c r="BI93" s="4">
        <v>-0.11700000000000001</v>
      </c>
      <c r="BJ93" s="4">
        <v>-0.37</v>
      </c>
      <c r="BK93" s="4">
        <v>-0.45100000000000001</v>
      </c>
      <c r="BL93" s="4"/>
      <c r="BM93" s="4">
        <f t="shared" si="19"/>
        <v>0.18082500000000001</v>
      </c>
    </row>
    <row r="94" spans="1:65" x14ac:dyDescent="0.3">
      <c r="A94" t="s">
        <v>154</v>
      </c>
      <c r="B94" s="53">
        <f t="shared" ref="B94:B104" si="21">K94</f>
        <v>0</v>
      </c>
      <c r="C94" s="53">
        <f t="shared" si="13"/>
        <v>-8.9999999999999993E-3</v>
      </c>
      <c r="D94" s="53">
        <f t="shared" si="14"/>
        <v>0</v>
      </c>
      <c r="E94" s="53">
        <f t="shared" si="15"/>
        <v>8.9999999999999993E-3</v>
      </c>
      <c r="F94" s="15">
        <v>0.97</v>
      </c>
      <c r="G94" s="4">
        <v>1.722</v>
      </c>
      <c r="H94" t="s">
        <v>55</v>
      </c>
      <c r="I94" t="str">
        <f>VLOOKUP(A94,Setores!$A$2:$C$215,2,0)</f>
        <v>utilities</v>
      </c>
      <c r="J94" t="str">
        <f>VLOOKUP(A94,Setores!$A$2:$C$215,3,0)</f>
        <v>low_beta</v>
      </c>
      <c r="K94" s="92">
        <v>0</v>
      </c>
      <c r="L94" s="42">
        <v>-8.9999999999999993E-3</v>
      </c>
      <c r="M94" s="92">
        <f>VLOOKUP(A94,'Mandato Ibov'!$B$1:$C$215,2,0)</f>
        <v>0</v>
      </c>
      <c r="N94" s="58">
        <f t="shared" si="16"/>
        <v>0</v>
      </c>
      <c r="O94" s="42">
        <f t="shared" si="17"/>
        <v>0</v>
      </c>
      <c r="P94" s="95">
        <f>VLOOKUP(A94,'Mandato Ibov'!$B$2:$D$215,3,0)</f>
        <v>1.64010246841047E-2</v>
      </c>
      <c r="Q94" s="42">
        <f t="shared" si="18"/>
        <v>-1.64010246841047E-2</v>
      </c>
      <c r="R94" s="15">
        <v>-0.82</v>
      </c>
      <c r="S94" s="15">
        <v>-0.67300000000000004</v>
      </c>
      <c r="T94" s="15">
        <v>-0.93</v>
      </c>
      <c r="U94" s="15">
        <v>-0.627</v>
      </c>
      <c r="V94" s="15">
        <v>-0.75</v>
      </c>
      <c r="W94" s="15">
        <v>-0.24</v>
      </c>
      <c r="X94" s="15">
        <v>0.124</v>
      </c>
      <c r="Y94" s="15">
        <v>0.13200000000000001</v>
      </c>
      <c r="Z94" s="15">
        <v>0.54900000000000004</v>
      </c>
      <c r="AA94" s="15">
        <v>0.55200000000000005</v>
      </c>
      <c r="AB94" s="15">
        <v>0.64900000000000002</v>
      </c>
      <c r="AC94" s="15">
        <v>0.65500000000000003</v>
      </c>
      <c r="AD94" s="15">
        <v>0.58599999999999997</v>
      </c>
      <c r="AE94" s="14">
        <v>-0.77500000000000002</v>
      </c>
      <c r="AF94" s="15">
        <v>-0.68899999999999995</v>
      </c>
      <c r="AG94" s="15">
        <v>0.20200000000000001</v>
      </c>
      <c r="AH94" s="15">
        <v>-0.878</v>
      </c>
      <c r="AI94" s="15">
        <v>-0.496</v>
      </c>
      <c r="AJ94" s="16">
        <v>-0.96599999999999997</v>
      </c>
      <c r="AK94" s="4">
        <v>-0.32400000000000001</v>
      </c>
      <c r="AL94" s="4">
        <v>0.56499999999999995</v>
      </c>
      <c r="AM94" s="4">
        <v>-0.52200000000000002</v>
      </c>
      <c r="AN94" s="4">
        <v>-0.55000000000000004</v>
      </c>
      <c r="AO94" s="4">
        <v>0.27700000000000002</v>
      </c>
      <c r="AP94" s="4">
        <v>0.55900000000000005</v>
      </c>
      <c r="AQ94" s="4">
        <v>-0.23799999999999999</v>
      </c>
      <c r="AR94" s="4">
        <v>0.187</v>
      </c>
      <c r="AS94" s="4">
        <v>-0.246</v>
      </c>
      <c r="AT94" s="4">
        <v>0.2</v>
      </c>
      <c r="AU94" s="4">
        <v>-0.33100000000000002</v>
      </c>
      <c r="AV94" s="4">
        <v>-0.55800000000000005</v>
      </c>
      <c r="AW94" s="4">
        <v>0.55300000000000005</v>
      </c>
      <c r="AX94" s="4">
        <v>-0.59699999999999998</v>
      </c>
      <c r="AY94" s="4">
        <v>0.85299999999999998</v>
      </c>
      <c r="AZ94" s="4">
        <v>0.41</v>
      </c>
      <c r="BA94" s="4">
        <v>-0.40600000000000003</v>
      </c>
      <c r="BB94" s="4">
        <v>-0.432</v>
      </c>
      <c r="BC94" s="4">
        <v>-0.66500000000000004</v>
      </c>
      <c r="BD94" s="4">
        <v>0.222</v>
      </c>
      <c r="BE94" s="4">
        <v>8.5999999999999993E-2</v>
      </c>
      <c r="BF94" s="4">
        <v>0.25</v>
      </c>
      <c r="BG94" s="4">
        <v>0.98299999999999998</v>
      </c>
      <c r="BH94" s="4">
        <v>-0.65400000000000003</v>
      </c>
      <c r="BI94" s="4">
        <v>-0.29299999999999998</v>
      </c>
      <c r="BJ94" s="4">
        <v>-0.114</v>
      </c>
      <c r="BK94" s="4">
        <v>-0.378</v>
      </c>
      <c r="BL94" s="4"/>
      <c r="BM94" s="4">
        <f t="shared" si="19"/>
        <v>7.1500000000000008E-2</v>
      </c>
    </row>
    <row r="95" spans="1:65" x14ac:dyDescent="0.3">
      <c r="A95" t="s">
        <v>61</v>
      </c>
      <c r="B95" s="53">
        <f t="shared" si="21"/>
        <v>0</v>
      </c>
      <c r="C95" s="53">
        <f t="shared" si="13"/>
        <v>0</v>
      </c>
      <c r="D95" s="53">
        <f t="shared" si="14"/>
        <v>0</v>
      </c>
      <c r="E95" s="53">
        <f t="shared" si="15"/>
        <v>0</v>
      </c>
      <c r="F95" s="15">
        <v>0.92800000000000005</v>
      </c>
      <c r="G95" s="4">
        <v>1.0589999999999999</v>
      </c>
      <c r="H95" t="s">
        <v>57</v>
      </c>
      <c r="I95" t="str">
        <f>VLOOKUP(A95,Setores!$A$2:$C$215,2,0)</f>
        <v>homebuilders</v>
      </c>
      <c r="J95" t="str">
        <f>VLOOKUP(A95,Setores!$A$2:$C$215,3,0)</f>
        <v>high_beta</v>
      </c>
      <c r="K95" s="92">
        <v>0</v>
      </c>
      <c r="L95" s="42">
        <v>0</v>
      </c>
      <c r="M95" s="92">
        <f>VLOOKUP(A95,'Mandato Ibov'!$B$1:$C$215,2,0)</f>
        <v>0</v>
      </c>
      <c r="N95" s="58">
        <f t="shared" si="16"/>
        <v>0</v>
      </c>
      <c r="O95" s="42">
        <f t="shared" si="17"/>
        <v>0</v>
      </c>
      <c r="P95" s="95">
        <f>VLOOKUP(A95,'Mandato Ibov'!$B$2:$D$215,3,0)</f>
        <v>0</v>
      </c>
      <c r="Q95" s="42">
        <f t="shared" si="18"/>
        <v>0</v>
      </c>
      <c r="R95" s="15">
        <v>-0.434</v>
      </c>
      <c r="S95" s="15">
        <v>-0.75600000000000001</v>
      </c>
      <c r="T95" s="15">
        <v>-0.13900000000000001</v>
      </c>
      <c r="U95" s="15">
        <v>-0.52200000000000002</v>
      </c>
      <c r="V95" s="15">
        <v>-0.51700000000000002</v>
      </c>
      <c r="W95" s="15">
        <v>-0.113</v>
      </c>
      <c r="X95" s="15">
        <v>0.14799999999999999</v>
      </c>
      <c r="Y95" s="15">
        <v>-0.216</v>
      </c>
      <c r="Z95" s="15">
        <v>0.121</v>
      </c>
      <c r="AA95" s="15">
        <v>0.11799999999999999</v>
      </c>
      <c r="AB95" s="15">
        <v>0.434</v>
      </c>
      <c r="AC95" s="15">
        <v>0.66600000000000004</v>
      </c>
      <c r="AD95" s="15">
        <v>0.56100000000000005</v>
      </c>
      <c r="AE95" s="14">
        <v>-0.46</v>
      </c>
      <c r="AF95" s="15">
        <v>0.246</v>
      </c>
      <c r="AG95" s="15">
        <v>-0.54</v>
      </c>
      <c r="AH95" s="15">
        <v>8.9999999999999993E-3</v>
      </c>
      <c r="AI95" s="15">
        <v>0.20200000000000001</v>
      </c>
      <c r="AJ95" s="16">
        <v>-0.224</v>
      </c>
      <c r="AK95" s="4">
        <v>-0.246</v>
      </c>
      <c r="AL95" s="4">
        <v>0.64600000000000002</v>
      </c>
      <c r="AM95" s="4">
        <v>-0.56100000000000005</v>
      </c>
      <c r="AN95" s="4">
        <v>0.29499999999999998</v>
      </c>
      <c r="AO95" s="4">
        <v>-0.46500000000000002</v>
      </c>
      <c r="AP95" s="4">
        <v>-0.90600000000000003</v>
      </c>
      <c r="AQ95" s="4">
        <v>0.25600000000000001</v>
      </c>
      <c r="AR95" s="4">
        <v>9.7000000000000003E-2</v>
      </c>
      <c r="AS95" s="4">
        <v>-0.48199999999999998</v>
      </c>
      <c r="AT95" s="4">
        <v>8.8999999999999996E-2</v>
      </c>
      <c r="AU95" s="4">
        <v>-0.15</v>
      </c>
      <c r="AV95" s="4">
        <v>-0.54100000000000004</v>
      </c>
      <c r="AW95" s="4">
        <v>0.16700000000000001</v>
      </c>
      <c r="AX95" s="4">
        <v>0.188</v>
      </c>
      <c r="AY95" s="4">
        <v>0.434</v>
      </c>
      <c r="AZ95" s="4">
        <v>0.63900000000000001</v>
      </c>
      <c r="BA95" s="4">
        <v>0.41299999999999998</v>
      </c>
      <c r="BB95" s="4">
        <v>-0.42099999999999999</v>
      </c>
      <c r="BC95" s="4">
        <v>-0.34</v>
      </c>
      <c r="BD95" s="4">
        <v>-0.53100000000000003</v>
      </c>
      <c r="BE95" s="4">
        <v>0.76500000000000001</v>
      </c>
      <c r="BF95" s="4">
        <v>0.25900000000000001</v>
      </c>
      <c r="BG95" s="4">
        <v>0.73299999999999998</v>
      </c>
      <c r="BH95" s="4">
        <v>-0.81699999999999995</v>
      </c>
      <c r="BI95" s="4">
        <v>0.54400000000000004</v>
      </c>
      <c r="BJ95" s="4">
        <v>0.436</v>
      </c>
      <c r="BK95" s="4">
        <v>0.20799999999999999</v>
      </c>
      <c r="BL95" s="4"/>
      <c r="BM95" s="4">
        <f t="shared" si="19"/>
        <v>-0.14400000000000002</v>
      </c>
    </row>
    <row r="96" spans="1:65" x14ac:dyDescent="0.3">
      <c r="A96" t="s">
        <v>203</v>
      </c>
      <c r="B96" s="53">
        <f t="shared" si="21"/>
        <v>0</v>
      </c>
      <c r="C96" s="53">
        <f t="shared" si="13"/>
        <v>-3.0000000000000001E-3</v>
      </c>
      <c r="D96" s="53">
        <f t="shared" si="14"/>
        <v>0</v>
      </c>
      <c r="E96" s="53">
        <f t="shared" si="15"/>
        <v>3.0000000000000001E-3</v>
      </c>
      <c r="F96" s="15">
        <v>0.90800000000000003</v>
      </c>
      <c r="G96" s="4">
        <v>1.075</v>
      </c>
      <c r="H96" t="s">
        <v>53</v>
      </c>
      <c r="I96" t="str">
        <f>VLOOKUP(A96,Setores!$A$2:$C$215,2,0)</f>
        <v>healthcare</v>
      </c>
      <c r="J96" t="str">
        <f>VLOOKUP(A96,Setores!$A$2:$C$215,3,0)</f>
        <v>very_low_beta</v>
      </c>
      <c r="K96" s="92">
        <v>0</v>
      </c>
      <c r="L96" s="42">
        <v>-3.0000000000000001E-3</v>
      </c>
      <c r="M96" s="92">
        <f>VLOOKUP(A96,'Mandato Ibov'!$B$1:$C$215,2,0)</f>
        <v>0</v>
      </c>
      <c r="N96" s="58">
        <f t="shared" si="16"/>
        <v>0</v>
      </c>
      <c r="O96" s="42">
        <f t="shared" si="17"/>
        <v>0</v>
      </c>
      <c r="P96" s="95">
        <f>VLOOKUP(A96,'Mandato Ibov'!$B$2:$D$215,3,0)</f>
        <v>0</v>
      </c>
      <c r="Q96" s="42">
        <f t="shared" si="18"/>
        <v>0</v>
      </c>
      <c r="R96" s="15">
        <v>-0.221</v>
      </c>
      <c r="S96" s="15">
        <v>-0.45300000000000001</v>
      </c>
      <c r="T96" s="15">
        <v>-0.72099999999999997</v>
      </c>
      <c r="U96" s="15">
        <v>-0.25</v>
      </c>
      <c r="V96" s="15">
        <v>-0.63500000000000001</v>
      </c>
      <c r="W96" s="15">
        <v>2E-3</v>
      </c>
      <c r="X96" s="15">
        <v>0.29899999999999999</v>
      </c>
      <c r="Y96" s="15">
        <v>-0.52200000000000002</v>
      </c>
      <c r="Z96" s="15">
        <v>0.13700000000000001</v>
      </c>
      <c r="AA96" s="15">
        <v>0.13800000000000001</v>
      </c>
      <c r="AB96" s="15">
        <v>0.626</v>
      </c>
      <c r="AC96" s="15">
        <v>0.72199999999999998</v>
      </c>
      <c r="AD96" s="15">
        <v>0.56399999999999995</v>
      </c>
      <c r="AE96" s="14">
        <v>2.3E-2</v>
      </c>
      <c r="AF96" s="15">
        <v>-0.38100000000000001</v>
      </c>
      <c r="AG96" s="15">
        <v>-0.64900000000000002</v>
      </c>
      <c r="AH96" s="15">
        <v>-0.83</v>
      </c>
      <c r="AI96" s="15">
        <v>-0.77</v>
      </c>
      <c r="AJ96" s="16">
        <v>-0.78400000000000003</v>
      </c>
      <c r="AK96" s="4">
        <v>-0.17699999999999999</v>
      </c>
      <c r="AL96" s="4">
        <v>-0.35099999999999998</v>
      </c>
      <c r="AM96" s="4">
        <v>-0.51400000000000001</v>
      </c>
      <c r="AN96" s="4">
        <v>0.28000000000000003</v>
      </c>
      <c r="AO96" s="4">
        <v>-0.379</v>
      </c>
      <c r="AP96" s="4">
        <v>0.23899999999999999</v>
      </c>
      <c r="AQ96" s="4">
        <v>-1E-3</v>
      </c>
      <c r="AR96" s="4">
        <v>1</v>
      </c>
      <c r="AS96" s="4">
        <v>0.755</v>
      </c>
      <c r="AT96" s="4">
        <v>9.5000000000000001E-2</v>
      </c>
      <c r="AU96" s="4">
        <v>0.26</v>
      </c>
      <c r="AV96" s="4">
        <v>0.46</v>
      </c>
      <c r="AW96" s="4">
        <v>0.441</v>
      </c>
      <c r="AX96" s="4">
        <v>-0.36699999999999999</v>
      </c>
      <c r="AY96" s="4">
        <v>0.81499999999999995</v>
      </c>
      <c r="AZ96" s="4">
        <v>0.53600000000000003</v>
      </c>
      <c r="BA96" s="4">
        <v>0.92500000000000004</v>
      </c>
      <c r="BB96" s="4">
        <v>-0.127</v>
      </c>
      <c r="BC96" s="4">
        <v>-0.29899999999999999</v>
      </c>
      <c r="BD96" s="4">
        <v>0.39700000000000002</v>
      </c>
      <c r="BE96" s="4">
        <v>-0.76100000000000001</v>
      </c>
      <c r="BF96" s="4">
        <v>-0.16700000000000001</v>
      </c>
      <c r="BG96" s="4">
        <v>0.45900000000000002</v>
      </c>
      <c r="BH96" s="4">
        <v>0.109</v>
      </c>
      <c r="BI96" s="4">
        <v>-0.377</v>
      </c>
      <c r="BJ96" s="4">
        <v>8.0000000000000002E-3</v>
      </c>
      <c r="BK96" s="4">
        <v>-0.39</v>
      </c>
      <c r="BL96" s="4"/>
      <c r="BM96" s="4">
        <f t="shared" si="19"/>
        <v>0.18590000000000001</v>
      </c>
    </row>
    <row r="97" spans="1:65" x14ac:dyDescent="0.3">
      <c r="A97" t="s">
        <v>210</v>
      </c>
      <c r="B97" s="53">
        <f t="shared" si="21"/>
        <v>0</v>
      </c>
      <c r="C97" s="53">
        <f t="shared" si="13"/>
        <v>-4.2000000000000003E-2</v>
      </c>
      <c r="D97" s="53">
        <f t="shared" si="14"/>
        <v>0</v>
      </c>
      <c r="E97" s="53">
        <f t="shared" si="15"/>
        <v>4.2000000000000003E-2</v>
      </c>
      <c r="F97" s="15">
        <v>0.89200000000000002</v>
      </c>
      <c r="G97" s="4">
        <v>1.9419999999999999</v>
      </c>
      <c r="H97" t="s">
        <v>55</v>
      </c>
      <c r="I97" t="str">
        <f>VLOOKUP(A97,Setores!$A$2:$C$215,2,0)</f>
        <v>utilities</v>
      </c>
      <c r="J97" t="str">
        <f>VLOOKUP(A97,Setores!$A$2:$C$215,3,0)</f>
        <v>high_beta</v>
      </c>
      <c r="K97" s="92">
        <v>0</v>
      </c>
      <c r="L97" s="42">
        <v>-4.2000000000000003E-2</v>
      </c>
      <c r="M97" s="92">
        <f>VLOOKUP(A97,'Mandato Ibov'!$B$1:$C$215,2,0)</f>
        <v>0</v>
      </c>
      <c r="N97" s="58">
        <f t="shared" si="16"/>
        <v>0</v>
      </c>
      <c r="O97" s="42">
        <f t="shared" si="17"/>
        <v>0</v>
      </c>
      <c r="P97" s="95">
        <f>VLOOKUP(A97,'Mandato Ibov'!$B$2:$D$215,3,0)</f>
        <v>3.8499620798201198E-2</v>
      </c>
      <c r="Q97" s="42">
        <f t="shared" si="18"/>
        <v>-3.8499620798201198E-2</v>
      </c>
      <c r="R97" s="15">
        <v>-0.52300000000000002</v>
      </c>
      <c r="S97" s="15">
        <v>-0.47499999999999998</v>
      </c>
      <c r="T97" s="15">
        <v>-0.90600000000000003</v>
      </c>
      <c r="U97" s="15">
        <v>-0.34200000000000003</v>
      </c>
      <c r="V97" s="15">
        <v>-0.72199999999999998</v>
      </c>
      <c r="W97" s="15">
        <v>-0.11899999999999999</v>
      </c>
      <c r="X97" s="15">
        <v>0.109</v>
      </c>
      <c r="Y97" s="15">
        <v>-0.38100000000000001</v>
      </c>
      <c r="Z97" s="15">
        <v>0.33100000000000002</v>
      </c>
      <c r="AA97" s="15">
        <v>0.33300000000000002</v>
      </c>
      <c r="AB97" s="15">
        <v>0.78</v>
      </c>
      <c r="AC97" s="15">
        <v>0.92900000000000005</v>
      </c>
      <c r="AD97" s="15">
        <v>0.63600000000000001</v>
      </c>
      <c r="AE97" s="14">
        <v>-0.46</v>
      </c>
      <c r="AF97" s="15">
        <v>-0.252</v>
      </c>
      <c r="AG97" s="15">
        <v>1.4E-2</v>
      </c>
      <c r="AH97" s="15">
        <v>-1</v>
      </c>
      <c r="AI97" s="15">
        <v>-0.69199999999999995</v>
      </c>
      <c r="AJ97" s="16">
        <v>-0.86499999999999999</v>
      </c>
      <c r="AK97" s="4">
        <v>-0.378</v>
      </c>
      <c r="AL97" s="4">
        <v>-0.59699999999999998</v>
      </c>
      <c r="AM97" s="4">
        <v>-0.55300000000000005</v>
      </c>
      <c r="AN97" s="4">
        <v>-0.23400000000000001</v>
      </c>
      <c r="AO97" s="4">
        <v>0.28799999999999998</v>
      </c>
      <c r="AP97" s="4">
        <v>0.378</v>
      </c>
      <c r="AQ97" s="4">
        <v>0.46899999999999997</v>
      </c>
      <c r="AR97" s="4">
        <v>1</v>
      </c>
      <c r="AS97" s="4">
        <v>0.65</v>
      </c>
      <c r="AT97" s="4">
        <v>-0.216</v>
      </c>
      <c r="AU97" s="4">
        <v>2E-3</v>
      </c>
      <c r="AV97" s="4">
        <v>0.14499999999999999</v>
      </c>
      <c r="AW97" s="4">
        <v>0.252</v>
      </c>
      <c r="AX97" s="4">
        <v>-0.58199999999999996</v>
      </c>
      <c r="AY97" s="4">
        <v>0.63900000000000001</v>
      </c>
      <c r="AZ97" s="4">
        <v>0.32900000000000001</v>
      </c>
      <c r="BA97" s="4">
        <v>8.0000000000000002E-3</v>
      </c>
      <c r="BB97" s="4">
        <v>-7.3999999999999996E-2</v>
      </c>
      <c r="BC97" s="4">
        <v>-0.29499999999999998</v>
      </c>
      <c r="BD97" s="4">
        <v>0.71299999999999997</v>
      </c>
      <c r="BE97" s="4">
        <v>0.27300000000000002</v>
      </c>
      <c r="BF97" s="4">
        <v>0.71399999999999997</v>
      </c>
      <c r="BG97" s="4">
        <v>0.83499999999999996</v>
      </c>
      <c r="BH97" s="4">
        <v>-0.66600000000000004</v>
      </c>
      <c r="BI97" s="4">
        <v>7.0999999999999994E-2</v>
      </c>
      <c r="BJ97" s="4">
        <v>-0.26</v>
      </c>
      <c r="BK97" s="4">
        <v>-1</v>
      </c>
      <c r="BL97" s="4"/>
      <c r="BM97" s="4">
        <f t="shared" si="19"/>
        <v>0.15882499999999999</v>
      </c>
    </row>
    <row r="98" spans="1:65" x14ac:dyDescent="0.3">
      <c r="A98" t="s">
        <v>111</v>
      </c>
      <c r="B98" s="53">
        <f t="shared" si="21"/>
        <v>0</v>
      </c>
      <c r="C98" s="53">
        <f t="shared" si="13"/>
        <v>0</v>
      </c>
      <c r="D98" s="53">
        <f t="shared" si="14"/>
        <v>0</v>
      </c>
      <c r="E98" s="53">
        <f t="shared" si="15"/>
        <v>0</v>
      </c>
      <c r="F98" s="15">
        <v>0.88500000000000001</v>
      </c>
      <c r="G98" s="4">
        <v>0.80100000000000005</v>
      </c>
      <c r="H98" t="s">
        <v>53</v>
      </c>
      <c r="I98" t="str">
        <f>VLOOKUP(A98,Setores!$A$2:$C$215,2,0)</f>
        <v>consumer_staples</v>
      </c>
      <c r="J98" t="str">
        <f>VLOOKUP(A98,Setores!$A$2:$C$215,3,0)</f>
        <v>very_high_beta</v>
      </c>
      <c r="K98" s="92">
        <v>0</v>
      </c>
      <c r="L98" s="42">
        <v>0</v>
      </c>
      <c r="M98" s="92">
        <f>VLOOKUP(A98,'Mandato Ibov'!$B$1:$C$215,2,0)</f>
        <v>0</v>
      </c>
      <c r="N98" s="58">
        <f t="shared" si="16"/>
        <v>0</v>
      </c>
      <c r="O98" s="42">
        <f t="shared" si="17"/>
        <v>0</v>
      </c>
      <c r="P98" s="95">
        <f>VLOOKUP(A98,'Mandato Ibov'!$B$2:$D$215,3,0)</f>
        <v>0</v>
      </c>
      <c r="Q98" s="42">
        <f t="shared" si="18"/>
        <v>0</v>
      </c>
      <c r="R98" s="15">
        <v>-0.41699999999999998</v>
      </c>
      <c r="S98" s="15">
        <v>-0.189</v>
      </c>
      <c r="T98" s="15">
        <v>-0.32700000000000001</v>
      </c>
      <c r="U98" s="15">
        <v>-0.58799999999999997</v>
      </c>
      <c r="V98" s="15">
        <v>-0.41099999999999998</v>
      </c>
      <c r="W98" s="15">
        <v>-0.49199999999999999</v>
      </c>
      <c r="X98" s="15">
        <v>-0.371</v>
      </c>
      <c r="Y98" s="15">
        <v>-0.49299999999999999</v>
      </c>
      <c r="Z98" s="15">
        <v>0.379</v>
      </c>
      <c r="AA98" s="15">
        <v>0.375</v>
      </c>
      <c r="AB98" s="15">
        <v>0.88200000000000001</v>
      </c>
      <c r="AC98" s="15">
        <v>0.78300000000000003</v>
      </c>
      <c r="AD98" s="15">
        <v>0.72699999999999998</v>
      </c>
      <c r="AE98" s="14">
        <v>-0.56499999999999995</v>
      </c>
      <c r="AF98" s="15">
        <v>-0.53100000000000003</v>
      </c>
      <c r="AG98" s="15">
        <v>6.5000000000000002E-2</v>
      </c>
      <c r="AH98" s="15">
        <v>-0.188</v>
      </c>
      <c r="AI98" s="15">
        <v>0.60199999999999998</v>
      </c>
      <c r="AJ98" s="16">
        <v>-0.60299999999999998</v>
      </c>
      <c r="AK98" s="4">
        <v>-0.14399999999999999</v>
      </c>
      <c r="AL98" s="4">
        <v>-0.35899999999999999</v>
      </c>
      <c r="AM98" s="4">
        <v>0.13600000000000001</v>
      </c>
      <c r="AN98" s="4">
        <v>-0.16900000000000001</v>
      </c>
      <c r="AO98" s="4">
        <v>2.3E-2</v>
      </c>
      <c r="AP98" s="4">
        <v>0.193</v>
      </c>
      <c r="AQ98" s="4">
        <v>-0.14699999999999999</v>
      </c>
      <c r="AR98" s="4">
        <v>-0.12</v>
      </c>
      <c r="AS98" s="4">
        <v>-0.45400000000000001</v>
      </c>
      <c r="AT98" s="4">
        <v>8.9999999999999993E-3</v>
      </c>
      <c r="AU98" s="4">
        <v>-0.26300000000000001</v>
      </c>
      <c r="AV98" s="4">
        <v>-0.22600000000000001</v>
      </c>
      <c r="AW98" s="4">
        <v>0.31</v>
      </c>
      <c r="AX98" s="4">
        <v>-0.20699999999999999</v>
      </c>
      <c r="AY98" s="4">
        <v>0.55700000000000005</v>
      </c>
      <c r="AZ98" s="4">
        <v>-0.122</v>
      </c>
      <c r="BA98" s="4">
        <v>-0.24099999999999999</v>
      </c>
      <c r="BB98" s="4">
        <v>0.20499999999999999</v>
      </c>
      <c r="BC98" s="4">
        <v>7.5999999999999998E-2</v>
      </c>
      <c r="BD98" s="4">
        <v>0.437</v>
      </c>
      <c r="BE98" s="4">
        <v>0.372</v>
      </c>
      <c r="BF98" s="4">
        <v>0.79500000000000004</v>
      </c>
      <c r="BG98" s="4">
        <v>0.439</v>
      </c>
      <c r="BH98" s="4">
        <v>-8.4000000000000005E-2</v>
      </c>
      <c r="BI98" s="4">
        <v>0.38200000000000001</v>
      </c>
      <c r="BJ98" s="4">
        <v>0.55900000000000005</v>
      </c>
      <c r="BK98" s="4">
        <v>0.53300000000000003</v>
      </c>
      <c r="BL98" s="4"/>
      <c r="BM98" s="4">
        <f t="shared" si="19"/>
        <v>-3.0975000000000009E-2</v>
      </c>
    </row>
    <row r="99" spans="1:65" x14ac:dyDescent="0.3">
      <c r="A99" t="s">
        <v>113</v>
      </c>
      <c r="B99" s="53">
        <f t="shared" si="21"/>
        <v>0</v>
      </c>
      <c r="C99" s="53">
        <f t="shared" si="13"/>
        <v>-8.9999999999999993E-3</v>
      </c>
      <c r="D99" s="53">
        <f t="shared" si="14"/>
        <v>0</v>
      </c>
      <c r="E99" s="53">
        <f t="shared" si="15"/>
        <v>8.9999999999999993E-3</v>
      </c>
      <c r="F99" s="15">
        <v>0.88</v>
      </c>
      <c r="G99" s="4">
        <v>1.62</v>
      </c>
      <c r="H99" t="s">
        <v>57</v>
      </c>
      <c r="I99" t="str">
        <f>VLOOKUP(A99,Setores!$A$2:$C$215,2,0)</f>
        <v>banks</v>
      </c>
      <c r="J99" t="str">
        <f>VLOOKUP(A99,Setores!$A$2:$C$215,3,0)</f>
        <v>neutral_beta</v>
      </c>
      <c r="K99" s="92">
        <v>0</v>
      </c>
      <c r="L99" s="42">
        <v>-8.9999999999999993E-3</v>
      </c>
      <c r="M99" s="92">
        <f>VLOOKUP(A99,'Mandato Ibov'!$B$1:$C$215,2,0)</f>
        <v>0</v>
      </c>
      <c r="N99" s="58">
        <f t="shared" si="16"/>
        <v>0</v>
      </c>
      <c r="O99" s="42">
        <f t="shared" si="17"/>
        <v>0</v>
      </c>
      <c r="P99" s="95">
        <f>VLOOKUP(A99,'Mandato Ibov'!$B$2:$D$215,3,0)</f>
        <v>0</v>
      </c>
      <c r="Q99" s="42">
        <f t="shared" si="18"/>
        <v>0</v>
      </c>
      <c r="R99" s="15">
        <v>-0.60199999999999998</v>
      </c>
      <c r="S99" s="15">
        <v>-0.623</v>
      </c>
      <c r="T99" s="15">
        <v>-0.81899999999999995</v>
      </c>
      <c r="U99" s="15">
        <v>-0.55600000000000005</v>
      </c>
      <c r="V99" s="15">
        <v>-0.71599999999999997</v>
      </c>
      <c r="W99" s="15">
        <v>-0.20699999999999999</v>
      </c>
      <c r="X99" s="15">
        <v>2E-3</v>
      </c>
      <c r="Y99" s="15">
        <v>-0.29399999999999998</v>
      </c>
      <c r="Z99" s="15">
        <v>0.49199999999999999</v>
      </c>
      <c r="AA99" s="15">
        <v>0.49099999999999999</v>
      </c>
      <c r="AB99" s="15">
        <v>0.69699999999999995</v>
      </c>
      <c r="AC99" s="15">
        <v>0.79</v>
      </c>
      <c r="AD99" s="15">
        <v>0.66600000000000004</v>
      </c>
      <c r="AE99" s="14">
        <v>-0.61599999999999999</v>
      </c>
      <c r="AF99" s="15">
        <v>-0.24299999999999999</v>
      </c>
      <c r="AG99" s="15">
        <v>-8.3000000000000004E-2</v>
      </c>
      <c r="AH99" s="15">
        <v>-0.91</v>
      </c>
      <c r="AI99" s="15">
        <v>-0.90900000000000003</v>
      </c>
      <c r="AJ99" s="16">
        <v>-1</v>
      </c>
      <c r="AK99" s="4">
        <v>-0.19</v>
      </c>
      <c r="AL99" s="4">
        <v>0.19400000000000001</v>
      </c>
      <c r="AM99" s="4">
        <v>-4.1000000000000002E-2</v>
      </c>
      <c r="AN99" s="4">
        <v>0.115</v>
      </c>
      <c r="AO99" s="4">
        <v>-0.152</v>
      </c>
      <c r="AP99" s="4">
        <v>-0.20300000000000001</v>
      </c>
      <c r="AQ99" s="4">
        <v>3.9E-2</v>
      </c>
      <c r="AR99" s="4">
        <v>0.13500000000000001</v>
      </c>
      <c r="AS99" s="4">
        <v>0.41699999999999998</v>
      </c>
      <c r="AT99" s="4">
        <v>-0.156</v>
      </c>
      <c r="AU99" s="4">
        <v>-0.53</v>
      </c>
      <c r="AV99" s="4">
        <v>-0.39500000000000002</v>
      </c>
      <c r="AW99" s="4">
        <v>0.36699999999999999</v>
      </c>
      <c r="AX99" s="4">
        <v>-0.26600000000000001</v>
      </c>
      <c r="AY99" s="4">
        <v>5.8999999999999997E-2</v>
      </c>
      <c r="AZ99" s="4">
        <v>0.23599999999999999</v>
      </c>
      <c r="BA99" s="4">
        <v>0.73799999999999999</v>
      </c>
      <c r="BB99" s="4">
        <v>-0.28000000000000003</v>
      </c>
      <c r="BC99" s="4">
        <v>-0.154</v>
      </c>
      <c r="BD99" s="4">
        <v>0.42199999999999999</v>
      </c>
      <c r="BE99" s="4">
        <v>7.0000000000000001E-3</v>
      </c>
      <c r="BF99" s="4">
        <v>0.152</v>
      </c>
      <c r="BG99" s="4">
        <v>0.98399999999999999</v>
      </c>
      <c r="BH99" s="4">
        <v>-0.36499999999999999</v>
      </c>
      <c r="BI99" s="4">
        <v>-0.10199999999999999</v>
      </c>
      <c r="BJ99" s="4">
        <v>0.20599999999999999</v>
      </c>
      <c r="BK99" s="4">
        <v>-0.76500000000000001</v>
      </c>
      <c r="BL99" s="4"/>
      <c r="BM99" s="4">
        <f t="shared" si="19"/>
        <v>-5.340000000000001E-2</v>
      </c>
    </row>
    <row r="100" spans="1:65" x14ac:dyDescent="0.3">
      <c r="A100" t="s">
        <v>199</v>
      </c>
      <c r="B100" s="53">
        <f t="shared" si="21"/>
        <v>0</v>
      </c>
      <c r="C100" s="53">
        <f t="shared" si="13"/>
        <v>0</v>
      </c>
      <c r="D100" s="53">
        <f t="shared" si="14"/>
        <v>0</v>
      </c>
      <c r="E100" s="53">
        <f t="shared" si="15"/>
        <v>0</v>
      </c>
      <c r="F100" s="15">
        <v>0.85699999999999998</v>
      </c>
      <c r="G100" s="4">
        <v>1.0369999999999999</v>
      </c>
      <c r="H100" t="s">
        <v>55</v>
      </c>
      <c r="I100" t="str">
        <f>VLOOKUP(A100,Setores!$A$2:$C$215,2,0)</f>
        <v>utilities</v>
      </c>
      <c r="J100" t="str">
        <f>VLOOKUP(A100,Setores!$A$2:$C$215,3,0)</f>
        <v>very_high_beta</v>
      </c>
      <c r="K100" s="92">
        <v>0</v>
      </c>
      <c r="L100" s="42">
        <v>0</v>
      </c>
      <c r="M100" s="92">
        <f>VLOOKUP(A100,'Mandato Ibov'!$B$1:$C$215,2,0)</f>
        <v>0</v>
      </c>
      <c r="N100" s="58">
        <f t="shared" si="16"/>
        <v>0</v>
      </c>
      <c r="O100" s="42">
        <f t="shared" si="17"/>
        <v>0</v>
      </c>
      <c r="P100" s="95">
        <f>VLOOKUP(A100,'Mandato Ibov'!$B$2:$D$215,3,0)</f>
        <v>6.7615541364559398E-3</v>
      </c>
      <c r="Q100" s="42">
        <f t="shared" si="18"/>
        <v>-6.7615541364559398E-3</v>
      </c>
      <c r="R100" s="15">
        <v>-0.32500000000000001</v>
      </c>
      <c r="S100" s="15">
        <v>-0.30199999999999999</v>
      </c>
      <c r="T100" s="15">
        <v>-0.8</v>
      </c>
      <c r="U100" s="15">
        <v>-0.252</v>
      </c>
      <c r="V100" s="15">
        <v>-0.63600000000000001</v>
      </c>
      <c r="W100" s="15">
        <v>-0.20499999999999999</v>
      </c>
      <c r="X100" s="15">
        <v>-9.6000000000000002E-2</v>
      </c>
      <c r="Y100" s="15">
        <v>-0.45300000000000001</v>
      </c>
      <c r="Z100" s="15">
        <v>0.38700000000000001</v>
      </c>
      <c r="AA100" s="15">
        <v>0.38100000000000001</v>
      </c>
      <c r="AB100" s="15">
        <v>0.52300000000000002</v>
      </c>
      <c r="AC100" s="15">
        <v>0.63200000000000001</v>
      </c>
      <c r="AD100" s="15">
        <v>0.55800000000000005</v>
      </c>
      <c r="AE100" s="14">
        <v>-0.51100000000000001</v>
      </c>
      <c r="AF100" s="15">
        <v>-0.35799999999999998</v>
      </c>
      <c r="AG100" s="15">
        <v>-0.14799999999999999</v>
      </c>
      <c r="AH100" s="15">
        <v>-0.86299999999999999</v>
      </c>
      <c r="AI100" s="15">
        <v>0.39600000000000002</v>
      </c>
      <c r="AJ100" s="16">
        <v>-0.55500000000000005</v>
      </c>
      <c r="AK100" s="4">
        <v>-0.48</v>
      </c>
      <c r="AL100" s="4">
        <v>-1</v>
      </c>
      <c r="AM100" s="4">
        <v>-0.88400000000000001</v>
      </c>
      <c r="AN100" s="4">
        <v>0.13300000000000001</v>
      </c>
      <c r="AO100" s="4">
        <v>0.56599999999999995</v>
      </c>
      <c r="AP100" s="4">
        <v>0.749</v>
      </c>
      <c r="AQ100" s="4">
        <v>0.64800000000000002</v>
      </c>
      <c r="AR100" s="4">
        <v>1</v>
      </c>
      <c r="AS100" s="4">
        <v>0.66300000000000003</v>
      </c>
      <c r="AT100" s="4">
        <v>-0.16600000000000001</v>
      </c>
      <c r="AU100" s="4">
        <v>5.8999999999999997E-2</v>
      </c>
      <c r="AV100" s="4">
        <v>0.41499999999999998</v>
      </c>
      <c r="AW100" s="4">
        <v>0.51100000000000001</v>
      </c>
      <c r="AX100" s="4">
        <v>-8.8999999999999996E-2</v>
      </c>
      <c r="AY100" s="4">
        <v>0.52</v>
      </c>
      <c r="AZ100" s="4">
        <v>0.17799999999999999</v>
      </c>
      <c r="BA100" s="4">
        <v>-0.23899999999999999</v>
      </c>
      <c r="BB100" s="4">
        <v>-0.71199999999999997</v>
      </c>
      <c r="BC100" s="4">
        <v>-0.83699999999999997</v>
      </c>
      <c r="BD100" s="4">
        <v>0.38700000000000001</v>
      </c>
      <c r="BE100" s="4">
        <v>-0.48</v>
      </c>
      <c r="BF100" s="4">
        <v>-0.51700000000000002</v>
      </c>
      <c r="BG100" s="4">
        <v>0.375</v>
      </c>
      <c r="BH100" s="4">
        <v>-0.70199999999999996</v>
      </c>
      <c r="BI100" s="4">
        <v>0.26300000000000001</v>
      </c>
      <c r="BJ100" s="4">
        <v>-9.1999999999999998E-2</v>
      </c>
      <c r="BK100" s="4">
        <v>0.29499999999999998</v>
      </c>
      <c r="BL100" s="4"/>
      <c r="BM100" s="4">
        <f t="shared" si="19"/>
        <v>0.267625</v>
      </c>
    </row>
    <row r="101" spans="1:65" x14ac:dyDescent="0.3">
      <c r="A101" t="s">
        <v>244</v>
      </c>
      <c r="B101" s="53">
        <f t="shared" si="21"/>
        <v>0</v>
      </c>
      <c r="C101" s="53">
        <f t="shared" si="13"/>
        <v>0</v>
      </c>
      <c r="D101" s="53">
        <f t="shared" si="14"/>
        <v>0</v>
      </c>
      <c r="E101" s="53">
        <f t="shared" si="15"/>
        <v>0</v>
      </c>
      <c r="F101" s="15">
        <v>0.85</v>
      </c>
      <c r="G101" s="4">
        <v>0.60299999999999998</v>
      </c>
      <c r="H101" t="s">
        <v>57</v>
      </c>
      <c r="I101" t="str">
        <f>VLOOKUP(A101,Setores!$A$2:$C$215,2,0)</f>
        <v>consumer_durables</v>
      </c>
      <c r="J101" t="str">
        <f>VLOOKUP(A101,Setores!$A$2:$C$215,3,0)</f>
        <v>high_beta</v>
      </c>
      <c r="K101" s="92">
        <v>0</v>
      </c>
      <c r="L101" s="42">
        <v>0</v>
      </c>
      <c r="M101" s="92">
        <f>VLOOKUP(A101,'Mandato Ibov'!$B$1:$C$215,2,0)</f>
        <v>0</v>
      </c>
      <c r="N101" s="58">
        <f t="shared" si="16"/>
        <v>0</v>
      </c>
      <c r="O101" s="42">
        <f t="shared" si="17"/>
        <v>0</v>
      </c>
      <c r="P101" s="95">
        <f>VLOOKUP(A101,'Mandato Ibov'!$B$2:$D$215,3,0)</f>
        <v>0</v>
      </c>
      <c r="Q101" s="42">
        <f t="shared" si="18"/>
        <v>0</v>
      </c>
      <c r="R101" s="15">
        <v>-0.13600000000000001</v>
      </c>
      <c r="S101" s="15">
        <v>0.76300000000000001</v>
      </c>
      <c r="T101" s="15">
        <v>-0.14599999999999999</v>
      </c>
      <c r="U101" s="15">
        <v>-0.59399999999999997</v>
      </c>
      <c r="V101" s="15">
        <v>-1.6E-2</v>
      </c>
      <c r="W101" s="15">
        <v>-0.749</v>
      </c>
      <c r="X101" s="15">
        <v>-0.83499999999999996</v>
      </c>
      <c r="Y101" s="15">
        <v>-0.74199999999999999</v>
      </c>
      <c r="Z101" s="15">
        <v>0.161</v>
      </c>
      <c r="AA101" s="15">
        <v>0.159</v>
      </c>
      <c r="AB101" s="15">
        <v>0.29899999999999999</v>
      </c>
      <c r="AC101" s="15">
        <v>1</v>
      </c>
      <c r="AD101" s="15">
        <v>0.79300000000000004</v>
      </c>
      <c r="AE101" s="14">
        <v>-0.69299999999999995</v>
      </c>
      <c r="AF101" s="15">
        <v>-9.4E-2</v>
      </c>
      <c r="AG101" s="15">
        <v>0.90600000000000003</v>
      </c>
      <c r="AH101" s="15">
        <v>0.48599999999999999</v>
      </c>
      <c r="AI101" s="15">
        <v>1</v>
      </c>
      <c r="AJ101" s="16">
        <v>-0.66900000000000004</v>
      </c>
      <c r="AK101" s="4">
        <v>0.13800000000000001</v>
      </c>
      <c r="AL101" s="4">
        <v>-1</v>
      </c>
      <c r="AM101" s="4">
        <v>0.997</v>
      </c>
      <c r="AN101" s="4">
        <v>-7.0999999999999994E-2</v>
      </c>
      <c r="AO101" s="4">
        <v>-2.4E-2</v>
      </c>
      <c r="AP101" s="4">
        <v>0.63400000000000001</v>
      </c>
      <c r="AQ101" s="4">
        <v>-0.3</v>
      </c>
      <c r="AR101" s="4">
        <v>0.48699999999999999</v>
      </c>
      <c r="AS101" s="4">
        <v>0.27300000000000002</v>
      </c>
      <c r="AT101" s="4">
        <v>-0.26100000000000001</v>
      </c>
      <c r="AU101" s="4">
        <v>-0.65500000000000003</v>
      </c>
      <c r="AV101" s="4">
        <v>-0.63100000000000001</v>
      </c>
      <c r="AW101" s="4">
        <v>-0.56999999999999995</v>
      </c>
      <c r="AX101" s="4">
        <v>-0.20799999999999999</v>
      </c>
      <c r="AY101" s="4">
        <v>-0.93899999999999995</v>
      </c>
      <c r="AZ101" s="4">
        <v>-1</v>
      </c>
      <c r="BA101" s="4">
        <v>2.1999999999999999E-2</v>
      </c>
      <c r="BB101" s="4">
        <v>0.318</v>
      </c>
      <c r="BC101" s="4">
        <v>0.30199999999999999</v>
      </c>
      <c r="BD101" s="4">
        <v>0.40100000000000002</v>
      </c>
      <c r="BE101" s="4">
        <v>1</v>
      </c>
      <c r="BF101" s="4">
        <v>0.436</v>
      </c>
      <c r="BG101" s="4">
        <v>0.156</v>
      </c>
      <c r="BH101" s="4">
        <v>1</v>
      </c>
      <c r="BI101" s="4">
        <v>0.248</v>
      </c>
      <c r="BJ101" s="4">
        <v>-0.19900000000000001</v>
      </c>
      <c r="BK101" s="4">
        <v>0.5</v>
      </c>
      <c r="BL101" s="4"/>
      <c r="BM101" s="4">
        <f t="shared" si="19"/>
        <v>-0.16994999999999999</v>
      </c>
    </row>
    <row r="102" spans="1:65" x14ac:dyDescent="0.3">
      <c r="A102" t="s">
        <v>151</v>
      </c>
      <c r="B102" s="53">
        <f t="shared" si="21"/>
        <v>0</v>
      </c>
      <c r="C102" s="53">
        <f t="shared" si="13"/>
        <v>-2E-3</v>
      </c>
      <c r="D102" s="53">
        <f t="shared" si="14"/>
        <v>0</v>
      </c>
      <c r="E102" s="53">
        <f t="shared" si="15"/>
        <v>2E-3</v>
      </c>
      <c r="F102" s="15">
        <v>0.84799999999999998</v>
      </c>
      <c r="G102" s="4">
        <v>0.84299999999999997</v>
      </c>
      <c r="H102" t="s">
        <v>57</v>
      </c>
      <c r="I102" t="str">
        <f>VLOOKUP(A102,Setores!$A$2:$C$215,2,0)</f>
        <v>homebuilders</v>
      </c>
      <c r="J102" t="str">
        <f>VLOOKUP(A102,Setores!$A$2:$C$215,3,0)</f>
        <v>very_high_beta</v>
      </c>
      <c r="K102" s="92">
        <v>0</v>
      </c>
      <c r="L102" s="42">
        <v>-2E-3</v>
      </c>
      <c r="M102" s="92">
        <f>VLOOKUP(A102,'Mandato Ibov'!$B$1:$C$215,2,0)</f>
        <v>0</v>
      </c>
      <c r="N102" s="58">
        <f t="shared" si="16"/>
        <v>0</v>
      </c>
      <c r="O102" s="42">
        <f t="shared" si="17"/>
        <v>0</v>
      </c>
      <c r="P102" s="95">
        <f>VLOOKUP(A102,'Mandato Ibov'!$B$2:$D$215,3,0)</f>
        <v>0</v>
      </c>
      <c r="Q102" s="42">
        <f t="shared" si="18"/>
        <v>0</v>
      </c>
      <c r="R102" s="15">
        <v>-0.39</v>
      </c>
      <c r="S102" s="15">
        <v>-0.84599999999999997</v>
      </c>
      <c r="T102" s="15">
        <v>-0.59099999999999997</v>
      </c>
      <c r="U102" s="15">
        <v>-0.152</v>
      </c>
      <c r="V102" s="15">
        <v>-0.628</v>
      </c>
      <c r="W102" s="15">
        <v>-7.0999999999999994E-2</v>
      </c>
      <c r="X102" s="15">
        <v>8.8999999999999996E-2</v>
      </c>
      <c r="Y102" s="15">
        <v>-0.183</v>
      </c>
      <c r="Z102" s="15">
        <v>-2.1999999999999999E-2</v>
      </c>
      <c r="AA102" s="15">
        <v>-2.3E-2</v>
      </c>
      <c r="AB102" s="15">
        <v>0.62</v>
      </c>
      <c r="AC102" s="15">
        <v>0.51400000000000001</v>
      </c>
      <c r="AD102" s="15">
        <v>0.434</v>
      </c>
      <c r="AE102" s="14">
        <v>0.32300000000000001</v>
      </c>
      <c r="AF102" s="15">
        <v>0.46300000000000002</v>
      </c>
      <c r="AG102" s="15">
        <v>-0.84799999999999998</v>
      </c>
      <c r="AH102" s="15">
        <v>-0.44900000000000001</v>
      </c>
      <c r="AI102" s="15">
        <v>-0.65500000000000003</v>
      </c>
      <c r="AJ102" s="16">
        <v>-0.50900000000000001</v>
      </c>
      <c r="AK102" s="4">
        <v>-0.1</v>
      </c>
      <c r="AL102" s="4">
        <v>0.58099999999999996</v>
      </c>
      <c r="AM102" s="4">
        <v>-0.73299999999999998</v>
      </c>
      <c r="AN102" s="4">
        <v>0.496</v>
      </c>
      <c r="AO102" s="4">
        <v>-0.59399999999999997</v>
      </c>
      <c r="AP102" s="4">
        <v>-0.39300000000000002</v>
      </c>
      <c r="AQ102" s="4">
        <v>0.42099999999999999</v>
      </c>
      <c r="AR102" s="4">
        <v>0.36</v>
      </c>
      <c r="AS102" s="4">
        <v>-6.0000000000000001E-3</v>
      </c>
      <c r="AT102" s="4">
        <v>0.26500000000000001</v>
      </c>
      <c r="AU102" s="4">
        <v>0</v>
      </c>
      <c r="AV102" s="4">
        <v>0.23699999999999999</v>
      </c>
      <c r="AW102" s="4">
        <v>6.0000000000000001E-3</v>
      </c>
      <c r="AX102" s="4">
        <v>-2.9000000000000001E-2</v>
      </c>
      <c r="AY102" s="4">
        <v>0.64700000000000002</v>
      </c>
      <c r="AZ102" s="4">
        <v>1</v>
      </c>
      <c r="BA102" s="4">
        <v>8.8999999999999996E-2</v>
      </c>
      <c r="BB102" s="4">
        <v>-0.38700000000000001</v>
      </c>
      <c r="BC102" s="4">
        <v>-0.10299999999999999</v>
      </c>
      <c r="BD102" s="4">
        <v>7.3999999999999996E-2</v>
      </c>
      <c r="BE102" s="4">
        <v>-0.183</v>
      </c>
      <c r="BF102" s="4">
        <v>-0.36699999999999999</v>
      </c>
      <c r="BG102" s="4">
        <v>0.108</v>
      </c>
      <c r="BH102" s="4">
        <v>-0.95499999999999996</v>
      </c>
      <c r="BI102" s="4">
        <v>0.66400000000000003</v>
      </c>
      <c r="BJ102" s="4">
        <v>-0.72699999999999998</v>
      </c>
      <c r="BK102" s="4">
        <v>-0.22900000000000001</v>
      </c>
      <c r="BL102" s="4"/>
      <c r="BM102" s="4">
        <f t="shared" si="19"/>
        <v>5.7374999999999995E-2</v>
      </c>
    </row>
    <row r="103" spans="1:65" x14ac:dyDescent="0.3">
      <c r="A103" t="s">
        <v>138</v>
      </c>
      <c r="B103" s="53">
        <f t="shared" si="21"/>
        <v>0</v>
      </c>
      <c r="C103" s="53">
        <f t="shared" si="13"/>
        <v>0</v>
      </c>
      <c r="D103" s="53">
        <f t="shared" si="14"/>
        <v>0</v>
      </c>
      <c r="E103" s="53">
        <f t="shared" si="15"/>
        <v>0</v>
      </c>
      <c r="F103" s="15">
        <v>0.84499999999999997</v>
      </c>
      <c r="G103" s="4">
        <v>0.83099999999999996</v>
      </c>
      <c r="H103" t="s">
        <v>71</v>
      </c>
      <c r="I103" t="str">
        <f>VLOOKUP(A103,Setores!$A$2:$C$215,2,0)</f>
        <v>basic_materials</v>
      </c>
      <c r="J103" t="str">
        <f>VLOOKUP(A103,Setores!$A$2:$C$215,3,0)</f>
        <v>low_beta</v>
      </c>
      <c r="K103" s="92">
        <v>0</v>
      </c>
      <c r="L103" s="42">
        <v>0</v>
      </c>
      <c r="M103" s="92">
        <f>VLOOKUP(A103,'Mandato Ibov'!$B$1:$C$215,2,0)</f>
        <v>0</v>
      </c>
      <c r="N103" s="58">
        <f t="shared" si="16"/>
        <v>0</v>
      </c>
      <c r="O103" s="42">
        <f t="shared" si="17"/>
        <v>0</v>
      </c>
      <c r="P103" s="95">
        <f>VLOOKUP(A103,'Mandato Ibov'!$B$2:$D$215,3,0)</f>
        <v>0</v>
      </c>
      <c r="Q103" s="42">
        <f t="shared" si="18"/>
        <v>0</v>
      </c>
      <c r="R103" s="15">
        <v>-0.54</v>
      </c>
      <c r="S103" s="15">
        <v>-0.4</v>
      </c>
      <c r="T103" s="15">
        <v>-0.36099999999999999</v>
      </c>
      <c r="U103" s="15">
        <v>-0.71299999999999997</v>
      </c>
      <c r="V103" s="15">
        <v>-0.55000000000000004</v>
      </c>
      <c r="W103" s="15">
        <v>-0.34899999999999998</v>
      </c>
      <c r="X103" s="15">
        <v>-0.501</v>
      </c>
      <c r="Y103" s="15">
        <v>-0.312</v>
      </c>
      <c r="Z103" s="15">
        <v>0.45200000000000001</v>
      </c>
      <c r="AA103" s="15">
        <v>0.44400000000000001</v>
      </c>
      <c r="AB103" s="15">
        <v>0.50800000000000001</v>
      </c>
      <c r="AC103" s="15">
        <v>0.66700000000000004</v>
      </c>
      <c r="AD103" s="15">
        <v>0.71599999999999997</v>
      </c>
      <c r="AE103" s="14">
        <v>-0.48699999999999999</v>
      </c>
      <c r="AF103" s="15">
        <v>-0.96</v>
      </c>
      <c r="AG103" s="15">
        <v>-0.45</v>
      </c>
      <c r="AH103" s="15">
        <v>-0.11</v>
      </c>
      <c r="AI103" s="15">
        <v>7.3999999999999996E-2</v>
      </c>
      <c r="AJ103" s="16">
        <v>-0.36499999999999999</v>
      </c>
      <c r="AK103" s="4">
        <v>-0.17100000000000001</v>
      </c>
      <c r="AL103" s="4">
        <v>0.25900000000000001</v>
      </c>
      <c r="AM103" s="4">
        <v>-8.5999999999999993E-2</v>
      </c>
      <c r="AN103" s="4">
        <v>-0.106</v>
      </c>
      <c r="AO103" s="4">
        <v>4.0000000000000001E-3</v>
      </c>
      <c r="AP103" s="4">
        <v>4.9000000000000002E-2</v>
      </c>
      <c r="AQ103" s="4">
        <v>-0.91300000000000003</v>
      </c>
      <c r="AR103" s="4">
        <v>-0.23100000000000001</v>
      </c>
      <c r="AS103" s="4">
        <v>-0.16400000000000001</v>
      </c>
      <c r="AT103" s="4">
        <v>-8.3000000000000004E-2</v>
      </c>
      <c r="AU103" s="4">
        <v>-0.501</v>
      </c>
      <c r="AV103" s="4">
        <v>-0.224</v>
      </c>
      <c r="AW103" s="4">
        <v>0.39300000000000002</v>
      </c>
      <c r="AX103" s="4">
        <v>0.498</v>
      </c>
      <c r="AY103" s="4">
        <v>0.82099999999999995</v>
      </c>
      <c r="AZ103" s="4">
        <v>-1.9E-2</v>
      </c>
      <c r="BA103" s="4">
        <v>0.83</v>
      </c>
      <c r="BB103" s="4">
        <v>0.186</v>
      </c>
      <c r="BC103" s="4">
        <v>0.17199999999999999</v>
      </c>
      <c r="BD103" s="4">
        <v>0.36199999999999999</v>
      </c>
      <c r="BE103" s="4">
        <v>0.48599999999999999</v>
      </c>
      <c r="BF103" s="4">
        <v>1</v>
      </c>
      <c r="BG103" s="4">
        <v>0.29799999999999999</v>
      </c>
      <c r="BH103" s="4">
        <v>-3.5000000000000003E-2</v>
      </c>
      <c r="BI103" s="4">
        <v>-0.69399999999999995</v>
      </c>
      <c r="BJ103" s="4">
        <v>0.65</v>
      </c>
      <c r="BK103" s="4">
        <v>0.63700000000000001</v>
      </c>
      <c r="BL103" s="4"/>
      <c r="BM103" s="4">
        <f t="shared" si="19"/>
        <v>-9.0100000000000013E-2</v>
      </c>
    </row>
    <row r="104" spans="1:65" x14ac:dyDescent="0.3">
      <c r="A104" t="s">
        <v>117</v>
      </c>
      <c r="B104" s="53">
        <f t="shared" si="21"/>
        <v>0</v>
      </c>
      <c r="C104" s="53">
        <f t="shared" si="13"/>
        <v>-3.0000000000000001E-3</v>
      </c>
      <c r="D104" s="53">
        <f t="shared" si="14"/>
        <v>0</v>
      </c>
      <c r="E104" s="53">
        <f t="shared" si="15"/>
        <v>3.0000000000000001E-3</v>
      </c>
      <c r="F104" s="15">
        <v>0.84299999999999997</v>
      </c>
      <c r="G104" s="4">
        <v>1.2070000000000001</v>
      </c>
      <c r="H104" t="s">
        <v>55</v>
      </c>
      <c r="I104" t="str">
        <f>VLOOKUP(A104,Setores!$A$2:$C$215,2,0)</f>
        <v>utilities</v>
      </c>
      <c r="J104" t="str">
        <f>VLOOKUP(A104,Setores!$A$2:$C$215,3,0)</f>
        <v>neutral_beta</v>
      </c>
      <c r="K104" s="92">
        <v>0</v>
      </c>
      <c r="L104" s="42">
        <v>-3.0000000000000001E-3</v>
      </c>
      <c r="M104" s="92">
        <f>VLOOKUP(A104,'Mandato Ibov'!$B$1:$C$215,2,0)</f>
        <v>0</v>
      </c>
      <c r="N104" s="58">
        <f t="shared" si="16"/>
        <v>0</v>
      </c>
      <c r="O104" s="42">
        <f t="shared" si="17"/>
        <v>0</v>
      </c>
      <c r="P104" s="95">
        <f>VLOOKUP(A104,'Mandato Ibov'!$B$2:$D$215,3,0)</f>
        <v>0</v>
      </c>
      <c r="Q104" s="42">
        <f t="shared" si="18"/>
        <v>0</v>
      </c>
      <c r="R104" s="15">
        <v>-0.73899999999999999</v>
      </c>
      <c r="S104" s="15">
        <v>-0.73399999999999999</v>
      </c>
      <c r="T104" s="15">
        <v>-0.90100000000000002</v>
      </c>
      <c r="U104" s="15">
        <v>-0.495</v>
      </c>
      <c r="V104" s="15">
        <v>-0.75700000000000001</v>
      </c>
      <c r="W104" s="15">
        <v>-0.29199999999999998</v>
      </c>
      <c r="X104" s="15">
        <v>7.0999999999999994E-2</v>
      </c>
      <c r="Y104" s="15">
        <v>-0.18</v>
      </c>
      <c r="Z104" s="15">
        <v>0.50700000000000001</v>
      </c>
      <c r="AA104" s="15">
        <v>0.50800000000000001</v>
      </c>
      <c r="AB104" s="15">
        <v>0.70799999999999996</v>
      </c>
      <c r="AC104" s="15">
        <v>0.747</v>
      </c>
      <c r="AD104" s="15">
        <v>0.59699999999999998</v>
      </c>
      <c r="AE104" s="14">
        <v>-0.54100000000000004</v>
      </c>
      <c r="AF104" s="15">
        <v>-0.63400000000000001</v>
      </c>
      <c r="AG104" s="15">
        <v>-0.17899999999999999</v>
      </c>
      <c r="AH104" s="15">
        <v>-0.92500000000000004</v>
      </c>
      <c r="AI104" s="15">
        <v>-0.68700000000000006</v>
      </c>
      <c r="AJ104" s="16">
        <v>-0.95199999999999996</v>
      </c>
      <c r="AK104" s="4">
        <v>-0.26200000000000001</v>
      </c>
      <c r="AL104" s="4">
        <v>0.11899999999999999</v>
      </c>
      <c r="AM104" s="4">
        <v>-0.66700000000000004</v>
      </c>
      <c r="AN104" s="4">
        <v>-0.498</v>
      </c>
      <c r="AO104" s="4">
        <v>0.16</v>
      </c>
      <c r="AP104" s="4">
        <v>0.29399999999999998</v>
      </c>
      <c r="AQ104" s="4">
        <v>-0.128</v>
      </c>
      <c r="AR104" s="4">
        <v>0.315</v>
      </c>
      <c r="AS104" s="4">
        <v>0.28000000000000003</v>
      </c>
      <c r="AT104" s="4">
        <v>0.371</v>
      </c>
      <c r="AU104" s="4">
        <v>-0.113</v>
      </c>
      <c r="AV104" s="4">
        <v>-0.109</v>
      </c>
      <c r="AW104" s="4">
        <v>0.73199999999999998</v>
      </c>
      <c r="AX104" s="4">
        <v>-0.54500000000000004</v>
      </c>
      <c r="AY104" s="4">
        <v>0.94199999999999995</v>
      </c>
      <c r="AZ104" s="4">
        <v>-0.13700000000000001</v>
      </c>
      <c r="BA104" s="4">
        <v>0.126</v>
      </c>
      <c r="BB104" s="4">
        <v>-0.28399999999999997</v>
      </c>
      <c r="BC104" s="4">
        <v>-0.33900000000000002</v>
      </c>
      <c r="BD104" s="4">
        <v>0.376</v>
      </c>
      <c r="BE104" s="4">
        <v>-2.3E-2</v>
      </c>
      <c r="BF104" s="4">
        <v>-0.57599999999999996</v>
      </c>
      <c r="BG104" s="4">
        <v>0.54400000000000004</v>
      </c>
      <c r="BH104" s="4">
        <v>-0.624</v>
      </c>
      <c r="BI104" s="4">
        <v>3.0000000000000001E-3</v>
      </c>
      <c r="BJ104" s="4">
        <v>0.14599999999999999</v>
      </c>
      <c r="BK104" s="4">
        <v>-0.51300000000000001</v>
      </c>
      <c r="BL104" s="4"/>
      <c r="BM104" s="4">
        <f t="shared" si="19"/>
        <v>0.15382499999999999</v>
      </c>
    </row>
    <row r="105" spans="1:65" x14ac:dyDescent="0.3">
      <c r="A105" t="s">
        <v>135</v>
      </c>
      <c r="B105" s="53">
        <v>2.1999999999999999E-2</v>
      </c>
      <c r="C105" s="53">
        <f t="shared" si="13"/>
        <v>-6.0000000000000005E-2</v>
      </c>
      <c r="D105" s="53">
        <f t="shared" si="14"/>
        <v>-1.0000000000000002E-2</v>
      </c>
      <c r="E105" s="53">
        <f t="shared" si="15"/>
        <v>8.2000000000000003E-2</v>
      </c>
      <c r="F105" s="15">
        <v>0.84099999999999997</v>
      </c>
      <c r="G105" s="4">
        <v>1.8320000000000001</v>
      </c>
      <c r="H105" t="s">
        <v>57</v>
      </c>
      <c r="I105" t="str">
        <f>VLOOKUP(A105,Setores!$A$2:$C$215,2,0)</f>
        <v>banks</v>
      </c>
      <c r="J105" t="str">
        <f>VLOOKUP(A105,Setores!$A$2:$C$215,3,0)</f>
        <v>neutral_beta</v>
      </c>
      <c r="K105" s="92">
        <v>3.2000000000000001E-2</v>
      </c>
      <c r="L105" s="42">
        <v>-0.05</v>
      </c>
      <c r="M105" s="92">
        <f>VLOOKUP(A105,'Mandato Ibov'!$B$1:$C$215,2,0)</f>
        <v>0</v>
      </c>
      <c r="N105" s="58">
        <f t="shared" si="16"/>
        <v>3.2000000000000001E-2</v>
      </c>
      <c r="O105" s="42">
        <f t="shared" si="17"/>
        <v>2.1999999999999999E-2</v>
      </c>
      <c r="P105" s="95">
        <f>VLOOKUP(A105,'Mandato Ibov'!$B$2:$D$215,3,0)</f>
        <v>0</v>
      </c>
      <c r="Q105" s="42">
        <f t="shared" si="18"/>
        <v>3.2000000000000001E-2</v>
      </c>
      <c r="R105" s="15">
        <v>-0.70299999999999996</v>
      </c>
      <c r="S105" s="15">
        <v>-0.749</v>
      </c>
      <c r="T105" s="15">
        <v>-0.9</v>
      </c>
      <c r="U105" s="15">
        <v>-0.48699999999999999</v>
      </c>
      <c r="V105" s="15">
        <v>-0.75800000000000001</v>
      </c>
      <c r="W105" s="15">
        <v>-0.23400000000000001</v>
      </c>
      <c r="X105" s="15">
        <v>8.2000000000000003E-2</v>
      </c>
      <c r="Y105" s="15">
        <v>-0.20200000000000001</v>
      </c>
      <c r="Z105" s="15">
        <v>0.38600000000000001</v>
      </c>
      <c r="AA105" s="15">
        <v>0.38400000000000001</v>
      </c>
      <c r="AB105" s="15">
        <v>0.73499999999999999</v>
      </c>
      <c r="AC105" s="15">
        <v>0.78200000000000003</v>
      </c>
      <c r="AD105" s="15">
        <v>0.61799999999999999</v>
      </c>
      <c r="AE105" s="14">
        <v>-0.60699999999999998</v>
      </c>
      <c r="AF105" s="15">
        <v>0.106</v>
      </c>
      <c r="AG105" s="15">
        <v>-0.156</v>
      </c>
      <c r="AH105" s="15">
        <v>-0.94699999999999995</v>
      </c>
      <c r="AI105" s="15">
        <v>-0.872</v>
      </c>
      <c r="AJ105" s="16">
        <v>-0.97299999999999998</v>
      </c>
      <c r="AK105" s="4">
        <v>-0.23100000000000001</v>
      </c>
      <c r="AL105" s="4">
        <v>7.3999999999999996E-2</v>
      </c>
      <c r="AM105" s="4">
        <v>-0.52700000000000002</v>
      </c>
      <c r="AN105" s="4">
        <v>-7.2999999999999995E-2</v>
      </c>
      <c r="AO105" s="4">
        <v>0.14799999999999999</v>
      </c>
      <c r="AP105" s="4">
        <v>-0.34399999999999997</v>
      </c>
      <c r="AQ105" s="4">
        <v>0.26</v>
      </c>
      <c r="AR105" s="4">
        <v>0.26900000000000002</v>
      </c>
      <c r="AS105" s="4">
        <v>-0.112</v>
      </c>
      <c r="AT105" s="4">
        <v>-7.3999999999999996E-2</v>
      </c>
      <c r="AU105" s="4">
        <v>-0.20399999999999999</v>
      </c>
      <c r="AV105" s="4">
        <v>-0.23599999999999999</v>
      </c>
      <c r="AW105" s="4">
        <v>0.44400000000000001</v>
      </c>
      <c r="AX105" s="4">
        <v>-0.437</v>
      </c>
      <c r="AY105" s="4">
        <v>0.83399999999999996</v>
      </c>
      <c r="AZ105" s="4">
        <v>0.44500000000000001</v>
      </c>
      <c r="BA105" s="4">
        <v>0.64800000000000002</v>
      </c>
      <c r="BB105" s="4">
        <v>-0.36799999999999999</v>
      </c>
      <c r="BC105" s="4">
        <v>-0.192</v>
      </c>
      <c r="BD105" s="4">
        <v>0.30299999999999999</v>
      </c>
      <c r="BE105" s="4">
        <v>5.0000000000000001E-3</v>
      </c>
      <c r="BF105" s="4">
        <v>-4.1000000000000002E-2</v>
      </c>
      <c r="BG105" s="4">
        <v>0.90900000000000003</v>
      </c>
      <c r="BH105" s="4">
        <v>-0.71199999999999997</v>
      </c>
      <c r="BI105" s="4">
        <v>-0.153</v>
      </c>
      <c r="BJ105" s="4">
        <v>-0.184</v>
      </c>
      <c r="BK105" s="4">
        <v>-0.93899999999999995</v>
      </c>
      <c r="BL105" s="4"/>
      <c r="BM105" s="4">
        <f t="shared" si="19"/>
        <v>2.4750000000000012E-2</v>
      </c>
    </row>
    <row r="106" spans="1:65" x14ac:dyDescent="0.3">
      <c r="A106" t="s">
        <v>182</v>
      </c>
      <c r="B106" s="53">
        <v>0.06</v>
      </c>
      <c r="C106" s="53">
        <f t="shared" si="13"/>
        <v>-5.800000000000001E-2</v>
      </c>
      <c r="D106" s="53">
        <f t="shared" si="14"/>
        <v>-8.0000000000000071E-3</v>
      </c>
      <c r="E106" s="53">
        <f t="shared" si="15"/>
        <v>0.11800000000000001</v>
      </c>
      <c r="F106" s="15">
        <v>0.83599999999999997</v>
      </c>
      <c r="G106" s="4">
        <v>1.764</v>
      </c>
      <c r="H106" t="s">
        <v>71</v>
      </c>
      <c r="I106" t="str">
        <f>VLOOKUP(A106,Setores!$A$2:$C$215,2,0)</f>
        <v>basic_materials</v>
      </c>
      <c r="J106" t="str">
        <f>VLOOKUP(A106,Setores!$A$2:$C$215,3,0)</f>
        <v>low_beta</v>
      </c>
      <c r="K106" s="92">
        <v>6.8000000000000005E-2</v>
      </c>
      <c r="L106" s="42">
        <v>-0.05</v>
      </c>
      <c r="M106" s="92">
        <f>VLOOKUP(A106,'Mandato Ibov'!$B$1:$C$215,2,0)</f>
        <v>0</v>
      </c>
      <c r="N106" s="58">
        <f t="shared" si="16"/>
        <v>6.8000000000000005E-2</v>
      </c>
      <c r="O106" s="42">
        <f t="shared" si="17"/>
        <v>0.06</v>
      </c>
      <c r="P106" s="95">
        <f>VLOOKUP(A106,'Mandato Ibov'!$B$2:$D$215,3,0)</f>
        <v>0</v>
      </c>
      <c r="Q106" s="42">
        <f t="shared" si="18"/>
        <v>6.8000000000000005E-2</v>
      </c>
      <c r="R106" s="15">
        <v>-0.85599999999999998</v>
      </c>
      <c r="S106" s="15">
        <v>-0.55900000000000005</v>
      </c>
      <c r="T106" s="15">
        <v>-0.98399999999999999</v>
      </c>
      <c r="U106" s="15">
        <v>-0.65300000000000002</v>
      </c>
      <c r="V106" s="15">
        <v>-0.76100000000000001</v>
      </c>
      <c r="W106" s="15">
        <v>-0.56699999999999995</v>
      </c>
      <c r="X106" s="15">
        <v>-0.42899999999999999</v>
      </c>
      <c r="Y106" s="15">
        <v>-8.0000000000000002E-3</v>
      </c>
      <c r="Z106" s="15">
        <v>0.64400000000000002</v>
      </c>
      <c r="AA106" s="15">
        <v>0.64200000000000002</v>
      </c>
      <c r="AB106" s="15">
        <v>0.73799999999999999</v>
      </c>
      <c r="AC106" s="15">
        <v>0.72499999999999998</v>
      </c>
      <c r="AD106" s="15">
        <v>0.69299999999999995</v>
      </c>
      <c r="AE106" s="14">
        <v>-0.70199999999999996</v>
      </c>
      <c r="AF106" s="15">
        <v>-0.92900000000000005</v>
      </c>
      <c r="AG106" s="15">
        <v>0.157</v>
      </c>
      <c r="AH106" s="15">
        <v>-1</v>
      </c>
      <c r="AI106" s="15">
        <v>-0.69599999999999995</v>
      </c>
      <c r="AJ106" s="16">
        <v>-1</v>
      </c>
      <c r="AK106" s="4">
        <v>-0.26500000000000001</v>
      </c>
      <c r="AL106" s="4">
        <v>0.104</v>
      </c>
      <c r="AM106" s="4">
        <v>-0.6</v>
      </c>
      <c r="AN106" s="4">
        <v>-0.68500000000000005</v>
      </c>
      <c r="AO106" s="4">
        <v>0.81899999999999995</v>
      </c>
      <c r="AP106" s="4">
        <v>0.11700000000000001</v>
      </c>
      <c r="AQ106" s="4">
        <v>-0.83699999999999997</v>
      </c>
      <c r="AR106" s="4">
        <v>0.433</v>
      </c>
      <c r="AS106" s="4">
        <v>0.34899999999999998</v>
      </c>
      <c r="AT106" s="4">
        <v>9.0999999999999998E-2</v>
      </c>
      <c r="AU106" s="4">
        <v>-0.17499999999999999</v>
      </c>
      <c r="AV106" s="4">
        <v>-0.221</v>
      </c>
      <c r="AW106" s="4">
        <v>0.58299999999999996</v>
      </c>
      <c r="AX106" s="4">
        <v>-0.185</v>
      </c>
      <c r="AY106" s="4">
        <v>0.54400000000000004</v>
      </c>
      <c r="AZ106" s="4">
        <v>-0.95399999999999996</v>
      </c>
      <c r="BA106" s="4">
        <v>-0.17199999999999999</v>
      </c>
      <c r="BB106" s="4">
        <v>0.17100000000000001</v>
      </c>
      <c r="BC106" s="4">
        <v>0.123</v>
      </c>
      <c r="BD106" s="4">
        <v>0.59899999999999998</v>
      </c>
      <c r="BE106" s="4">
        <v>-0.57699999999999996</v>
      </c>
      <c r="BF106" s="4">
        <v>0.436</v>
      </c>
      <c r="BG106" s="4">
        <v>0.39</v>
      </c>
      <c r="BH106" s="4">
        <v>-0.36499999999999999</v>
      </c>
      <c r="BI106" s="4">
        <v>-0.46400000000000002</v>
      </c>
      <c r="BJ106" s="4">
        <v>-0.38600000000000001</v>
      </c>
      <c r="BK106" s="4">
        <v>-1</v>
      </c>
      <c r="BL106" s="4"/>
      <c r="BM106" s="4">
        <f t="shared" si="19"/>
        <v>5.932500000000001E-2</v>
      </c>
    </row>
    <row r="107" spans="1:65" x14ac:dyDescent="0.3">
      <c r="A107" t="s">
        <v>122</v>
      </c>
      <c r="B107" s="53">
        <f>K107</f>
        <v>0</v>
      </c>
      <c r="C107" s="53">
        <f t="shared" si="13"/>
        <v>0</v>
      </c>
      <c r="D107" s="53">
        <f t="shared" si="14"/>
        <v>0</v>
      </c>
      <c r="E107" s="53">
        <f t="shared" si="15"/>
        <v>0</v>
      </c>
      <c r="F107" s="15">
        <v>0.83399999999999996</v>
      </c>
      <c r="G107" s="4">
        <v>0.77700000000000002</v>
      </c>
      <c r="H107" t="s">
        <v>57</v>
      </c>
      <c r="I107" t="str">
        <f>VLOOKUP(A107,Setores!$A$2:$C$215,2,0)</f>
        <v>banks</v>
      </c>
      <c r="J107" t="str">
        <f>VLOOKUP(A107,Setores!$A$2:$C$215,3,0)</f>
        <v>very_low_beta</v>
      </c>
      <c r="K107" s="92">
        <v>0</v>
      </c>
      <c r="L107" s="42">
        <v>0</v>
      </c>
      <c r="M107" s="92">
        <f>VLOOKUP(A107,'Mandato Ibov'!$B$1:$C$215,2,0)</f>
        <v>0</v>
      </c>
      <c r="N107" s="58">
        <f t="shared" si="16"/>
        <v>0</v>
      </c>
      <c r="O107" s="42">
        <f t="shared" si="17"/>
        <v>0</v>
      </c>
      <c r="P107" s="95">
        <f>VLOOKUP(A107,'Mandato Ibov'!$B$2:$D$215,3,0)</f>
        <v>0</v>
      </c>
      <c r="Q107" s="42">
        <f t="shared" si="18"/>
        <v>0</v>
      </c>
      <c r="R107" s="15">
        <v>-0.34799999999999998</v>
      </c>
      <c r="S107" s="15">
        <v>-0.48799999999999999</v>
      </c>
      <c r="T107" s="15">
        <v>-0.10199999999999999</v>
      </c>
      <c r="U107" s="15">
        <v>-0.69499999999999995</v>
      </c>
      <c r="V107" s="15">
        <v>-0.6</v>
      </c>
      <c r="W107" s="15">
        <v>-0.253</v>
      </c>
      <c r="X107" s="15">
        <v>-0.126</v>
      </c>
      <c r="Y107" s="15">
        <v>-0.31</v>
      </c>
      <c r="Z107" s="15">
        <v>-7.0000000000000001E-3</v>
      </c>
      <c r="AA107" s="15">
        <v>-7.0000000000000001E-3</v>
      </c>
      <c r="AB107" s="15">
        <v>0.50600000000000001</v>
      </c>
      <c r="AC107" s="15">
        <v>0.44800000000000001</v>
      </c>
      <c r="AD107" s="15">
        <v>0.60199999999999998</v>
      </c>
      <c r="AE107" s="14">
        <v>-0.51200000000000001</v>
      </c>
      <c r="AF107" s="15">
        <v>-0.83</v>
      </c>
      <c r="AG107" s="15">
        <v>-0.755</v>
      </c>
      <c r="AH107" s="15">
        <v>-0.39800000000000002</v>
      </c>
      <c r="AI107" s="15">
        <v>0.28999999999999998</v>
      </c>
      <c r="AJ107" s="16">
        <v>0.63700000000000001</v>
      </c>
      <c r="AK107" s="4">
        <v>-0.72799999999999998</v>
      </c>
      <c r="AL107" s="4">
        <v>0.25700000000000001</v>
      </c>
      <c r="AM107" s="4">
        <v>-0.65600000000000003</v>
      </c>
      <c r="AN107" s="4">
        <v>-0.19400000000000001</v>
      </c>
      <c r="AO107" s="4">
        <v>-0.219</v>
      </c>
      <c r="AP107" s="4">
        <v>0.29399999999999998</v>
      </c>
      <c r="AQ107" s="4">
        <v>-0.29599999999999999</v>
      </c>
      <c r="AR107" s="4">
        <v>0.122</v>
      </c>
      <c r="AS107" s="4">
        <v>-0.156</v>
      </c>
      <c r="AT107" s="4">
        <v>-0.33500000000000002</v>
      </c>
      <c r="AU107" s="4">
        <v>0.188</v>
      </c>
      <c r="AV107" s="4">
        <v>-0.27300000000000002</v>
      </c>
      <c r="AW107" s="4">
        <v>0.53400000000000003</v>
      </c>
      <c r="AX107" s="4">
        <v>1</v>
      </c>
      <c r="AY107" s="4">
        <v>-0.14199999999999999</v>
      </c>
      <c r="AZ107" s="4">
        <v>1</v>
      </c>
      <c r="BA107" s="4">
        <v>0.501</v>
      </c>
      <c r="BB107" s="4">
        <v>-0.32</v>
      </c>
      <c r="BC107" s="4">
        <v>0.34200000000000003</v>
      </c>
      <c r="BD107" s="4">
        <v>-0.436</v>
      </c>
      <c r="BE107" s="4">
        <v>-3.3000000000000002E-2</v>
      </c>
      <c r="BF107" s="4">
        <v>-0.55000000000000004</v>
      </c>
      <c r="BG107" s="4">
        <v>0.372</v>
      </c>
      <c r="BH107" s="4">
        <v>-0.57399999999999995</v>
      </c>
      <c r="BI107" s="4">
        <v>-0.54600000000000004</v>
      </c>
      <c r="BJ107" s="4">
        <v>0.63200000000000001</v>
      </c>
      <c r="BK107" s="4">
        <v>0.76800000000000002</v>
      </c>
      <c r="BL107" s="4"/>
      <c r="BM107" s="4">
        <f t="shared" si="19"/>
        <v>-0.11010000000000003</v>
      </c>
    </row>
    <row r="108" spans="1:65" x14ac:dyDescent="0.3">
      <c r="A108" t="s">
        <v>179</v>
      </c>
      <c r="B108" s="53">
        <f>K108</f>
        <v>0</v>
      </c>
      <c r="C108" s="53">
        <f t="shared" si="13"/>
        <v>-2E-3</v>
      </c>
      <c r="D108" s="53">
        <f t="shared" si="14"/>
        <v>0</v>
      </c>
      <c r="E108" s="53">
        <f t="shared" si="15"/>
        <v>2E-3</v>
      </c>
      <c r="F108" s="15">
        <v>0.80600000000000005</v>
      </c>
      <c r="G108" s="4">
        <v>0.63400000000000001</v>
      </c>
      <c r="H108" t="s">
        <v>71</v>
      </c>
      <c r="I108" t="str">
        <f>VLOOKUP(A108,Setores!$A$2:$C$215,2,0)</f>
        <v>basic_materials</v>
      </c>
      <c r="J108" t="str">
        <f>VLOOKUP(A108,Setores!$A$2:$C$215,3,0)</f>
        <v>neutral_beta</v>
      </c>
      <c r="K108" s="92">
        <v>0</v>
      </c>
      <c r="L108" s="42">
        <v>-2E-3</v>
      </c>
      <c r="M108" s="92">
        <f>VLOOKUP(A108,'Mandato Ibov'!$B$1:$C$215,2,0)</f>
        <v>0</v>
      </c>
      <c r="N108" s="58">
        <f t="shared" si="16"/>
        <v>0</v>
      </c>
      <c r="O108" s="42">
        <f t="shared" si="17"/>
        <v>0</v>
      </c>
      <c r="P108" s="95">
        <f>VLOOKUP(A108,'Mandato Ibov'!$B$2:$D$215,3,0)</f>
        <v>0</v>
      </c>
      <c r="Q108" s="42">
        <f t="shared" si="18"/>
        <v>0</v>
      </c>
      <c r="R108" s="15">
        <v>-0.622</v>
      </c>
      <c r="S108" s="15">
        <v>0.11799999999999999</v>
      </c>
      <c r="T108" s="15">
        <v>-0.86799999999999999</v>
      </c>
      <c r="U108" s="15">
        <v>-0.41199999999999998</v>
      </c>
      <c r="V108" s="15">
        <v>-0.35899999999999999</v>
      </c>
      <c r="W108" s="15">
        <v>-0.751</v>
      </c>
      <c r="X108" s="15">
        <v>-0.871</v>
      </c>
      <c r="Y108" s="15">
        <v>-0.21</v>
      </c>
      <c r="Z108" s="15">
        <v>0.33400000000000002</v>
      </c>
      <c r="AA108" s="15">
        <v>0.33600000000000002</v>
      </c>
      <c r="AB108" s="15">
        <v>0.45900000000000002</v>
      </c>
      <c r="AC108" s="15">
        <v>0.66700000000000004</v>
      </c>
      <c r="AD108" s="15">
        <v>0.78300000000000003</v>
      </c>
      <c r="AE108" s="14">
        <v>-0.21</v>
      </c>
      <c r="AF108" s="15">
        <v>-0.49099999999999999</v>
      </c>
      <c r="AG108" s="15">
        <v>1</v>
      </c>
      <c r="AH108" s="15">
        <v>-0.73099999999999998</v>
      </c>
      <c r="AI108" s="15">
        <v>-0.19600000000000001</v>
      </c>
      <c r="AJ108" s="16">
        <v>-0.92600000000000005</v>
      </c>
      <c r="AK108" s="4">
        <v>-0.254</v>
      </c>
      <c r="AL108" s="4">
        <v>-0.64500000000000002</v>
      </c>
      <c r="AM108" s="4">
        <v>0.224</v>
      </c>
      <c r="AN108" s="4">
        <v>-0.46100000000000002</v>
      </c>
      <c r="AO108" s="4">
        <v>0.67300000000000004</v>
      </c>
      <c r="AP108" s="4">
        <v>0.70299999999999996</v>
      </c>
      <c r="AQ108" s="4">
        <v>-0.53500000000000003</v>
      </c>
      <c r="AR108" s="4">
        <v>1</v>
      </c>
      <c r="AS108" s="4">
        <v>0.155</v>
      </c>
      <c r="AT108" s="4">
        <v>-0.11799999999999999</v>
      </c>
      <c r="AU108" s="4">
        <v>-0.8</v>
      </c>
      <c r="AV108" s="4">
        <v>0.05</v>
      </c>
      <c r="AW108" s="4">
        <v>-0.114</v>
      </c>
      <c r="AX108" s="4">
        <v>0.124</v>
      </c>
      <c r="AY108" s="4">
        <v>0.622</v>
      </c>
      <c r="AZ108" s="4">
        <v>-1</v>
      </c>
      <c r="BA108" s="4">
        <v>0.13700000000000001</v>
      </c>
      <c r="BB108" s="4">
        <v>0.50600000000000001</v>
      </c>
      <c r="BC108" s="4">
        <v>0.26600000000000001</v>
      </c>
      <c r="BD108" s="4">
        <v>0.81599999999999995</v>
      </c>
      <c r="BE108" s="4">
        <v>-1</v>
      </c>
      <c r="BF108" s="4">
        <v>0.29599999999999999</v>
      </c>
      <c r="BG108" s="4">
        <v>-0.58199999999999996</v>
      </c>
      <c r="BH108" s="4">
        <v>-1.0999999999999999E-2</v>
      </c>
      <c r="BI108" s="4">
        <v>-0.28899999999999998</v>
      </c>
      <c r="BJ108" s="4">
        <v>-0.41699999999999998</v>
      </c>
      <c r="BK108" s="4">
        <v>-8.9999999999999993E-3</v>
      </c>
      <c r="BL108" s="4"/>
      <c r="BM108" s="4">
        <f t="shared" si="19"/>
        <v>5.1175000000000005E-2</v>
      </c>
    </row>
    <row r="109" spans="1:65" x14ac:dyDescent="0.3">
      <c r="A109" t="s">
        <v>88</v>
      </c>
      <c r="B109" s="53">
        <f>K109</f>
        <v>0</v>
      </c>
      <c r="C109" s="53">
        <f t="shared" si="13"/>
        <v>0</v>
      </c>
      <c r="D109" s="53">
        <f t="shared" si="14"/>
        <v>0</v>
      </c>
      <c r="E109" s="53">
        <f t="shared" si="15"/>
        <v>0</v>
      </c>
      <c r="F109" s="15">
        <v>0.80300000000000005</v>
      </c>
      <c r="G109" s="4">
        <v>0.94499999999999995</v>
      </c>
      <c r="H109" t="s">
        <v>53</v>
      </c>
      <c r="I109" t="str">
        <f>VLOOKUP(A109,Setores!$A$2:$C$215,2,0)</f>
        <v>consumer_staples</v>
      </c>
      <c r="J109" t="str">
        <f>VLOOKUP(A109,Setores!$A$2:$C$215,3,0)</f>
        <v>very_low_beta</v>
      </c>
      <c r="K109" s="92">
        <v>0</v>
      </c>
      <c r="L109" s="42">
        <v>0</v>
      </c>
      <c r="M109" s="92">
        <f>VLOOKUP(A109,'Mandato Ibov'!$B$1:$C$215,2,0)</f>
        <v>0</v>
      </c>
      <c r="N109" s="58">
        <f t="shared" si="16"/>
        <v>0</v>
      </c>
      <c r="O109" s="42">
        <f t="shared" si="17"/>
        <v>0</v>
      </c>
      <c r="P109" s="95">
        <f>VLOOKUP(A109,'Mandato Ibov'!$B$2:$D$215,3,0)</f>
        <v>0</v>
      </c>
      <c r="Q109" s="42">
        <f t="shared" si="18"/>
        <v>0</v>
      </c>
      <c r="R109" s="15">
        <v>-0.623</v>
      </c>
      <c r="S109" s="15">
        <v>-0.63400000000000001</v>
      </c>
      <c r="T109" s="15">
        <v>-0.54100000000000004</v>
      </c>
      <c r="U109" s="15">
        <v>-0.62</v>
      </c>
      <c r="V109" s="15">
        <v>-0.63600000000000001</v>
      </c>
      <c r="W109" s="15">
        <v>-0.35</v>
      </c>
      <c r="X109" s="15">
        <v>3.1E-2</v>
      </c>
      <c r="Y109" s="15">
        <v>-0.39300000000000002</v>
      </c>
      <c r="Z109" s="15">
        <v>0.36399999999999999</v>
      </c>
      <c r="AA109" s="15">
        <v>0.36</v>
      </c>
      <c r="AB109" s="15">
        <v>0.70699999999999996</v>
      </c>
      <c r="AC109" s="15">
        <v>0.69599999999999995</v>
      </c>
      <c r="AD109" s="15">
        <v>0.65500000000000003</v>
      </c>
      <c r="AE109" s="14">
        <v>-0.38300000000000001</v>
      </c>
      <c r="AF109" s="15">
        <v>-0.85799999999999998</v>
      </c>
      <c r="AG109" s="15">
        <v>-0.40500000000000003</v>
      </c>
      <c r="AH109" s="15">
        <v>-0.17299999999999999</v>
      </c>
      <c r="AI109" s="15">
        <v>0.31</v>
      </c>
      <c r="AJ109" s="16">
        <v>-0.58699999999999997</v>
      </c>
      <c r="AK109" s="4">
        <v>-0.08</v>
      </c>
      <c r="AL109" s="4">
        <v>3.1E-2</v>
      </c>
      <c r="AM109" s="4">
        <v>-0.48899999999999999</v>
      </c>
      <c r="AN109" s="4">
        <v>-0.10299999999999999</v>
      </c>
      <c r="AO109" s="4">
        <v>-9.6000000000000002E-2</v>
      </c>
      <c r="AP109" s="4">
        <v>-5.1999999999999998E-2</v>
      </c>
      <c r="AQ109" s="4">
        <v>-0.32900000000000001</v>
      </c>
      <c r="AR109" s="4">
        <v>-0.44</v>
      </c>
      <c r="AS109" s="4">
        <v>-0.374</v>
      </c>
      <c r="AT109" s="4">
        <v>7.8E-2</v>
      </c>
      <c r="AU109" s="4">
        <v>-7.6999999999999999E-2</v>
      </c>
      <c r="AV109" s="4">
        <v>-4.2000000000000003E-2</v>
      </c>
      <c r="AW109" s="4">
        <v>0.66600000000000004</v>
      </c>
      <c r="AX109" s="4">
        <v>0</v>
      </c>
      <c r="AY109" s="4">
        <v>0.49299999999999999</v>
      </c>
      <c r="AZ109" s="4">
        <v>-7.8E-2</v>
      </c>
      <c r="BA109" s="4">
        <v>6.7000000000000004E-2</v>
      </c>
      <c r="BB109" s="4">
        <v>-0.09</v>
      </c>
      <c r="BC109" s="4">
        <v>-0.158</v>
      </c>
      <c r="BD109" s="4">
        <v>0.379</v>
      </c>
      <c r="BE109" s="4">
        <v>8.6999999999999994E-2</v>
      </c>
      <c r="BF109" s="4">
        <v>0.26800000000000002</v>
      </c>
      <c r="BG109" s="4">
        <v>0.72899999999999998</v>
      </c>
      <c r="BH109" s="4">
        <v>-0.3</v>
      </c>
      <c r="BI109" s="4">
        <v>-0.41899999999999998</v>
      </c>
      <c r="BJ109" s="4">
        <v>0.54500000000000004</v>
      </c>
      <c r="BK109" s="4">
        <v>0.56799999999999995</v>
      </c>
      <c r="BL109" s="4"/>
      <c r="BM109" s="4">
        <f t="shared" si="19"/>
        <v>-1.8650000000000014E-2</v>
      </c>
    </row>
    <row r="110" spans="1:65" x14ac:dyDescent="0.3">
      <c r="A110" t="s">
        <v>102</v>
      </c>
      <c r="B110" s="53">
        <f>K110</f>
        <v>0</v>
      </c>
      <c r="C110" s="53">
        <f t="shared" si="13"/>
        <v>-2E-3</v>
      </c>
      <c r="D110" s="53">
        <f t="shared" si="14"/>
        <v>0</v>
      </c>
      <c r="E110" s="53">
        <f t="shared" si="15"/>
        <v>2E-3</v>
      </c>
      <c r="F110" s="15">
        <v>0.8</v>
      </c>
      <c r="G110" s="4">
        <v>0.65</v>
      </c>
      <c r="H110" t="s">
        <v>57</v>
      </c>
      <c r="I110" t="str">
        <f>VLOOKUP(A110,Setores!$A$2:$C$215,2,0)</f>
        <v>education</v>
      </c>
      <c r="J110" t="str">
        <f>VLOOKUP(A110,Setores!$A$2:$C$215,3,0)</f>
        <v>high_beta</v>
      </c>
      <c r="K110" s="92">
        <v>0</v>
      </c>
      <c r="L110" s="42">
        <v>-2E-3</v>
      </c>
      <c r="M110" s="92">
        <f>VLOOKUP(A110,'Mandato Ibov'!$B$1:$C$215,2,0)</f>
        <v>0</v>
      </c>
      <c r="N110" s="58">
        <f t="shared" si="16"/>
        <v>0</v>
      </c>
      <c r="O110" s="42">
        <f t="shared" si="17"/>
        <v>0</v>
      </c>
      <c r="P110" s="95">
        <f>VLOOKUP(A110,'Mandato Ibov'!$B$2:$D$215,3,0)</f>
        <v>0</v>
      </c>
      <c r="Q110" s="42">
        <f t="shared" si="18"/>
        <v>0</v>
      </c>
      <c r="R110" s="15">
        <v>-0.20699999999999999</v>
      </c>
      <c r="S110" s="15">
        <v>-0.34200000000000003</v>
      </c>
      <c r="T110" s="15">
        <v>-0.38300000000000001</v>
      </c>
      <c r="U110" s="15">
        <v>-8.6999999999999994E-2</v>
      </c>
      <c r="V110" s="15">
        <v>-0.22900000000000001</v>
      </c>
      <c r="W110" s="15">
        <v>-0.29199999999999998</v>
      </c>
      <c r="X110" s="15">
        <v>-0.20399999999999999</v>
      </c>
      <c r="Y110" s="15">
        <v>-0.69799999999999995</v>
      </c>
      <c r="Z110" s="15">
        <v>0.14099999999999999</v>
      </c>
      <c r="AA110" s="15">
        <v>0.14000000000000001</v>
      </c>
      <c r="AB110" s="15">
        <v>0.69799999999999995</v>
      </c>
      <c r="AC110" s="15">
        <v>0.55000000000000004</v>
      </c>
      <c r="AD110" s="15">
        <v>0.55000000000000004</v>
      </c>
      <c r="AE110" s="14">
        <v>0.48499999999999999</v>
      </c>
      <c r="AF110" s="15">
        <v>1</v>
      </c>
      <c r="AG110" s="15">
        <v>-0.26400000000000001</v>
      </c>
      <c r="AH110" s="15">
        <v>-0.252</v>
      </c>
      <c r="AI110" s="15">
        <v>-0.621</v>
      </c>
      <c r="AJ110" s="16">
        <v>4.8000000000000001E-2</v>
      </c>
      <c r="AK110" s="4">
        <v>-2.8000000000000001E-2</v>
      </c>
      <c r="AL110" s="4">
        <v>-0.72599999999999998</v>
      </c>
      <c r="AM110" s="4">
        <v>0.47</v>
      </c>
      <c r="AN110" s="4">
        <v>0.52300000000000002</v>
      </c>
      <c r="AO110" s="4">
        <v>-0.41699999999999998</v>
      </c>
      <c r="AP110" s="4">
        <v>-0.46100000000000002</v>
      </c>
      <c r="AQ110" s="4">
        <v>0.57699999999999996</v>
      </c>
      <c r="AR110" s="4">
        <v>0.51500000000000001</v>
      </c>
      <c r="AS110" s="4">
        <v>0.125</v>
      </c>
      <c r="AT110" s="4">
        <v>-6.5000000000000002E-2</v>
      </c>
      <c r="AU110" s="4">
        <v>5.8000000000000003E-2</v>
      </c>
      <c r="AV110" s="4">
        <v>0.29299999999999998</v>
      </c>
      <c r="AW110" s="4">
        <v>-0.38500000000000001</v>
      </c>
      <c r="AX110" s="4">
        <v>-0.48799999999999999</v>
      </c>
      <c r="AY110" s="4">
        <v>0.77500000000000002</v>
      </c>
      <c r="AZ110" s="4">
        <v>-0.48599999999999999</v>
      </c>
      <c r="BA110" s="4">
        <v>0.46700000000000003</v>
      </c>
      <c r="BB110" s="4">
        <v>7.6999999999999999E-2</v>
      </c>
      <c r="BC110" s="4">
        <v>-0.13900000000000001</v>
      </c>
      <c r="BD110" s="4">
        <v>0.38200000000000001</v>
      </c>
      <c r="BE110" s="4">
        <v>0.52800000000000002</v>
      </c>
      <c r="BF110" s="4">
        <v>0.56100000000000005</v>
      </c>
      <c r="BG110" s="4">
        <v>0.53900000000000003</v>
      </c>
      <c r="BH110" s="4">
        <v>-0.20899999999999999</v>
      </c>
      <c r="BI110" s="4">
        <v>5.0999999999999997E-2</v>
      </c>
      <c r="BJ110" s="4">
        <v>-0.79100000000000004</v>
      </c>
      <c r="BK110" s="4">
        <v>-0.4</v>
      </c>
      <c r="BL110" s="4"/>
      <c r="BM110" s="4">
        <f t="shared" si="19"/>
        <v>1.3575000000000004E-2</v>
      </c>
    </row>
    <row r="111" spans="1:65" x14ac:dyDescent="0.3">
      <c r="A111" t="s">
        <v>112</v>
      </c>
      <c r="B111" s="53">
        <v>0</v>
      </c>
      <c r="C111" s="53">
        <f t="shared" si="13"/>
        <v>-4.0000000000000001E-3</v>
      </c>
      <c r="D111" s="53">
        <f t="shared" si="14"/>
        <v>0</v>
      </c>
      <c r="E111" s="53">
        <f t="shared" si="15"/>
        <v>4.0000000000000001E-3</v>
      </c>
      <c r="F111" s="15">
        <v>0.78600000000000003</v>
      </c>
      <c r="G111" s="4">
        <v>0.98299999999999998</v>
      </c>
      <c r="H111" t="s">
        <v>55</v>
      </c>
      <c r="I111" t="str">
        <f>VLOOKUP(A111,Setores!$A$2:$C$215,2,0)</f>
        <v>utilities</v>
      </c>
      <c r="J111" t="str">
        <f>VLOOKUP(A111,Setores!$A$2:$C$215,3,0)</f>
        <v>low_beta</v>
      </c>
      <c r="K111" s="92">
        <v>0</v>
      </c>
      <c r="L111" s="42">
        <v>-4.0000000000000001E-3</v>
      </c>
      <c r="M111" s="92">
        <f>VLOOKUP(A111,'Mandato Ibov'!$B$1:$C$215,2,0)</f>
        <v>0</v>
      </c>
      <c r="N111" s="58">
        <f t="shared" si="16"/>
        <v>0</v>
      </c>
      <c r="O111" s="42">
        <f t="shared" si="17"/>
        <v>0</v>
      </c>
      <c r="P111" s="95">
        <f>VLOOKUP(A111,'Mandato Ibov'!$B$2:$D$215,3,0)</f>
        <v>1.1369582982315701E-2</v>
      </c>
      <c r="Q111" s="42">
        <f t="shared" si="18"/>
        <v>-1.1369582982315701E-2</v>
      </c>
      <c r="R111" s="15">
        <v>-0.89500000000000002</v>
      </c>
      <c r="S111" s="15">
        <v>-0.75800000000000001</v>
      </c>
      <c r="T111" s="15">
        <v>-0.98899999999999999</v>
      </c>
      <c r="U111" s="15">
        <v>-0.67300000000000004</v>
      </c>
      <c r="V111" s="15">
        <v>-0.81399999999999995</v>
      </c>
      <c r="W111" s="15">
        <v>-0.55000000000000004</v>
      </c>
      <c r="X111" s="15">
        <v>-7.2999999999999995E-2</v>
      </c>
      <c r="Y111" s="15">
        <v>-7.5999999999999998E-2</v>
      </c>
      <c r="Z111" s="15">
        <v>0.63500000000000001</v>
      </c>
      <c r="AA111" s="15">
        <v>0.63600000000000001</v>
      </c>
      <c r="AB111" s="15">
        <v>0.755</v>
      </c>
      <c r="AC111" s="15">
        <v>0.65500000000000003</v>
      </c>
      <c r="AD111" s="15">
        <v>0.60099999999999998</v>
      </c>
      <c r="AE111" s="14">
        <v>-0.85399999999999998</v>
      </c>
      <c r="AF111" s="15">
        <v>-0.74299999999999999</v>
      </c>
      <c r="AG111" s="15">
        <v>0.25</v>
      </c>
      <c r="AH111" s="15">
        <v>-0.91500000000000004</v>
      </c>
      <c r="AI111" s="15">
        <v>-0.218</v>
      </c>
      <c r="AJ111" s="16">
        <v>-0.90300000000000002</v>
      </c>
      <c r="AK111" s="4">
        <v>-0.37</v>
      </c>
      <c r="AL111" s="4">
        <v>-0.03</v>
      </c>
      <c r="AM111" s="4">
        <v>-0.72099999999999997</v>
      </c>
      <c r="AN111" s="4">
        <v>-0.78</v>
      </c>
      <c r="AO111" s="4">
        <v>0.69299999999999995</v>
      </c>
      <c r="AP111" s="4">
        <v>0.11799999999999999</v>
      </c>
      <c r="AQ111" s="4">
        <v>7.5999999999999998E-2</v>
      </c>
      <c r="AR111" s="4">
        <v>5.0999999999999997E-2</v>
      </c>
      <c r="AS111" s="4">
        <v>-0.67600000000000005</v>
      </c>
      <c r="AT111" s="4">
        <v>0.21099999999999999</v>
      </c>
      <c r="AU111" s="4">
        <v>5.5E-2</v>
      </c>
      <c r="AV111" s="4">
        <v>-0.317</v>
      </c>
      <c r="AW111" s="4">
        <v>0.59099999999999997</v>
      </c>
      <c r="AX111" s="4">
        <v>-0.47699999999999998</v>
      </c>
      <c r="AY111" s="4">
        <v>1</v>
      </c>
      <c r="AZ111" s="4">
        <v>-8.1000000000000003E-2</v>
      </c>
      <c r="BA111" s="4">
        <v>-0.75700000000000001</v>
      </c>
      <c r="BB111" s="4">
        <v>-0.33800000000000002</v>
      </c>
      <c r="BC111" s="4">
        <v>-0.621</v>
      </c>
      <c r="BD111" s="4">
        <v>0.40400000000000003</v>
      </c>
      <c r="BE111" s="4">
        <v>-0.26900000000000002</v>
      </c>
      <c r="BF111" s="4">
        <v>0.3</v>
      </c>
      <c r="BG111" s="4">
        <v>0.85599999999999998</v>
      </c>
      <c r="BH111" s="4">
        <v>-1</v>
      </c>
      <c r="BI111" s="4">
        <v>-0.28899999999999998</v>
      </c>
      <c r="BJ111" s="4">
        <v>-0.39600000000000002</v>
      </c>
      <c r="BK111" s="4">
        <v>-0.111</v>
      </c>
      <c r="BL111" s="4"/>
      <c r="BM111" s="4">
        <f t="shared" si="19"/>
        <v>8.2674999999999998E-2</v>
      </c>
    </row>
    <row r="112" spans="1:65" x14ac:dyDescent="0.3">
      <c r="A112" t="s">
        <v>83</v>
      </c>
      <c r="B112" s="53">
        <f t="shared" ref="B112:B143" si="22">K112</f>
        <v>0</v>
      </c>
      <c r="C112" s="53">
        <f t="shared" si="13"/>
        <v>-2.7E-2</v>
      </c>
      <c r="D112" s="53">
        <f t="shared" si="14"/>
        <v>0</v>
      </c>
      <c r="E112" s="53">
        <f t="shared" si="15"/>
        <v>2.7E-2</v>
      </c>
      <c r="F112" s="15">
        <v>0.77900000000000003</v>
      </c>
      <c r="G112" s="4">
        <v>1.5589999999999999</v>
      </c>
      <c r="H112" t="s">
        <v>53</v>
      </c>
      <c r="I112" t="str">
        <f>VLOOKUP(A112,Setores!$A$2:$C$215,2,0)</f>
        <v>consumer_staples</v>
      </c>
      <c r="J112" t="str">
        <f>VLOOKUP(A112,Setores!$A$2:$C$215,3,0)</f>
        <v>low_beta</v>
      </c>
      <c r="K112" s="92">
        <v>0</v>
      </c>
      <c r="L112" s="42">
        <v>-2.7E-2</v>
      </c>
      <c r="M112" s="92">
        <f>VLOOKUP(A112,'Mandato Ibov'!$B$1:$C$215,2,0)</f>
        <v>0</v>
      </c>
      <c r="N112" s="58">
        <f t="shared" si="16"/>
        <v>0</v>
      </c>
      <c r="O112" s="42">
        <f t="shared" si="17"/>
        <v>0</v>
      </c>
      <c r="P112" s="95">
        <f>VLOOKUP(A112,'Mandato Ibov'!$B$2:$D$215,3,0)</f>
        <v>3.3876297343917998E-2</v>
      </c>
      <c r="Q112" s="42">
        <f t="shared" si="18"/>
        <v>-3.3876297343917998E-2</v>
      </c>
      <c r="R112" s="15">
        <v>-0.63200000000000001</v>
      </c>
      <c r="S112" s="15">
        <v>-0.69099999999999995</v>
      </c>
      <c r="T112" s="15">
        <v>-0.85299999999999998</v>
      </c>
      <c r="U112" s="15">
        <v>-0.14199999999999999</v>
      </c>
      <c r="V112" s="15">
        <v>-0.60499999999999998</v>
      </c>
      <c r="W112" s="15">
        <v>-0.57499999999999996</v>
      </c>
      <c r="X112" s="15">
        <v>-0.38300000000000001</v>
      </c>
      <c r="Y112" s="15">
        <v>-0.157</v>
      </c>
      <c r="Z112" s="15">
        <v>0.28699999999999998</v>
      </c>
      <c r="AA112" s="15">
        <v>0.28699999999999998</v>
      </c>
      <c r="AB112" s="15">
        <v>0.69299999999999995</v>
      </c>
      <c r="AC112" s="15">
        <v>0.7</v>
      </c>
      <c r="AD112" s="15">
        <v>0.54900000000000004</v>
      </c>
      <c r="AE112" s="14">
        <v>0.26100000000000001</v>
      </c>
      <c r="AF112" s="15">
        <v>-0.61899999999999999</v>
      </c>
      <c r="AG112" s="15">
        <v>-0.42299999999999999</v>
      </c>
      <c r="AH112" s="15">
        <v>-1</v>
      </c>
      <c r="AI112" s="15">
        <v>-0.93300000000000005</v>
      </c>
      <c r="AJ112" s="16">
        <v>-0.64100000000000001</v>
      </c>
      <c r="AK112" s="4">
        <v>-0.28899999999999998</v>
      </c>
      <c r="AL112" s="4">
        <v>-0.19800000000000001</v>
      </c>
      <c r="AM112" s="4">
        <v>-0.94199999999999995</v>
      </c>
      <c r="AN112" s="4">
        <v>-0.16300000000000001</v>
      </c>
      <c r="AO112" s="4">
        <v>0.31900000000000001</v>
      </c>
      <c r="AP112" s="4">
        <v>4.2999999999999997E-2</v>
      </c>
      <c r="AQ112" s="4">
        <v>0.18099999999999999</v>
      </c>
      <c r="AR112" s="4">
        <v>0.29499999999999998</v>
      </c>
      <c r="AS112" s="4">
        <v>-3.6999999999999998E-2</v>
      </c>
      <c r="AT112" s="4">
        <v>0.435</v>
      </c>
      <c r="AU112" s="4">
        <v>0.09</v>
      </c>
      <c r="AV112" s="4">
        <v>0.90800000000000003</v>
      </c>
      <c r="AW112" s="4">
        <v>0.71399999999999997</v>
      </c>
      <c r="AX112" s="4">
        <v>0.53100000000000003</v>
      </c>
      <c r="AY112" s="4">
        <v>0.65100000000000002</v>
      </c>
      <c r="AZ112" s="4">
        <v>-0.55300000000000005</v>
      </c>
      <c r="BA112" s="4">
        <v>-0.26500000000000001</v>
      </c>
      <c r="BB112" s="4">
        <v>0.19</v>
      </c>
      <c r="BC112" s="4">
        <v>0.13900000000000001</v>
      </c>
      <c r="BD112" s="4">
        <v>0.51</v>
      </c>
      <c r="BE112" s="4">
        <v>-0.82299999999999995</v>
      </c>
      <c r="BF112" s="4">
        <v>-1</v>
      </c>
      <c r="BG112" s="4">
        <v>-0.54100000000000004</v>
      </c>
      <c r="BH112" s="4">
        <v>-0.21299999999999999</v>
      </c>
      <c r="BI112" s="4">
        <v>-0.21099999999999999</v>
      </c>
      <c r="BJ112" s="4">
        <v>-0.11899999999999999</v>
      </c>
      <c r="BK112" s="4">
        <v>-1</v>
      </c>
      <c r="BL112" s="4"/>
      <c r="BM112" s="4">
        <f t="shared" si="19"/>
        <v>0.24352500000000005</v>
      </c>
    </row>
    <row r="113" spans="1:65" x14ac:dyDescent="0.3">
      <c r="A113" t="s">
        <v>147</v>
      </c>
      <c r="B113" s="53">
        <f t="shared" si="22"/>
        <v>0</v>
      </c>
      <c r="C113" s="53">
        <f t="shared" si="13"/>
        <v>-5.0000000000000001E-3</v>
      </c>
      <c r="D113" s="53">
        <f t="shared" si="14"/>
        <v>0</v>
      </c>
      <c r="E113" s="53">
        <f t="shared" si="15"/>
        <v>5.0000000000000001E-3</v>
      </c>
      <c r="F113" s="15">
        <v>0.76900000000000002</v>
      </c>
      <c r="G113" s="4">
        <v>0.90800000000000003</v>
      </c>
      <c r="H113" t="s">
        <v>57</v>
      </c>
      <c r="I113" t="str">
        <f>VLOOKUP(A113,Setores!$A$2:$C$215,2,0)</f>
        <v>apparel</v>
      </c>
      <c r="J113" t="str">
        <f>VLOOKUP(A113,Setores!$A$2:$C$215,3,0)</f>
        <v>neutral_beta</v>
      </c>
      <c r="K113" s="92">
        <v>0</v>
      </c>
      <c r="L113" s="42">
        <v>-5.0000000000000001E-3</v>
      </c>
      <c r="M113" s="92">
        <f>VLOOKUP(A113,'Mandato Ibov'!$B$1:$C$215,2,0)</f>
        <v>0</v>
      </c>
      <c r="N113" s="58">
        <f t="shared" si="16"/>
        <v>0</v>
      </c>
      <c r="O113" s="42">
        <f t="shared" si="17"/>
        <v>0</v>
      </c>
      <c r="P113" s="95">
        <f>VLOOKUP(A113,'Mandato Ibov'!$B$2:$D$215,3,0)</f>
        <v>0</v>
      </c>
      <c r="Q113" s="42">
        <f t="shared" si="18"/>
        <v>0</v>
      </c>
      <c r="R113" s="15">
        <v>-0.30099999999999999</v>
      </c>
      <c r="S113" s="15">
        <v>-0.60699999999999998</v>
      </c>
      <c r="T113" s="15">
        <v>-0.65500000000000003</v>
      </c>
      <c r="U113" s="15">
        <v>-9.5000000000000001E-2</v>
      </c>
      <c r="V113" s="15">
        <v>-0.496</v>
      </c>
      <c r="W113" s="15">
        <v>-0.27400000000000002</v>
      </c>
      <c r="X113" s="15">
        <v>-0.24399999999999999</v>
      </c>
      <c r="Y113" s="15">
        <v>-0.45300000000000001</v>
      </c>
      <c r="Z113" s="15">
        <v>3.5000000000000003E-2</v>
      </c>
      <c r="AA113" s="15">
        <v>3.3000000000000002E-2</v>
      </c>
      <c r="AB113" s="15">
        <v>0.64300000000000002</v>
      </c>
      <c r="AC113" s="15">
        <v>0.60199999999999998</v>
      </c>
      <c r="AD113" s="15">
        <v>0.497</v>
      </c>
      <c r="AE113" s="14">
        <v>0.67600000000000005</v>
      </c>
      <c r="AF113" s="15">
        <v>-8.2000000000000003E-2</v>
      </c>
      <c r="AG113" s="15">
        <v>-0.72399999999999998</v>
      </c>
      <c r="AH113" s="15">
        <v>-0.76500000000000001</v>
      </c>
      <c r="AI113" s="15">
        <v>-0.83</v>
      </c>
      <c r="AJ113" s="16">
        <v>-0.121</v>
      </c>
      <c r="AK113" s="4">
        <v>0.10100000000000001</v>
      </c>
      <c r="AL113" s="4">
        <v>-0.222</v>
      </c>
      <c r="AM113" s="4">
        <v>-0.56899999999999995</v>
      </c>
      <c r="AN113" s="4">
        <v>0.54800000000000004</v>
      </c>
      <c r="AO113" s="4">
        <v>-0.32700000000000001</v>
      </c>
      <c r="AP113" s="4">
        <v>7.1999999999999995E-2</v>
      </c>
      <c r="AQ113" s="4">
        <v>0.219</v>
      </c>
      <c r="AR113" s="4">
        <v>0.34200000000000003</v>
      </c>
      <c r="AS113" s="4">
        <v>0.104</v>
      </c>
      <c r="AT113" s="4">
        <v>0.34100000000000003</v>
      </c>
      <c r="AU113" s="4">
        <v>-2.8000000000000001E-2</v>
      </c>
      <c r="AV113" s="4">
        <v>0.90800000000000003</v>
      </c>
      <c r="AW113" s="4">
        <v>-0.217</v>
      </c>
      <c r="AX113" s="4">
        <v>0.46500000000000002</v>
      </c>
      <c r="AY113" s="4">
        <v>0.88100000000000001</v>
      </c>
      <c r="AZ113" s="4">
        <v>6.2E-2</v>
      </c>
      <c r="BA113" s="4">
        <v>1.7000000000000001E-2</v>
      </c>
      <c r="BB113" s="4">
        <v>0.127</v>
      </c>
      <c r="BC113" s="4">
        <v>0.12</v>
      </c>
      <c r="BD113" s="4">
        <v>0.40799999999999997</v>
      </c>
      <c r="BE113" s="4">
        <v>-6.8000000000000005E-2</v>
      </c>
      <c r="BF113" s="4">
        <v>-0.24</v>
      </c>
      <c r="BG113" s="4">
        <v>8.5999999999999993E-2</v>
      </c>
      <c r="BH113" s="4">
        <v>0.04</v>
      </c>
      <c r="BI113" s="4">
        <v>-9.9000000000000005E-2</v>
      </c>
      <c r="BJ113" s="4">
        <v>-0.94799999999999995</v>
      </c>
      <c r="BK113" s="4">
        <v>-0.56699999999999995</v>
      </c>
      <c r="BL113" s="4"/>
      <c r="BM113" s="4">
        <f t="shared" si="19"/>
        <v>0.16302500000000003</v>
      </c>
    </row>
    <row r="114" spans="1:65" x14ac:dyDescent="0.3">
      <c r="A114" t="s">
        <v>186</v>
      </c>
      <c r="B114" s="53">
        <f t="shared" si="22"/>
        <v>0</v>
      </c>
      <c r="C114" s="53">
        <f t="shared" si="13"/>
        <v>-1.2E-2</v>
      </c>
      <c r="D114" s="53">
        <f t="shared" si="14"/>
        <v>0</v>
      </c>
      <c r="E114" s="53">
        <f t="shared" si="15"/>
        <v>1.2E-2</v>
      </c>
      <c r="F114" s="15">
        <v>0.749</v>
      </c>
      <c r="G114" s="4">
        <v>1.242</v>
      </c>
      <c r="H114" t="s">
        <v>71</v>
      </c>
      <c r="I114" t="str">
        <f>VLOOKUP(A114,Setores!$A$2:$C$215,2,0)</f>
        <v>basic_materials</v>
      </c>
      <c r="J114" t="str">
        <f>VLOOKUP(A114,Setores!$A$2:$C$215,3,0)</f>
        <v>low_beta</v>
      </c>
      <c r="K114" s="92">
        <v>0</v>
      </c>
      <c r="L114" s="42">
        <v>-1.2E-2</v>
      </c>
      <c r="M114" s="92">
        <f>VLOOKUP(A114,'Mandato Ibov'!$B$1:$C$215,2,0)</f>
        <v>0</v>
      </c>
      <c r="N114" s="58">
        <f t="shared" si="16"/>
        <v>0</v>
      </c>
      <c r="O114" s="42">
        <f t="shared" si="17"/>
        <v>0</v>
      </c>
      <c r="P114" s="95">
        <f>VLOOKUP(A114,'Mandato Ibov'!$B$2:$D$215,3,0)</f>
        <v>0</v>
      </c>
      <c r="Q114" s="42">
        <f t="shared" si="18"/>
        <v>0</v>
      </c>
      <c r="R114" s="15">
        <v>-0.754</v>
      </c>
      <c r="S114" s="15">
        <v>-0.32100000000000001</v>
      </c>
      <c r="T114" s="15">
        <v>-0.94199999999999995</v>
      </c>
      <c r="U114" s="15">
        <v>-0.63900000000000001</v>
      </c>
      <c r="V114" s="15">
        <v>-0.71899999999999997</v>
      </c>
      <c r="W114" s="15">
        <v>-0.55000000000000004</v>
      </c>
      <c r="X114" s="15">
        <v>-0.61899999999999999</v>
      </c>
      <c r="Y114" s="15">
        <v>-0.29399999999999998</v>
      </c>
      <c r="Z114" s="15">
        <v>0.51200000000000001</v>
      </c>
      <c r="AA114" s="15">
        <v>0.51200000000000001</v>
      </c>
      <c r="AB114" s="15">
        <v>0.628</v>
      </c>
      <c r="AC114" s="15">
        <v>0.78200000000000003</v>
      </c>
      <c r="AD114" s="15">
        <v>0.745</v>
      </c>
      <c r="AE114" s="14">
        <v>-0.65500000000000003</v>
      </c>
      <c r="AF114" s="15">
        <v>-0.89300000000000002</v>
      </c>
      <c r="AG114" s="15">
        <v>0.44800000000000001</v>
      </c>
      <c r="AH114" s="15">
        <v>-0.93600000000000005</v>
      </c>
      <c r="AI114" s="15">
        <v>-0.57499999999999996</v>
      </c>
      <c r="AJ114" s="16">
        <v>-0.96</v>
      </c>
      <c r="AK114" s="4">
        <v>-0.15</v>
      </c>
      <c r="AL114" s="4">
        <v>-0.437</v>
      </c>
      <c r="AM114" s="4">
        <v>-0.26</v>
      </c>
      <c r="AN114" s="4">
        <v>-0.64400000000000002</v>
      </c>
      <c r="AO114" s="4">
        <v>0.52900000000000003</v>
      </c>
      <c r="AP114" s="4">
        <v>0.41599999999999998</v>
      </c>
      <c r="AQ114" s="4">
        <v>-0.86699999999999999</v>
      </c>
      <c r="AR114" s="4">
        <v>0.47899999999999998</v>
      </c>
      <c r="AS114" s="4">
        <v>0.40300000000000002</v>
      </c>
      <c r="AT114" s="4">
        <v>9.7000000000000003E-2</v>
      </c>
      <c r="AU114" s="4">
        <v>-0.53400000000000003</v>
      </c>
      <c r="AV114" s="4">
        <v>-0.15</v>
      </c>
      <c r="AW114" s="4">
        <v>0.46200000000000002</v>
      </c>
      <c r="AX114" s="4">
        <v>-6.2E-2</v>
      </c>
      <c r="AY114" s="4">
        <v>0.81399999999999995</v>
      </c>
      <c r="AZ114" s="4">
        <v>-0.376</v>
      </c>
      <c r="BA114" s="4">
        <v>0.56799999999999995</v>
      </c>
      <c r="BB114" s="4">
        <v>0.19400000000000001</v>
      </c>
      <c r="BC114" s="4">
        <v>7.2999999999999995E-2</v>
      </c>
      <c r="BD114" s="4">
        <v>0.64600000000000002</v>
      </c>
      <c r="BE114" s="4">
        <v>-1</v>
      </c>
      <c r="BF114" s="4">
        <v>-0.83399999999999996</v>
      </c>
      <c r="BG114" s="4">
        <v>0.34399999999999997</v>
      </c>
      <c r="BH114" s="4">
        <v>-0.25700000000000001</v>
      </c>
      <c r="BI114" s="4">
        <v>-0.504</v>
      </c>
      <c r="BJ114" s="4">
        <v>-0.28100000000000003</v>
      </c>
      <c r="BK114" s="4">
        <v>-0.57899999999999996</v>
      </c>
      <c r="BL114" s="4"/>
      <c r="BM114" s="4">
        <f t="shared" si="19"/>
        <v>4.7350000000000003E-2</v>
      </c>
    </row>
    <row r="115" spans="1:65" x14ac:dyDescent="0.3">
      <c r="A115" t="s">
        <v>155</v>
      </c>
      <c r="B115" s="53">
        <f t="shared" si="22"/>
        <v>0</v>
      </c>
      <c r="C115" s="53">
        <f t="shared" si="13"/>
        <v>0</v>
      </c>
      <c r="D115" s="53">
        <f t="shared" si="14"/>
        <v>0</v>
      </c>
      <c r="E115" s="53">
        <f t="shared" si="15"/>
        <v>0</v>
      </c>
      <c r="F115" s="15">
        <v>0.74199999999999999</v>
      </c>
      <c r="G115" s="4">
        <v>0.53700000000000003</v>
      </c>
      <c r="H115" t="s">
        <v>55</v>
      </c>
      <c r="I115" t="str">
        <f>VLOOKUP(A115,Setores!$A$2:$C$215,2,0)</f>
        <v>utilities</v>
      </c>
      <c r="J115" t="str">
        <f>VLOOKUP(A115,Setores!$A$2:$C$215,3,0)</f>
        <v>low_beta</v>
      </c>
      <c r="K115" s="92">
        <v>0</v>
      </c>
      <c r="L115" s="42">
        <v>0</v>
      </c>
      <c r="M115" s="92">
        <f>VLOOKUP(A115,'Mandato Ibov'!$B$1:$C$215,2,0)</f>
        <v>0</v>
      </c>
      <c r="N115" s="58">
        <f t="shared" si="16"/>
        <v>0</v>
      </c>
      <c r="O115" s="42">
        <f t="shared" si="17"/>
        <v>0</v>
      </c>
      <c r="P115" s="95">
        <f>VLOOKUP(A115,'Mandato Ibov'!$B$2:$D$215,3,0)</f>
        <v>0</v>
      </c>
      <c r="Q115" s="42">
        <f t="shared" si="18"/>
        <v>0</v>
      </c>
      <c r="R115" s="15">
        <v>-0.28199999999999997</v>
      </c>
      <c r="S115" s="15">
        <v>-0.125</v>
      </c>
      <c r="T115" s="15">
        <v>-0.10299999999999999</v>
      </c>
      <c r="U115" s="15">
        <v>-0.52700000000000002</v>
      </c>
      <c r="V115" s="15">
        <v>-0.28799999999999998</v>
      </c>
      <c r="W115" s="15">
        <v>-0.55400000000000005</v>
      </c>
      <c r="X115" s="15">
        <v>-0.66900000000000004</v>
      </c>
      <c r="Y115" s="15">
        <v>-0.86599999999999999</v>
      </c>
      <c r="Z115" s="15">
        <v>0.59899999999999998</v>
      </c>
      <c r="AA115" s="15">
        <v>0.59599999999999997</v>
      </c>
      <c r="AB115" s="15">
        <v>0.47099999999999997</v>
      </c>
      <c r="AC115" s="15">
        <v>0.68</v>
      </c>
      <c r="AD115" s="15">
        <v>0.65</v>
      </c>
      <c r="AE115" s="14">
        <v>-0.46100000000000002</v>
      </c>
      <c r="AF115" s="15">
        <v>0.72299999999999998</v>
      </c>
      <c r="AG115" s="15">
        <v>-0.22900000000000001</v>
      </c>
      <c r="AH115" s="15">
        <v>0.65300000000000002</v>
      </c>
      <c r="AI115" s="15">
        <v>-0.18099999999999999</v>
      </c>
      <c r="AJ115" s="16">
        <v>-0.59</v>
      </c>
      <c r="AK115" s="4">
        <v>0.31900000000000001</v>
      </c>
      <c r="AL115" s="4">
        <v>-1</v>
      </c>
      <c r="AM115" s="4">
        <v>0.92800000000000005</v>
      </c>
      <c r="AN115" s="4">
        <v>-0.32700000000000001</v>
      </c>
      <c r="AO115" s="4">
        <v>-0.58399999999999996</v>
      </c>
      <c r="AP115" s="4">
        <v>0.16500000000000001</v>
      </c>
      <c r="AQ115" s="4">
        <v>0.13700000000000001</v>
      </c>
      <c r="AR115" s="4">
        <v>1</v>
      </c>
      <c r="AS115" s="4">
        <v>0.44400000000000001</v>
      </c>
      <c r="AT115" s="4">
        <v>0.38700000000000001</v>
      </c>
      <c r="AU115" s="4">
        <v>-0.48799999999999999</v>
      </c>
      <c r="AV115" s="4">
        <v>-0.63700000000000001</v>
      </c>
      <c r="AW115" s="4">
        <v>-0.28699999999999998</v>
      </c>
      <c r="AX115" s="4">
        <v>-0.83799999999999997</v>
      </c>
      <c r="AY115" s="4">
        <v>-0.126</v>
      </c>
      <c r="AZ115" s="4">
        <v>0.16600000000000001</v>
      </c>
      <c r="BA115" s="4">
        <v>3.3000000000000002E-2</v>
      </c>
      <c r="BB115" s="4">
        <v>-0.376</v>
      </c>
      <c r="BC115" s="4">
        <v>-0.60399999999999998</v>
      </c>
      <c r="BD115" s="4">
        <v>0.24099999999999999</v>
      </c>
      <c r="BE115" s="4">
        <v>0.999</v>
      </c>
      <c r="BF115" s="4">
        <v>0.26800000000000002</v>
      </c>
      <c r="BG115" s="4">
        <v>0.436</v>
      </c>
      <c r="BH115" s="4">
        <v>6.6000000000000003E-2</v>
      </c>
      <c r="BI115" s="4">
        <v>-0.29099999999999998</v>
      </c>
      <c r="BJ115" s="4">
        <v>0.52500000000000002</v>
      </c>
      <c r="BK115" s="4">
        <v>0.80900000000000005</v>
      </c>
      <c r="BL115" s="4"/>
      <c r="BM115" s="4">
        <f t="shared" si="19"/>
        <v>-4.3474999999999986E-2</v>
      </c>
    </row>
    <row r="116" spans="1:65" x14ac:dyDescent="0.3">
      <c r="A116" t="s">
        <v>98</v>
      </c>
      <c r="B116" s="53">
        <f t="shared" si="22"/>
        <v>0</v>
      </c>
      <c r="C116" s="53">
        <f t="shared" si="13"/>
        <v>0</v>
      </c>
      <c r="D116" s="53">
        <f t="shared" si="14"/>
        <v>0</v>
      </c>
      <c r="E116" s="53">
        <f t="shared" si="15"/>
        <v>0</v>
      </c>
      <c r="F116" s="15">
        <v>0.72399999999999998</v>
      </c>
      <c r="G116" s="4">
        <v>0.66100000000000003</v>
      </c>
      <c r="H116" t="s">
        <v>68</v>
      </c>
      <c r="I116" t="str">
        <f>VLOOKUP(A116,Setores!$A$2:$C$215,2,0)</f>
        <v>chemicals</v>
      </c>
      <c r="J116" t="str">
        <f>VLOOKUP(A116,Setores!$A$2:$C$215,3,0)</f>
        <v>low_beta</v>
      </c>
      <c r="K116" s="92">
        <v>0</v>
      </c>
      <c r="L116" s="42">
        <v>0</v>
      </c>
      <c r="M116" s="92">
        <f>VLOOKUP(A116,'Mandato Ibov'!$B$1:$C$215,2,0)</f>
        <v>0</v>
      </c>
      <c r="N116" s="58">
        <f t="shared" si="16"/>
        <v>0</v>
      </c>
      <c r="O116" s="42">
        <f t="shared" si="17"/>
        <v>0</v>
      </c>
      <c r="P116" s="95">
        <f>VLOOKUP(A116,'Mandato Ibov'!$B$2:$D$215,3,0)</f>
        <v>0</v>
      </c>
      <c r="Q116" s="42">
        <f t="shared" si="18"/>
        <v>0</v>
      </c>
      <c r="R116" s="15">
        <v>-0.86199999999999999</v>
      </c>
      <c r="S116" s="15">
        <v>-0.79500000000000004</v>
      </c>
      <c r="T116" s="15">
        <v>-0.83399999999999996</v>
      </c>
      <c r="U116" s="15">
        <v>-0.76800000000000002</v>
      </c>
      <c r="V116" s="15">
        <v>-0.78600000000000003</v>
      </c>
      <c r="W116" s="15">
        <v>-0.63500000000000001</v>
      </c>
      <c r="X116" s="15">
        <v>-0.378</v>
      </c>
      <c r="Y116" s="15">
        <v>-0.09</v>
      </c>
      <c r="Z116" s="15">
        <v>0.58799999999999997</v>
      </c>
      <c r="AA116" s="15">
        <v>0.58199999999999996</v>
      </c>
      <c r="AB116" s="15">
        <v>0.60499999999999998</v>
      </c>
      <c r="AC116" s="15">
        <v>0.54600000000000004</v>
      </c>
      <c r="AD116" s="15">
        <v>0.57299999999999995</v>
      </c>
      <c r="AE116" s="14">
        <v>-0.66700000000000004</v>
      </c>
      <c r="AF116" s="15">
        <v>-0.88400000000000001</v>
      </c>
      <c r="AG116" s="15">
        <v>-0.54700000000000004</v>
      </c>
      <c r="AH116" s="15">
        <v>-0.50700000000000001</v>
      </c>
      <c r="AI116" s="15">
        <v>-0.32700000000000001</v>
      </c>
      <c r="AJ116" s="16">
        <v>-0.872</v>
      </c>
      <c r="AK116" s="4">
        <v>-6.6000000000000003E-2</v>
      </c>
      <c r="AL116" s="4">
        <v>0.68200000000000005</v>
      </c>
      <c r="AM116" s="4">
        <v>-0.60799999999999998</v>
      </c>
      <c r="AN116" s="4">
        <v>-0.23799999999999999</v>
      </c>
      <c r="AO116" s="4">
        <v>0.191</v>
      </c>
      <c r="AP116" s="4">
        <v>-5.0000000000000001E-3</v>
      </c>
      <c r="AQ116" s="4">
        <v>-0.73599999999999999</v>
      </c>
      <c r="AR116" s="4">
        <v>-0.48699999999999999</v>
      </c>
      <c r="AS116" s="4">
        <v>-0.36799999999999999</v>
      </c>
      <c r="AT116" s="4">
        <v>0.17</v>
      </c>
      <c r="AU116" s="4">
        <v>-0.23100000000000001</v>
      </c>
      <c r="AV116" s="4">
        <v>-0.51</v>
      </c>
      <c r="AW116" s="4">
        <v>0.47899999999999998</v>
      </c>
      <c r="AX116" s="4">
        <v>-0.186</v>
      </c>
      <c r="AY116" s="4">
        <v>0.64600000000000002</v>
      </c>
      <c r="AZ116" s="4">
        <v>0.70399999999999996</v>
      </c>
      <c r="BA116" s="4">
        <v>-1</v>
      </c>
      <c r="BB116" s="4">
        <v>3.9E-2</v>
      </c>
      <c r="BC116" s="4">
        <v>-0.36399999999999999</v>
      </c>
      <c r="BD116" s="4">
        <v>0.14899999999999999</v>
      </c>
      <c r="BE116" s="4">
        <v>-0.64300000000000002</v>
      </c>
      <c r="BF116" s="4">
        <v>-1.4E-2</v>
      </c>
      <c r="BG116" s="4">
        <v>0.53300000000000003</v>
      </c>
      <c r="BH116" s="4">
        <v>-0.35499999999999998</v>
      </c>
      <c r="BI116" s="4">
        <v>-0.32800000000000001</v>
      </c>
      <c r="BJ116" s="4">
        <v>0.36099999999999999</v>
      </c>
      <c r="BK116" s="4">
        <v>2.5000000000000001E-2</v>
      </c>
      <c r="BL116" s="4"/>
      <c r="BM116" s="4">
        <f t="shared" si="19"/>
        <v>-5.6749999999999995E-2</v>
      </c>
    </row>
    <row r="117" spans="1:65" x14ac:dyDescent="0.3">
      <c r="A117" t="s">
        <v>226</v>
      </c>
      <c r="B117" s="53">
        <f t="shared" si="22"/>
        <v>0</v>
      </c>
      <c r="C117" s="53">
        <f t="shared" si="13"/>
        <v>-0.02</v>
      </c>
      <c r="D117" s="53">
        <f t="shared" si="14"/>
        <v>0</v>
      </c>
      <c r="E117" s="53">
        <f t="shared" si="15"/>
        <v>0.02</v>
      </c>
      <c r="F117" s="15">
        <v>0.71499999999999997</v>
      </c>
      <c r="G117" s="4">
        <v>1.1419999999999999</v>
      </c>
      <c r="H117" t="s">
        <v>55</v>
      </c>
      <c r="I117" t="str">
        <f>VLOOKUP(A117,Setores!$A$2:$C$215,2,0)</f>
        <v>utilities</v>
      </c>
      <c r="J117" t="str">
        <f>VLOOKUP(A117,Setores!$A$2:$C$215,3,0)</f>
        <v>high_beta</v>
      </c>
      <c r="K117" s="92">
        <v>0</v>
      </c>
      <c r="L117" s="42">
        <v>-0.02</v>
      </c>
      <c r="M117" s="92">
        <f>VLOOKUP(A117,'Mandato Ibov'!$B$1:$C$215,2,0)</f>
        <v>0</v>
      </c>
      <c r="N117" s="58">
        <f t="shared" si="16"/>
        <v>0</v>
      </c>
      <c r="O117" s="42">
        <f t="shared" si="17"/>
        <v>0</v>
      </c>
      <c r="P117" s="95">
        <f>VLOOKUP(A117,'Mandato Ibov'!$B$2:$D$215,3,0)</f>
        <v>3.1593075574344501E-2</v>
      </c>
      <c r="Q117" s="42">
        <f t="shared" si="18"/>
        <v>-3.1593075574344501E-2</v>
      </c>
      <c r="R117" s="15">
        <v>-0.58399999999999996</v>
      </c>
      <c r="S117" s="15">
        <v>-0.46899999999999997</v>
      </c>
      <c r="T117" s="15">
        <v>-0.93100000000000005</v>
      </c>
      <c r="U117" s="15">
        <v>-0.53400000000000003</v>
      </c>
      <c r="V117" s="15">
        <v>-0.79</v>
      </c>
      <c r="W117" s="15">
        <v>-0.2</v>
      </c>
      <c r="X117" s="15">
        <v>-9.6000000000000002E-2</v>
      </c>
      <c r="Y117" s="15">
        <v>-0.498</v>
      </c>
      <c r="Z117" s="15">
        <v>0.11</v>
      </c>
      <c r="AA117" s="15">
        <v>0.111</v>
      </c>
      <c r="AB117" s="15">
        <v>0.67500000000000004</v>
      </c>
      <c r="AC117" s="15">
        <v>0.67400000000000004</v>
      </c>
      <c r="AD117" s="15">
        <v>0.63400000000000001</v>
      </c>
      <c r="AE117" s="14">
        <v>-0.56999999999999995</v>
      </c>
      <c r="AF117" s="15">
        <v>-0.65900000000000003</v>
      </c>
      <c r="AG117" s="15">
        <v>5.1999999999999998E-2</v>
      </c>
      <c r="AH117" s="15">
        <v>-0.996</v>
      </c>
      <c r="AI117" s="15">
        <v>-0.43099999999999999</v>
      </c>
      <c r="AJ117" s="16">
        <v>-0.85099999999999998</v>
      </c>
      <c r="AK117" s="4">
        <v>-0.36</v>
      </c>
      <c r="AL117" s="4">
        <v>-1</v>
      </c>
      <c r="AM117" s="4">
        <v>-0.72099999999999997</v>
      </c>
      <c r="AN117" s="4">
        <v>-0.20399999999999999</v>
      </c>
      <c r="AO117" s="4">
        <v>0.52100000000000002</v>
      </c>
      <c r="AP117" s="4">
        <v>1</v>
      </c>
      <c r="AQ117" s="4">
        <v>0.38600000000000001</v>
      </c>
      <c r="AR117" s="4">
        <v>-0.315</v>
      </c>
      <c r="AS117" s="4">
        <v>-1.0999999999999999E-2</v>
      </c>
      <c r="AT117" s="4">
        <v>-0.1</v>
      </c>
      <c r="AU117" s="4">
        <v>-0.153</v>
      </c>
      <c r="AV117" s="4">
        <v>0.23300000000000001</v>
      </c>
      <c r="AW117" s="4">
        <v>0.26300000000000001</v>
      </c>
      <c r="AX117" s="4">
        <v>-0.33600000000000002</v>
      </c>
      <c r="AY117" s="4">
        <v>0.69699999999999995</v>
      </c>
      <c r="AZ117" s="4">
        <v>1</v>
      </c>
      <c r="BA117" s="4">
        <v>0.78400000000000003</v>
      </c>
      <c r="BB117" s="4">
        <v>-0.11799999999999999</v>
      </c>
      <c r="BC117" s="4">
        <v>-0.47599999999999998</v>
      </c>
      <c r="BD117" s="4">
        <v>0.72599999999999998</v>
      </c>
      <c r="BE117" s="4">
        <v>-0.441</v>
      </c>
      <c r="BF117" s="4">
        <v>0.32600000000000001</v>
      </c>
      <c r="BG117" s="4">
        <v>0.871</v>
      </c>
      <c r="BH117" s="4">
        <v>-0.56999999999999995</v>
      </c>
      <c r="BI117" s="4">
        <v>5.8999999999999997E-2</v>
      </c>
      <c r="BJ117" s="4">
        <v>-0.46800000000000003</v>
      </c>
      <c r="BK117" s="4">
        <v>-0.49</v>
      </c>
      <c r="BL117" s="4"/>
      <c r="BM117" s="4">
        <f t="shared" si="19"/>
        <v>0.13207500000000003</v>
      </c>
    </row>
    <row r="118" spans="1:65" x14ac:dyDescent="0.3">
      <c r="A118" t="s">
        <v>134</v>
      </c>
      <c r="B118" s="53">
        <f t="shared" si="22"/>
        <v>0</v>
      </c>
      <c r="C118" s="53">
        <f t="shared" si="13"/>
        <v>-3.6999999999999998E-2</v>
      </c>
      <c r="D118" s="53">
        <f t="shared" si="14"/>
        <v>0</v>
      </c>
      <c r="E118" s="53">
        <f t="shared" si="15"/>
        <v>3.6999999999999998E-2</v>
      </c>
      <c r="F118" s="15">
        <v>0.70799999999999996</v>
      </c>
      <c r="G118" s="4">
        <v>1.5409999999999999</v>
      </c>
      <c r="H118" t="s">
        <v>57</v>
      </c>
      <c r="I118" t="str">
        <f>VLOOKUP(A118,Setores!$A$2:$C$215,2,0)</f>
        <v>banks</v>
      </c>
      <c r="J118" t="str">
        <f>VLOOKUP(A118,Setores!$A$2:$C$215,3,0)</f>
        <v>neutral_beta</v>
      </c>
      <c r="K118" s="92">
        <v>0</v>
      </c>
      <c r="L118" s="42">
        <v>-3.6999999999999998E-2</v>
      </c>
      <c r="M118" s="92">
        <f>VLOOKUP(A118,'Mandato Ibov'!$B$1:$C$215,2,0)</f>
        <v>0</v>
      </c>
      <c r="N118" s="58">
        <f t="shared" si="16"/>
        <v>0</v>
      </c>
      <c r="O118" s="42">
        <f t="shared" si="17"/>
        <v>0</v>
      </c>
      <c r="P118" s="95">
        <f>VLOOKUP(A118,'Mandato Ibov'!$B$2:$D$215,3,0)</f>
        <v>0</v>
      </c>
      <c r="Q118" s="42">
        <f t="shared" si="18"/>
        <v>0</v>
      </c>
      <c r="R118" s="15">
        <v>-0.746</v>
      </c>
      <c r="S118" s="15">
        <v>-0.71599999999999997</v>
      </c>
      <c r="T118" s="15">
        <v>-0.9</v>
      </c>
      <c r="U118" s="15">
        <v>-0.65700000000000003</v>
      </c>
      <c r="V118" s="15">
        <v>-0.79200000000000004</v>
      </c>
      <c r="W118" s="15">
        <v>-0.40400000000000003</v>
      </c>
      <c r="X118" s="15">
        <v>-9.5000000000000001E-2</v>
      </c>
      <c r="Y118" s="15">
        <v>-0.44800000000000001</v>
      </c>
      <c r="Z118" s="15">
        <v>0.45300000000000001</v>
      </c>
      <c r="AA118" s="15">
        <v>0.45200000000000001</v>
      </c>
      <c r="AB118" s="15">
        <v>0.74199999999999999</v>
      </c>
      <c r="AC118" s="15">
        <v>0.81200000000000006</v>
      </c>
      <c r="AD118" s="15">
        <v>0.59499999999999997</v>
      </c>
      <c r="AE118" s="14">
        <v>-0.63900000000000001</v>
      </c>
      <c r="AF118" s="15">
        <v>-0.26500000000000001</v>
      </c>
      <c r="AG118" s="15">
        <v>-0.189</v>
      </c>
      <c r="AH118" s="15">
        <v>-0.91500000000000004</v>
      </c>
      <c r="AI118" s="15">
        <v>-0.93799999999999994</v>
      </c>
      <c r="AJ118" s="16">
        <v>-1</v>
      </c>
      <c r="AK118" s="4">
        <v>-0.219</v>
      </c>
      <c r="AL118" s="4">
        <v>0.13700000000000001</v>
      </c>
      <c r="AM118" s="4">
        <v>-3.3000000000000002E-2</v>
      </c>
      <c r="AN118" s="4">
        <v>0.10299999999999999</v>
      </c>
      <c r="AO118" s="4">
        <v>-0.19800000000000001</v>
      </c>
      <c r="AP118" s="4">
        <v>-0.18099999999999999</v>
      </c>
      <c r="AQ118" s="4">
        <v>-1E-3</v>
      </c>
      <c r="AR118" s="4">
        <v>0.13500000000000001</v>
      </c>
      <c r="AS118" s="4">
        <v>0.41699999999999998</v>
      </c>
      <c r="AT118" s="4">
        <v>-0.16400000000000001</v>
      </c>
      <c r="AU118" s="4">
        <v>-0.254</v>
      </c>
      <c r="AV118" s="4">
        <v>-0.41799999999999998</v>
      </c>
      <c r="AW118" s="4">
        <v>0.30299999999999999</v>
      </c>
      <c r="AX118" s="4">
        <v>-0.36199999999999999</v>
      </c>
      <c r="AY118" s="4">
        <v>7.6999999999999999E-2</v>
      </c>
      <c r="AZ118" s="4">
        <v>0.10299999999999999</v>
      </c>
      <c r="BA118" s="4">
        <v>0.11799999999999999</v>
      </c>
      <c r="BB118" s="4">
        <v>-0.17</v>
      </c>
      <c r="BC118" s="4">
        <v>-0.157</v>
      </c>
      <c r="BD118" s="4">
        <v>0.4</v>
      </c>
      <c r="BE118" s="4">
        <v>1.4999999999999999E-2</v>
      </c>
      <c r="BF118" s="4">
        <v>0.193</v>
      </c>
      <c r="BG118" s="4">
        <v>0.89600000000000002</v>
      </c>
      <c r="BH118" s="4">
        <v>-0.36499999999999999</v>
      </c>
      <c r="BI118" s="4">
        <v>-4.1000000000000002E-2</v>
      </c>
      <c r="BJ118" s="4">
        <v>-0.23799999999999999</v>
      </c>
      <c r="BK118" s="4">
        <v>-0.76500000000000001</v>
      </c>
      <c r="BL118" s="4"/>
      <c r="BM118" s="4">
        <f t="shared" si="19"/>
        <v>-6.0450000000000025E-2</v>
      </c>
    </row>
    <row r="119" spans="1:65" x14ac:dyDescent="0.3">
      <c r="A119" t="s">
        <v>114</v>
      </c>
      <c r="B119" s="53">
        <f t="shared" si="22"/>
        <v>0</v>
      </c>
      <c r="C119" s="53">
        <f t="shared" si="13"/>
        <v>0</v>
      </c>
      <c r="D119" s="53">
        <f t="shared" si="14"/>
        <v>0</v>
      </c>
      <c r="E119" s="53">
        <f t="shared" si="15"/>
        <v>0</v>
      </c>
      <c r="F119" s="15">
        <v>0.69899999999999995</v>
      </c>
      <c r="G119" s="4">
        <v>0.95</v>
      </c>
      <c r="H119" t="s">
        <v>55</v>
      </c>
      <c r="I119" t="str">
        <f>VLOOKUP(A119,Setores!$A$2:$C$215,2,0)</f>
        <v>utilities</v>
      </c>
      <c r="J119" t="str">
        <f>VLOOKUP(A119,Setores!$A$2:$C$215,3,0)</f>
        <v>low_beta</v>
      </c>
      <c r="K119" s="92">
        <v>0</v>
      </c>
      <c r="L119" s="42">
        <v>0</v>
      </c>
      <c r="M119" s="92">
        <f>VLOOKUP(A119,'Mandato Ibov'!$B$1:$C$215,2,0)</f>
        <v>0</v>
      </c>
      <c r="N119" s="58">
        <f t="shared" si="16"/>
        <v>0</v>
      </c>
      <c r="O119" s="42">
        <f t="shared" si="17"/>
        <v>0</v>
      </c>
      <c r="P119" s="95">
        <f>VLOOKUP(A119,'Mandato Ibov'!$B$2:$D$215,3,0)</f>
        <v>0</v>
      </c>
      <c r="Q119" s="42">
        <f t="shared" si="18"/>
        <v>0</v>
      </c>
      <c r="R119" s="15">
        <v>-0.72099999999999997</v>
      </c>
      <c r="S119" s="15">
        <v>-0.65900000000000003</v>
      </c>
      <c r="T119" s="15">
        <v>-0.85399999999999998</v>
      </c>
      <c r="U119" s="15">
        <v>-0.70399999999999996</v>
      </c>
      <c r="V119" s="15">
        <v>-0.80500000000000005</v>
      </c>
      <c r="W119" s="15">
        <v>-0.24299999999999999</v>
      </c>
      <c r="X119" s="15">
        <v>0.33500000000000002</v>
      </c>
      <c r="Y119" s="15">
        <v>-0.64200000000000002</v>
      </c>
      <c r="Z119" s="15">
        <v>0.45400000000000001</v>
      </c>
      <c r="AA119" s="15">
        <v>0.45400000000000001</v>
      </c>
      <c r="AB119" s="15">
        <v>0.66800000000000004</v>
      </c>
      <c r="AC119" s="15">
        <v>0.67700000000000005</v>
      </c>
      <c r="AD119" s="15">
        <v>0.58499999999999996</v>
      </c>
      <c r="AE119" s="14">
        <v>-0.71</v>
      </c>
      <c r="AF119" s="15">
        <v>-0.72299999999999998</v>
      </c>
      <c r="AG119" s="15">
        <v>-0.40300000000000002</v>
      </c>
      <c r="AH119" s="15">
        <v>-0.752</v>
      </c>
      <c r="AI119" s="15">
        <v>-0.628</v>
      </c>
      <c r="AJ119" s="16">
        <v>-0.82099999999999995</v>
      </c>
      <c r="AK119" s="4">
        <v>-0.223</v>
      </c>
      <c r="AL119" s="4">
        <v>-0.45300000000000001</v>
      </c>
      <c r="AM119" s="4">
        <v>-0.28899999999999998</v>
      </c>
      <c r="AN119" s="4">
        <v>-0.36399999999999999</v>
      </c>
      <c r="AO119" s="4">
        <v>-0.13500000000000001</v>
      </c>
      <c r="AP119" s="4">
        <v>-0.124</v>
      </c>
      <c r="AQ119" s="4">
        <v>-0.13300000000000001</v>
      </c>
      <c r="AR119" s="4">
        <v>-1.6E-2</v>
      </c>
      <c r="AS119" s="4">
        <v>-4.0000000000000001E-3</v>
      </c>
      <c r="AT119" s="4">
        <v>-0.111</v>
      </c>
      <c r="AU119" s="4">
        <v>0.76300000000000001</v>
      </c>
      <c r="AV119" s="4">
        <v>-0.28899999999999998</v>
      </c>
      <c r="AW119" s="4">
        <v>0.77300000000000002</v>
      </c>
      <c r="AX119" s="4">
        <v>-0.39400000000000002</v>
      </c>
      <c r="AY119" s="4">
        <v>0.72599999999999998</v>
      </c>
      <c r="AZ119" s="4">
        <v>0.34499999999999997</v>
      </c>
      <c r="BA119" s="4">
        <v>0.44</v>
      </c>
      <c r="BB119" s="4">
        <v>-0.17100000000000001</v>
      </c>
      <c r="BC119" s="4">
        <v>-0.20100000000000001</v>
      </c>
      <c r="BD119" s="4">
        <v>0.31900000000000001</v>
      </c>
      <c r="BE119" s="4">
        <v>-0.14399999999999999</v>
      </c>
      <c r="BF119" s="4">
        <v>0.38</v>
      </c>
      <c r="BG119" s="4">
        <v>0.85099999999999998</v>
      </c>
      <c r="BH119" s="4">
        <v>-0.39400000000000002</v>
      </c>
      <c r="BI119" s="4">
        <v>-0.28100000000000003</v>
      </c>
      <c r="BJ119" s="4">
        <v>0.31900000000000001</v>
      </c>
      <c r="BK119" s="4">
        <v>0.13500000000000001</v>
      </c>
      <c r="BL119" s="4"/>
      <c r="BM119" s="4">
        <f t="shared" si="19"/>
        <v>1.0275000000000006E-2</v>
      </c>
    </row>
    <row r="120" spans="1:65" x14ac:dyDescent="0.3">
      <c r="A120" t="s">
        <v>211</v>
      </c>
      <c r="B120" s="53">
        <f t="shared" si="22"/>
        <v>0</v>
      </c>
      <c r="C120" s="53">
        <f t="shared" si="13"/>
        <v>-2.7E-2</v>
      </c>
      <c r="D120" s="53">
        <f t="shared" si="14"/>
        <v>0</v>
      </c>
      <c r="E120" s="53">
        <f t="shared" si="15"/>
        <v>2.7E-2</v>
      </c>
      <c r="F120" s="15">
        <v>0.69799999999999995</v>
      </c>
      <c r="G120" s="4">
        <v>1.49</v>
      </c>
      <c r="H120" t="s">
        <v>57</v>
      </c>
      <c r="I120" t="str">
        <f>VLOOKUP(A120,Setores!$A$2:$C$215,2,0)</f>
        <v>banks</v>
      </c>
      <c r="J120" t="str">
        <f>VLOOKUP(A120,Setores!$A$2:$C$215,3,0)</f>
        <v>high_beta</v>
      </c>
      <c r="K120" s="92">
        <v>0</v>
      </c>
      <c r="L120" s="42">
        <v>-2.7E-2</v>
      </c>
      <c r="M120" s="92">
        <f>VLOOKUP(A120,'Mandato Ibov'!$B$1:$C$215,2,0)</f>
        <v>0</v>
      </c>
      <c r="N120" s="58">
        <f t="shared" si="16"/>
        <v>0</v>
      </c>
      <c r="O120" s="42">
        <f t="shared" si="17"/>
        <v>0</v>
      </c>
      <c r="P120" s="95">
        <f>VLOOKUP(A120,'Mandato Ibov'!$B$2:$D$215,3,0)</f>
        <v>0</v>
      </c>
      <c r="Q120" s="42">
        <f t="shared" si="18"/>
        <v>0</v>
      </c>
      <c r="R120" s="15">
        <v>-0.48899999999999999</v>
      </c>
      <c r="S120" s="15">
        <v>-0.7</v>
      </c>
      <c r="T120" s="15">
        <v>-0.85799999999999998</v>
      </c>
      <c r="U120" s="15">
        <v>-0.43</v>
      </c>
      <c r="V120" s="15">
        <v>-0.78400000000000003</v>
      </c>
      <c r="W120" s="15">
        <v>-0.17599999999999999</v>
      </c>
      <c r="X120" s="15">
        <v>7.5999999999999998E-2</v>
      </c>
      <c r="Y120" s="15">
        <v>-0.58799999999999997</v>
      </c>
      <c r="Z120" s="15">
        <v>0.16200000000000001</v>
      </c>
      <c r="AA120" s="15">
        <v>0.16200000000000001</v>
      </c>
      <c r="AB120" s="15">
        <v>0.74099999999999999</v>
      </c>
      <c r="AC120" s="15">
        <v>0.74099999999999999</v>
      </c>
      <c r="AD120" s="15">
        <v>0.45100000000000001</v>
      </c>
      <c r="AE120" s="14">
        <v>-0.432</v>
      </c>
      <c r="AF120" s="15">
        <v>-0.14099999999999999</v>
      </c>
      <c r="AG120" s="15">
        <v>-0.39200000000000002</v>
      </c>
      <c r="AH120" s="15">
        <v>-1</v>
      </c>
      <c r="AI120" s="15">
        <v>-0.877</v>
      </c>
      <c r="AJ120" s="16">
        <v>-0.69799999999999995</v>
      </c>
      <c r="AK120" s="4">
        <v>-0.27700000000000002</v>
      </c>
      <c r="AL120" s="4">
        <v>-0.68</v>
      </c>
      <c r="AM120" s="4">
        <v>-0.77</v>
      </c>
      <c r="AN120" s="4">
        <v>9.1999999999999998E-2</v>
      </c>
      <c r="AO120" s="4">
        <v>2.7E-2</v>
      </c>
      <c r="AP120" s="4">
        <v>0.156</v>
      </c>
      <c r="AQ120" s="4">
        <v>0.55400000000000005</v>
      </c>
      <c r="AR120" s="4">
        <v>0.254</v>
      </c>
      <c r="AS120" s="4">
        <v>0.251</v>
      </c>
      <c r="AT120" s="4">
        <v>-1.4E-2</v>
      </c>
      <c r="AU120" s="4">
        <v>0.26</v>
      </c>
      <c r="AV120" s="4">
        <v>0.25600000000000001</v>
      </c>
      <c r="AW120" s="4">
        <v>2.5999999999999999E-2</v>
      </c>
      <c r="AX120" s="4">
        <v>-0.46899999999999997</v>
      </c>
      <c r="AY120" s="4">
        <v>-6.9000000000000006E-2</v>
      </c>
      <c r="AZ120" s="4">
        <v>1</v>
      </c>
      <c r="BA120" s="4">
        <v>0.38500000000000001</v>
      </c>
      <c r="BB120" s="4">
        <v>-0.61799999999999999</v>
      </c>
      <c r="BC120" s="4">
        <v>2.7E-2</v>
      </c>
      <c r="BD120" s="4">
        <v>0.55200000000000005</v>
      </c>
      <c r="BE120" s="4">
        <v>-4.8000000000000001E-2</v>
      </c>
      <c r="BF120" s="4">
        <v>8.5999999999999993E-2</v>
      </c>
      <c r="BG120" s="4">
        <v>0.77900000000000003</v>
      </c>
      <c r="BH120" s="4">
        <v>-0.72099999999999997</v>
      </c>
      <c r="BI120" s="4">
        <v>0.30399999999999999</v>
      </c>
      <c r="BJ120" s="4">
        <v>-0.122</v>
      </c>
      <c r="BK120" s="4">
        <v>-0.82899999999999996</v>
      </c>
      <c r="BL120" s="4"/>
      <c r="BM120" s="4">
        <f t="shared" si="19"/>
        <v>5.6649999999999999E-2</v>
      </c>
    </row>
    <row r="121" spans="1:65" x14ac:dyDescent="0.3">
      <c r="A121" t="s">
        <v>216</v>
      </c>
      <c r="B121" s="53">
        <f t="shared" si="22"/>
        <v>0</v>
      </c>
      <c r="C121" s="53">
        <f t="shared" si="13"/>
        <v>0</v>
      </c>
      <c r="D121" s="53">
        <f t="shared" si="14"/>
        <v>0</v>
      </c>
      <c r="E121" s="53">
        <f t="shared" si="15"/>
        <v>0</v>
      </c>
      <c r="F121" s="15">
        <v>0.69699999999999995</v>
      </c>
      <c r="G121" s="4">
        <v>0.51200000000000001</v>
      </c>
      <c r="H121" t="s">
        <v>71</v>
      </c>
      <c r="I121" t="str">
        <f>VLOOKUP(A121,Setores!$A$2:$C$215,2,0)</f>
        <v>basic_materials</v>
      </c>
      <c r="J121" t="str">
        <f>VLOOKUP(A121,Setores!$A$2:$C$215,3,0)</f>
        <v>very_low_beta</v>
      </c>
      <c r="K121" s="92">
        <v>0</v>
      </c>
      <c r="L121" s="42">
        <v>0</v>
      </c>
      <c r="M121" s="92">
        <f>VLOOKUP(A121,'Mandato Ibov'!$B$1:$C$215,2,0)</f>
        <v>0</v>
      </c>
      <c r="N121" s="58">
        <f t="shared" si="16"/>
        <v>0</v>
      </c>
      <c r="O121" s="42">
        <f t="shared" si="17"/>
        <v>0</v>
      </c>
      <c r="P121" s="95">
        <f>VLOOKUP(A121,'Mandato Ibov'!$B$2:$D$215,3,0)</f>
        <v>0</v>
      </c>
      <c r="Q121" s="42">
        <f t="shared" si="18"/>
        <v>0</v>
      </c>
      <c r="R121" s="15">
        <v>-0.753</v>
      </c>
      <c r="S121" s="15">
        <v>-0.224</v>
      </c>
      <c r="T121" s="15">
        <v>-0.92900000000000005</v>
      </c>
      <c r="U121" s="15">
        <v>-0.70499999999999996</v>
      </c>
      <c r="V121" s="15">
        <v>-0.70899999999999996</v>
      </c>
      <c r="W121" s="15">
        <v>-0.58699999999999997</v>
      </c>
      <c r="X121" s="15">
        <v>-0.63600000000000001</v>
      </c>
      <c r="Y121" s="15">
        <v>-0.47199999999999998</v>
      </c>
      <c r="Z121" s="15">
        <v>0.497</v>
      </c>
      <c r="AA121" s="15">
        <v>0.49199999999999999</v>
      </c>
      <c r="AB121" s="15">
        <v>0.34699999999999998</v>
      </c>
      <c r="AC121" s="15">
        <v>0.60099999999999998</v>
      </c>
      <c r="AD121" s="15">
        <v>0.84399999999999997</v>
      </c>
      <c r="AE121" s="14">
        <v>-0.81200000000000006</v>
      </c>
      <c r="AF121" s="15">
        <v>-0.82099999999999995</v>
      </c>
      <c r="AG121" s="15">
        <v>0.51100000000000001</v>
      </c>
      <c r="AH121" s="15">
        <v>-0.77300000000000002</v>
      </c>
      <c r="AI121" s="15">
        <v>0.83699999999999997</v>
      </c>
      <c r="AJ121" s="16">
        <v>-0.89400000000000002</v>
      </c>
      <c r="AK121" s="4">
        <v>-0.214</v>
      </c>
      <c r="AL121" s="4">
        <v>-0.95099999999999996</v>
      </c>
      <c r="AM121" s="4">
        <v>-0.48699999999999999</v>
      </c>
      <c r="AN121" s="4">
        <v>-0.16600000000000001</v>
      </c>
      <c r="AO121" s="4">
        <v>1</v>
      </c>
      <c r="AP121" s="4">
        <v>0.55100000000000005</v>
      </c>
      <c r="AQ121" s="4">
        <v>-0.27</v>
      </c>
      <c r="AR121" s="4">
        <v>0.22700000000000001</v>
      </c>
      <c r="AS121" s="4">
        <v>-3.3000000000000002E-2</v>
      </c>
      <c r="AT121" s="4">
        <v>7.9000000000000001E-2</v>
      </c>
      <c r="AU121" s="4">
        <v>-0.57599999999999996</v>
      </c>
      <c r="AV121" s="4">
        <v>-0.38800000000000001</v>
      </c>
      <c r="AW121" s="4">
        <v>-0.2</v>
      </c>
      <c r="AX121" s="4">
        <v>-0.222</v>
      </c>
      <c r="AY121" s="4">
        <v>0.49099999999999999</v>
      </c>
      <c r="AZ121" s="4">
        <v>-0.93100000000000005</v>
      </c>
      <c r="BA121" s="4">
        <v>0.61099999999999999</v>
      </c>
      <c r="BB121" s="4">
        <v>-8.7999999999999995E-2</v>
      </c>
      <c r="BC121" s="4">
        <v>-0.23300000000000001</v>
      </c>
      <c r="BD121" s="4">
        <v>0.67400000000000004</v>
      </c>
      <c r="BE121" s="4">
        <v>-0.90600000000000003</v>
      </c>
      <c r="BF121" s="4">
        <v>-0.29199999999999998</v>
      </c>
      <c r="BG121" s="4">
        <v>1</v>
      </c>
      <c r="BH121" s="4">
        <v>-0.41499999999999998</v>
      </c>
      <c r="BI121" s="4">
        <v>-0.99099999999999999</v>
      </c>
      <c r="BJ121" s="4">
        <v>-0.17</v>
      </c>
      <c r="BK121" s="4">
        <v>0.187</v>
      </c>
      <c r="BL121" s="4"/>
      <c r="BM121" s="4">
        <f t="shared" si="19"/>
        <v>-2.6250000000000093E-3</v>
      </c>
    </row>
    <row r="122" spans="1:65" x14ac:dyDescent="0.3">
      <c r="A122" t="s">
        <v>215</v>
      </c>
      <c r="B122" s="53">
        <f t="shared" si="22"/>
        <v>0</v>
      </c>
      <c r="C122" s="53">
        <f t="shared" si="13"/>
        <v>0</v>
      </c>
      <c r="D122" s="53">
        <f t="shared" si="14"/>
        <v>0</v>
      </c>
      <c r="E122" s="53">
        <f t="shared" si="15"/>
        <v>0</v>
      </c>
      <c r="F122" s="15">
        <v>0.69599999999999995</v>
      </c>
      <c r="G122" s="4">
        <v>0.49299999999999999</v>
      </c>
      <c r="H122" t="s">
        <v>55</v>
      </c>
      <c r="I122" t="str">
        <f>VLOOKUP(A122,Setores!$A$2:$C$215,2,0)</f>
        <v>telecom</v>
      </c>
      <c r="J122" t="str">
        <f>VLOOKUP(A122,Setores!$A$2:$C$215,3,0)</f>
        <v>low_beta</v>
      </c>
      <c r="K122" s="92">
        <v>0</v>
      </c>
      <c r="L122" s="42">
        <v>0</v>
      </c>
      <c r="M122" s="92">
        <f>VLOOKUP(A122,'Mandato Ibov'!$B$1:$C$215,2,0)</f>
        <v>0</v>
      </c>
      <c r="N122" s="58">
        <f t="shared" si="16"/>
        <v>0</v>
      </c>
      <c r="O122" s="42">
        <f t="shared" si="17"/>
        <v>0</v>
      </c>
      <c r="P122" s="95">
        <f>VLOOKUP(A122,'Mandato Ibov'!$B$2:$D$215,3,0)</f>
        <v>0</v>
      </c>
      <c r="Q122" s="42">
        <f t="shared" si="18"/>
        <v>0</v>
      </c>
      <c r="R122" s="15">
        <v>-0.52500000000000002</v>
      </c>
      <c r="S122" s="15">
        <v>-0.26100000000000001</v>
      </c>
      <c r="T122" s="15">
        <v>-0.68799999999999994</v>
      </c>
      <c r="U122" s="15">
        <v>-0.69499999999999995</v>
      </c>
      <c r="V122" s="15">
        <v>-0.65800000000000003</v>
      </c>
      <c r="W122" s="15">
        <v>-0.39600000000000002</v>
      </c>
      <c r="X122" s="15">
        <v>-0.23300000000000001</v>
      </c>
      <c r="Y122" s="15">
        <v>-0.69699999999999995</v>
      </c>
      <c r="Z122" s="15">
        <v>0.27</v>
      </c>
      <c r="AA122" s="15">
        <v>0.26</v>
      </c>
      <c r="AB122" s="15">
        <v>0.61199999999999999</v>
      </c>
      <c r="AC122" s="15">
        <v>0.51200000000000001</v>
      </c>
      <c r="AD122" s="15">
        <v>0.71299999999999997</v>
      </c>
      <c r="AE122" s="14">
        <v>-0.71899999999999997</v>
      </c>
      <c r="AF122" s="15">
        <v>-0.504</v>
      </c>
      <c r="AG122" s="15">
        <v>-0.17399999999999999</v>
      </c>
      <c r="AH122" s="15">
        <v>-0.47599999999999998</v>
      </c>
      <c r="AI122" s="15">
        <v>0.96899999999999997</v>
      </c>
      <c r="AJ122" s="16">
        <v>-0.39300000000000002</v>
      </c>
      <c r="AK122" s="4">
        <v>-0.19900000000000001</v>
      </c>
      <c r="AL122" s="4">
        <v>-0.92900000000000005</v>
      </c>
      <c r="AM122" s="4">
        <v>-0.29599999999999999</v>
      </c>
      <c r="AN122" s="4">
        <v>4.3999999999999997E-2</v>
      </c>
      <c r="AO122" s="4">
        <v>0.36499999999999999</v>
      </c>
      <c r="AP122" s="4">
        <v>0.60799999999999998</v>
      </c>
      <c r="AQ122" s="4">
        <v>6.3E-2</v>
      </c>
      <c r="AR122" s="4">
        <v>-0.14000000000000001</v>
      </c>
      <c r="AS122" s="4">
        <v>-0.42799999999999999</v>
      </c>
      <c r="AT122" s="4">
        <v>-0.129</v>
      </c>
      <c r="AU122" s="4">
        <v>0.189</v>
      </c>
      <c r="AV122" s="4">
        <v>-6.8000000000000005E-2</v>
      </c>
      <c r="AW122" s="4">
        <v>-0.43</v>
      </c>
      <c r="AX122" s="4">
        <v>-0.224</v>
      </c>
      <c r="AY122" s="4">
        <v>0.71699999999999997</v>
      </c>
      <c r="AZ122" s="4">
        <v>5.1999999999999998E-2</v>
      </c>
      <c r="BA122" s="4">
        <v>0.54100000000000004</v>
      </c>
      <c r="BB122" s="4">
        <v>-0.13</v>
      </c>
      <c r="BC122" s="4">
        <v>-0.495</v>
      </c>
      <c r="BD122" s="4">
        <v>0.56899999999999995</v>
      </c>
      <c r="BE122" s="4">
        <v>-0.64500000000000002</v>
      </c>
      <c r="BF122" s="4">
        <v>0.90600000000000003</v>
      </c>
      <c r="BG122" s="4">
        <v>1</v>
      </c>
      <c r="BH122" s="4">
        <v>-0.32800000000000001</v>
      </c>
      <c r="BI122" s="4">
        <v>-0.311</v>
      </c>
      <c r="BJ122" s="4">
        <v>-6.4000000000000001E-2</v>
      </c>
      <c r="BK122" s="4">
        <v>0.56999999999999995</v>
      </c>
      <c r="BL122" s="4"/>
      <c r="BM122" s="4">
        <f t="shared" si="19"/>
        <v>-1.4850000000000016E-2</v>
      </c>
    </row>
    <row r="123" spans="1:65" x14ac:dyDescent="0.3">
      <c r="A123" t="s">
        <v>124</v>
      </c>
      <c r="B123" s="53">
        <f t="shared" si="22"/>
        <v>0</v>
      </c>
      <c r="C123" s="53">
        <f t="shared" si="13"/>
        <v>-3.0000000000000001E-3</v>
      </c>
      <c r="D123" s="53">
        <f t="shared" si="14"/>
        <v>0</v>
      </c>
      <c r="E123" s="53">
        <f t="shared" si="15"/>
        <v>3.0000000000000001E-3</v>
      </c>
      <c r="F123" s="15">
        <v>0.68400000000000005</v>
      </c>
      <c r="G123" s="4">
        <v>1.034</v>
      </c>
      <c r="H123" t="s">
        <v>55</v>
      </c>
      <c r="I123" t="str">
        <f>VLOOKUP(A123,Setores!$A$2:$C$215,2,0)</f>
        <v>utilities</v>
      </c>
      <c r="J123" t="str">
        <f>VLOOKUP(A123,Setores!$A$2:$C$215,3,0)</f>
        <v>low_beta</v>
      </c>
      <c r="K123" s="92">
        <v>0</v>
      </c>
      <c r="L123" s="42">
        <v>-3.0000000000000001E-3</v>
      </c>
      <c r="M123" s="92">
        <f>VLOOKUP(A123,'Mandato Ibov'!$B$1:$C$215,2,0)</f>
        <v>0</v>
      </c>
      <c r="N123" s="58">
        <f t="shared" si="16"/>
        <v>0</v>
      </c>
      <c r="O123" s="42">
        <f t="shared" si="17"/>
        <v>0</v>
      </c>
      <c r="P123" s="95">
        <f>VLOOKUP(A123,'Mandato Ibov'!$B$2:$D$215,3,0)</f>
        <v>8.6899096165727902E-3</v>
      </c>
      <c r="Q123" s="42">
        <f t="shared" si="18"/>
        <v>-8.6899096165727902E-3</v>
      </c>
      <c r="R123" s="15">
        <v>-0.79600000000000004</v>
      </c>
      <c r="S123" s="15">
        <v>-0.81499999999999995</v>
      </c>
      <c r="T123" s="15">
        <v>-0.90200000000000002</v>
      </c>
      <c r="U123" s="15">
        <v>-0.55400000000000005</v>
      </c>
      <c r="V123" s="15">
        <v>-0.78700000000000003</v>
      </c>
      <c r="W123" s="15">
        <v>-0.42599999999999999</v>
      </c>
      <c r="X123" s="15">
        <v>0.112</v>
      </c>
      <c r="Y123" s="15">
        <v>-0.38900000000000001</v>
      </c>
      <c r="Z123" s="15">
        <v>0.35</v>
      </c>
      <c r="AA123" s="15">
        <v>0.34899999999999998</v>
      </c>
      <c r="AB123" s="15">
        <v>0.623</v>
      </c>
      <c r="AC123" s="15">
        <v>0.69899999999999995</v>
      </c>
      <c r="AD123" s="15">
        <v>0.47499999999999998</v>
      </c>
      <c r="AE123" s="14">
        <v>-0.26500000000000001</v>
      </c>
      <c r="AF123" s="15">
        <v>-0.52900000000000003</v>
      </c>
      <c r="AG123" s="15">
        <v>-0.57099999999999995</v>
      </c>
      <c r="AH123" s="15">
        <v>-0.76100000000000001</v>
      </c>
      <c r="AI123" s="15">
        <v>-0.60699999999999998</v>
      </c>
      <c r="AJ123" s="16">
        <v>-0.88100000000000001</v>
      </c>
      <c r="AK123" s="4">
        <v>-0.182</v>
      </c>
      <c r="AL123" s="4">
        <v>0.19400000000000001</v>
      </c>
      <c r="AM123" s="4">
        <v>-0.59899999999999998</v>
      </c>
      <c r="AN123" s="4">
        <v>-0.21299999999999999</v>
      </c>
      <c r="AO123" s="4">
        <v>-0.246</v>
      </c>
      <c r="AP123" s="4">
        <v>0.154</v>
      </c>
      <c r="AQ123" s="4">
        <v>-0.13600000000000001</v>
      </c>
      <c r="AR123" s="4">
        <v>0.17599999999999999</v>
      </c>
      <c r="AS123" s="4">
        <v>0.124</v>
      </c>
      <c r="AT123" s="4">
        <v>0.113</v>
      </c>
      <c r="AU123" s="4">
        <v>0.53700000000000003</v>
      </c>
      <c r="AV123" s="4">
        <v>2.1999999999999999E-2</v>
      </c>
      <c r="AW123" s="4">
        <v>0.83299999999999996</v>
      </c>
      <c r="AX123" s="4">
        <v>-0.84499999999999997</v>
      </c>
      <c r="AY123" s="4">
        <v>0.438</v>
      </c>
      <c r="AZ123" s="4">
        <v>-8.5000000000000006E-2</v>
      </c>
      <c r="BA123" s="4">
        <v>-0.437</v>
      </c>
      <c r="BB123" s="4">
        <v>-0.16400000000000001</v>
      </c>
      <c r="BC123" s="4">
        <v>-0.36799999999999999</v>
      </c>
      <c r="BD123" s="4">
        <v>0.38400000000000001</v>
      </c>
      <c r="BE123" s="4">
        <v>-0.38400000000000001</v>
      </c>
      <c r="BF123" s="4">
        <v>-1</v>
      </c>
      <c r="BG123" s="4">
        <v>0.19900000000000001</v>
      </c>
      <c r="BH123" s="4">
        <v>-0.373</v>
      </c>
      <c r="BI123" s="4">
        <v>-0.22700000000000001</v>
      </c>
      <c r="BJ123" s="4">
        <v>-0.12</v>
      </c>
      <c r="BK123" s="4">
        <v>5.3999999999999999E-2</v>
      </c>
      <c r="BL123" s="4"/>
      <c r="BM123" s="4">
        <f t="shared" si="19"/>
        <v>0.10894999999999999</v>
      </c>
    </row>
    <row r="124" spans="1:65" x14ac:dyDescent="0.3">
      <c r="A124" t="s">
        <v>250</v>
      </c>
      <c r="B124" s="53">
        <f t="shared" si="22"/>
        <v>0</v>
      </c>
      <c r="C124" s="53">
        <f t="shared" si="13"/>
        <v>0</v>
      </c>
      <c r="D124" s="53">
        <f t="shared" si="14"/>
        <v>0</v>
      </c>
      <c r="E124" s="53">
        <f t="shared" si="15"/>
        <v>0</v>
      </c>
      <c r="F124" s="15">
        <v>0.67600000000000005</v>
      </c>
      <c r="G124" s="4">
        <v>0.52500000000000002</v>
      </c>
      <c r="H124" t="s">
        <v>57</v>
      </c>
      <c r="I124" t="str">
        <f>VLOOKUP(A124,Setores!$A$2:$C$215,2,0)</f>
        <v>tech</v>
      </c>
      <c r="J124" t="str">
        <f>VLOOKUP(A124,Setores!$A$2:$C$215,3,0)</f>
        <v>high_beta</v>
      </c>
      <c r="K124" s="92">
        <v>0</v>
      </c>
      <c r="L124" s="42">
        <v>0</v>
      </c>
      <c r="M124" s="92">
        <f>VLOOKUP(A124,'Mandato Ibov'!$B$1:$C$215,2,0)</f>
        <v>0</v>
      </c>
      <c r="N124" s="58">
        <f t="shared" si="16"/>
        <v>0</v>
      </c>
      <c r="O124" s="42">
        <f t="shared" si="17"/>
        <v>0</v>
      </c>
      <c r="P124" s="95">
        <f>VLOOKUP(A124,'Mandato Ibov'!$B$2:$D$215,3,0)</f>
        <v>0</v>
      </c>
      <c r="Q124" s="42">
        <f t="shared" si="18"/>
        <v>0</v>
      </c>
      <c r="R124" s="15">
        <v>-0.06</v>
      </c>
      <c r="S124" s="15">
        <v>-0.16900000000000001</v>
      </c>
      <c r="T124" s="15">
        <v>-1.7000000000000001E-2</v>
      </c>
      <c r="U124" s="15">
        <v>-0.52500000000000002</v>
      </c>
      <c r="V124" s="15">
        <v>-0.36499999999999999</v>
      </c>
      <c r="W124" s="15">
        <v>-0.47499999999999998</v>
      </c>
      <c r="X124" s="15">
        <v>-0.64500000000000002</v>
      </c>
      <c r="Y124" s="15">
        <v>-0.627</v>
      </c>
      <c r="Z124" s="15">
        <v>-0.34</v>
      </c>
      <c r="AA124" s="15">
        <v>-0.34399999999999997</v>
      </c>
      <c r="AB124" s="15">
        <v>0.63500000000000001</v>
      </c>
      <c r="AC124" s="15">
        <v>0.61299999999999999</v>
      </c>
      <c r="AD124" s="15">
        <v>0.28899999999999998</v>
      </c>
      <c r="AE124" s="14">
        <v>-3.9E-2</v>
      </c>
      <c r="AF124" s="15">
        <v>-0.25</v>
      </c>
      <c r="AG124" s="15">
        <v>-0.61299999999999999</v>
      </c>
      <c r="AH124" s="15">
        <v>-0.31900000000000001</v>
      </c>
      <c r="AI124" s="15">
        <v>0.246</v>
      </c>
      <c r="AJ124" s="16">
        <v>0.46700000000000003</v>
      </c>
      <c r="AK124" s="4">
        <v>-0.379</v>
      </c>
      <c r="AL124" s="4">
        <v>-0.42299999999999999</v>
      </c>
      <c r="AM124" s="4">
        <v>-0.36799999999999999</v>
      </c>
      <c r="AN124" s="4">
        <v>0.42</v>
      </c>
      <c r="AO124" s="4">
        <v>-0.22600000000000001</v>
      </c>
      <c r="AP124" s="4">
        <v>0.40799999999999997</v>
      </c>
      <c r="AQ124" s="4">
        <v>-0.23</v>
      </c>
      <c r="AR124" s="4">
        <v>0.59</v>
      </c>
      <c r="AS124" s="4">
        <v>-0.14299999999999999</v>
      </c>
      <c r="AT124" s="4">
        <v>-0.314</v>
      </c>
      <c r="AU124" s="4">
        <v>-0.41699999999999998</v>
      </c>
      <c r="AV124" s="4">
        <v>0.435</v>
      </c>
      <c r="AW124" s="4">
        <v>-0.35899999999999999</v>
      </c>
      <c r="AX124" s="4">
        <v>0.16300000000000001</v>
      </c>
      <c r="AY124" s="4">
        <v>0.64700000000000002</v>
      </c>
      <c r="AZ124" s="4">
        <v>0.63600000000000001</v>
      </c>
      <c r="BA124" s="4">
        <v>0.29899999999999999</v>
      </c>
      <c r="BB124" s="4">
        <v>0.48</v>
      </c>
      <c r="BC124" s="4">
        <v>0.26</v>
      </c>
      <c r="BD124" s="4">
        <v>0.47</v>
      </c>
      <c r="BE124" s="4">
        <v>-0.59799999999999998</v>
      </c>
      <c r="BF124" s="4">
        <v>0.44700000000000001</v>
      </c>
      <c r="BG124" s="4">
        <v>6.7000000000000004E-2</v>
      </c>
      <c r="BH124" s="4">
        <v>0.503</v>
      </c>
      <c r="BI124" s="4">
        <v>0.253</v>
      </c>
      <c r="BJ124" s="4">
        <v>4.4999999999999998E-2</v>
      </c>
      <c r="BK124" s="4">
        <v>0.22600000000000001</v>
      </c>
      <c r="BL124" s="4"/>
      <c r="BM124" s="4">
        <f t="shared" si="19"/>
        <v>-5.2500000000000026E-2</v>
      </c>
    </row>
    <row r="125" spans="1:65" x14ac:dyDescent="0.3">
      <c r="A125" t="s">
        <v>144</v>
      </c>
      <c r="B125" s="53">
        <f t="shared" si="22"/>
        <v>0</v>
      </c>
      <c r="C125" s="53">
        <f t="shared" si="13"/>
        <v>-5.0000000000000001E-3</v>
      </c>
      <c r="D125" s="53">
        <f t="shared" si="14"/>
        <v>0</v>
      </c>
      <c r="E125" s="53">
        <f t="shared" si="15"/>
        <v>5.0000000000000001E-3</v>
      </c>
      <c r="F125" s="15">
        <v>0.67400000000000004</v>
      </c>
      <c r="G125" s="4">
        <v>1.0940000000000001</v>
      </c>
      <c r="H125" t="s">
        <v>55</v>
      </c>
      <c r="I125" t="str">
        <f>VLOOKUP(A125,Setores!$A$2:$C$215,2,0)</f>
        <v>utilities</v>
      </c>
      <c r="J125" t="str">
        <f>VLOOKUP(A125,Setores!$A$2:$C$215,3,0)</f>
        <v>low_beta</v>
      </c>
      <c r="K125" s="92">
        <v>0</v>
      </c>
      <c r="L125" s="42">
        <v>-5.0000000000000001E-3</v>
      </c>
      <c r="M125" s="92">
        <f>VLOOKUP(A125,'Mandato Ibov'!$B$1:$C$215,2,0)</f>
        <v>0</v>
      </c>
      <c r="N125" s="58">
        <f t="shared" si="16"/>
        <v>0</v>
      </c>
      <c r="O125" s="42">
        <f t="shared" si="17"/>
        <v>0</v>
      </c>
      <c r="P125" s="95">
        <f>VLOOKUP(A125,'Mandato Ibov'!$B$2:$D$215,3,0)</f>
        <v>0</v>
      </c>
      <c r="Q125" s="42">
        <f t="shared" si="18"/>
        <v>0</v>
      </c>
      <c r="R125" s="15">
        <v>-0.875</v>
      </c>
      <c r="S125" s="15">
        <v>-0.73499999999999999</v>
      </c>
      <c r="T125" s="15">
        <v>-0.95199999999999996</v>
      </c>
      <c r="U125" s="15">
        <v>-0.74399999999999999</v>
      </c>
      <c r="V125" s="15">
        <v>-0.80600000000000005</v>
      </c>
      <c r="W125" s="15">
        <v>-0.63800000000000001</v>
      </c>
      <c r="X125" s="15">
        <v>-0.216</v>
      </c>
      <c r="Y125" s="15">
        <v>-0.30599999999999999</v>
      </c>
      <c r="Z125" s="15">
        <v>0.36399999999999999</v>
      </c>
      <c r="AA125" s="15">
        <v>0.36699999999999999</v>
      </c>
      <c r="AB125" s="15">
        <v>0.67800000000000005</v>
      </c>
      <c r="AC125" s="15">
        <v>0.73799999999999999</v>
      </c>
      <c r="AD125" s="15">
        <v>0.58899999999999997</v>
      </c>
      <c r="AE125" s="14">
        <v>-0.745</v>
      </c>
      <c r="AF125" s="15">
        <v>-0.84799999999999998</v>
      </c>
      <c r="AG125" s="15">
        <v>0.129</v>
      </c>
      <c r="AH125" s="15">
        <v>-0.84799999999999998</v>
      </c>
      <c r="AI125" s="15">
        <v>-0.41599999999999998</v>
      </c>
      <c r="AJ125" s="16">
        <v>-0.94799999999999995</v>
      </c>
      <c r="AK125" s="4">
        <v>-0.32700000000000001</v>
      </c>
      <c r="AL125" s="4">
        <v>0.08</v>
      </c>
      <c r="AM125" s="4">
        <v>-0.35399999999999998</v>
      </c>
      <c r="AN125" s="4">
        <v>-0.69599999999999995</v>
      </c>
      <c r="AO125" s="4">
        <v>0.249</v>
      </c>
      <c r="AP125" s="4">
        <v>0.33800000000000002</v>
      </c>
      <c r="AQ125" s="4">
        <v>-0.48299999999999998</v>
      </c>
      <c r="AR125" s="4">
        <v>0.12</v>
      </c>
      <c r="AS125" s="4">
        <v>-0.245</v>
      </c>
      <c r="AT125" s="4">
        <v>-0.152</v>
      </c>
      <c r="AU125" s="4">
        <v>-2.5999999999999999E-2</v>
      </c>
      <c r="AV125" s="4">
        <v>-0.42399999999999999</v>
      </c>
      <c r="AW125" s="4">
        <v>0.84799999999999998</v>
      </c>
      <c r="AX125" s="4">
        <v>-0.80300000000000005</v>
      </c>
      <c r="AY125" s="4">
        <v>0.75900000000000001</v>
      </c>
      <c r="AZ125" s="4">
        <v>-0.78</v>
      </c>
      <c r="BA125" s="4">
        <v>0.153</v>
      </c>
      <c r="BB125" s="4">
        <v>-0.151</v>
      </c>
      <c r="BC125" s="4">
        <v>-0.53700000000000003</v>
      </c>
      <c r="BD125" s="4">
        <v>0.35899999999999999</v>
      </c>
      <c r="BE125" s="4">
        <v>-0.35399999999999998</v>
      </c>
      <c r="BF125" s="4">
        <v>-0.875</v>
      </c>
      <c r="BG125" s="4">
        <v>0.58599999999999997</v>
      </c>
      <c r="BH125" s="4">
        <v>-0.41099999999999998</v>
      </c>
      <c r="BI125" s="4">
        <v>-0.23300000000000001</v>
      </c>
      <c r="BJ125" s="4">
        <v>9.8000000000000004E-2</v>
      </c>
      <c r="BK125" s="4">
        <v>-0.122</v>
      </c>
      <c r="BL125" s="4"/>
      <c r="BM125" s="4">
        <f t="shared" si="19"/>
        <v>1.3050000000000006E-2</v>
      </c>
    </row>
    <row r="126" spans="1:65" x14ac:dyDescent="0.3">
      <c r="A126" t="s">
        <v>214</v>
      </c>
      <c r="B126" s="53">
        <f t="shared" si="22"/>
        <v>0</v>
      </c>
      <c r="C126" s="53">
        <f t="shared" si="13"/>
        <v>0</v>
      </c>
      <c r="D126" s="53">
        <f t="shared" si="14"/>
        <v>0</v>
      </c>
      <c r="E126" s="53">
        <f t="shared" si="15"/>
        <v>0</v>
      </c>
      <c r="F126" s="15">
        <v>0.66400000000000003</v>
      </c>
      <c r="G126" s="4">
        <v>0.70399999999999996</v>
      </c>
      <c r="H126" t="s">
        <v>53</v>
      </c>
      <c r="I126" t="str">
        <f>VLOOKUP(A126,Setores!$A$2:$C$215,2,0)</f>
        <v>float_financials</v>
      </c>
      <c r="J126" t="str">
        <f>VLOOKUP(A126,Setores!$A$2:$C$215,3,0)</f>
        <v>low_beta</v>
      </c>
      <c r="K126" s="92">
        <v>0</v>
      </c>
      <c r="L126" s="42">
        <v>0</v>
      </c>
      <c r="M126" s="92">
        <f>VLOOKUP(A126,'Mandato Ibov'!$B$1:$C$215,2,0)</f>
        <v>0</v>
      </c>
      <c r="N126" s="58">
        <f t="shared" si="16"/>
        <v>0</v>
      </c>
      <c r="O126" s="42">
        <f t="shared" si="17"/>
        <v>0</v>
      </c>
      <c r="P126" s="95">
        <f>VLOOKUP(A126,'Mandato Ibov'!$B$2:$D$215,3,0)</f>
        <v>0</v>
      </c>
      <c r="Q126" s="42">
        <f t="shared" si="18"/>
        <v>0</v>
      </c>
      <c r="R126" s="15">
        <v>-0.40600000000000003</v>
      </c>
      <c r="S126" s="15">
        <v>-0.36</v>
      </c>
      <c r="T126" s="15">
        <v>-0.66600000000000004</v>
      </c>
      <c r="U126" s="15">
        <v>-0.56399999999999995</v>
      </c>
      <c r="V126" s="15">
        <v>-0.63100000000000001</v>
      </c>
      <c r="W126" s="15">
        <v>-0.46400000000000002</v>
      </c>
      <c r="X126" s="15">
        <v>-0.33900000000000002</v>
      </c>
      <c r="Y126" s="15">
        <v>-0.73299999999999998</v>
      </c>
      <c r="Z126" s="15">
        <v>4.8000000000000001E-2</v>
      </c>
      <c r="AA126" s="15">
        <v>5.0999999999999997E-2</v>
      </c>
      <c r="AB126" s="15">
        <v>0.61899999999999999</v>
      </c>
      <c r="AC126" s="15">
        <v>0.69299999999999995</v>
      </c>
      <c r="AD126" s="15">
        <v>0.57099999999999995</v>
      </c>
      <c r="AE126" s="14">
        <v>-0.54</v>
      </c>
      <c r="AF126" s="15">
        <v>-0.28299999999999997</v>
      </c>
      <c r="AG126" s="15">
        <v>-0.23400000000000001</v>
      </c>
      <c r="AH126" s="15">
        <v>-0.49399999999999999</v>
      </c>
      <c r="AI126" s="15">
        <v>-0.29499999999999998</v>
      </c>
      <c r="AJ126" s="16">
        <v>-0.11899999999999999</v>
      </c>
      <c r="AK126" s="4">
        <v>-0.16800000000000001</v>
      </c>
      <c r="AL126" s="4">
        <v>-0.89200000000000002</v>
      </c>
      <c r="AM126" s="4">
        <v>-0.29299999999999998</v>
      </c>
      <c r="AN126" s="4">
        <v>0.45200000000000001</v>
      </c>
      <c r="AO126" s="4">
        <v>9.4E-2</v>
      </c>
      <c r="AP126" s="4">
        <v>-7.6999999999999999E-2</v>
      </c>
      <c r="AQ126" s="4">
        <v>0.42599999999999999</v>
      </c>
      <c r="AR126" s="4">
        <v>2.8000000000000001E-2</v>
      </c>
      <c r="AS126" s="4">
        <v>-3.1E-2</v>
      </c>
      <c r="AT126" s="4">
        <v>7.0999999999999994E-2</v>
      </c>
      <c r="AU126" s="4">
        <v>-0.245</v>
      </c>
      <c r="AV126" s="4">
        <v>-0.21</v>
      </c>
      <c r="AW126" s="4">
        <v>0.308</v>
      </c>
      <c r="AX126" s="4">
        <v>0.3</v>
      </c>
      <c r="AY126" s="4">
        <v>0.751</v>
      </c>
      <c r="AZ126" s="4">
        <v>-0.378</v>
      </c>
      <c r="BA126" s="4">
        <v>0.74199999999999999</v>
      </c>
      <c r="BB126" s="4">
        <v>8.8999999999999996E-2</v>
      </c>
      <c r="BC126" s="4">
        <v>-2.5000000000000001E-2</v>
      </c>
      <c r="BD126" s="4">
        <v>0.64500000000000002</v>
      </c>
      <c r="BE126" s="4">
        <v>-0.41799999999999998</v>
      </c>
      <c r="BF126" s="4">
        <v>0.33500000000000002</v>
      </c>
      <c r="BG126" s="4">
        <v>0.53800000000000003</v>
      </c>
      <c r="BH126" s="4">
        <v>3.1E-2</v>
      </c>
      <c r="BI126" s="4">
        <v>-0.25700000000000001</v>
      </c>
      <c r="BJ126" s="4">
        <v>-0.21299999999999999</v>
      </c>
      <c r="BK126" s="4">
        <v>0.621</v>
      </c>
      <c r="BL126" s="4"/>
      <c r="BM126" s="4">
        <f t="shared" si="19"/>
        <v>2.8924999999999992E-2</v>
      </c>
    </row>
    <row r="127" spans="1:65" x14ac:dyDescent="0.3">
      <c r="A127" t="s">
        <v>173</v>
      </c>
      <c r="B127" s="53">
        <f t="shared" si="22"/>
        <v>0</v>
      </c>
      <c r="C127" s="53">
        <f t="shared" si="13"/>
        <v>-5.0000000000000001E-3</v>
      </c>
      <c r="D127" s="53">
        <f t="shared" si="14"/>
        <v>0</v>
      </c>
      <c r="E127" s="53">
        <f t="shared" si="15"/>
        <v>5.0000000000000001E-3</v>
      </c>
      <c r="F127" s="15">
        <v>0.66300000000000003</v>
      </c>
      <c r="G127" s="4">
        <v>0.94699999999999995</v>
      </c>
      <c r="H127" t="s">
        <v>55</v>
      </c>
      <c r="I127" t="str">
        <f>VLOOKUP(A127,Setores!$A$2:$C$215,2,0)</f>
        <v>utilities</v>
      </c>
      <c r="J127" t="str">
        <f>VLOOKUP(A127,Setores!$A$2:$C$215,3,0)</f>
        <v>low_beta</v>
      </c>
      <c r="K127" s="92">
        <v>0</v>
      </c>
      <c r="L127" s="42">
        <v>-5.0000000000000001E-3</v>
      </c>
      <c r="M127" s="92">
        <f>VLOOKUP(A127,'Mandato Ibov'!$B$1:$C$215,2,0)</f>
        <v>0</v>
      </c>
      <c r="N127" s="58">
        <f t="shared" si="16"/>
        <v>0</v>
      </c>
      <c r="O127" s="42">
        <f t="shared" si="17"/>
        <v>0</v>
      </c>
      <c r="P127" s="95">
        <f>VLOOKUP(A127,'Mandato Ibov'!$B$2:$D$215,3,0)</f>
        <v>0</v>
      </c>
      <c r="Q127" s="42">
        <f t="shared" si="18"/>
        <v>0</v>
      </c>
      <c r="R127" s="15">
        <v>-0.84799999999999998</v>
      </c>
      <c r="S127" s="15">
        <v>-0.75600000000000001</v>
      </c>
      <c r="T127" s="15">
        <v>-0.95299999999999996</v>
      </c>
      <c r="U127" s="15">
        <v>-0.74199999999999999</v>
      </c>
      <c r="V127" s="15">
        <v>-0.85099999999999998</v>
      </c>
      <c r="W127" s="15">
        <v>-0.46400000000000002</v>
      </c>
      <c r="X127" s="15">
        <v>0.12</v>
      </c>
      <c r="Y127" s="15">
        <v>-0.505</v>
      </c>
      <c r="Z127" s="15">
        <v>0.46500000000000002</v>
      </c>
      <c r="AA127" s="15">
        <v>0.46600000000000003</v>
      </c>
      <c r="AB127" s="15">
        <v>0.624</v>
      </c>
      <c r="AC127" s="15">
        <v>0.64800000000000002</v>
      </c>
      <c r="AD127" s="15">
        <v>0.54600000000000004</v>
      </c>
      <c r="AE127" s="14">
        <v>-0.78100000000000003</v>
      </c>
      <c r="AF127" s="15">
        <v>-0.88300000000000001</v>
      </c>
      <c r="AG127" s="15">
        <v>-0.27200000000000002</v>
      </c>
      <c r="AH127" s="15">
        <v>-0.96</v>
      </c>
      <c r="AI127" s="15">
        <v>-0.61299999999999999</v>
      </c>
      <c r="AJ127" s="16">
        <v>-1</v>
      </c>
      <c r="AK127" s="4">
        <v>-0.316</v>
      </c>
      <c r="AL127" s="4">
        <v>-0.27600000000000002</v>
      </c>
      <c r="AM127" s="4">
        <v>-0.70499999999999996</v>
      </c>
      <c r="AN127" s="4">
        <v>-0.35399999999999998</v>
      </c>
      <c r="AO127" s="4">
        <v>0.217</v>
      </c>
      <c r="AP127" s="4">
        <v>0.40500000000000003</v>
      </c>
      <c r="AQ127" s="4">
        <v>-0.22500000000000001</v>
      </c>
      <c r="AR127" s="4">
        <v>0.158</v>
      </c>
      <c r="AS127" s="4">
        <v>-5.7000000000000002E-2</v>
      </c>
      <c r="AT127" s="4">
        <v>6.9000000000000006E-2</v>
      </c>
      <c r="AU127" s="4">
        <v>0.40899999999999997</v>
      </c>
      <c r="AV127" s="4">
        <v>-0.33600000000000002</v>
      </c>
      <c r="AW127" s="4">
        <v>0.748</v>
      </c>
      <c r="AX127" s="4">
        <v>-0.52700000000000002</v>
      </c>
      <c r="AY127" s="4">
        <v>0.75600000000000001</v>
      </c>
      <c r="AZ127" s="4">
        <v>-0.249</v>
      </c>
      <c r="BA127" s="4">
        <v>-0.40500000000000003</v>
      </c>
      <c r="BB127" s="4">
        <v>-0.44700000000000001</v>
      </c>
      <c r="BC127" s="4">
        <v>-0.58199999999999996</v>
      </c>
      <c r="BD127" s="4">
        <v>0.253</v>
      </c>
      <c r="BE127" s="4">
        <v>-0.105</v>
      </c>
      <c r="BF127" s="4">
        <v>-0.22</v>
      </c>
      <c r="BG127" s="4">
        <v>0.88800000000000001</v>
      </c>
      <c r="BH127" s="4">
        <v>-0.33300000000000002</v>
      </c>
      <c r="BI127" s="4">
        <v>-0.191</v>
      </c>
      <c r="BJ127" s="4">
        <v>0.224</v>
      </c>
      <c r="BK127" s="4">
        <v>-0.378</v>
      </c>
      <c r="BL127" s="4"/>
      <c r="BM127" s="4">
        <f t="shared" si="19"/>
        <v>7.9225000000000004E-2</v>
      </c>
    </row>
    <row r="128" spans="1:65" x14ac:dyDescent="0.3">
      <c r="A128" t="s">
        <v>229</v>
      </c>
      <c r="B128" s="53">
        <f t="shared" si="22"/>
        <v>0</v>
      </c>
      <c r="C128" s="53">
        <f t="shared" si="13"/>
        <v>0</v>
      </c>
      <c r="D128" s="53">
        <f t="shared" si="14"/>
        <v>0</v>
      </c>
      <c r="E128" s="53">
        <f t="shared" si="15"/>
        <v>0</v>
      </c>
      <c r="F128" s="15">
        <v>0.65</v>
      </c>
      <c r="G128" s="4">
        <v>0.499</v>
      </c>
      <c r="H128" t="s">
        <v>71</v>
      </c>
      <c r="I128" t="str">
        <f>VLOOKUP(A128,Setores!$A$2:$C$215,2,0)</f>
        <v>food</v>
      </c>
      <c r="J128" t="str">
        <f>VLOOKUP(A128,Setores!$A$2:$C$215,3,0)</f>
        <v>very_low_beta</v>
      </c>
      <c r="K128" s="92">
        <v>0</v>
      </c>
      <c r="L128" s="42">
        <v>0</v>
      </c>
      <c r="M128" s="92">
        <f>VLOOKUP(A128,'Mandato Ibov'!$B$1:$C$215,2,0)</f>
        <v>0</v>
      </c>
      <c r="N128" s="58">
        <f t="shared" si="16"/>
        <v>0</v>
      </c>
      <c r="O128" s="42">
        <f t="shared" si="17"/>
        <v>0</v>
      </c>
      <c r="P128" s="95">
        <f>VLOOKUP(A128,'Mandato Ibov'!$B$2:$D$215,3,0)</f>
        <v>7.1785641062755701E-3</v>
      </c>
      <c r="Q128" s="42">
        <f t="shared" si="18"/>
        <v>-7.1785641062755701E-3</v>
      </c>
      <c r="R128" s="15">
        <v>-0.753</v>
      </c>
      <c r="S128" s="15">
        <v>-0.14099999999999999</v>
      </c>
      <c r="T128" s="15">
        <v>-0.90100000000000002</v>
      </c>
      <c r="U128" s="15">
        <v>-0.70899999999999996</v>
      </c>
      <c r="V128" s="15">
        <v>-0.67</v>
      </c>
      <c r="W128" s="15">
        <v>-0.68</v>
      </c>
      <c r="X128" s="15">
        <v>-0.71599999999999997</v>
      </c>
      <c r="Y128" s="15">
        <v>-0.50700000000000001</v>
      </c>
      <c r="Z128" s="15">
        <v>0.24399999999999999</v>
      </c>
      <c r="AA128" s="15">
        <v>0.246</v>
      </c>
      <c r="AB128" s="15">
        <v>0.65700000000000003</v>
      </c>
      <c r="AC128" s="15">
        <v>0.69399999999999995</v>
      </c>
      <c r="AD128" s="15">
        <v>0.65600000000000003</v>
      </c>
      <c r="AE128" s="14">
        <v>-0.85499999999999998</v>
      </c>
      <c r="AF128" s="15">
        <v>-0.65800000000000003</v>
      </c>
      <c r="AG128" s="15">
        <v>0.48399999999999999</v>
      </c>
      <c r="AH128" s="15">
        <v>-0.6</v>
      </c>
      <c r="AI128" s="15">
        <v>-7.1999999999999995E-2</v>
      </c>
      <c r="AJ128" s="16">
        <v>-0.86599999999999999</v>
      </c>
      <c r="AK128" s="4">
        <v>-0.32200000000000001</v>
      </c>
      <c r="AL128" s="4">
        <v>-0.49199999999999999</v>
      </c>
      <c r="AM128" s="4">
        <v>-0.20699999999999999</v>
      </c>
      <c r="AN128" s="4">
        <v>-0.27400000000000002</v>
      </c>
      <c r="AO128" s="4">
        <v>0.29799999999999999</v>
      </c>
      <c r="AP128" s="4">
        <v>0.86099999999999999</v>
      </c>
      <c r="AQ128" s="4">
        <v>-0.40899999999999997</v>
      </c>
      <c r="AR128" s="4">
        <v>0.85799999999999998</v>
      </c>
      <c r="AS128" s="4">
        <v>0.30599999999999999</v>
      </c>
      <c r="AT128" s="4">
        <v>-9.0999999999999998E-2</v>
      </c>
      <c r="AU128" s="4">
        <v>-0.17699999999999999</v>
      </c>
      <c r="AV128" s="4">
        <v>-0.54200000000000004</v>
      </c>
      <c r="AW128" s="4">
        <v>0.19700000000000001</v>
      </c>
      <c r="AX128" s="4">
        <v>-0.25700000000000001</v>
      </c>
      <c r="AY128" s="4">
        <v>0.376</v>
      </c>
      <c r="AZ128" s="4">
        <v>-0.54600000000000004</v>
      </c>
      <c r="BA128" s="4">
        <v>-1.2E-2</v>
      </c>
      <c r="BB128" s="4">
        <v>-9.8000000000000004E-2</v>
      </c>
      <c r="BC128" s="4">
        <v>-0.41199999999999998</v>
      </c>
      <c r="BD128" s="4">
        <v>0.29199999999999998</v>
      </c>
      <c r="BE128" s="4">
        <v>-0.86399999999999999</v>
      </c>
      <c r="BF128" s="4">
        <v>0.249</v>
      </c>
      <c r="BG128" s="4">
        <v>2.9000000000000001E-2</v>
      </c>
      <c r="BH128" s="4">
        <v>0.26500000000000001</v>
      </c>
      <c r="BI128" s="4">
        <v>-0.63200000000000001</v>
      </c>
      <c r="BJ128" s="4">
        <v>-0.219</v>
      </c>
      <c r="BK128" s="4">
        <v>5.2999999999999999E-2</v>
      </c>
      <c r="BL128" s="4"/>
      <c r="BM128" s="4">
        <f t="shared" si="19"/>
        <v>3.0725000000000016E-2</v>
      </c>
    </row>
    <row r="129" spans="1:65" x14ac:dyDescent="0.3">
      <c r="A129" t="s">
        <v>80</v>
      </c>
      <c r="B129" s="53">
        <f t="shared" si="22"/>
        <v>0</v>
      </c>
      <c r="C129" s="53">
        <f t="shared" si="13"/>
        <v>0</v>
      </c>
      <c r="D129" s="53">
        <f t="shared" si="14"/>
        <v>0</v>
      </c>
      <c r="E129" s="53">
        <f t="shared" si="15"/>
        <v>0</v>
      </c>
      <c r="F129" s="15">
        <v>0.63200000000000001</v>
      </c>
      <c r="G129" s="4">
        <v>0.61099999999999999</v>
      </c>
      <c r="H129" t="s">
        <v>57</v>
      </c>
      <c r="I129" t="str">
        <f>VLOOKUP(A129,Setores!$A$2:$C$215,2,0)</f>
        <v>tech</v>
      </c>
      <c r="J129" t="str">
        <f>VLOOKUP(A129,Setores!$A$2:$C$215,3,0)</f>
        <v>very_low_beta</v>
      </c>
      <c r="K129" s="92">
        <v>0</v>
      </c>
      <c r="L129" s="42">
        <v>0</v>
      </c>
      <c r="M129" s="92">
        <f>VLOOKUP(A129,'Mandato Ibov'!$B$1:$C$215,2,0)</f>
        <v>0</v>
      </c>
      <c r="N129" s="58">
        <f t="shared" si="16"/>
        <v>0</v>
      </c>
      <c r="O129" s="42">
        <f t="shared" si="17"/>
        <v>0</v>
      </c>
      <c r="P129" s="95">
        <f>VLOOKUP(A129,'Mandato Ibov'!$B$2:$D$215,3,0)</f>
        <v>0</v>
      </c>
      <c r="Q129" s="42">
        <f t="shared" si="18"/>
        <v>0</v>
      </c>
      <c r="R129" s="15">
        <v>-0.57899999999999996</v>
      </c>
      <c r="S129" s="15">
        <v>-0.77600000000000002</v>
      </c>
      <c r="T129" s="15">
        <v>-0.245</v>
      </c>
      <c r="U129" s="15">
        <v>-0.627</v>
      </c>
      <c r="V129" s="15">
        <v>-0.59699999999999998</v>
      </c>
      <c r="W129" s="15">
        <v>-0.65800000000000003</v>
      </c>
      <c r="X129" s="15">
        <v>-0.629</v>
      </c>
      <c r="Y129" s="15">
        <v>-0.57899999999999996</v>
      </c>
      <c r="Z129" s="15">
        <v>0.154</v>
      </c>
      <c r="AA129" s="15">
        <v>0.156</v>
      </c>
      <c r="AB129" s="15">
        <v>0.54</v>
      </c>
      <c r="AC129" s="15">
        <v>0.52100000000000002</v>
      </c>
      <c r="AD129" s="15">
        <v>0.47599999999999998</v>
      </c>
      <c r="AE129" s="14">
        <v>-0.36099999999999999</v>
      </c>
      <c r="AF129" s="15">
        <v>-0.222</v>
      </c>
      <c r="AG129" s="15">
        <v>-0.755</v>
      </c>
      <c r="AH129" s="15">
        <v>0.16800000000000001</v>
      </c>
      <c r="AI129" s="15">
        <v>-0.40699999999999997</v>
      </c>
      <c r="AJ129" s="16">
        <v>0.28799999999999998</v>
      </c>
      <c r="AK129" s="4">
        <v>4.1000000000000002E-2</v>
      </c>
      <c r="AL129" s="4">
        <v>0.20399999999999999</v>
      </c>
      <c r="AM129" s="4">
        <v>-0.29499999999999998</v>
      </c>
      <c r="AN129" s="4">
        <v>-8.5000000000000006E-2</v>
      </c>
      <c r="AO129" s="4">
        <v>-0.42199999999999999</v>
      </c>
      <c r="AP129" s="4">
        <v>-0.377</v>
      </c>
      <c r="AQ129" s="4">
        <v>0.13600000000000001</v>
      </c>
      <c r="AR129" s="4">
        <v>7.6999999999999999E-2</v>
      </c>
      <c r="AS129" s="4">
        <v>-0.54200000000000004</v>
      </c>
      <c r="AT129" s="4">
        <v>0.24199999999999999</v>
      </c>
      <c r="AU129" s="4">
        <v>-0.22600000000000001</v>
      </c>
      <c r="AV129" s="4">
        <v>-0.42699999999999999</v>
      </c>
      <c r="AW129" s="4">
        <v>0.38800000000000001</v>
      </c>
      <c r="AX129" s="4">
        <v>0.17799999999999999</v>
      </c>
      <c r="AY129" s="4">
        <v>0.747</v>
      </c>
      <c r="AZ129" s="4">
        <v>0.27400000000000002</v>
      </c>
      <c r="BA129" s="4">
        <v>0.72299999999999998</v>
      </c>
      <c r="BB129" s="4">
        <v>2E-3</v>
      </c>
      <c r="BC129" s="4">
        <v>-0.191</v>
      </c>
      <c r="BD129" s="4">
        <v>0.155</v>
      </c>
      <c r="BE129" s="4">
        <v>0.104</v>
      </c>
      <c r="BF129" s="4">
        <v>0.33900000000000002</v>
      </c>
      <c r="BG129" s="4">
        <v>-0.312</v>
      </c>
      <c r="BH129" s="4">
        <v>-0.64600000000000002</v>
      </c>
      <c r="BI129" s="4">
        <v>-0.39500000000000002</v>
      </c>
      <c r="BJ129" s="4">
        <v>0.498</v>
      </c>
      <c r="BK129" s="4">
        <v>0.40799999999999997</v>
      </c>
      <c r="BL129" s="4"/>
      <c r="BM129" s="4">
        <f t="shared" si="19"/>
        <v>-3.8400000000000017E-2</v>
      </c>
    </row>
    <row r="130" spans="1:65" x14ac:dyDescent="0.3">
      <c r="A130" t="s">
        <v>180</v>
      </c>
      <c r="B130" s="53">
        <f t="shared" si="22"/>
        <v>0</v>
      </c>
      <c r="C130" s="53">
        <f t="shared" si="13"/>
        <v>0</v>
      </c>
      <c r="D130" s="53">
        <f t="shared" si="14"/>
        <v>0</v>
      </c>
      <c r="E130" s="53">
        <f t="shared" si="15"/>
        <v>0</v>
      </c>
      <c r="F130" s="15">
        <v>0.628</v>
      </c>
      <c r="G130" s="4">
        <v>0.70299999999999996</v>
      </c>
      <c r="H130" t="s">
        <v>57</v>
      </c>
      <c r="I130" t="str">
        <f>VLOOKUP(A130,Setores!$A$2:$C$215,2,0)</f>
        <v>apparel</v>
      </c>
      <c r="J130" t="str">
        <f>VLOOKUP(A130,Setores!$A$2:$C$215,3,0)</f>
        <v>high_beta</v>
      </c>
      <c r="K130" s="92">
        <v>0</v>
      </c>
      <c r="L130" s="42">
        <v>0</v>
      </c>
      <c r="M130" s="92">
        <f>VLOOKUP(A130,'Mandato Ibov'!$B$1:$C$215,2,0)</f>
        <v>0</v>
      </c>
      <c r="N130" s="58">
        <f t="shared" si="16"/>
        <v>0</v>
      </c>
      <c r="O130" s="42">
        <f t="shared" si="17"/>
        <v>0</v>
      </c>
      <c r="P130" s="95">
        <f>VLOOKUP(A130,'Mandato Ibov'!$B$2:$D$215,3,0)</f>
        <v>0</v>
      </c>
      <c r="Q130" s="42">
        <f t="shared" si="18"/>
        <v>0</v>
      </c>
      <c r="R130" s="15">
        <v>-0.35799999999999998</v>
      </c>
      <c r="S130" s="15">
        <v>-0.73499999999999999</v>
      </c>
      <c r="T130" s="15">
        <v>-0.22700000000000001</v>
      </c>
      <c r="U130" s="15">
        <v>-0.53800000000000003</v>
      </c>
      <c r="V130" s="15">
        <v>-0.65600000000000003</v>
      </c>
      <c r="W130" s="15">
        <v>-0.39200000000000002</v>
      </c>
      <c r="X130" s="15">
        <v>-0.248</v>
      </c>
      <c r="Y130" s="15">
        <v>-0.74199999999999999</v>
      </c>
      <c r="Z130" s="15">
        <v>5.0999999999999997E-2</v>
      </c>
      <c r="AA130" s="15">
        <v>5.1999999999999998E-2</v>
      </c>
      <c r="AB130" s="15">
        <v>0.55400000000000005</v>
      </c>
      <c r="AC130" s="15">
        <v>0.46700000000000003</v>
      </c>
      <c r="AD130" s="15">
        <v>0.253</v>
      </c>
      <c r="AE130" s="14">
        <v>-0.20799999999999999</v>
      </c>
      <c r="AF130" s="15">
        <v>-0.68100000000000005</v>
      </c>
      <c r="AG130" s="15">
        <v>-0.84099999999999997</v>
      </c>
      <c r="AH130" s="15">
        <v>-0.57099999999999995</v>
      </c>
      <c r="AI130" s="15">
        <v>-1.0999999999999999E-2</v>
      </c>
      <c r="AJ130" s="16">
        <v>0.93</v>
      </c>
      <c r="AK130" s="4">
        <v>-0.46899999999999997</v>
      </c>
      <c r="AL130" s="4">
        <v>-0.76300000000000001</v>
      </c>
      <c r="AM130" s="4">
        <v>-0.97299999999999998</v>
      </c>
      <c r="AN130" s="4">
        <v>0.23699999999999999</v>
      </c>
      <c r="AO130" s="4">
        <v>-0.38100000000000001</v>
      </c>
      <c r="AP130" s="4">
        <v>-0.12</v>
      </c>
      <c r="AQ130" s="4">
        <v>5.2999999999999999E-2</v>
      </c>
      <c r="AR130" s="4">
        <v>0.125</v>
      </c>
      <c r="AS130" s="4">
        <v>-0.53900000000000003</v>
      </c>
      <c r="AT130" s="4">
        <v>0.78100000000000003</v>
      </c>
      <c r="AU130" s="4">
        <v>6.2E-2</v>
      </c>
      <c r="AV130" s="4">
        <v>0.623</v>
      </c>
      <c r="AW130" s="4">
        <v>0.38600000000000001</v>
      </c>
      <c r="AX130" s="4">
        <v>8.5000000000000006E-2</v>
      </c>
      <c r="AY130" s="4">
        <v>0.89800000000000002</v>
      </c>
      <c r="AZ130" s="4">
        <v>0.97699999999999998</v>
      </c>
      <c r="BA130" s="4">
        <v>0.42199999999999999</v>
      </c>
      <c r="BB130" s="4">
        <v>-0.60399999999999998</v>
      </c>
      <c r="BC130" s="4">
        <v>-0.57199999999999995</v>
      </c>
      <c r="BD130" s="4">
        <v>0.23499999999999999</v>
      </c>
      <c r="BE130" s="4">
        <v>-0.71099999999999997</v>
      </c>
      <c r="BF130" s="4">
        <v>-0.18</v>
      </c>
      <c r="BG130" s="4">
        <v>0.29199999999999998</v>
      </c>
      <c r="BH130" s="4">
        <v>-0.33600000000000002</v>
      </c>
      <c r="BI130" s="4">
        <v>0.104</v>
      </c>
      <c r="BJ130" s="4">
        <v>0.35099999999999998</v>
      </c>
      <c r="BK130" s="4">
        <v>0.71599999999999997</v>
      </c>
      <c r="BL130" s="4"/>
      <c r="BM130" s="4">
        <f t="shared" si="19"/>
        <v>5.8049999999999997E-2</v>
      </c>
    </row>
    <row r="131" spans="1:65" x14ac:dyDescent="0.3">
      <c r="A131" t="s">
        <v>233</v>
      </c>
      <c r="B131" s="53">
        <f t="shared" si="22"/>
        <v>0</v>
      </c>
      <c r="C131" s="53">
        <f t="shared" si="13"/>
        <v>-3.0000000000000001E-3</v>
      </c>
      <c r="D131" s="53">
        <f t="shared" si="14"/>
        <v>0</v>
      </c>
      <c r="E131" s="53">
        <f t="shared" si="15"/>
        <v>3.0000000000000001E-3</v>
      </c>
      <c r="F131" s="15">
        <v>0.627</v>
      </c>
      <c r="G131" s="4">
        <v>0.52600000000000002</v>
      </c>
      <c r="H131" t="s">
        <v>71</v>
      </c>
      <c r="I131" t="str">
        <f>VLOOKUP(A131,Setores!$A$2:$C$215,2,0)</f>
        <v>crude_oil</v>
      </c>
      <c r="J131" t="str">
        <f>VLOOKUP(A131,Setores!$A$2:$C$215,3,0)</f>
        <v>very_low_beta</v>
      </c>
      <c r="K131" s="92">
        <v>0</v>
      </c>
      <c r="L131" s="42">
        <v>-3.0000000000000001E-3</v>
      </c>
      <c r="M131" s="92">
        <f>VLOOKUP(A131,'Mandato Ibov'!$B$1:$C$215,2,0)</f>
        <v>0</v>
      </c>
      <c r="N131" s="58">
        <f t="shared" si="16"/>
        <v>0</v>
      </c>
      <c r="O131" s="42">
        <f t="shared" si="17"/>
        <v>0</v>
      </c>
      <c r="P131" s="95">
        <f>VLOOKUP(A131,'Mandato Ibov'!$B$2:$D$215,3,0)</f>
        <v>0</v>
      </c>
      <c r="Q131" s="42">
        <f t="shared" si="18"/>
        <v>0</v>
      </c>
      <c r="R131" s="15">
        <v>-0.83399999999999996</v>
      </c>
      <c r="S131" s="15">
        <v>-8.6999999999999994E-2</v>
      </c>
      <c r="T131" s="15">
        <v>-0.97</v>
      </c>
      <c r="U131" s="15">
        <v>-0.72099999999999997</v>
      </c>
      <c r="V131" s="15">
        <v>-0.66100000000000003</v>
      </c>
      <c r="W131" s="15">
        <v>-0.73799999999999999</v>
      </c>
      <c r="X131" s="15">
        <v>-0.755</v>
      </c>
      <c r="Y131" s="15">
        <v>-0.57399999999999995</v>
      </c>
      <c r="Z131" s="15">
        <v>0.17299999999999999</v>
      </c>
      <c r="AA131" s="15">
        <v>0.17399999999999999</v>
      </c>
      <c r="AB131" s="15">
        <v>0.76800000000000002</v>
      </c>
      <c r="AC131" s="15">
        <v>0.79800000000000004</v>
      </c>
      <c r="AD131" s="15">
        <v>0.64700000000000002</v>
      </c>
      <c r="AE131" s="14">
        <v>-0.749</v>
      </c>
      <c r="AF131" s="15">
        <v>-0.437</v>
      </c>
      <c r="AG131" s="15">
        <v>0.97399999999999998</v>
      </c>
      <c r="AH131" s="15">
        <v>-0.64900000000000002</v>
      </c>
      <c r="AI131" s="15">
        <v>-0.158</v>
      </c>
      <c r="AJ131" s="16">
        <v>-0.90700000000000003</v>
      </c>
      <c r="AK131" s="4">
        <v>0.105</v>
      </c>
      <c r="AL131" s="4">
        <v>-0.96099999999999997</v>
      </c>
      <c r="AM131" s="4">
        <v>4.2000000000000003E-2</v>
      </c>
      <c r="AN131" s="4">
        <v>0.41099999999999998</v>
      </c>
      <c r="AO131" s="4">
        <v>0.56100000000000005</v>
      </c>
      <c r="AP131" s="4">
        <v>0.72</v>
      </c>
      <c r="AQ131" s="4">
        <v>-0.45</v>
      </c>
      <c r="AR131" s="4">
        <v>-0.32700000000000001</v>
      </c>
      <c r="AS131" s="4">
        <v>-0.46899999999999997</v>
      </c>
      <c r="AT131" s="4">
        <v>-0.316</v>
      </c>
      <c r="AU131" s="4">
        <v>-0.17100000000000001</v>
      </c>
      <c r="AV131" s="4">
        <v>-0.33600000000000002</v>
      </c>
      <c r="AW131" s="4">
        <v>0.106</v>
      </c>
      <c r="AX131" s="4">
        <v>-0.31</v>
      </c>
      <c r="AY131" s="4">
        <v>0.32800000000000001</v>
      </c>
      <c r="AZ131" s="4">
        <v>-0.72199999999999998</v>
      </c>
      <c r="BA131" s="4">
        <v>-0.19</v>
      </c>
      <c r="BB131" s="4">
        <v>-0.36199999999999999</v>
      </c>
      <c r="BC131" s="4">
        <v>0.32300000000000001</v>
      </c>
      <c r="BD131" s="4">
        <v>-0.14599999999999999</v>
      </c>
      <c r="BE131" s="4">
        <v>-0.22600000000000001</v>
      </c>
      <c r="BF131" s="4">
        <v>0.56999999999999995</v>
      </c>
      <c r="BG131" s="4">
        <v>0.27900000000000003</v>
      </c>
      <c r="BH131" s="4">
        <v>0.26500000000000001</v>
      </c>
      <c r="BI131" s="4">
        <v>-0.98299999999999998</v>
      </c>
      <c r="BJ131" s="4">
        <v>-0.91900000000000004</v>
      </c>
      <c r="BK131" s="4">
        <v>0.19</v>
      </c>
      <c r="BL131" s="4"/>
      <c r="BM131" s="4">
        <f t="shared" si="19"/>
        <v>-2.9675000000000007E-2</v>
      </c>
    </row>
    <row r="132" spans="1:65" x14ac:dyDescent="0.3">
      <c r="A132" t="s">
        <v>168</v>
      </c>
      <c r="B132" s="53">
        <f t="shared" si="22"/>
        <v>0</v>
      </c>
      <c r="C132" s="53">
        <f t="shared" si="13"/>
        <v>-2.5999999999999999E-2</v>
      </c>
      <c r="D132" s="53">
        <f t="shared" si="14"/>
        <v>0</v>
      </c>
      <c r="E132" s="53">
        <f t="shared" si="15"/>
        <v>2.5999999999999999E-2</v>
      </c>
      <c r="F132" s="15">
        <v>0.626</v>
      </c>
      <c r="G132" s="4">
        <v>1.1339999999999999</v>
      </c>
      <c r="H132" t="s">
        <v>68</v>
      </c>
      <c r="I132" t="str">
        <f>VLOOKUP(A132,Setores!$A$2:$C$215,2,0)</f>
        <v>capital_goods</v>
      </c>
      <c r="J132" t="str">
        <f>VLOOKUP(A132,Setores!$A$2:$C$215,3,0)</f>
        <v>very_low_beta</v>
      </c>
      <c r="K132" s="92">
        <v>0</v>
      </c>
      <c r="L132" s="42">
        <v>-2.5999999999999999E-2</v>
      </c>
      <c r="M132" s="92">
        <f>VLOOKUP(A132,'Mandato Ibov'!$B$1:$C$215,2,0)</f>
        <v>0</v>
      </c>
      <c r="N132" s="58">
        <f t="shared" si="16"/>
        <v>0</v>
      </c>
      <c r="O132" s="42">
        <f t="shared" si="17"/>
        <v>0</v>
      </c>
      <c r="P132" s="95">
        <f>VLOOKUP(A132,'Mandato Ibov'!$B$2:$D$215,3,0)</f>
        <v>0</v>
      </c>
      <c r="Q132" s="42">
        <f t="shared" si="18"/>
        <v>0</v>
      </c>
      <c r="R132" s="15">
        <v>-0.67200000000000004</v>
      </c>
      <c r="S132" s="15">
        <v>-0.83</v>
      </c>
      <c r="T132" s="15">
        <v>-0.86799999999999999</v>
      </c>
      <c r="U132" s="15">
        <v>-0.63500000000000001</v>
      </c>
      <c r="V132" s="15">
        <v>-0.84899999999999998</v>
      </c>
      <c r="W132" s="15">
        <v>-0.443</v>
      </c>
      <c r="X132" s="15">
        <v>-0.18</v>
      </c>
      <c r="Y132" s="15">
        <v>-0.64900000000000002</v>
      </c>
      <c r="Z132" s="15">
        <v>0.29099999999999998</v>
      </c>
      <c r="AA132" s="15">
        <v>0.29199999999999998</v>
      </c>
      <c r="AB132" s="15">
        <v>0.63600000000000001</v>
      </c>
      <c r="AC132" s="15">
        <v>0.57199999999999995</v>
      </c>
      <c r="AD132" s="15">
        <v>0.46400000000000002</v>
      </c>
      <c r="AE132" s="14">
        <v>-0.40300000000000002</v>
      </c>
      <c r="AF132" s="15">
        <v>-0.66200000000000003</v>
      </c>
      <c r="AG132" s="15">
        <v>-0.79400000000000004</v>
      </c>
      <c r="AH132" s="15">
        <v>-1</v>
      </c>
      <c r="AI132" s="15">
        <v>-0.97499999999999998</v>
      </c>
      <c r="AJ132" s="16">
        <v>-0.64100000000000001</v>
      </c>
      <c r="AK132" s="4">
        <v>-0.39100000000000001</v>
      </c>
      <c r="AL132" s="4">
        <v>-0.55900000000000005</v>
      </c>
      <c r="AM132" s="4">
        <v>-0.96899999999999997</v>
      </c>
      <c r="AN132" s="4">
        <v>0.56699999999999995</v>
      </c>
      <c r="AO132" s="4">
        <v>5.6000000000000001E-2</v>
      </c>
      <c r="AP132" s="4">
        <v>-0.41799999999999998</v>
      </c>
      <c r="AQ132" s="4">
        <v>0.17899999999999999</v>
      </c>
      <c r="AR132" s="4">
        <v>0.252</v>
      </c>
      <c r="AS132" s="4">
        <v>-0.52500000000000002</v>
      </c>
      <c r="AT132" s="4">
        <v>0.72799999999999998</v>
      </c>
      <c r="AU132" s="4">
        <v>-0.11</v>
      </c>
      <c r="AV132" s="4">
        <v>0.17</v>
      </c>
      <c r="AW132" s="4">
        <v>0.61399999999999999</v>
      </c>
      <c r="AX132" s="4">
        <v>0.53700000000000003</v>
      </c>
      <c r="AY132" s="4">
        <v>0.94099999999999995</v>
      </c>
      <c r="AZ132" s="4">
        <v>0.51800000000000002</v>
      </c>
      <c r="BA132" s="4">
        <v>0.218</v>
      </c>
      <c r="BB132" s="4">
        <v>0.189</v>
      </c>
      <c r="BC132" s="4">
        <v>0.26200000000000001</v>
      </c>
      <c r="BD132" s="4">
        <v>0.22700000000000001</v>
      </c>
      <c r="BE132" s="4">
        <v>0.157</v>
      </c>
      <c r="BF132" s="4">
        <v>0.38200000000000001</v>
      </c>
      <c r="BG132" s="4">
        <v>0.48599999999999999</v>
      </c>
      <c r="BH132" s="4">
        <v>-0.34699999999999998</v>
      </c>
      <c r="BI132" s="4">
        <v>-1.7000000000000001E-2</v>
      </c>
      <c r="BJ132" s="4">
        <v>-9.5000000000000001E-2</v>
      </c>
      <c r="BK132" s="4">
        <v>-1</v>
      </c>
      <c r="BL132" s="4"/>
      <c r="BM132" s="4">
        <f t="shared" si="19"/>
        <v>8.3699999999999997E-2</v>
      </c>
    </row>
    <row r="133" spans="1:65" x14ac:dyDescent="0.3">
      <c r="A133" t="s">
        <v>209</v>
      </c>
      <c r="B133" s="53">
        <f t="shared" si="22"/>
        <v>0</v>
      </c>
      <c r="C133" s="53">
        <f t="shared" si="13"/>
        <v>0</v>
      </c>
      <c r="D133" s="53">
        <f t="shared" si="14"/>
        <v>0</v>
      </c>
      <c r="E133" s="53">
        <f t="shared" si="15"/>
        <v>0</v>
      </c>
      <c r="F133" s="15">
        <v>0.61899999999999999</v>
      </c>
      <c r="G133" s="4">
        <v>0.82299999999999995</v>
      </c>
      <c r="H133" t="s">
        <v>55</v>
      </c>
      <c r="I133" t="str">
        <f>VLOOKUP(A133,Setores!$A$2:$C$215,2,0)</f>
        <v>utilities</v>
      </c>
      <c r="J133" t="str">
        <f>VLOOKUP(A133,Setores!$A$2:$C$215,3,0)</f>
        <v>high_beta</v>
      </c>
      <c r="K133" s="92">
        <v>0</v>
      </c>
      <c r="L133" s="42">
        <v>0</v>
      </c>
      <c r="M133" s="92">
        <f>VLOOKUP(A133,'Mandato Ibov'!$B$1:$C$215,2,0)</f>
        <v>0</v>
      </c>
      <c r="N133" s="58">
        <f t="shared" si="16"/>
        <v>0</v>
      </c>
      <c r="O133" s="42">
        <f t="shared" si="17"/>
        <v>0</v>
      </c>
      <c r="P133" s="95">
        <f>VLOOKUP(A133,'Mandato Ibov'!$B$2:$D$215,3,0)</f>
        <v>5.7681320678263804E-3</v>
      </c>
      <c r="Q133" s="42">
        <f t="shared" si="18"/>
        <v>-5.7681320678263804E-3</v>
      </c>
      <c r="R133" s="15">
        <v>-0.69599999999999995</v>
      </c>
      <c r="S133" s="15">
        <v>-0.72499999999999998</v>
      </c>
      <c r="T133" s="15">
        <v>-0.92600000000000005</v>
      </c>
      <c r="U133" s="15">
        <v>-0.754</v>
      </c>
      <c r="V133" s="15">
        <v>-0.88400000000000001</v>
      </c>
      <c r="W133" s="15">
        <v>-0.42699999999999999</v>
      </c>
      <c r="X133" s="15">
        <v>-0.20499999999999999</v>
      </c>
      <c r="Y133" s="15">
        <v>-0.73599999999999999</v>
      </c>
      <c r="Z133" s="15">
        <v>9.4E-2</v>
      </c>
      <c r="AA133" s="15">
        <v>9.9000000000000005E-2</v>
      </c>
      <c r="AB133" s="15">
        <v>0.77900000000000003</v>
      </c>
      <c r="AC133" s="15">
        <v>0.81399999999999995</v>
      </c>
      <c r="AD133" s="15">
        <v>0.56499999999999995</v>
      </c>
      <c r="AE133" s="14">
        <v>-1</v>
      </c>
      <c r="AF133" s="15">
        <v>-0.48799999999999999</v>
      </c>
      <c r="AG133" s="15">
        <v>-0.42599999999999999</v>
      </c>
      <c r="AH133" s="15">
        <v>-1</v>
      </c>
      <c r="AI133" s="15">
        <v>-0.89400000000000002</v>
      </c>
      <c r="AJ133" s="16">
        <v>-0.89600000000000002</v>
      </c>
      <c r="AK133" s="4">
        <v>-0.378</v>
      </c>
      <c r="AL133" s="4">
        <v>-0.746</v>
      </c>
      <c r="AM133" s="4">
        <v>-0.55300000000000005</v>
      </c>
      <c r="AN133" s="4">
        <v>-0.34100000000000003</v>
      </c>
      <c r="AO133" s="4">
        <v>0.161</v>
      </c>
      <c r="AP133" s="4">
        <v>0.39800000000000002</v>
      </c>
      <c r="AQ133" s="4">
        <v>0.24</v>
      </c>
      <c r="AR133" s="4">
        <v>0.82699999999999996</v>
      </c>
      <c r="AS133" s="4">
        <v>0.40500000000000003</v>
      </c>
      <c r="AT133" s="4">
        <v>-0.214</v>
      </c>
      <c r="AU133" s="4">
        <v>2E-3</v>
      </c>
      <c r="AV133" s="4">
        <v>-0.59099999999999997</v>
      </c>
      <c r="AW133" s="4">
        <v>0.52</v>
      </c>
      <c r="AX133" s="4">
        <v>-0.58199999999999996</v>
      </c>
      <c r="AY133" s="4">
        <v>0.77900000000000003</v>
      </c>
      <c r="AZ133" s="4">
        <v>0.502</v>
      </c>
      <c r="BA133" s="4">
        <v>0.79100000000000004</v>
      </c>
      <c r="BB133" s="4">
        <v>1.4999999999999999E-2</v>
      </c>
      <c r="BC133" s="4">
        <v>3.9E-2</v>
      </c>
      <c r="BD133" s="4">
        <v>0.49299999999999999</v>
      </c>
      <c r="BE133" s="4">
        <v>0.27300000000000002</v>
      </c>
      <c r="BF133" s="4">
        <v>0.14199999999999999</v>
      </c>
      <c r="BG133" s="4">
        <v>0.68300000000000005</v>
      </c>
      <c r="BH133" s="4">
        <v>-0.625</v>
      </c>
      <c r="BI133" s="4">
        <v>0.154</v>
      </c>
      <c r="BJ133" s="4">
        <v>0.17</v>
      </c>
      <c r="BK133" s="4">
        <v>-1</v>
      </c>
      <c r="BL133" s="4"/>
      <c r="BM133" s="4">
        <f t="shared" si="19"/>
        <v>5.460000000000001E-2</v>
      </c>
    </row>
    <row r="134" spans="1:65" x14ac:dyDescent="0.3">
      <c r="A134" t="s">
        <v>190</v>
      </c>
      <c r="B134" s="53">
        <f t="shared" si="22"/>
        <v>0</v>
      </c>
      <c r="C134" s="53">
        <f t="shared" si="13"/>
        <v>0</v>
      </c>
      <c r="D134" s="53">
        <f t="shared" si="14"/>
        <v>0</v>
      </c>
      <c r="E134" s="53">
        <f t="shared" si="15"/>
        <v>0</v>
      </c>
      <c r="F134" s="15">
        <v>0.61899999999999999</v>
      </c>
      <c r="G134" s="4">
        <v>0.443</v>
      </c>
      <c r="H134" t="s">
        <v>68</v>
      </c>
      <c r="I134" t="str">
        <f>VLOOKUP(A134,Setores!$A$2:$C$215,2,0)</f>
        <v>capital_goods</v>
      </c>
      <c r="J134" t="str">
        <f>VLOOKUP(A134,Setores!$A$2:$C$215,3,0)</f>
        <v>very_high_beta</v>
      </c>
      <c r="K134" s="92">
        <v>0</v>
      </c>
      <c r="L134" s="42">
        <v>0</v>
      </c>
      <c r="M134" s="92">
        <f>VLOOKUP(A134,'Mandato Ibov'!$B$1:$C$215,2,0)</f>
        <v>0</v>
      </c>
      <c r="N134" s="58">
        <f t="shared" si="16"/>
        <v>0</v>
      </c>
      <c r="O134" s="42">
        <f t="shared" si="17"/>
        <v>0</v>
      </c>
      <c r="P134" s="95">
        <f>VLOOKUP(A134,'Mandato Ibov'!$B$2:$D$215,3,0)</f>
        <v>0</v>
      </c>
      <c r="Q134" s="42">
        <f t="shared" si="18"/>
        <v>0</v>
      </c>
      <c r="R134" s="15">
        <v>-0.55100000000000005</v>
      </c>
      <c r="S134" s="15">
        <v>-0.372</v>
      </c>
      <c r="T134" s="15">
        <v>-0.21099999999999999</v>
      </c>
      <c r="U134" s="15">
        <v>-0.77200000000000002</v>
      </c>
      <c r="V134" s="15">
        <v>-0.50900000000000001</v>
      </c>
      <c r="W134" s="15">
        <v>-0.67200000000000004</v>
      </c>
      <c r="X134" s="15">
        <v>-0.61599999999999999</v>
      </c>
      <c r="Y134" s="15">
        <v>-0.53</v>
      </c>
      <c r="Z134" s="15">
        <v>-9.4E-2</v>
      </c>
      <c r="AA134" s="15">
        <v>-0.1</v>
      </c>
      <c r="AB134" s="15">
        <v>0.35</v>
      </c>
      <c r="AC134" s="15">
        <v>-7.2999999999999995E-2</v>
      </c>
      <c r="AD134" s="15">
        <v>0.499</v>
      </c>
      <c r="AE134" s="14">
        <v>-0.69499999999999995</v>
      </c>
      <c r="AF134" s="15">
        <v>-0.29299999999999998</v>
      </c>
      <c r="AG134" s="15">
        <v>-0.42699999999999999</v>
      </c>
      <c r="AH134" s="15">
        <v>0.19500000000000001</v>
      </c>
      <c r="AI134" s="15">
        <v>0.60599999999999998</v>
      </c>
      <c r="AJ134" s="16">
        <v>-0.69299999999999995</v>
      </c>
      <c r="AK134" s="4">
        <v>-0.44</v>
      </c>
      <c r="AL134" s="4">
        <v>0.252</v>
      </c>
      <c r="AM134" s="4">
        <v>-0.24199999999999999</v>
      </c>
      <c r="AN134" s="4">
        <v>0.58299999999999996</v>
      </c>
      <c r="AO134" s="4">
        <v>-0.107</v>
      </c>
      <c r="AP134" s="4">
        <v>-0.13</v>
      </c>
      <c r="AQ134" s="4">
        <v>-0.23200000000000001</v>
      </c>
      <c r="AR134" s="4">
        <v>0.21</v>
      </c>
      <c r="AS134" s="4">
        <v>-0.2</v>
      </c>
      <c r="AT134" s="4">
        <v>-0.23799999999999999</v>
      </c>
      <c r="AU134" s="4">
        <v>-0.215</v>
      </c>
      <c r="AV134" s="4">
        <v>-0.63100000000000001</v>
      </c>
      <c r="AW134" s="4">
        <v>-0.70699999999999996</v>
      </c>
      <c r="AX134" s="4">
        <v>-0.193</v>
      </c>
      <c r="AY134" s="4">
        <v>0.37</v>
      </c>
      <c r="AZ134" s="4">
        <v>-7.6999999999999999E-2</v>
      </c>
      <c r="BA134" s="4">
        <v>-0.2</v>
      </c>
      <c r="BB134" s="4">
        <v>-0.47399999999999998</v>
      </c>
      <c r="BC134" s="4">
        <v>-0.76800000000000002</v>
      </c>
      <c r="BD134" s="4">
        <v>0.104</v>
      </c>
      <c r="BE134" s="4">
        <v>1</v>
      </c>
      <c r="BF134" s="4">
        <v>0.53400000000000003</v>
      </c>
      <c r="BG134" s="4">
        <v>0.33600000000000002</v>
      </c>
      <c r="BH134" s="4">
        <v>0.501</v>
      </c>
      <c r="BI134" s="4">
        <v>1</v>
      </c>
      <c r="BJ134" s="4">
        <v>0.61799999999999999</v>
      </c>
      <c r="BK134" s="4">
        <v>0.51</v>
      </c>
      <c r="BL134" s="4"/>
      <c r="BM134" s="4">
        <f t="shared" si="19"/>
        <v>-0.21912500000000001</v>
      </c>
    </row>
    <row r="135" spans="1:65" x14ac:dyDescent="0.3">
      <c r="A135" t="s">
        <v>232</v>
      </c>
      <c r="B135" s="53">
        <f t="shared" si="22"/>
        <v>0</v>
      </c>
      <c r="C135" s="53">
        <f t="shared" si="13"/>
        <v>-1E-3</v>
      </c>
      <c r="D135" s="53">
        <f t="shared" si="14"/>
        <v>0</v>
      </c>
      <c r="E135" s="53">
        <f t="shared" si="15"/>
        <v>1E-3</v>
      </c>
      <c r="F135" s="15">
        <v>0.61799999999999999</v>
      </c>
      <c r="G135" s="4">
        <v>0.49299999999999999</v>
      </c>
      <c r="H135" t="s">
        <v>57</v>
      </c>
      <c r="I135" t="str">
        <f>VLOOKUP(A135,Setores!$A$2:$C$215,2,0)</f>
        <v>apparel</v>
      </c>
      <c r="J135" t="str">
        <f>VLOOKUP(A135,Setores!$A$2:$C$215,3,0)</f>
        <v>low_beta</v>
      </c>
      <c r="K135" s="92">
        <v>0</v>
      </c>
      <c r="L135" s="42">
        <v>-1E-3</v>
      </c>
      <c r="M135" s="92">
        <f>VLOOKUP(A135,'Mandato Ibov'!$B$1:$C$215,2,0)</f>
        <v>0</v>
      </c>
      <c r="N135" s="58">
        <f t="shared" si="16"/>
        <v>0</v>
      </c>
      <c r="O135" s="42">
        <f t="shared" si="17"/>
        <v>0</v>
      </c>
      <c r="P135" s="95">
        <f>VLOOKUP(A135,'Mandato Ibov'!$B$2:$D$215,3,0)</f>
        <v>0</v>
      </c>
      <c r="Q135" s="42">
        <f t="shared" si="18"/>
        <v>0</v>
      </c>
      <c r="R135" s="15">
        <v>-0.54</v>
      </c>
      <c r="S135" s="15">
        <v>-0.64500000000000002</v>
      </c>
      <c r="T135" s="15">
        <v>-0.313</v>
      </c>
      <c r="U135" s="15">
        <v>-0.37</v>
      </c>
      <c r="V135" s="15">
        <v>-0.34200000000000003</v>
      </c>
      <c r="W135" s="15">
        <v>-0.51200000000000001</v>
      </c>
      <c r="X135" s="15">
        <v>-0.503</v>
      </c>
      <c r="Y135" s="15">
        <v>-0.61899999999999999</v>
      </c>
      <c r="Z135" s="15">
        <v>-5.3999999999999999E-2</v>
      </c>
      <c r="AA135" s="15">
        <v>-5.5E-2</v>
      </c>
      <c r="AB135" s="15">
        <v>0.64200000000000002</v>
      </c>
      <c r="AC135" s="15">
        <v>0.55700000000000005</v>
      </c>
      <c r="AD135" s="15">
        <v>0.219</v>
      </c>
      <c r="AE135" s="14">
        <v>0.94599999999999995</v>
      </c>
      <c r="AF135" s="15">
        <v>0.30599999999999999</v>
      </c>
      <c r="AG135" s="15">
        <v>-0.68100000000000005</v>
      </c>
      <c r="AH135" s="15">
        <v>0.13200000000000001</v>
      </c>
      <c r="AI135" s="15">
        <v>-0.78400000000000003</v>
      </c>
      <c r="AJ135" s="16">
        <v>-0.191</v>
      </c>
      <c r="AK135" s="4">
        <v>0.34599999999999997</v>
      </c>
      <c r="AL135" s="4">
        <v>3.3000000000000002E-2</v>
      </c>
      <c r="AM135" s="4">
        <v>0.378</v>
      </c>
      <c r="AN135" s="4">
        <v>1</v>
      </c>
      <c r="AO135" s="4">
        <v>-0.88500000000000001</v>
      </c>
      <c r="AP135" s="4">
        <v>-0.41799999999999998</v>
      </c>
      <c r="AQ135" s="4">
        <v>1.7999999999999999E-2</v>
      </c>
      <c r="AR135" s="4">
        <v>-0.42599999999999999</v>
      </c>
      <c r="AS135" s="4">
        <v>-0.75900000000000001</v>
      </c>
      <c r="AT135" s="4">
        <v>5.7000000000000002E-2</v>
      </c>
      <c r="AU135" s="4">
        <v>-0.26100000000000001</v>
      </c>
      <c r="AV135" s="4">
        <v>0.29199999999999998</v>
      </c>
      <c r="AW135" s="4">
        <v>-0.20699999999999999</v>
      </c>
      <c r="AX135" s="4">
        <v>-0.2</v>
      </c>
      <c r="AY135" s="4">
        <v>0.79200000000000004</v>
      </c>
      <c r="AZ135" s="4">
        <v>0.499</v>
      </c>
      <c r="BA135" s="4">
        <v>-0.60099999999999998</v>
      </c>
      <c r="BB135" s="4">
        <v>-0.51700000000000002</v>
      </c>
      <c r="BC135" s="4">
        <v>-0.17699999999999999</v>
      </c>
      <c r="BD135" s="4">
        <v>-0.10299999999999999</v>
      </c>
      <c r="BE135" s="4">
        <v>-0.04</v>
      </c>
      <c r="BF135" s="4">
        <v>0.749</v>
      </c>
      <c r="BG135" s="4">
        <v>0.19800000000000001</v>
      </c>
      <c r="BH135" s="4">
        <v>0.57099999999999995</v>
      </c>
      <c r="BI135" s="4">
        <v>-0.32800000000000001</v>
      </c>
      <c r="BJ135" s="4">
        <v>-0.76800000000000002</v>
      </c>
      <c r="BK135" s="4">
        <v>0.27100000000000002</v>
      </c>
      <c r="BL135" s="4"/>
      <c r="BM135" s="4">
        <f t="shared" si="19"/>
        <v>-7.6300000000000007E-2</v>
      </c>
    </row>
    <row r="136" spans="1:65" x14ac:dyDescent="0.3">
      <c r="A136" t="s">
        <v>158</v>
      </c>
      <c r="B136" s="53">
        <f t="shared" si="22"/>
        <v>0</v>
      </c>
      <c r="C136" s="53">
        <f t="shared" si="13"/>
        <v>-2E-3</v>
      </c>
      <c r="D136" s="53">
        <f t="shared" si="14"/>
        <v>0</v>
      </c>
      <c r="E136" s="53">
        <f t="shared" si="15"/>
        <v>2E-3</v>
      </c>
      <c r="F136" s="15">
        <v>0.61699999999999999</v>
      </c>
      <c r="G136" s="4">
        <v>0.78600000000000003</v>
      </c>
      <c r="H136" t="s">
        <v>71</v>
      </c>
      <c r="I136" t="str">
        <f>VLOOKUP(A136,Setores!$A$2:$C$215,2,0)</f>
        <v>food</v>
      </c>
      <c r="J136" t="str">
        <f>VLOOKUP(A136,Setores!$A$2:$C$215,3,0)</f>
        <v>very_low_beta</v>
      </c>
      <c r="K136" s="92">
        <v>0</v>
      </c>
      <c r="L136" s="42">
        <v>-2E-3</v>
      </c>
      <c r="M136" s="92">
        <f>VLOOKUP(A136,'Mandato Ibov'!$B$1:$C$215,2,0)</f>
        <v>0</v>
      </c>
      <c r="N136" s="58">
        <f t="shared" si="16"/>
        <v>0</v>
      </c>
      <c r="O136" s="42">
        <f t="shared" si="17"/>
        <v>0</v>
      </c>
      <c r="P136" s="95">
        <f>VLOOKUP(A136,'Mandato Ibov'!$B$2:$D$215,3,0)</f>
        <v>0</v>
      </c>
      <c r="Q136" s="42">
        <f t="shared" si="18"/>
        <v>0</v>
      </c>
      <c r="R136" s="15">
        <v>-0.89900000000000002</v>
      </c>
      <c r="S136" s="15">
        <v>-0.75800000000000001</v>
      </c>
      <c r="T136" s="15">
        <v>-0.96199999999999997</v>
      </c>
      <c r="U136" s="15">
        <v>-0.81299999999999994</v>
      </c>
      <c r="V136" s="15">
        <v>-0.85399999999999998</v>
      </c>
      <c r="W136" s="15">
        <v>-0.65400000000000003</v>
      </c>
      <c r="X136" s="15">
        <v>-0.52300000000000002</v>
      </c>
      <c r="Y136" s="15">
        <v>-0.54500000000000004</v>
      </c>
      <c r="Z136" s="15">
        <v>0.45200000000000001</v>
      </c>
      <c r="AA136" s="15">
        <v>0.44900000000000001</v>
      </c>
      <c r="AB136" s="15">
        <v>0.51700000000000002</v>
      </c>
      <c r="AC136" s="15">
        <v>0.61099999999999999</v>
      </c>
      <c r="AD136" s="15">
        <v>0.63</v>
      </c>
      <c r="AE136" s="14">
        <v>-0.90300000000000002</v>
      </c>
      <c r="AF136" s="15">
        <v>-1</v>
      </c>
      <c r="AG136" s="15">
        <v>2.4E-2</v>
      </c>
      <c r="AH136" s="15">
        <v>-0.80100000000000005</v>
      </c>
      <c r="AI136" s="15">
        <v>9.5000000000000001E-2</v>
      </c>
      <c r="AJ136" s="16">
        <v>-0.88700000000000001</v>
      </c>
      <c r="AK136" s="4">
        <v>-0.3</v>
      </c>
      <c r="AL136" s="4">
        <v>-0.30299999999999999</v>
      </c>
      <c r="AM136" s="4">
        <v>-0.57099999999999995</v>
      </c>
      <c r="AN136" s="4">
        <v>-0.38500000000000001</v>
      </c>
      <c r="AO136" s="4">
        <v>0.41</v>
      </c>
      <c r="AP136" s="4">
        <v>0.872</v>
      </c>
      <c r="AQ136" s="4">
        <v>-0.39600000000000002</v>
      </c>
      <c r="AR136" s="4">
        <v>-0.30299999999999999</v>
      </c>
      <c r="AS136" s="4">
        <v>-0.42899999999999999</v>
      </c>
      <c r="AT136" s="4">
        <v>-5.8000000000000003E-2</v>
      </c>
      <c r="AU136" s="4">
        <v>-0.50800000000000001</v>
      </c>
      <c r="AV136" s="4">
        <v>-0.47199999999999998</v>
      </c>
      <c r="AW136" s="4">
        <v>1</v>
      </c>
      <c r="AX136" s="4">
        <v>-0.36</v>
      </c>
      <c r="AY136" s="4">
        <v>0.36</v>
      </c>
      <c r="AZ136" s="4">
        <v>-0.92</v>
      </c>
      <c r="BA136" s="4">
        <v>-0.38400000000000001</v>
      </c>
      <c r="BB136" s="4">
        <v>-0.32400000000000001</v>
      </c>
      <c r="BC136" s="4">
        <v>-0.70299999999999996</v>
      </c>
      <c r="BD136" s="4">
        <v>0.222</v>
      </c>
      <c r="BE136" s="4">
        <v>-0.23</v>
      </c>
      <c r="BF136" s="4">
        <v>0.96699999999999997</v>
      </c>
      <c r="BG136" s="4">
        <v>0.81699999999999995</v>
      </c>
      <c r="BH136" s="4">
        <v>-0.19600000000000001</v>
      </c>
      <c r="BI136" s="4">
        <v>-0.57299999999999995</v>
      </c>
      <c r="BJ136" s="4">
        <v>4.5999999999999999E-2</v>
      </c>
      <c r="BK136" s="4">
        <v>-8.7999999999999995E-2</v>
      </c>
      <c r="BL136" s="4"/>
      <c r="BM136" s="4">
        <f t="shared" si="19"/>
        <v>2.2550000000000001E-2</v>
      </c>
    </row>
    <row r="137" spans="1:65" x14ac:dyDescent="0.3">
      <c r="A137" t="s">
        <v>159</v>
      </c>
      <c r="B137" s="53">
        <f t="shared" si="22"/>
        <v>0</v>
      </c>
      <c r="C137" s="53">
        <f t="shared" ref="C137:C200" si="23">B137-E137</f>
        <v>0</v>
      </c>
      <c r="D137" s="53">
        <f t="shared" ref="D137:D200" si="24">B137-K137</f>
        <v>0</v>
      </c>
      <c r="E137" s="53">
        <f t="shared" ref="E137:E200" si="25">K137-L137</f>
        <v>0</v>
      </c>
      <c r="F137" s="15">
        <v>0.61699999999999999</v>
      </c>
      <c r="G137" s="4">
        <v>0.77800000000000002</v>
      </c>
      <c r="H137" t="s">
        <v>71</v>
      </c>
      <c r="I137" t="str">
        <f>VLOOKUP(A137,Setores!$A$2:$C$215,2,0)</f>
        <v>basic_materials</v>
      </c>
      <c r="J137" t="str">
        <f>VLOOKUP(A137,Setores!$A$2:$C$215,3,0)</f>
        <v>low_beta</v>
      </c>
      <c r="K137" s="92">
        <v>0</v>
      </c>
      <c r="L137" s="42">
        <v>0</v>
      </c>
      <c r="M137" s="92">
        <f>VLOOKUP(A137,'Mandato Ibov'!$B$1:$C$215,2,0)</f>
        <v>0</v>
      </c>
      <c r="N137" s="58">
        <f t="shared" ref="N137:N200" si="26">K137-M137</f>
        <v>0</v>
      </c>
      <c r="O137" s="42">
        <f t="shared" ref="O137:O200" si="27">B137-M137</f>
        <v>0</v>
      </c>
      <c r="P137" s="95">
        <f>VLOOKUP(A137,'Mandato Ibov'!$B$2:$D$215,3,0)</f>
        <v>0</v>
      </c>
      <c r="Q137" s="42">
        <f t="shared" ref="Q137:Q200" si="28">K137-P137</f>
        <v>0</v>
      </c>
      <c r="R137" s="15">
        <v>-0.88900000000000001</v>
      </c>
      <c r="S137" s="15">
        <v>-0.873</v>
      </c>
      <c r="T137" s="15">
        <v>-0.92200000000000004</v>
      </c>
      <c r="U137" s="15">
        <v>-0.85</v>
      </c>
      <c r="V137" s="15">
        <v>-0.89300000000000002</v>
      </c>
      <c r="W137" s="15">
        <v>-0.53400000000000003</v>
      </c>
      <c r="X137" s="15">
        <v>-0.21099999999999999</v>
      </c>
      <c r="Y137" s="15">
        <v>-0.63500000000000001</v>
      </c>
      <c r="Z137" s="15">
        <v>0.48499999999999999</v>
      </c>
      <c r="AA137" s="15">
        <v>0.48</v>
      </c>
      <c r="AB137" s="15">
        <v>0.56399999999999995</v>
      </c>
      <c r="AC137" s="15">
        <v>0.69499999999999995</v>
      </c>
      <c r="AD137" s="15">
        <v>0.55800000000000005</v>
      </c>
      <c r="AE137" s="14">
        <v>-0.78300000000000003</v>
      </c>
      <c r="AF137" s="15">
        <v>-0.97599999999999998</v>
      </c>
      <c r="AG137" s="15">
        <v>-0.64200000000000002</v>
      </c>
      <c r="AH137" s="15">
        <v>-0.80400000000000005</v>
      </c>
      <c r="AI137" s="15">
        <v>-0.80800000000000005</v>
      </c>
      <c r="AJ137" s="16">
        <v>-0.98599999999999999</v>
      </c>
      <c r="AK137" s="4">
        <v>5.8999999999999997E-2</v>
      </c>
      <c r="AL137" s="4">
        <v>3.0000000000000001E-3</v>
      </c>
      <c r="AM137" s="4">
        <v>-0.41799999999999998</v>
      </c>
      <c r="AN137" s="4">
        <v>-0.187</v>
      </c>
      <c r="AO137" s="4">
        <v>5.7000000000000002E-2</v>
      </c>
      <c r="AP137" s="4">
        <v>-0.59299999999999997</v>
      </c>
      <c r="AQ137" s="4">
        <v>-0.82299999999999995</v>
      </c>
      <c r="AR137" s="4">
        <v>-0.45500000000000002</v>
      </c>
      <c r="AS137" s="4">
        <v>-0.40300000000000002</v>
      </c>
      <c r="AT137" s="4">
        <v>-0.108</v>
      </c>
      <c r="AU137" s="4">
        <v>-0.187</v>
      </c>
      <c r="AV137" s="4">
        <v>-0.56799999999999995</v>
      </c>
      <c r="AW137" s="4">
        <v>0.97199999999999998</v>
      </c>
      <c r="AX137" s="4">
        <v>-0.373</v>
      </c>
      <c r="AY137" s="4">
        <v>0.627</v>
      </c>
      <c r="AZ137" s="4">
        <v>-0.437</v>
      </c>
      <c r="BA137" s="4">
        <v>0.65200000000000002</v>
      </c>
      <c r="BB137" s="4">
        <v>6.0999999999999999E-2</v>
      </c>
      <c r="BC137" s="4">
        <v>6.9000000000000006E-2</v>
      </c>
      <c r="BD137" s="4">
        <v>0.33</v>
      </c>
      <c r="BE137" s="4">
        <v>0.04</v>
      </c>
      <c r="BF137" s="4">
        <v>0.47199999999999998</v>
      </c>
      <c r="BG137" s="4">
        <v>0.93100000000000005</v>
      </c>
      <c r="BH137" s="4">
        <v>-0.19600000000000001</v>
      </c>
      <c r="BI137" s="4">
        <v>-0.57599999999999996</v>
      </c>
      <c r="BJ137" s="4">
        <v>0.56499999999999995</v>
      </c>
      <c r="BK137" s="4">
        <v>-0.26700000000000002</v>
      </c>
      <c r="BL137" s="4"/>
      <c r="BM137" s="4">
        <f t="shared" si="19"/>
        <v>-0.13627499999999995</v>
      </c>
    </row>
    <row r="138" spans="1:65" x14ac:dyDescent="0.3">
      <c r="A138" t="s">
        <v>177</v>
      </c>
      <c r="B138" s="53">
        <f t="shared" si="22"/>
        <v>0</v>
      </c>
      <c r="C138" s="53">
        <f t="shared" si="23"/>
        <v>0</v>
      </c>
      <c r="D138" s="53">
        <f t="shared" si="24"/>
        <v>0</v>
      </c>
      <c r="E138" s="53">
        <f t="shared" si="25"/>
        <v>0</v>
      </c>
      <c r="F138" s="15">
        <v>0.61699999999999999</v>
      </c>
      <c r="G138" s="4">
        <v>0.76800000000000002</v>
      </c>
      <c r="H138" t="s">
        <v>71</v>
      </c>
      <c r="I138" t="str">
        <f>VLOOKUP(A138,Setores!$A$2:$C$215,2,0)</f>
        <v>basic_materials</v>
      </c>
      <c r="J138" t="str">
        <f>VLOOKUP(A138,Setores!$A$2:$C$215,3,0)</f>
        <v>low_beta</v>
      </c>
      <c r="K138" s="92">
        <v>0</v>
      </c>
      <c r="L138" s="42">
        <v>0</v>
      </c>
      <c r="M138" s="92">
        <f>VLOOKUP(A138,'Mandato Ibov'!$B$1:$C$215,2,0)</f>
        <v>0</v>
      </c>
      <c r="N138" s="58">
        <f t="shared" si="26"/>
        <v>0</v>
      </c>
      <c r="O138" s="42">
        <f t="shared" si="27"/>
        <v>0</v>
      </c>
      <c r="P138" s="95">
        <f>VLOOKUP(A138,'Mandato Ibov'!$B$2:$D$215,3,0)</f>
        <v>0</v>
      </c>
      <c r="Q138" s="42">
        <f t="shared" si="28"/>
        <v>0</v>
      </c>
      <c r="R138" s="15">
        <v>-0.90200000000000002</v>
      </c>
      <c r="S138" s="15">
        <v>-0.88700000000000001</v>
      </c>
      <c r="T138" s="15">
        <v>-0.91</v>
      </c>
      <c r="U138" s="15">
        <v>-0.85799999999999998</v>
      </c>
      <c r="V138" s="15">
        <v>-0.89400000000000002</v>
      </c>
      <c r="W138" s="15">
        <v>-0.56299999999999994</v>
      </c>
      <c r="X138" s="15">
        <v>-0.223</v>
      </c>
      <c r="Y138" s="15">
        <v>-0.66300000000000003</v>
      </c>
      <c r="Z138" s="15">
        <v>0.58599999999999997</v>
      </c>
      <c r="AA138" s="15">
        <v>0.58099999999999996</v>
      </c>
      <c r="AB138" s="15">
        <v>0.58199999999999996</v>
      </c>
      <c r="AC138" s="15">
        <v>0.69799999999999995</v>
      </c>
      <c r="AD138" s="15">
        <v>0.56000000000000005</v>
      </c>
      <c r="AE138" s="14">
        <v>-0.78400000000000003</v>
      </c>
      <c r="AF138" s="15">
        <v>-0.97599999999999998</v>
      </c>
      <c r="AG138" s="15">
        <v>-0.68899999999999995</v>
      </c>
      <c r="AH138" s="15">
        <v>-0.80400000000000005</v>
      </c>
      <c r="AI138" s="15">
        <v>-0.84099999999999997</v>
      </c>
      <c r="AJ138" s="16">
        <v>-0.98599999999999999</v>
      </c>
      <c r="AK138" s="4">
        <v>5.8999999999999997E-2</v>
      </c>
      <c r="AL138" s="4">
        <v>-1.6E-2</v>
      </c>
      <c r="AM138" s="4">
        <v>-0.41799999999999998</v>
      </c>
      <c r="AN138" s="4">
        <v>-0.185</v>
      </c>
      <c r="AO138" s="4">
        <v>2.9000000000000001E-2</v>
      </c>
      <c r="AP138" s="4">
        <v>-0.63400000000000001</v>
      </c>
      <c r="AQ138" s="4">
        <v>-0.82299999999999995</v>
      </c>
      <c r="AR138" s="4">
        <v>-0.45500000000000002</v>
      </c>
      <c r="AS138" s="4">
        <v>-0.40300000000000002</v>
      </c>
      <c r="AT138" s="4">
        <v>-0.108</v>
      </c>
      <c r="AU138" s="4">
        <v>-0.187</v>
      </c>
      <c r="AV138" s="4">
        <v>-0.56799999999999995</v>
      </c>
      <c r="AW138" s="4">
        <v>0.99199999999999999</v>
      </c>
      <c r="AX138" s="4">
        <v>-0.373</v>
      </c>
      <c r="AY138" s="4">
        <v>0.627</v>
      </c>
      <c r="AZ138" s="4">
        <v>-0.50900000000000001</v>
      </c>
      <c r="BA138" s="4">
        <v>0.16200000000000001</v>
      </c>
      <c r="BB138" s="4">
        <v>6.0999999999999999E-2</v>
      </c>
      <c r="BC138" s="4">
        <v>6.9000000000000006E-2</v>
      </c>
      <c r="BD138" s="4">
        <v>0.31900000000000001</v>
      </c>
      <c r="BE138" s="4">
        <v>8.9999999999999993E-3</v>
      </c>
      <c r="BF138" s="4">
        <v>0.251</v>
      </c>
      <c r="BG138" s="4">
        <v>1</v>
      </c>
      <c r="BH138" s="4">
        <v>-0.161</v>
      </c>
      <c r="BI138" s="4">
        <v>-0.60299999999999998</v>
      </c>
      <c r="BJ138" s="4">
        <v>0.85899999999999999</v>
      </c>
      <c r="BK138" s="4">
        <v>-0.26700000000000002</v>
      </c>
      <c r="BL138" s="4"/>
      <c r="BM138" s="4">
        <f t="shared" ref="BM138:BM201" si="29">10%*AK138+5%*AL138+2.5%*AM138+2.5%*AN138+10%*AO138+10%*AP138+10%*AQ138+5%*AR138+5%*AS138+10%*AT138+5%*AU138+5%*AY138+10%*AV138+10%*AW138</f>
        <v>-0.14207499999999998</v>
      </c>
    </row>
    <row r="139" spans="1:65" x14ac:dyDescent="0.3">
      <c r="A139" t="s">
        <v>162</v>
      </c>
      <c r="B139" s="53">
        <f t="shared" si="22"/>
        <v>0</v>
      </c>
      <c r="C139" s="53">
        <f t="shared" si="23"/>
        <v>0</v>
      </c>
      <c r="D139" s="53">
        <f t="shared" si="24"/>
        <v>0</v>
      </c>
      <c r="E139" s="53">
        <f t="shared" si="25"/>
        <v>0</v>
      </c>
      <c r="F139" s="15">
        <v>0.61599999999999999</v>
      </c>
      <c r="G139" s="4">
        <v>0.75800000000000001</v>
      </c>
      <c r="H139" t="s">
        <v>57</v>
      </c>
      <c r="I139" t="str">
        <f>VLOOKUP(A139,Setores!$A$2:$C$215,2,0)</f>
        <v>banks</v>
      </c>
      <c r="J139" t="str">
        <f>VLOOKUP(A139,Setores!$A$2:$C$215,3,0)</f>
        <v>neutral_beta</v>
      </c>
      <c r="K139" s="92">
        <v>0</v>
      </c>
      <c r="L139" s="42">
        <v>0</v>
      </c>
      <c r="M139" s="92">
        <f>VLOOKUP(A139,'Mandato Ibov'!$B$1:$C$215,2,0)</f>
        <v>0</v>
      </c>
      <c r="N139" s="58">
        <f t="shared" si="26"/>
        <v>0</v>
      </c>
      <c r="O139" s="42">
        <f t="shared" si="27"/>
        <v>0</v>
      </c>
      <c r="P139" s="95">
        <f>VLOOKUP(A139,'Mandato Ibov'!$B$2:$D$215,3,0)</f>
        <v>0</v>
      </c>
      <c r="Q139" s="42">
        <f t="shared" si="28"/>
        <v>0</v>
      </c>
      <c r="R139" s="15">
        <v>-0.78</v>
      </c>
      <c r="S139" s="15">
        <v>-0.86799999999999999</v>
      </c>
      <c r="T139" s="15">
        <v>-0.77900000000000003</v>
      </c>
      <c r="U139" s="15">
        <v>-0.77100000000000002</v>
      </c>
      <c r="V139" s="15">
        <v>-0.83599999999999997</v>
      </c>
      <c r="W139" s="15">
        <v>-0.56799999999999995</v>
      </c>
      <c r="X139" s="15">
        <v>-0.23499999999999999</v>
      </c>
      <c r="Y139" s="15">
        <v>-0.77300000000000002</v>
      </c>
      <c r="Z139" s="15">
        <v>0.5</v>
      </c>
      <c r="AA139" s="15">
        <v>0.495</v>
      </c>
      <c r="AB139" s="15">
        <v>0.66200000000000003</v>
      </c>
      <c r="AC139" s="15">
        <v>0.60699999999999998</v>
      </c>
      <c r="AD139" s="15">
        <v>0.56699999999999995</v>
      </c>
      <c r="AE139" s="14">
        <v>-0.71599999999999997</v>
      </c>
      <c r="AF139" s="15">
        <v>0.186</v>
      </c>
      <c r="AG139" s="15">
        <v>-0.75700000000000001</v>
      </c>
      <c r="AH139" s="15">
        <v>-0.86799999999999999</v>
      </c>
      <c r="AI139" s="15">
        <v>-1</v>
      </c>
      <c r="AJ139" s="16">
        <v>-0.998</v>
      </c>
      <c r="AK139" s="4">
        <v>-0.247</v>
      </c>
      <c r="AL139" s="4">
        <v>-2E-3</v>
      </c>
      <c r="AM139" s="4">
        <v>8.1000000000000003E-2</v>
      </c>
      <c r="AN139" s="4">
        <v>0.22600000000000001</v>
      </c>
      <c r="AO139" s="4">
        <v>-0.53400000000000003</v>
      </c>
      <c r="AP139" s="4">
        <v>-0.46600000000000003</v>
      </c>
      <c r="AQ139" s="4">
        <v>9.6000000000000002E-2</v>
      </c>
      <c r="AR139" s="4">
        <v>0.255</v>
      </c>
      <c r="AS139" s="4">
        <v>0.245</v>
      </c>
      <c r="AT139" s="4">
        <v>-0.17899999999999999</v>
      </c>
      <c r="AU139" s="4">
        <v>-0.35499999999999998</v>
      </c>
      <c r="AV139" s="4">
        <v>-0.72399999999999998</v>
      </c>
      <c r="AW139" s="4">
        <v>0.434</v>
      </c>
      <c r="AX139" s="4">
        <v>-0.438</v>
      </c>
      <c r="AY139" s="4">
        <v>5.7000000000000002E-2</v>
      </c>
      <c r="AZ139" s="4">
        <v>-0.6</v>
      </c>
      <c r="BA139" s="4">
        <v>0.27600000000000002</v>
      </c>
      <c r="BB139" s="4">
        <v>-0.108</v>
      </c>
      <c r="BC139" s="4">
        <v>-0.26900000000000002</v>
      </c>
      <c r="BD139" s="4">
        <v>0.23699999999999999</v>
      </c>
      <c r="BE139" s="4">
        <v>-0.11</v>
      </c>
      <c r="BF139" s="4">
        <v>0.29699999999999999</v>
      </c>
      <c r="BG139" s="4">
        <v>0.97299999999999998</v>
      </c>
      <c r="BH139" s="4">
        <v>-0.16800000000000001</v>
      </c>
      <c r="BI139" s="4">
        <v>-0.14599999999999999</v>
      </c>
      <c r="BJ139" s="4">
        <v>1</v>
      </c>
      <c r="BK139" s="4">
        <v>-0.57699999999999996</v>
      </c>
      <c r="BL139" s="4"/>
      <c r="BM139" s="4">
        <f t="shared" si="29"/>
        <v>-0.14432500000000004</v>
      </c>
    </row>
    <row r="140" spans="1:65" x14ac:dyDescent="0.3">
      <c r="A140" t="s">
        <v>253</v>
      </c>
      <c r="B140" s="53">
        <f t="shared" si="22"/>
        <v>0</v>
      </c>
      <c r="C140" s="53">
        <f t="shared" si="23"/>
        <v>0</v>
      </c>
      <c r="D140" s="53">
        <f t="shared" si="24"/>
        <v>0</v>
      </c>
      <c r="E140" s="53">
        <f t="shared" si="25"/>
        <v>0</v>
      </c>
      <c r="F140" s="15">
        <v>0.61099999999999999</v>
      </c>
      <c r="G140" s="4">
        <v>0.501</v>
      </c>
      <c r="H140" t="s">
        <v>68</v>
      </c>
      <c r="I140" t="str">
        <f>VLOOKUP(A140,Setores!$A$2:$C$215,2,0)</f>
        <v>capital_goods</v>
      </c>
      <c r="J140" t="str">
        <f>VLOOKUP(A140,Setores!$A$2:$C$215,3,0)</f>
        <v>very_high_beta</v>
      </c>
      <c r="K140" s="92">
        <v>0</v>
      </c>
      <c r="L140" s="42">
        <v>0</v>
      </c>
      <c r="M140" s="92">
        <f>VLOOKUP(A140,'Mandato Ibov'!$B$1:$C$215,2,0)</f>
        <v>0</v>
      </c>
      <c r="N140" s="58">
        <f t="shared" si="26"/>
        <v>0</v>
      </c>
      <c r="O140" s="42">
        <f t="shared" si="27"/>
        <v>0</v>
      </c>
      <c r="P140" s="95">
        <f>VLOOKUP(A140,'Mandato Ibov'!$B$2:$D$215,3,0)</f>
        <v>0</v>
      </c>
      <c r="Q140" s="42">
        <f t="shared" si="28"/>
        <v>0</v>
      </c>
      <c r="R140" s="15">
        <v>-0.52400000000000002</v>
      </c>
      <c r="S140" s="15">
        <v>-0.433</v>
      </c>
      <c r="T140" s="15">
        <v>-8.6999999999999994E-2</v>
      </c>
      <c r="U140" s="15">
        <v>-0.72899999999999998</v>
      </c>
      <c r="V140" s="15">
        <v>-0.47599999999999998</v>
      </c>
      <c r="W140" s="15">
        <v>-0.69099999999999995</v>
      </c>
      <c r="X140" s="15">
        <v>-0.68400000000000005</v>
      </c>
      <c r="Y140" s="15">
        <v>-0.86899999999999999</v>
      </c>
      <c r="Z140" s="15">
        <v>0.26400000000000001</v>
      </c>
      <c r="AA140" s="15">
        <v>0.26300000000000001</v>
      </c>
      <c r="AB140" s="15">
        <v>0.53900000000000003</v>
      </c>
      <c r="AC140" s="15">
        <v>0.54</v>
      </c>
      <c r="AD140" s="15">
        <v>0.42099999999999999</v>
      </c>
      <c r="AE140" s="14">
        <v>-0.41599999999999998</v>
      </c>
      <c r="AF140" s="15">
        <v>-2.9000000000000001E-2</v>
      </c>
      <c r="AG140" s="15">
        <v>-0.34</v>
      </c>
      <c r="AH140" s="15">
        <v>1</v>
      </c>
      <c r="AI140" s="15">
        <v>-0.60099999999999998</v>
      </c>
      <c r="AJ140" s="16">
        <v>-0.66300000000000003</v>
      </c>
      <c r="AK140" s="4">
        <v>0.85099999999999998</v>
      </c>
      <c r="AL140" s="4">
        <v>-0.63500000000000001</v>
      </c>
      <c r="AM140" s="4">
        <v>0.63</v>
      </c>
      <c r="AN140" s="4">
        <v>-0.309</v>
      </c>
      <c r="AO140" s="4">
        <v>-0.71899999999999997</v>
      </c>
      <c r="AP140" s="4">
        <v>-0.53400000000000003</v>
      </c>
      <c r="AQ140" s="4">
        <v>-0.187</v>
      </c>
      <c r="AR140" s="4">
        <v>-0.23499999999999999</v>
      </c>
      <c r="AS140" s="4">
        <v>-0.436</v>
      </c>
      <c r="AT140" s="4">
        <v>3.2000000000000001E-2</v>
      </c>
      <c r="AU140" s="4">
        <v>-0.47099999999999997</v>
      </c>
      <c r="AV140" s="4">
        <v>-0.51100000000000001</v>
      </c>
      <c r="AW140" s="4">
        <v>-1.9E-2</v>
      </c>
      <c r="AX140" s="4">
        <v>-0.20100000000000001</v>
      </c>
      <c r="AY140" s="4">
        <v>0.56899999999999995</v>
      </c>
      <c r="AZ140" s="4">
        <v>6.5000000000000002E-2</v>
      </c>
      <c r="BA140" s="4">
        <v>-0.52600000000000002</v>
      </c>
      <c r="BB140" s="4">
        <v>8.1000000000000003E-2</v>
      </c>
      <c r="BC140" s="4">
        <v>0.27800000000000002</v>
      </c>
      <c r="BD140" s="4">
        <v>0.01</v>
      </c>
      <c r="BE140" s="4">
        <v>-0.13100000000000001</v>
      </c>
      <c r="BF140" s="4">
        <v>-7.0000000000000001E-3</v>
      </c>
      <c r="BG140" s="4">
        <v>0.57699999999999996</v>
      </c>
      <c r="BH140" s="4">
        <v>0.31</v>
      </c>
      <c r="BI140" s="4">
        <v>0.67600000000000005</v>
      </c>
      <c r="BJ140" s="4">
        <v>0.496</v>
      </c>
      <c r="BK140" s="4">
        <v>0.38400000000000001</v>
      </c>
      <c r="BL140" s="4"/>
      <c r="BM140" s="4">
        <f t="shared" si="29"/>
        <v>-0.16107500000000002</v>
      </c>
    </row>
    <row r="141" spans="1:65" x14ac:dyDescent="0.3">
      <c r="A141" t="s">
        <v>161</v>
      </c>
      <c r="B141" s="53">
        <f t="shared" si="22"/>
        <v>0</v>
      </c>
      <c r="C141" s="53">
        <f t="shared" si="23"/>
        <v>0</v>
      </c>
      <c r="D141" s="53">
        <f t="shared" si="24"/>
        <v>0</v>
      </c>
      <c r="E141" s="53">
        <f t="shared" si="25"/>
        <v>0</v>
      </c>
      <c r="F141" s="15">
        <v>0.60799999999999998</v>
      </c>
      <c r="G141" s="4">
        <v>0.72099999999999997</v>
      </c>
      <c r="H141" t="s">
        <v>57</v>
      </c>
      <c r="I141" t="str">
        <f>VLOOKUP(A141,Setores!$A$2:$C$215,2,0)</f>
        <v>banks</v>
      </c>
      <c r="J141" t="str">
        <f>VLOOKUP(A141,Setores!$A$2:$C$215,3,0)</f>
        <v>neutral_beta</v>
      </c>
      <c r="K141" s="92">
        <v>0</v>
      </c>
      <c r="L141" s="42">
        <v>0</v>
      </c>
      <c r="M141" s="92">
        <f>VLOOKUP(A141,'Mandato Ibov'!$B$1:$C$215,2,0)</f>
        <v>0</v>
      </c>
      <c r="N141" s="58">
        <f t="shared" si="26"/>
        <v>0</v>
      </c>
      <c r="O141" s="42">
        <f t="shared" si="27"/>
        <v>0</v>
      </c>
      <c r="P141" s="95">
        <f>VLOOKUP(A141,'Mandato Ibov'!$B$2:$D$215,3,0)</f>
        <v>0</v>
      </c>
      <c r="Q141" s="42">
        <f t="shared" si="28"/>
        <v>0</v>
      </c>
      <c r="R141" s="15">
        <v>-0.78700000000000003</v>
      </c>
      <c r="S141" s="15">
        <v>-0.87</v>
      </c>
      <c r="T141" s="15">
        <v>-0.78</v>
      </c>
      <c r="U141" s="15">
        <v>-0.78</v>
      </c>
      <c r="V141" s="15">
        <v>-0.84</v>
      </c>
      <c r="W141" s="15">
        <v>-0.61</v>
      </c>
      <c r="X141" s="15">
        <v>-0.38100000000000001</v>
      </c>
      <c r="Y141" s="15">
        <v>-0.76800000000000002</v>
      </c>
      <c r="Z141" s="15">
        <v>0.46800000000000003</v>
      </c>
      <c r="AA141" s="15">
        <v>0.46400000000000002</v>
      </c>
      <c r="AB141" s="15">
        <v>0.63400000000000001</v>
      </c>
      <c r="AC141" s="15">
        <v>0.67100000000000004</v>
      </c>
      <c r="AD141" s="15">
        <v>0.56699999999999995</v>
      </c>
      <c r="AE141" s="14">
        <v>-0.73399999999999999</v>
      </c>
      <c r="AF141" s="15">
        <v>0.16800000000000001</v>
      </c>
      <c r="AG141" s="15">
        <v>-0.7</v>
      </c>
      <c r="AH141" s="15">
        <v>-0.871</v>
      </c>
      <c r="AI141" s="15">
        <v>-1</v>
      </c>
      <c r="AJ141" s="16">
        <v>-1</v>
      </c>
      <c r="AK141" s="4">
        <v>-0.22600000000000001</v>
      </c>
      <c r="AL141" s="4">
        <v>-1.4999999999999999E-2</v>
      </c>
      <c r="AM141" s="4">
        <v>7.9000000000000001E-2</v>
      </c>
      <c r="AN141" s="4">
        <v>0.20100000000000001</v>
      </c>
      <c r="AO141" s="4">
        <v>-0.47799999999999998</v>
      </c>
      <c r="AP141" s="4">
        <v>-0.499</v>
      </c>
      <c r="AQ141" s="4">
        <v>9.6000000000000002E-2</v>
      </c>
      <c r="AR141" s="4">
        <v>0.255</v>
      </c>
      <c r="AS141" s="4">
        <v>0.245</v>
      </c>
      <c r="AT141" s="4">
        <v>-0.19900000000000001</v>
      </c>
      <c r="AU141" s="4">
        <v>-0.52400000000000002</v>
      </c>
      <c r="AV141" s="4">
        <v>-0.74299999999999999</v>
      </c>
      <c r="AW141" s="4">
        <v>0.34100000000000003</v>
      </c>
      <c r="AX141" s="4">
        <v>-0.42099999999999999</v>
      </c>
      <c r="AY141" s="4">
        <v>5.7000000000000002E-2</v>
      </c>
      <c r="AZ141" s="4">
        <v>-0.437</v>
      </c>
      <c r="BA141" s="4">
        <v>0.19700000000000001</v>
      </c>
      <c r="BB141" s="4">
        <v>-0.158</v>
      </c>
      <c r="BC141" s="4">
        <v>-0.23</v>
      </c>
      <c r="BD141" s="4">
        <v>0.26</v>
      </c>
      <c r="BE141" s="4">
        <v>7.4999999999999997E-2</v>
      </c>
      <c r="BF141" s="4">
        <v>-0.124</v>
      </c>
      <c r="BG141" s="4">
        <v>0.92</v>
      </c>
      <c r="BH141" s="4">
        <v>-0.23</v>
      </c>
      <c r="BI141" s="4">
        <v>-1.7999999999999999E-2</v>
      </c>
      <c r="BJ141" s="4">
        <v>1</v>
      </c>
      <c r="BK141" s="4">
        <v>-0.57699999999999996</v>
      </c>
      <c r="BL141" s="4"/>
      <c r="BM141" s="4">
        <f t="shared" si="29"/>
        <v>-0.16289999999999999</v>
      </c>
    </row>
    <row r="142" spans="1:65" x14ac:dyDescent="0.3">
      <c r="A142" t="s">
        <v>236</v>
      </c>
      <c r="B142" s="53">
        <f t="shared" si="22"/>
        <v>0</v>
      </c>
      <c r="C142" s="53">
        <f t="shared" si="23"/>
        <v>0</v>
      </c>
      <c r="D142" s="53">
        <f t="shared" si="24"/>
        <v>0</v>
      </c>
      <c r="E142" s="53">
        <f t="shared" si="25"/>
        <v>0</v>
      </c>
      <c r="F142" s="15">
        <v>0.60699999999999998</v>
      </c>
      <c r="G142" s="4">
        <v>0.59799999999999998</v>
      </c>
      <c r="H142" t="s">
        <v>68</v>
      </c>
      <c r="I142" t="str">
        <f>VLOOKUP(A142,Setores!$A$2:$C$215,2,0)</f>
        <v>building_materials</v>
      </c>
      <c r="J142" t="str">
        <f>VLOOKUP(A142,Setores!$A$2:$C$215,3,0)</f>
        <v>very_high_beta</v>
      </c>
      <c r="K142" s="92">
        <v>0</v>
      </c>
      <c r="L142" s="42">
        <v>0</v>
      </c>
      <c r="M142" s="92">
        <f>VLOOKUP(A142,'Mandato Ibov'!$B$1:$C$215,2,0)</f>
        <v>0</v>
      </c>
      <c r="N142" s="58">
        <f t="shared" si="26"/>
        <v>0</v>
      </c>
      <c r="O142" s="42">
        <f t="shared" si="27"/>
        <v>0</v>
      </c>
      <c r="P142" s="95">
        <f>VLOOKUP(A142,'Mandato Ibov'!$B$2:$D$215,3,0)</f>
        <v>0</v>
      </c>
      <c r="Q142" s="42">
        <f t="shared" si="28"/>
        <v>0</v>
      </c>
      <c r="R142" s="15">
        <v>-0.63400000000000001</v>
      </c>
      <c r="S142" s="15">
        <v>-0.41499999999999998</v>
      </c>
      <c r="T142" s="15">
        <v>-0.66300000000000003</v>
      </c>
      <c r="U142" s="15">
        <v>-0.76200000000000001</v>
      </c>
      <c r="V142" s="15">
        <v>-0.71299999999999997</v>
      </c>
      <c r="W142" s="15">
        <v>-0.77300000000000002</v>
      </c>
      <c r="X142" s="15">
        <v>-0.77300000000000002</v>
      </c>
      <c r="Y142" s="15">
        <v>-0.77</v>
      </c>
      <c r="Z142" s="15">
        <v>0.107</v>
      </c>
      <c r="AA142" s="15">
        <v>0.104</v>
      </c>
      <c r="AB142" s="15">
        <v>0.64500000000000002</v>
      </c>
      <c r="AC142" s="15">
        <v>0.69799999999999995</v>
      </c>
      <c r="AD142" s="15">
        <v>0.63400000000000001</v>
      </c>
      <c r="AE142" s="14">
        <v>-0.46300000000000002</v>
      </c>
      <c r="AF142" s="15">
        <v>-0.74399999999999999</v>
      </c>
      <c r="AG142" s="15">
        <v>-0.248</v>
      </c>
      <c r="AH142" s="15">
        <v>-0.48499999999999999</v>
      </c>
      <c r="AI142" s="15">
        <v>-0.312</v>
      </c>
      <c r="AJ142" s="16">
        <v>-0.84199999999999997</v>
      </c>
      <c r="AK142" s="4">
        <v>6.8000000000000005E-2</v>
      </c>
      <c r="AL142" s="4">
        <v>-0.77900000000000003</v>
      </c>
      <c r="AM142" s="4">
        <v>6.9000000000000006E-2</v>
      </c>
      <c r="AN142" s="4">
        <v>-0.24</v>
      </c>
      <c r="AO142" s="4">
        <v>1.4999999999999999E-2</v>
      </c>
      <c r="AP142" s="4">
        <v>-0.02</v>
      </c>
      <c r="AQ142" s="4">
        <v>-0.71299999999999997</v>
      </c>
      <c r="AR142" s="4">
        <v>0.34599999999999997</v>
      </c>
      <c r="AS142" s="4">
        <v>0.30199999999999999</v>
      </c>
      <c r="AT142" s="4">
        <v>-0.129</v>
      </c>
      <c r="AU142" s="4">
        <v>-0.34399999999999997</v>
      </c>
      <c r="AV142" s="4">
        <v>-0.216</v>
      </c>
      <c r="AW142" s="4">
        <v>2.4E-2</v>
      </c>
      <c r="AX142" s="4">
        <v>-0.23899999999999999</v>
      </c>
      <c r="AY142" s="4">
        <v>0.85299999999999998</v>
      </c>
      <c r="AZ142" s="4">
        <v>0.14899999999999999</v>
      </c>
      <c r="BA142" s="4">
        <v>0.45100000000000001</v>
      </c>
      <c r="BB142" s="4">
        <v>-5.0000000000000001E-3</v>
      </c>
      <c r="BC142" s="4">
        <v>1.2999999999999999E-2</v>
      </c>
      <c r="BD142" s="4">
        <v>0.214</v>
      </c>
      <c r="BE142" s="4">
        <v>-0.11899999999999999</v>
      </c>
      <c r="BF142" s="4">
        <v>-0.155</v>
      </c>
      <c r="BG142" s="4">
        <v>1.4999999999999999E-2</v>
      </c>
      <c r="BH142" s="4">
        <v>0.17399999999999999</v>
      </c>
      <c r="BI142" s="4">
        <v>0.76900000000000002</v>
      </c>
      <c r="BJ142" s="4">
        <v>0.43</v>
      </c>
      <c r="BK142" s="4">
        <v>-0.14199999999999999</v>
      </c>
      <c r="BL142" s="4"/>
      <c r="BM142" s="4">
        <f t="shared" si="29"/>
        <v>-8.2475000000000034E-2</v>
      </c>
    </row>
    <row r="143" spans="1:65" x14ac:dyDescent="0.3">
      <c r="A143" t="s">
        <v>149</v>
      </c>
      <c r="B143" s="53">
        <f t="shared" si="22"/>
        <v>0</v>
      </c>
      <c r="C143" s="53">
        <f t="shared" si="23"/>
        <v>0</v>
      </c>
      <c r="D143" s="53">
        <f t="shared" si="24"/>
        <v>0</v>
      </c>
      <c r="E143" s="53">
        <f t="shared" si="25"/>
        <v>0</v>
      </c>
      <c r="F143" s="15">
        <v>0.60299999999999998</v>
      </c>
      <c r="G143" s="4">
        <v>0.44700000000000001</v>
      </c>
      <c r="H143" t="s">
        <v>53</v>
      </c>
      <c r="I143" t="str">
        <f>VLOOKUP(A143,Setores!$A$2:$C$215,2,0)</f>
        <v>healthcare</v>
      </c>
      <c r="J143" t="str">
        <f>VLOOKUP(A143,Setores!$A$2:$C$215,3,0)</f>
        <v>very_high_beta</v>
      </c>
      <c r="K143" s="92">
        <v>0</v>
      </c>
      <c r="L143" s="42">
        <v>0</v>
      </c>
      <c r="M143" s="92">
        <f>VLOOKUP(A143,'Mandato Ibov'!$B$1:$C$215,2,0)</f>
        <v>0</v>
      </c>
      <c r="N143" s="58">
        <f t="shared" si="26"/>
        <v>0</v>
      </c>
      <c r="O143" s="42">
        <f t="shared" si="27"/>
        <v>0</v>
      </c>
      <c r="P143" s="95">
        <f>VLOOKUP(A143,'Mandato Ibov'!$B$2:$D$215,3,0)</f>
        <v>0</v>
      </c>
      <c r="Q143" s="42">
        <f t="shared" si="28"/>
        <v>0</v>
      </c>
      <c r="R143" s="15">
        <v>-0.27500000000000002</v>
      </c>
      <c r="S143" s="15">
        <v>0.13600000000000001</v>
      </c>
      <c r="T143" s="15">
        <v>-0.14000000000000001</v>
      </c>
      <c r="U143" s="15">
        <v>-0.66300000000000003</v>
      </c>
      <c r="V143" s="15">
        <v>-0.3</v>
      </c>
      <c r="W143" s="15">
        <v>-0.72199999999999998</v>
      </c>
      <c r="X143" s="15">
        <v>-0.66700000000000004</v>
      </c>
      <c r="Y143" s="15">
        <v>-0.876</v>
      </c>
      <c r="Z143" s="15">
        <v>-0.26100000000000001</v>
      </c>
      <c r="AA143" s="15">
        <v>-0.25800000000000001</v>
      </c>
      <c r="AB143" s="15">
        <v>0.26700000000000002</v>
      </c>
      <c r="AC143" s="15">
        <v>0.129</v>
      </c>
      <c r="AD143" s="15">
        <v>0.38800000000000001</v>
      </c>
      <c r="AE143" s="14">
        <v>-0.39300000000000002</v>
      </c>
      <c r="AF143" s="15">
        <v>-0.28899999999999998</v>
      </c>
      <c r="AG143" s="15">
        <v>-0.154</v>
      </c>
      <c r="AH143" s="15">
        <v>0.70799999999999996</v>
      </c>
      <c r="AI143" s="15">
        <v>0.186</v>
      </c>
      <c r="AJ143" s="16">
        <v>-0.23899999999999999</v>
      </c>
      <c r="AK143" s="4">
        <v>0.11600000000000001</v>
      </c>
      <c r="AL143" s="4">
        <v>-0.96199999999999997</v>
      </c>
      <c r="AM143" s="4">
        <v>0.34899999999999998</v>
      </c>
      <c r="AN143" s="4">
        <v>-0.23100000000000001</v>
      </c>
      <c r="AO143" s="4">
        <v>-0.46400000000000002</v>
      </c>
      <c r="AP143" s="4">
        <v>-0.17799999999999999</v>
      </c>
      <c r="AQ143" s="4">
        <v>-0.15</v>
      </c>
      <c r="AR143" s="4">
        <v>0.47399999999999998</v>
      </c>
      <c r="AS143" s="4">
        <v>0.438</v>
      </c>
      <c r="AT143" s="4">
        <v>-1E-3</v>
      </c>
      <c r="AU143" s="4">
        <v>0.32700000000000001</v>
      </c>
      <c r="AV143" s="4">
        <v>-0.152</v>
      </c>
      <c r="AW143" s="4">
        <v>-0.70399999999999996</v>
      </c>
      <c r="AX143" s="4">
        <v>-0.128</v>
      </c>
      <c r="AY143" s="4">
        <v>0.49</v>
      </c>
      <c r="AZ143" s="4">
        <v>-1</v>
      </c>
      <c r="BA143" s="4">
        <v>0.20899999999999999</v>
      </c>
      <c r="BB143" s="4">
        <v>0.22</v>
      </c>
      <c r="BC143" s="4">
        <v>0.248</v>
      </c>
      <c r="BD143" s="4">
        <v>0.34799999999999998</v>
      </c>
      <c r="BE143" s="4">
        <v>0.16800000000000001</v>
      </c>
      <c r="BF143" s="4">
        <v>-4.2999999999999997E-2</v>
      </c>
      <c r="BG143" s="4">
        <v>9.6000000000000002E-2</v>
      </c>
      <c r="BH143" s="4">
        <v>0.91200000000000003</v>
      </c>
      <c r="BI143" s="4">
        <v>0.57899999999999996</v>
      </c>
      <c r="BJ143" s="4">
        <v>-0.192</v>
      </c>
      <c r="BK143" s="4">
        <v>0.93</v>
      </c>
      <c r="BL143" s="4"/>
      <c r="BM143" s="4">
        <f t="shared" si="29"/>
        <v>-0.112</v>
      </c>
    </row>
    <row r="144" spans="1:65" x14ac:dyDescent="0.3">
      <c r="A144" t="s">
        <v>172</v>
      </c>
      <c r="B144" s="53">
        <f t="shared" ref="B144:B175" si="30">K144</f>
        <v>0</v>
      </c>
      <c r="C144" s="53">
        <f t="shared" si="23"/>
        <v>-5.0000000000000001E-3</v>
      </c>
      <c r="D144" s="53">
        <f t="shared" si="24"/>
        <v>0</v>
      </c>
      <c r="E144" s="53">
        <f t="shared" si="25"/>
        <v>5.0000000000000001E-3</v>
      </c>
      <c r="F144" s="15">
        <v>0.59299999999999997</v>
      </c>
      <c r="G144" s="4">
        <v>0.90200000000000002</v>
      </c>
      <c r="H144" t="s">
        <v>71</v>
      </c>
      <c r="I144" t="str">
        <f>VLOOKUP(A144,Setores!$A$2:$C$215,2,0)</f>
        <v>basic_materials</v>
      </c>
      <c r="J144" t="str">
        <f>VLOOKUP(A144,Setores!$A$2:$C$215,3,0)</f>
        <v>low_beta</v>
      </c>
      <c r="K144" s="92">
        <v>0</v>
      </c>
      <c r="L144" s="42">
        <v>-5.0000000000000001E-3</v>
      </c>
      <c r="M144" s="92">
        <f>VLOOKUP(A144,'Mandato Ibov'!$B$1:$C$215,2,0)</f>
        <v>0</v>
      </c>
      <c r="N144" s="58">
        <f t="shared" si="26"/>
        <v>0</v>
      </c>
      <c r="O144" s="42">
        <f t="shared" si="27"/>
        <v>0</v>
      </c>
      <c r="P144" s="95">
        <f>VLOOKUP(A144,'Mandato Ibov'!$B$2:$D$215,3,0)</f>
        <v>0</v>
      </c>
      <c r="Q144" s="42">
        <f t="shared" si="28"/>
        <v>0</v>
      </c>
      <c r="R144" s="15">
        <v>-0.94799999999999995</v>
      </c>
      <c r="S144" s="15">
        <v>-0.90500000000000003</v>
      </c>
      <c r="T144" s="15">
        <v>-0.98199999999999998</v>
      </c>
      <c r="U144" s="15">
        <v>-0.874</v>
      </c>
      <c r="V144" s="15">
        <v>-0.92100000000000004</v>
      </c>
      <c r="W144" s="15">
        <v>-0.67100000000000004</v>
      </c>
      <c r="X144" s="15">
        <v>-0.36199999999999999</v>
      </c>
      <c r="Y144" s="15">
        <v>-0.67200000000000004</v>
      </c>
      <c r="Z144" s="15">
        <v>0.54400000000000004</v>
      </c>
      <c r="AA144" s="15">
        <v>0.53800000000000003</v>
      </c>
      <c r="AB144" s="15">
        <v>0.59299999999999997</v>
      </c>
      <c r="AC144" s="15">
        <v>0.65400000000000003</v>
      </c>
      <c r="AD144" s="15">
        <v>0.503</v>
      </c>
      <c r="AE144" s="14">
        <v>-0.78300000000000003</v>
      </c>
      <c r="AF144" s="15">
        <v>-0.97499999999999998</v>
      </c>
      <c r="AG144" s="15">
        <v>-0.56899999999999995</v>
      </c>
      <c r="AH144" s="15">
        <v>-0.80400000000000005</v>
      </c>
      <c r="AI144" s="15">
        <v>-0.75600000000000001</v>
      </c>
      <c r="AJ144" s="16">
        <v>-0.98599999999999999</v>
      </c>
      <c r="AK144" s="4">
        <v>5.8999999999999997E-2</v>
      </c>
      <c r="AL144" s="4">
        <v>0</v>
      </c>
      <c r="AM144" s="4">
        <v>-0.41799999999999998</v>
      </c>
      <c r="AN144" s="4">
        <v>-0.185</v>
      </c>
      <c r="AO144" s="4">
        <v>0.08</v>
      </c>
      <c r="AP144" s="4">
        <v>-0.623</v>
      </c>
      <c r="AQ144" s="4">
        <v>-0.82299999999999995</v>
      </c>
      <c r="AR144" s="4">
        <v>-0.45500000000000002</v>
      </c>
      <c r="AS144" s="4">
        <v>-0.40300000000000002</v>
      </c>
      <c r="AT144" s="4">
        <v>-0.108</v>
      </c>
      <c r="AU144" s="4">
        <v>-0.187</v>
      </c>
      <c r="AV144" s="4">
        <v>-0.56799999999999995</v>
      </c>
      <c r="AW144" s="4">
        <v>0.95699999999999996</v>
      </c>
      <c r="AX144" s="4">
        <v>-0.373</v>
      </c>
      <c r="AY144" s="4">
        <v>0.627</v>
      </c>
      <c r="AZ144" s="4">
        <v>-0.58399999999999996</v>
      </c>
      <c r="BA144" s="4">
        <v>-0.60799999999999998</v>
      </c>
      <c r="BB144" s="4">
        <v>6.0999999999999999E-2</v>
      </c>
      <c r="BC144" s="4">
        <v>6.9000000000000006E-2</v>
      </c>
      <c r="BD144" s="4">
        <v>0.32400000000000001</v>
      </c>
      <c r="BE144" s="4">
        <v>8.7999999999999995E-2</v>
      </c>
      <c r="BF144" s="4">
        <v>0.42899999999999999</v>
      </c>
      <c r="BG144" s="4">
        <v>0.98399999999999999</v>
      </c>
      <c r="BH144" s="4">
        <v>-0.219</v>
      </c>
      <c r="BI144" s="4">
        <v>-0.60099999999999998</v>
      </c>
      <c r="BJ144" s="4">
        <v>-4.2999999999999997E-2</v>
      </c>
      <c r="BK144" s="4">
        <v>-0.26700000000000002</v>
      </c>
      <c r="BL144" s="4"/>
      <c r="BM144" s="4">
        <f t="shared" si="29"/>
        <v>-0.13857499999999998</v>
      </c>
    </row>
    <row r="145" spans="1:65" x14ac:dyDescent="0.3">
      <c r="A145" t="s">
        <v>200</v>
      </c>
      <c r="B145" s="53">
        <f t="shared" si="30"/>
        <v>0</v>
      </c>
      <c r="C145" s="53">
        <f t="shared" si="23"/>
        <v>-6.0000000000000001E-3</v>
      </c>
      <c r="D145" s="53">
        <f t="shared" si="24"/>
        <v>0</v>
      </c>
      <c r="E145" s="53">
        <f t="shared" si="25"/>
        <v>6.0000000000000001E-3</v>
      </c>
      <c r="F145" s="15">
        <v>0.59099999999999997</v>
      </c>
      <c r="G145" s="4">
        <v>0.96</v>
      </c>
      <c r="H145" t="s">
        <v>55</v>
      </c>
      <c r="I145" t="str">
        <f>VLOOKUP(A145,Setores!$A$2:$C$215,2,0)</f>
        <v>transportation</v>
      </c>
      <c r="J145" t="str">
        <f>VLOOKUP(A145,Setores!$A$2:$C$215,3,0)</f>
        <v>high_beta</v>
      </c>
      <c r="K145" s="92">
        <v>0</v>
      </c>
      <c r="L145" s="42">
        <v>-6.0000000000000001E-3</v>
      </c>
      <c r="M145" s="92">
        <f>VLOOKUP(A145,'Mandato Ibov'!$B$1:$C$215,2,0)</f>
        <v>0</v>
      </c>
      <c r="N145" s="58">
        <f t="shared" si="26"/>
        <v>0</v>
      </c>
      <c r="O145" s="42">
        <f t="shared" si="27"/>
        <v>0</v>
      </c>
      <c r="P145" s="95">
        <f>VLOOKUP(A145,'Mandato Ibov'!$B$2:$D$215,3,0)</f>
        <v>0</v>
      </c>
      <c r="Q145" s="42">
        <f t="shared" si="28"/>
        <v>0</v>
      </c>
      <c r="R145" s="15">
        <v>-0.73099999999999998</v>
      </c>
      <c r="S145" s="15">
        <v>-0.82099999999999995</v>
      </c>
      <c r="T145" s="15">
        <v>-0.91400000000000003</v>
      </c>
      <c r="U145" s="15">
        <v>-0.70899999999999996</v>
      </c>
      <c r="V145" s="15">
        <v>-0.874</v>
      </c>
      <c r="W145" s="15">
        <v>-0.40799999999999997</v>
      </c>
      <c r="X145" s="15">
        <v>5.0000000000000001E-3</v>
      </c>
      <c r="Y145" s="15">
        <v>-0.78400000000000003</v>
      </c>
      <c r="Z145" s="15">
        <v>-2.1999999999999999E-2</v>
      </c>
      <c r="AA145" s="15">
        <v>-1.9E-2</v>
      </c>
      <c r="AB145" s="15">
        <v>0.59699999999999998</v>
      </c>
      <c r="AC145" s="15">
        <v>0.58099999999999996</v>
      </c>
      <c r="AD145" s="15">
        <v>0.432</v>
      </c>
      <c r="AE145" s="14">
        <v>-0.497</v>
      </c>
      <c r="AF145" s="15">
        <v>-0.59599999999999997</v>
      </c>
      <c r="AG145" s="15">
        <v>-0.57599999999999996</v>
      </c>
      <c r="AH145" s="15">
        <v>-0.91300000000000003</v>
      </c>
      <c r="AI145" s="15">
        <v>-0.81399999999999995</v>
      </c>
      <c r="AJ145" s="16">
        <v>-0.95</v>
      </c>
      <c r="AK145" s="4">
        <v>-0.223</v>
      </c>
      <c r="AL145" s="4">
        <v>-0.60199999999999998</v>
      </c>
      <c r="AM145" s="4">
        <v>-0.55500000000000005</v>
      </c>
      <c r="AN145" s="4">
        <v>-0.14699999999999999</v>
      </c>
      <c r="AO145" s="4">
        <v>-0.30599999999999999</v>
      </c>
      <c r="AP145" s="4">
        <v>0.12</v>
      </c>
      <c r="AQ145" s="4">
        <v>0.20799999999999999</v>
      </c>
      <c r="AR145" s="4">
        <v>0.26</v>
      </c>
      <c r="AS145" s="4">
        <v>0.1</v>
      </c>
      <c r="AT145" s="4">
        <v>0.122</v>
      </c>
      <c r="AU145" s="4">
        <v>0.251</v>
      </c>
      <c r="AV145" s="4">
        <v>7.0000000000000001E-3</v>
      </c>
      <c r="AW145" s="4">
        <v>0.33200000000000002</v>
      </c>
      <c r="AX145" s="4">
        <v>-0.69199999999999995</v>
      </c>
      <c r="AY145" s="4">
        <v>0.74399999999999999</v>
      </c>
      <c r="AZ145" s="4">
        <v>3.3000000000000002E-2</v>
      </c>
      <c r="BA145" s="4">
        <v>0.79300000000000004</v>
      </c>
      <c r="BB145" s="4">
        <v>-0.309</v>
      </c>
      <c r="BC145" s="4">
        <v>-0.255</v>
      </c>
      <c r="BD145" s="4">
        <v>0.33600000000000002</v>
      </c>
      <c r="BE145" s="4">
        <v>8.2000000000000003E-2</v>
      </c>
      <c r="BF145" s="4">
        <v>-0.28299999999999997</v>
      </c>
      <c r="BG145" s="4">
        <v>0.7</v>
      </c>
      <c r="BH145" s="4">
        <v>-0.28899999999999998</v>
      </c>
      <c r="BI145" s="4">
        <v>0.53500000000000003</v>
      </c>
      <c r="BJ145" s="4">
        <v>-0.14099999999999999</v>
      </c>
      <c r="BK145" s="4">
        <v>-0.68799999999999994</v>
      </c>
      <c r="BL145" s="4"/>
      <c r="BM145" s="4">
        <f t="shared" si="29"/>
        <v>4.6100000000000002E-2</v>
      </c>
    </row>
    <row r="146" spans="1:65" x14ac:dyDescent="0.3">
      <c r="A146" t="s">
        <v>148</v>
      </c>
      <c r="B146" s="53">
        <f t="shared" si="30"/>
        <v>0</v>
      </c>
      <c r="C146" s="53">
        <f t="shared" si="23"/>
        <v>0</v>
      </c>
      <c r="D146" s="53">
        <f t="shared" si="24"/>
        <v>0</v>
      </c>
      <c r="E146" s="53">
        <f t="shared" si="25"/>
        <v>0</v>
      </c>
      <c r="F146" s="15">
        <v>0.59099999999999997</v>
      </c>
      <c r="G146" s="4">
        <v>0.52800000000000002</v>
      </c>
      <c r="H146" t="s">
        <v>68</v>
      </c>
      <c r="I146" t="str">
        <f>VLOOKUP(A146,Setores!$A$2:$C$215,2,0)</f>
        <v>capital_goods</v>
      </c>
      <c r="J146" t="str">
        <f>VLOOKUP(A146,Setores!$A$2:$C$215,3,0)</f>
        <v>high_beta</v>
      </c>
      <c r="K146" s="92">
        <v>0</v>
      </c>
      <c r="L146" s="42">
        <v>0</v>
      </c>
      <c r="M146" s="92">
        <f>VLOOKUP(A146,'Mandato Ibov'!$B$1:$C$215,2,0)</f>
        <v>0</v>
      </c>
      <c r="N146" s="58">
        <f t="shared" si="26"/>
        <v>0</v>
      </c>
      <c r="O146" s="42">
        <f t="shared" si="27"/>
        <v>0</v>
      </c>
      <c r="P146" s="95">
        <f>VLOOKUP(A146,'Mandato Ibov'!$B$2:$D$215,3,0)</f>
        <v>0</v>
      </c>
      <c r="Q146" s="42">
        <f t="shared" si="28"/>
        <v>0</v>
      </c>
      <c r="R146" s="15">
        <v>-0.73499999999999999</v>
      </c>
      <c r="S146" s="15">
        <v>-0.85699999999999998</v>
      </c>
      <c r="T146" s="15">
        <v>-0.60599999999999998</v>
      </c>
      <c r="U146" s="15">
        <v>-0.78500000000000003</v>
      </c>
      <c r="V146" s="15">
        <v>-0.83199999999999996</v>
      </c>
      <c r="W146" s="15">
        <v>-0.50900000000000001</v>
      </c>
      <c r="X146" s="15">
        <v>-0.17699999999999999</v>
      </c>
      <c r="Y146" s="15">
        <v>-0.74399999999999999</v>
      </c>
      <c r="Z146" s="15">
        <v>8.6999999999999994E-2</v>
      </c>
      <c r="AA146" s="15">
        <v>8.6999999999999994E-2</v>
      </c>
      <c r="AB146" s="15">
        <v>0.41899999999999998</v>
      </c>
      <c r="AC146" s="15">
        <v>0.46700000000000003</v>
      </c>
      <c r="AD146" s="15">
        <v>0.441</v>
      </c>
      <c r="AE146" s="14">
        <v>-0.39300000000000002</v>
      </c>
      <c r="AF146" s="15">
        <v>-0.97499999999999998</v>
      </c>
      <c r="AG146" s="15">
        <v>-0.97199999999999998</v>
      </c>
      <c r="AH146" s="15">
        <v>-0.153</v>
      </c>
      <c r="AI146" s="15">
        <v>-0.35899999999999999</v>
      </c>
      <c r="AJ146" s="16">
        <v>0.129</v>
      </c>
      <c r="AK146" s="4">
        <v>-5.7000000000000002E-2</v>
      </c>
      <c r="AL146" s="4">
        <v>0.104</v>
      </c>
      <c r="AM146" s="4">
        <v>-0.67200000000000004</v>
      </c>
      <c r="AN146" s="4">
        <v>-0.16700000000000001</v>
      </c>
      <c r="AO146" s="4">
        <v>-0.68799999999999994</v>
      </c>
      <c r="AP146" s="4">
        <v>-0.4</v>
      </c>
      <c r="AQ146" s="4">
        <v>-0.69599999999999995</v>
      </c>
      <c r="AR146" s="4">
        <v>-2.5999999999999999E-2</v>
      </c>
      <c r="AS146" s="4">
        <v>-0.21</v>
      </c>
      <c r="AT146" s="4">
        <v>0.42299999999999999</v>
      </c>
      <c r="AU146" s="4">
        <v>-0.23300000000000001</v>
      </c>
      <c r="AV146" s="4">
        <v>6.5000000000000002E-2</v>
      </c>
      <c r="AW146" s="4">
        <v>0.35899999999999999</v>
      </c>
      <c r="AX146" s="4">
        <v>0.45600000000000002</v>
      </c>
      <c r="AY146" s="4">
        <v>0.65200000000000002</v>
      </c>
      <c r="AZ146" s="4">
        <v>0.4</v>
      </c>
      <c r="BA146" s="4">
        <v>-0.44900000000000001</v>
      </c>
      <c r="BB146" s="4">
        <v>-0.16600000000000001</v>
      </c>
      <c r="BC146" s="4">
        <v>-0.125</v>
      </c>
      <c r="BD146" s="4">
        <v>0.21099999999999999</v>
      </c>
      <c r="BE146" s="4">
        <v>-5.8000000000000003E-2</v>
      </c>
      <c r="BF146" s="4">
        <v>0.67500000000000004</v>
      </c>
      <c r="BG146" s="4">
        <v>0.90800000000000003</v>
      </c>
      <c r="BH146" s="4">
        <v>-0.33800000000000002</v>
      </c>
      <c r="BI146" s="4">
        <v>0.40200000000000002</v>
      </c>
      <c r="BJ146" s="4">
        <v>-0.36599999999999999</v>
      </c>
      <c r="BK146" s="4">
        <v>0.48499999999999999</v>
      </c>
      <c r="BL146" s="4"/>
      <c r="BM146" s="4">
        <f t="shared" si="29"/>
        <v>-0.10602500000000002</v>
      </c>
    </row>
    <row r="147" spans="1:65" x14ac:dyDescent="0.3">
      <c r="A147" t="s">
        <v>193</v>
      </c>
      <c r="B147" s="53">
        <f t="shared" si="30"/>
        <v>0</v>
      </c>
      <c r="C147" s="53">
        <f t="shared" si="23"/>
        <v>-6.0000000000000001E-3</v>
      </c>
      <c r="D147" s="53">
        <f t="shared" si="24"/>
        <v>0</v>
      </c>
      <c r="E147" s="53">
        <f t="shared" si="25"/>
        <v>6.0000000000000001E-3</v>
      </c>
      <c r="F147" s="15">
        <v>0.58599999999999997</v>
      </c>
      <c r="G147" s="4">
        <v>1.0029999999999999</v>
      </c>
      <c r="H147" t="s">
        <v>55</v>
      </c>
      <c r="I147" t="str">
        <f>VLOOKUP(A147,Setores!$A$2:$C$215,2,0)</f>
        <v>utilities</v>
      </c>
      <c r="J147" t="str">
        <f>VLOOKUP(A147,Setores!$A$2:$C$215,3,0)</f>
        <v>neutral_beta</v>
      </c>
      <c r="K147" s="92">
        <v>0</v>
      </c>
      <c r="L147" s="42">
        <v>-6.0000000000000001E-3</v>
      </c>
      <c r="M147" s="92">
        <f>VLOOKUP(A147,'Mandato Ibov'!$B$1:$C$215,2,0)</f>
        <v>0</v>
      </c>
      <c r="N147" s="58">
        <f t="shared" si="26"/>
        <v>0</v>
      </c>
      <c r="O147" s="42">
        <f t="shared" si="27"/>
        <v>0</v>
      </c>
      <c r="P147" s="95">
        <f>VLOOKUP(A147,'Mandato Ibov'!$B$2:$D$215,3,0)</f>
        <v>0</v>
      </c>
      <c r="Q147" s="42">
        <f t="shared" si="28"/>
        <v>0</v>
      </c>
      <c r="R147" s="15">
        <v>-0.89</v>
      </c>
      <c r="S147" s="15">
        <v>-0.81200000000000006</v>
      </c>
      <c r="T147" s="15">
        <v>-0.97599999999999998</v>
      </c>
      <c r="U147" s="15">
        <v>-0.83199999999999996</v>
      </c>
      <c r="V147" s="15">
        <v>-0.89700000000000002</v>
      </c>
      <c r="W147" s="15">
        <v>-0.65900000000000003</v>
      </c>
      <c r="X147" s="15">
        <v>-0.38200000000000001</v>
      </c>
      <c r="Y147" s="15">
        <v>-0.67300000000000004</v>
      </c>
      <c r="Z147" s="15">
        <v>0.14399999999999999</v>
      </c>
      <c r="AA147" s="15">
        <v>0.14899999999999999</v>
      </c>
      <c r="AB147" s="15">
        <v>0.71399999999999997</v>
      </c>
      <c r="AC147" s="15">
        <v>0.75</v>
      </c>
      <c r="AD147" s="15">
        <v>0.48699999999999999</v>
      </c>
      <c r="AE147" s="14">
        <v>-0.88700000000000001</v>
      </c>
      <c r="AF147" s="15">
        <v>-0.85199999999999998</v>
      </c>
      <c r="AG147" s="15">
        <v>1.4999999999999999E-2</v>
      </c>
      <c r="AH147" s="15">
        <v>-0.90300000000000002</v>
      </c>
      <c r="AI147" s="15">
        <v>-0.55400000000000005</v>
      </c>
      <c r="AJ147" s="16">
        <v>-0.99</v>
      </c>
      <c r="AK147" s="4">
        <v>-0.27</v>
      </c>
      <c r="AL147" s="4">
        <v>-0.44</v>
      </c>
      <c r="AM147" s="4">
        <v>-0.436</v>
      </c>
      <c r="AN147" s="4">
        <v>-0.40400000000000003</v>
      </c>
      <c r="AO147" s="4">
        <v>8.6999999999999994E-2</v>
      </c>
      <c r="AP147" s="4">
        <v>0.307</v>
      </c>
      <c r="AQ147" s="4">
        <v>-0.219</v>
      </c>
      <c r="AR147" s="4">
        <v>-0.11799999999999999</v>
      </c>
      <c r="AS147" s="4">
        <v>-0.504</v>
      </c>
      <c r="AT147" s="4">
        <v>3.0000000000000001E-3</v>
      </c>
      <c r="AU147" s="4">
        <v>-0.216</v>
      </c>
      <c r="AV147" s="4">
        <v>-0.53400000000000003</v>
      </c>
      <c r="AW147" s="4">
        <v>0.47699999999999998</v>
      </c>
      <c r="AX147" s="4">
        <v>-0.68500000000000005</v>
      </c>
      <c r="AY147" s="4">
        <v>0.90900000000000003</v>
      </c>
      <c r="AZ147" s="4">
        <v>0.247</v>
      </c>
      <c r="BA147" s="4">
        <v>-3.0000000000000001E-3</v>
      </c>
      <c r="BB147" s="4">
        <v>-0.29099999999999998</v>
      </c>
      <c r="BC147" s="4">
        <v>-0.41799999999999998</v>
      </c>
      <c r="BD147" s="4">
        <v>0.29799999999999999</v>
      </c>
      <c r="BE147" s="4">
        <v>0.14099999999999999</v>
      </c>
      <c r="BF147" s="4">
        <v>8.1000000000000003E-2</v>
      </c>
      <c r="BG147" s="4">
        <v>0.92</v>
      </c>
      <c r="BH147" s="4">
        <v>-0.41599999999999998</v>
      </c>
      <c r="BI147" s="4">
        <v>-2.4E-2</v>
      </c>
      <c r="BJ147" s="4">
        <v>-0.19</v>
      </c>
      <c r="BK147" s="4">
        <v>-0.22900000000000001</v>
      </c>
      <c r="BL147" s="4"/>
      <c r="BM147" s="4">
        <f t="shared" si="29"/>
        <v>-5.4350000000000016E-2</v>
      </c>
    </row>
    <row r="148" spans="1:65" x14ac:dyDescent="0.3">
      <c r="A148" t="s">
        <v>140</v>
      </c>
      <c r="B148" s="53">
        <f t="shared" si="30"/>
        <v>0</v>
      </c>
      <c r="C148" s="53">
        <f t="shared" si="23"/>
        <v>-5.0000000000000001E-3</v>
      </c>
      <c r="D148" s="53">
        <f t="shared" si="24"/>
        <v>0</v>
      </c>
      <c r="E148" s="53">
        <f t="shared" si="25"/>
        <v>5.0000000000000001E-3</v>
      </c>
      <c r="F148" s="15">
        <v>0.58599999999999997</v>
      </c>
      <c r="G148" s="4">
        <v>0.434</v>
      </c>
      <c r="H148" t="s">
        <v>71</v>
      </c>
      <c r="I148" t="str">
        <f>VLOOKUP(A148,Setores!$A$2:$C$215,2,0)</f>
        <v>food</v>
      </c>
      <c r="J148" t="str">
        <f>VLOOKUP(A148,Setores!$A$2:$C$215,3,0)</f>
        <v>very_low_beta</v>
      </c>
      <c r="K148" s="92">
        <v>0</v>
      </c>
      <c r="L148" s="42">
        <v>-5.0000000000000001E-3</v>
      </c>
      <c r="M148" s="92">
        <f>VLOOKUP(A148,'Mandato Ibov'!$B$1:$C$215,2,0)</f>
        <v>0</v>
      </c>
      <c r="N148" s="58">
        <f t="shared" si="26"/>
        <v>0</v>
      </c>
      <c r="O148" s="42">
        <f t="shared" si="27"/>
        <v>0</v>
      </c>
      <c r="P148" s="95">
        <f>VLOOKUP(A148,'Mandato Ibov'!$B$2:$D$215,3,0)</f>
        <v>0</v>
      </c>
      <c r="Q148" s="42">
        <f t="shared" si="28"/>
        <v>0</v>
      </c>
      <c r="R148" s="15">
        <v>-0.90800000000000003</v>
      </c>
      <c r="S148" s="15">
        <v>-0.94599999999999995</v>
      </c>
      <c r="T148" s="15">
        <v>-0.95599999999999996</v>
      </c>
      <c r="U148" s="15">
        <v>-0.79400000000000004</v>
      </c>
      <c r="V148" s="15">
        <v>-0.90600000000000003</v>
      </c>
      <c r="W148" s="15">
        <v>-0.58399999999999996</v>
      </c>
      <c r="X148" s="15">
        <v>-0.57799999999999996</v>
      </c>
      <c r="Y148" s="15">
        <v>-0.42</v>
      </c>
      <c r="Z148" s="15">
        <v>0.14799999999999999</v>
      </c>
      <c r="AA148" s="15">
        <v>0.14499999999999999</v>
      </c>
      <c r="AB148" s="15">
        <v>0.59599999999999997</v>
      </c>
      <c r="AC148" s="15">
        <v>0.51100000000000001</v>
      </c>
      <c r="AD148" s="15">
        <v>0.35599999999999998</v>
      </c>
      <c r="AE148" s="14">
        <v>-0.69599999999999995</v>
      </c>
      <c r="AF148" s="15">
        <v>-0.35399999999999998</v>
      </c>
      <c r="AG148" s="15">
        <v>-0.6</v>
      </c>
      <c r="AH148" s="15">
        <v>-0.73299999999999998</v>
      </c>
      <c r="AI148" s="15">
        <v>-0.84899999999999998</v>
      </c>
      <c r="AJ148" s="16">
        <v>-0.99</v>
      </c>
      <c r="AK148" s="4">
        <v>9.2999999999999999E-2</v>
      </c>
      <c r="AL148" s="4">
        <v>0.96599999999999997</v>
      </c>
      <c r="AM148" s="4">
        <v>-0.51500000000000001</v>
      </c>
      <c r="AN148" s="4">
        <v>-0.35099999999999998</v>
      </c>
      <c r="AO148" s="4">
        <v>-0.51100000000000001</v>
      </c>
      <c r="AP148" s="4">
        <v>0.45800000000000002</v>
      </c>
      <c r="AQ148" s="4">
        <v>2.1000000000000001E-2</v>
      </c>
      <c r="AR148" s="4">
        <v>-0.22500000000000001</v>
      </c>
      <c r="AS148" s="4">
        <v>-0.107</v>
      </c>
      <c r="AT148" s="4">
        <v>-1.9E-2</v>
      </c>
      <c r="AU148" s="4">
        <v>-0.61199999999999999</v>
      </c>
      <c r="AV148" s="4">
        <v>-0.54800000000000004</v>
      </c>
      <c r="AW148" s="4">
        <v>-3.3000000000000002E-2</v>
      </c>
      <c r="AX148" s="4">
        <v>-0.60099999999999998</v>
      </c>
      <c r="AY148" s="4">
        <v>0.67100000000000004</v>
      </c>
      <c r="AZ148" s="4">
        <v>0.66400000000000003</v>
      </c>
      <c r="BA148" s="4">
        <v>-0.55800000000000005</v>
      </c>
      <c r="BB148" s="4">
        <v>0.34200000000000003</v>
      </c>
      <c r="BC148" s="4">
        <v>-5.0000000000000001E-3</v>
      </c>
      <c r="BD148" s="4">
        <v>0.161</v>
      </c>
      <c r="BE148" s="4">
        <v>0.39700000000000002</v>
      </c>
      <c r="BF148" s="4">
        <v>1</v>
      </c>
      <c r="BG148" s="4">
        <v>0.38400000000000001</v>
      </c>
      <c r="BH148" s="4">
        <v>-0.76100000000000001</v>
      </c>
      <c r="BI148" s="4">
        <v>-0.54700000000000004</v>
      </c>
      <c r="BJ148" s="4">
        <v>-0.36899999999999999</v>
      </c>
      <c r="BK148" s="4">
        <v>-0.51600000000000001</v>
      </c>
      <c r="BL148" s="4"/>
      <c r="BM148" s="4">
        <f t="shared" si="29"/>
        <v>-4.0900000000000006E-2</v>
      </c>
    </row>
    <row r="149" spans="1:65" x14ac:dyDescent="0.3">
      <c r="A149" t="s">
        <v>171</v>
      </c>
      <c r="B149" s="53">
        <f t="shared" si="30"/>
        <v>0</v>
      </c>
      <c r="C149" s="53">
        <f t="shared" si="23"/>
        <v>-4.0000000000000001E-3</v>
      </c>
      <c r="D149" s="53">
        <f t="shared" si="24"/>
        <v>0</v>
      </c>
      <c r="E149" s="53">
        <f t="shared" si="25"/>
        <v>4.0000000000000001E-3</v>
      </c>
      <c r="F149" s="15">
        <v>0.58299999999999996</v>
      </c>
      <c r="G149" s="4">
        <v>0.86399999999999999</v>
      </c>
      <c r="H149" t="s">
        <v>57</v>
      </c>
      <c r="I149" t="str">
        <f>VLOOKUP(A149,Setores!$A$2:$C$215,2,0)</f>
        <v>banks</v>
      </c>
      <c r="J149" t="str">
        <f>VLOOKUP(A149,Setores!$A$2:$C$215,3,0)</f>
        <v>neutral_beta</v>
      </c>
      <c r="K149" s="92">
        <v>0</v>
      </c>
      <c r="L149" s="42">
        <v>-4.0000000000000001E-3</v>
      </c>
      <c r="M149" s="92">
        <f>VLOOKUP(A149,'Mandato Ibov'!$B$1:$C$215,2,0)</f>
        <v>0</v>
      </c>
      <c r="N149" s="58">
        <f t="shared" si="26"/>
        <v>0</v>
      </c>
      <c r="O149" s="42">
        <f t="shared" si="27"/>
        <v>0</v>
      </c>
      <c r="P149" s="95">
        <f>VLOOKUP(A149,'Mandato Ibov'!$B$2:$D$215,3,0)</f>
        <v>0</v>
      </c>
      <c r="Q149" s="42">
        <f t="shared" si="28"/>
        <v>0</v>
      </c>
      <c r="R149" s="15">
        <v>-0.83799999999999997</v>
      </c>
      <c r="S149" s="15">
        <v>-0.89200000000000002</v>
      </c>
      <c r="T149" s="15">
        <v>-0.88800000000000001</v>
      </c>
      <c r="U149" s="15">
        <v>-0.80900000000000005</v>
      </c>
      <c r="V149" s="15">
        <v>-0.88100000000000001</v>
      </c>
      <c r="W149" s="15">
        <v>-0.66400000000000003</v>
      </c>
      <c r="X149" s="15">
        <v>-0.432</v>
      </c>
      <c r="Y149" s="15">
        <v>-0.79900000000000004</v>
      </c>
      <c r="Z149" s="15">
        <v>0.315</v>
      </c>
      <c r="AA149" s="15">
        <v>0.311</v>
      </c>
      <c r="AB149" s="15">
        <v>0.60599999999999998</v>
      </c>
      <c r="AC149" s="15">
        <v>0.67300000000000004</v>
      </c>
      <c r="AD149" s="15">
        <v>0.51</v>
      </c>
      <c r="AE149" s="14">
        <v>-0.74199999999999999</v>
      </c>
      <c r="AF149" s="15">
        <v>0.18</v>
      </c>
      <c r="AG149" s="15">
        <v>-0.72499999999999998</v>
      </c>
      <c r="AH149" s="15">
        <v>-0.86899999999999999</v>
      </c>
      <c r="AI149" s="15">
        <v>-1</v>
      </c>
      <c r="AJ149" s="16">
        <v>-1</v>
      </c>
      <c r="AK149" s="4">
        <v>-0.21199999999999999</v>
      </c>
      <c r="AL149" s="4">
        <v>-6.0000000000000001E-3</v>
      </c>
      <c r="AM149" s="4">
        <v>8.1000000000000003E-2</v>
      </c>
      <c r="AN149" s="4">
        <v>0.214</v>
      </c>
      <c r="AO149" s="4">
        <v>-0.499</v>
      </c>
      <c r="AP149" s="4">
        <v>-0.56499999999999995</v>
      </c>
      <c r="AQ149" s="4">
        <v>5.6000000000000001E-2</v>
      </c>
      <c r="AR149" s="4">
        <v>0.255</v>
      </c>
      <c r="AS149" s="4">
        <v>0.245</v>
      </c>
      <c r="AT149" s="4">
        <v>-0.19900000000000001</v>
      </c>
      <c r="AU149" s="4">
        <v>-0.52400000000000002</v>
      </c>
      <c r="AV149" s="4">
        <v>-0.76400000000000001</v>
      </c>
      <c r="AW149" s="4">
        <v>0.33</v>
      </c>
      <c r="AX149" s="4">
        <v>-0.438</v>
      </c>
      <c r="AY149" s="4">
        <v>7.4999999999999997E-2</v>
      </c>
      <c r="AZ149" s="4">
        <v>-0.56100000000000005</v>
      </c>
      <c r="BA149" s="4">
        <v>0.39600000000000002</v>
      </c>
      <c r="BB149" s="4">
        <v>-6.9000000000000006E-2</v>
      </c>
      <c r="BC149" s="4">
        <v>-0.21099999999999999</v>
      </c>
      <c r="BD149" s="4">
        <v>0.27</v>
      </c>
      <c r="BE149" s="4">
        <v>0.1</v>
      </c>
      <c r="BF149" s="4">
        <v>0.52200000000000002</v>
      </c>
      <c r="BG149" s="4">
        <v>0.94299999999999995</v>
      </c>
      <c r="BH149" s="4">
        <v>-0.19800000000000001</v>
      </c>
      <c r="BI149" s="4">
        <v>-0.126</v>
      </c>
      <c r="BJ149" s="4">
        <v>0.191</v>
      </c>
      <c r="BK149" s="4">
        <v>-0.57699999999999996</v>
      </c>
      <c r="BL149" s="4"/>
      <c r="BM149" s="4">
        <f t="shared" si="29"/>
        <v>-0.175675</v>
      </c>
    </row>
    <row r="150" spans="1:65" x14ac:dyDescent="0.3">
      <c r="A150" t="s">
        <v>192</v>
      </c>
      <c r="B150" s="53">
        <f t="shared" si="30"/>
        <v>0</v>
      </c>
      <c r="C150" s="53">
        <f t="shared" si="23"/>
        <v>-2.4E-2</v>
      </c>
      <c r="D150" s="53">
        <f t="shared" si="24"/>
        <v>0</v>
      </c>
      <c r="E150" s="53">
        <f t="shared" si="25"/>
        <v>2.4E-2</v>
      </c>
      <c r="F150" s="15">
        <v>0.58199999999999996</v>
      </c>
      <c r="G150" s="4">
        <v>1.107</v>
      </c>
      <c r="H150" t="s">
        <v>57</v>
      </c>
      <c r="I150" t="str">
        <f>VLOOKUP(A150,Setores!$A$2:$C$215,2,0)</f>
        <v>banks</v>
      </c>
      <c r="J150" t="str">
        <f>VLOOKUP(A150,Setores!$A$2:$C$215,3,0)</f>
        <v>neutral_beta</v>
      </c>
      <c r="K150" s="92">
        <v>0</v>
      </c>
      <c r="L150" s="42">
        <v>-2.4E-2</v>
      </c>
      <c r="M150" s="92">
        <f>VLOOKUP(A150,'Mandato Ibov'!$B$1:$C$215,2,0)</f>
        <v>0</v>
      </c>
      <c r="N150" s="58">
        <f t="shared" si="26"/>
        <v>0</v>
      </c>
      <c r="O150" s="42">
        <f t="shared" si="27"/>
        <v>0</v>
      </c>
      <c r="P150" s="95">
        <f>VLOOKUP(A150,'Mandato Ibov'!$B$2:$D$215,3,0)</f>
        <v>0</v>
      </c>
      <c r="Q150" s="42">
        <f t="shared" si="28"/>
        <v>0</v>
      </c>
      <c r="R150" s="15">
        <v>-0.92600000000000005</v>
      </c>
      <c r="S150" s="15">
        <v>-0.85699999999999998</v>
      </c>
      <c r="T150" s="15">
        <v>-0.96599999999999997</v>
      </c>
      <c r="U150" s="15">
        <v>-0.85599999999999998</v>
      </c>
      <c r="V150" s="15">
        <v>-0.89</v>
      </c>
      <c r="W150" s="15">
        <v>-0.78300000000000003</v>
      </c>
      <c r="X150" s="15">
        <v>-0.625</v>
      </c>
      <c r="Y150" s="15">
        <v>-0.73199999999999998</v>
      </c>
      <c r="Z150" s="15">
        <v>0.48399999999999999</v>
      </c>
      <c r="AA150" s="15">
        <v>0.48299999999999998</v>
      </c>
      <c r="AB150" s="15">
        <v>0.624</v>
      </c>
      <c r="AC150" s="15">
        <v>0.76400000000000001</v>
      </c>
      <c r="AD150" s="15">
        <v>0.51500000000000001</v>
      </c>
      <c r="AE150" s="14">
        <v>-0.79</v>
      </c>
      <c r="AF150" s="15">
        <v>-0.41</v>
      </c>
      <c r="AG150" s="15">
        <v>-0.155</v>
      </c>
      <c r="AH150" s="15">
        <v>-0.89600000000000002</v>
      </c>
      <c r="AI150" s="15">
        <v>-1</v>
      </c>
      <c r="AJ150" s="16">
        <v>-1</v>
      </c>
      <c r="AK150" s="4">
        <v>-2.8000000000000001E-2</v>
      </c>
      <c r="AL150" s="4">
        <v>-2.3E-2</v>
      </c>
      <c r="AM150" s="4">
        <v>0.42499999999999999</v>
      </c>
      <c r="AN150" s="4">
        <v>-0.502</v>
      </c>
      <c r="AO150" s="4">
        <v>-0.25</v>
      </c>
      <c r="AP150" s="4">
        <v>-0.28100000000000003</v>
      </c>
      <c r="AQ150" s="4">
        <v>-0.23799999999999999</v>
      </c>
      <c r="AR150" s="4">
        <v>3.1E-2</v>
      </c>
      <c r="AS150" s="4">
        <v>-0.25700000000000001</v>
      </c>
      <c r="AT150" s="4">
        <v>-0.189</v>
      </c>
      <c r="AU150" s="4">
        <v>-0.46899999999999997</v>
      </c>
      <c r="AV150" s="4">
        <v>-0.8</v>
      </c>
      <c r="AW150" s="4">
        <v>0.28799999999999998</v>
      </c>
      <c r="AX150" s="4">
        <v>-0.58399999999999996</v>
      </c>
      <c r="AY150" s="4">
        <v>0.111</v>
      </c>
      <c r="AZ150" s="4">
        <v>-0.22900000000000001</v>
      </c>
      <c r="BA150" s="4">
        <v>-0.60699999999999998</v>
      </c>
      <c r="BB150" s="4">
        <v>-0.17</v>
      </c>
      <c r="BC150" s="4">
        <v>-0.152</v>
      </c>
      <c r="BD150" s="4">
        <v>0.11799999999999999</v>
      </c>
      <c r="BE150" s="4">
        <v>0.26300000000000001</v>
      </c>
      <c r="BF150" s="4">
        <v>0.313</v>
      </c>
      <c r="BG150" s="4">
        <v>0.90800000000000003</v>
      </c>
      <c r="BH150" s="4">
        <v>-0.40400000000000003</v>
      </c>
      <c r="BI150" s="4">
        <v>8.9999999999999993E-3</v>
      </c>
      <c r="BJ150" s="4">
        <v>-0.32300000000000001</v>
      </c>
      <c r="BK150" s="4">
        <v>-0.63400000000000001</v>
      </c>
      <c r="BL150" s="4"/>
      <c r="BM150" s="4">
        <f t="shared" si="29"/>
        <v>-0.18207500000000004</v>
      </c>
    </row>
    <row r="151" spans="1:65" x14ac:dyDescent="0.3">
      <c r="A151" t="s">
        <v>139</v>
      </c>
      <c r="B151" s="53">
        <f t="shared" si="30"/>
        <v>0</v>
      </c>
      <c r="C151" s="53">
        <f t="shared" si="23"/>
        <v>-3.0000000000000001E-3</v>
      </c>
      <c r="D151" s="53">
        <f t="shared" si="24"/>
        <v>0</v>
      </c>
      <c r="E151" s="53">
        <f t="shared" si="25"/>
        <v>3.0000000000000001E-3</v>
      </c>
      <c r="F151" s="15">
        <v>0.58099999999999996</v>
      </c>
      <c r="G151" s="4">
        <v>0.70099999999999996</v>
      </c>
      <c r="H151" t="s">
        <v>71</v>
      </c>
      <c r="I151" t="str">
        <f>VLOOKUP(A151,Setores!$A$2:$C$215,2,0)</f>
        <v>basic_materials</v>
      </c>
      <c r="J151" t="str">
        <f>VLOOKUP(A151,Setores!$A$2:$C$215,3,0)</f>
        <v>neutral_beta</v>
      </c>
      <c r="K151" s="92">
        <v>0</v>
      </c>
      <c r="L151" s="42">
        <v>-3.0000000000000001E-3</v>
      </c>
      <c r="M151" s="92">
        <f>VLOOKUP(A151,'Mandato Ibov'!$B$1:$C$215,2,0)</f>
        <v>0</v>
      </c>
      <c r="N151" s="58">
        <f t="shared" si="26"/>
        <v>0</v>
      </c>
      <c r="O151" s="42">
        <f t="shared" si="27"/>
        <v>0</v>
      </c>
      <c r="P151" s="95">
        <f>VLOOKUP(A151,'Mandato Ibov'!$B$2:$D$215,3,0)</f>
        <v>0</v>
      </c>
      <c r="Q151" s="42">
        <f t="shared" si="28"/>
        <v>0</v>
      </c>
      <c r="R151" s="15">
        <v>-0.84199999999999997</v>
      </c>
      <c r="S151" s="15">
        <v>-0.91900000000000004</v>
      </c>
      <c r="T151" s="15">
        <v>-0.90800000000000003</v>
      </c>
      <c r="U151" s="15">
        <v>-0.79100000000000004</v>
      </c>
      <c r="V151" s="15">
        <v>-0.90100000000000002</v>
      </c>
      <c r="W151" s="15">
        <v>-0.56200000000000006</v>
      </c>
      <c r="X151" s="15">
        <v>-0.371</v>
      </c>
      <c r="Y151" s="15">
        <v>-0.67900000000000005</v>
      </c>
      <c r="Z151" s="15">
        <v>0.24</v>
      </c>
      <c r="AA151" s="15">
        <v>0.23799999999999999</v>
      </c>
      <c r="AB151" s="15">
        <v>0.47099999999999997</v>
      </c>
      <c r="AC151" s="15">
        <v>0.47599999999999998</v>
      </c>
      <c r="AD151" s="15">
        <v>0.41299999999999998</v>
      </c>
      <c r="AE151" s="14">
        <v>-0.78800000000000003</v>
      </c>
      <c r="AF151" s="15">
        <v>-0.51500000000000001</v>
      </c>
      <c r="AG151" s="15">
        <v>-1</v>
      </c>
      <c r="AH151" s="15">
        <v>-0.90200000000000002</v>
      </c>
      <c r="AI151" s="15">
        <v>-1</v>
      </c>
      <c r="AJ151" s="16">
        <v>-0.93100000000000005</v>
      </c>
      <c r="AK151" s="4">
        <v>-0.40200000000000002</v>
      </c>
      <c r="AL151" s="4">
        <v>0.499</v>
      </c>
      <c r="AM151" s="4">
        <v>-0.76800000000000002</v>
      </c>
      <c r="AN151" s="4">
        <v>-0.50800000000000001</v>
      </c>
      <c r="AO151" s="4">
        <v>-0.42299999999999999</v>
      </c>
      <c r="AP151" s="4">
        <v>-0.28799999999999998</v>
      </c>
      <c r="AQ151" s="4">
        <v>2.5999999999999999E-2</v>
      </c>
      <c r="AR151" s="4">
        <v>0.93100000000000005</v>
      </c>
      <c r="AS151" s="4">
        <v>0.28999999999999998</v>
      </c>
      <c r="AT151" s="4">
        <v>0.20699999999999999</v>
      </c>
      <c r="AU151" s="4">
        <v>-9.0999999999999998E-2</v>
      </c>
      <c r="AV151" s="4">
        <v>-0.33500000000000002</v>
      </c>
      <c r="AW151" s="4">
        <v>0.17599999999999999</v>
      </c>
      <c r="AX151" s="4">
        <v>0.29599999999999999</v>
      </c>
      <c r="AY151" s="4">
        <v>1.7999999999999999E-2</v>
      </c>
      <c r="AZ151" s="4">
        <v>-0.98399999999999999</v>
      </c>
      <c r="BA151" s="4">
        <v>0.51100000000000001</v>
      </c>
      <c r="BB151" s="4">
        <v>0.29199999999999998</v>
      </c>
      <c r="BC151" s="4">
        <v>-3.6999999999999998E-2</v>
      </c>
      <c r="BD151" s="4">
        <v>0.32900000000000001</v>
      </c>
      <c r="BE151" s="4">
        <v>-0.65200000000000002</v>
      </c>
      <c r="BF151" s="4">
        <v>-0.46200000000000002</v>
      </c>
      <c r="BG151" s="4">
        <v>0.34899999999999998</v>
      </c>
      <c r="BH151" s="4">
        <v>-0.23200000000000001</v>
      </c>
      <c r="BI151" s="4">
        <v>-0.35199999999999998</v>
      </c>
      <c r="BJ151" s="4">
        <v>0.374</v>
      </c>
      <c r="BK151" s="4">
        <v>-0.35699999999999998</v>
      </c>
      <c r="BL151" s="4"/>
      <c r="BM151" s="4">
        <f t="shared" si="29"/>
        <v>-5.3450000000000011E-2</v>
      </c>
    </row>
    <row r="152" spans="1:65" x14ac:dyDescent="0.3">
      <c r="A152" t="s">
        <v>601</v>
      </c>
      <c r="B152" s="53">
        <f t="shared" si="30"/>
        <v>0</v>
      </c>
      <c r="C152" s="53">
        <f t="shared" si="23"/>
        <v>0</v>
      </c>
      <c r="D152" s="53">
        <f t="shared" si="24"/>
        <v>0</v>
      </c>
      <c r="E152" s="53">
        <f t="shared" si="25"/>
        <v>0</v>
      </c>
      <c r="F152" s="15">
        <v>0.57899999999999996</v>
      </c>
      <c r="G152" s="4">
        <v>0.50900000000000001</v>
      </c>
      <c r="H152" t="s">
        <v>53</v>
      </c>
      <c r="I152" t="str">
        <f>VLOOKUP(A152,Setores!$A$2:$C$215,2,0)</f>
        <v>healthcare</v>
      </c>
      <c r="J152" t="str">
        <f>VLOOKUP(A152,Setores!$A$2:$C$215,3,0)</f>
        <v>neutral_beta</v>
      </c>
      <c r="K152" s="92">
        <v>0</v>
      </c>
      <c r="L152" s="42">
        <v>0</v>
      </c>
      <c r="M152" s="92">
        <f>VLOOKUP(A152,'Mandato Ibov'!$B$1:$C$215,2,0)</f>
        <v>0</v>
      </c>
      <c r="N152" s="58">
        <f t="shared" si="26"/>
        <v>0</v>
      </c>
      <c r="O152" s="42">
        <f t="shared" si="27"/>
        <v>0</v>
      </c>
      <c r="P152" s="95">
        <f>VLOOKUP(A152,'Mandato Ibov'!$B$2:$D$215,3,0)</f>
        <v>0</v>
      </c>
      <c r="Q152" s="42">
        <f t="shared" si="28"/>
        <v>0</v>
      </c>
      <c r="R152" s="15">
        <v>-0.371</v>
      </c>
      <c r="S152" s="15">
        <v>-0.52600000000000002</v>
      </c>
      <c r="T152" s="15">
        <v>-0.40400000000000003</v>
      </c>
      <c r="U152" s="15">
        <v>-0.56999999999999995</v>
      </c>
      <c r="V152" s="15">
        <v>-0.629</v>
      </c>
      <c r="W152" s="15">
        <v>-0.63700000000000001</v>
      </c>
      <c r="X152" s="15">
        <v>-0.61</v>
      </c>
      <c r="Y152" s="15">
        <v>-0.81100000000000005</v>
      </c>
      <c r="Z152" s="15">
        <v>-0.28499999999999998</v>
      </c>
      <c r="AA152" s="15">
        <v>-0.27600000000000002</v>
      </c>
      <c r="AB152" s="15">
        <v>0.42299999999999999</v>
      </c>
      <c r="AC152" s="15">
        <v>0.35199999999999998</v>
      </c>
      <c r="AD152" s="15">
        <v>0.246</v>
      </c>
      <c r="AE152" s="14">
        <v>-0.70699999999999996</v>
      </c>
      <c r="AF152" s="15">
        <v>-0.35199999999999998</v>
      </c>
      <c r="AG152" s="15">
        <v>-0.374</v>
      </c>
      <c r="AH152" s="15">
        <v>-0.55700000000000005</v>
      </c>
      <c r="AI152" s="15">
        <v>-0.23</v>
      </c>
      <c r="AJ152" s="16">
        <v>1</v>
      </c>
      <c r="AK152" s="4">
        <v>-0.73499999999999999</v>
      </c>
      <c r="AL152" s="4">
        <v>-1</v>
      </c>
      <c r="AM152" s="4">
        <v>-0.87</v>
      </c>
      <c r="AN152" s="4">
        <v>0.14799999999999999</v>
      </c>
      <c r="AO152" s="4">
        <v>7.1999999999999995E-2</v>
      </c>
      <c r="AP152" s="4">
        <v>0.22600000000000001</v>
      </c>
      <c r="AQ152" s="4">
        <v>0.85</v>
      </c>
      <c r="AR152" s="4">
        <v>1</v>
      </c>
      <c r="AS152" s="4">
        <v>1</v>
      </c>
      <c r="AT152" s="4">
        <v>-0.11</v>
      </c>
      <c r="AU152" s="4">
        <v>-0.621</v>
      </c>
      <c r="AV152" s="4">
        <v>0.12</v>
      </c>
      <c r="AW152" s="4">
        <v>0.109</v>
      </c>
      <c r="AX152" s="4">
        <v>-1.6E-2</v>
      </c>
      <c r="AY152" s="4">
        <v>-0.27100000000000002</v>
      </c>
      <c r="AZ152" s="4">
        <v>-1</v>
      </c>
      <c r="BA152" s="4">
        <v>0.56799999999999995</v>
      </c>
      <c r="BB152" s="4">
        <v>-0.70599999999999996</v>
      </c>
      <c r="BC152" s="4">
        <v>-0.64900000000000002</v>
      </c>
      <c r="BD152" s="4">
        <v>0.41399999999999998</v>
      </c>
      <c r="BE152" s="4">
        <v>-0.85499999999999998</v>
      </c>
      <c r="BF152" s="4">
        <v>2.4E-2</v>
      </c>
      <c r="BG152" s="4">
        <v>0.41099999999999998</v>
      </c>
      <c r="BH152" s="4">
        <v>-0.13600000000000001</v>
      </c>
      <c r="BI152" s="4">
        <v>-0.13200000000000001</v>
      </c>
      <c r="BJ152" s="4">
        <v>0.68200000000000005</v>
      </c>
      <c r="BK152" s="4">
        <v>0.66700000000000004</v>
      </c>
      <c r="BL152" s="4"/>
      <c r="BM152" s="4">
        <f t="shared" si="29"/>
        <v>4.0550000000000044E-2</v>
      </c>
    </row>
    <row r="153" spans="1:65" x14ac:dyDescent="0.3">
      <c r="A153" t="s">
        <v>141</v>
      </c>
      <c r="B153" s="53">
        <f t="shared" si="30"/>
        <v>0</v>
      </c>
      <c r="C153" s="53">
        <f t="shared" si="23"/>
        <v>-1E-3</v>
      </c>
      <c r="D153" s="53">
        <f t="shared" si="24"/>
        <v>0</v>
      </c>
      <c r="E153" s="53">
        <f t="shared" si="25"/>
        <v>1E-3</v>
      </c>
      <c r="F153" s="15">
        <v>0.57799999999999996</v>
      </c>
      <c r="G153" s="4">
        <v>0.45800000000000002</v>
      </c>
      <c r="H153" t="s">
        <v>57</v>
      </c>
      <c r="I153" t="str">
        <f>VLOOKUP(A153,Setores!$A$2:$C$215,2,0)</f>
        <v>education</v>
      </c>
      <c r="J153" t="str">
        <f>VLOOKUP(A153,Setores!$A$2:$C$215,3,0)</f>
        <v>high_beta</v>
      </c>
      <c r="K153" s="92">
        <v>0</v>
      </c>
      <c r="L153" s="42">
        <v>-1E-3</v>
      </c>
      <c r="M153" s="92">
        <f>VLOOKUP(A153,'Mandato Ibov'!$B$1:$C$215,2,0)</f>
        <v>0</v>
      </c>
      <c r="N153" s="58">
        <f t="shared" si="26"/>
        <v>0</v>
      </c>
      <c r="O153" s="42">
        <f t="shared" si="27"/>
        <v>0</v>
      </c>
      <c r="P153" s="95">
        <f>VLOOKUP(A153,'Mandato Ibov'!$B$2:$D$215,3,0)</f>
        <v>5.8652234590628703E-3</v>
      </c>
      <c r="Q153" s="42">
        <f t="shared" si="28"/>
        <v>-5.8652234590628703E-3</v>
      </c>
      <c r="R153" s="15">
        <v>-0.50900000000000001</v>
      </c>
      <c r="S153" s="15">
        <v>-0.71399999999999997</v>
      </c>
      <c r="T153" s="15">
        <v>-0.34399999999999997</v>
      </c>
      <c r="U153" s="15">
        <v>-0.45800000000000002</v>
      </c>
      <c r="V153" s="15">
        <v>-0.502</v>
      </c>
      <c r="W153" s="15">
        <v>-0.66300000000000003</v>
      </c>
      <c r="X153" s="15">
        <v>-0.6</v>
      </c>
      <c r="Y153" s="15">
        <v>-0.79200000000000004</v>
      </c>
      <c r="Z153" s="15">
        <v>-0.33700000000000002</v>
      </c>
      <c r="AA153" s="15">
        <v>-0.33500000000000002</v>
      </c>
      <c r="AB153" s="15">
        <v>0.71199999999999997</v>
      </c>
      <c r="AC153" s="15">
        <v>0.6</v>
      </c>
      <c r="AD153" s="15">
        <v>0.217</v>
      </c>
      <c r="AE153" s="14">
        <v>9.8000000000000004E-2</v>
      </c>
      <c r="AF153" s="15">
        <v>0.23699999999999999</v>
      </c>
      <c r="AG153" s="15">
        <v>-0.69499999999999995</v>
      </c>
      <c r="AH153" s="15">
        <v>-4.3999999999999997E-2</v>
      </c>
      <c r="AI153" s="15">
        <v>-0.56699999999999995</v>
      </c>
      <c r="AJ153" s="16">
        <v>0.60799999999999998</v>
      </c>
      <c r="AK153" s="4">
        <v>0.251</v>
      </c>
      <c r="AL153" s="4">
        <v>-0.40600000000000003</v>
      </c>
      <c r="AM153" s="4">
        <v>-0.37</v>
      </c>
      <c r="AN153" s="4">
        <v>0.46100000000000002</v>
      </c>
      <c r="AO153" s="4">
        <v>-0.61099999999999999</v>
      </c>
      <c r="AP153" s="4">
        <v>-0.39400000000000002</v>
      </c>
      <c r="AQ153" s="4">
        <v>0.45800000000000002</v>
      </c>
      <c r="AR153" s="4">
        <v>-0.14799999999999999</v>
      </c>
      <c r="AS153" s="4">
        <v>-0.217</v>
      </c>
      <c r="AT153" s="4">
        <v>0.20699999999999999</v>
      </c>
      <c r="AU153" s="4">
        <v>2.5999999999999999E-2</v>
      </c>
      <c r="AV153" s="4">
        <v>0.34799999999999998</v>
      </c>
      <c r="AW153" s="4">
        <v>-0.40300000000000002</v>
      </c>
      <c r="AX153" s="4">
        <v>-0.51600000000000001</v>
      </c>
      <c r="AY153" s="4">
        <v>0.72499999999999998</v>
      </c>
      <c r="AZ153" s="4">
        <v>-0.29499999999999998</v>
      </c>
      <c r="BA153" s="4">
        <v>-0.115</v>
      </c>
      <c r="BB153" s="4">
        <v>0.20300000000000001</v>
      </c>
      <c r="BC153" s="4">
        <v>0.14299999999999999</v>
      </c>
      <c r="BD153" s="4">
        <v>0.186</v>
      </c>
      <c r="BE153" s="4">
        <v>0.34899999999999998</v>
      </c>
      <c r="BF153" s="4">
        <v>-0.91300000000000003</v>
      </c>
      <c r="BG153" s="4">
        <v>-1.0999999999999999E-2</v>
      </c>
      <c r="BH153" s="4">
        <v>0.186</v>
      </c>
      <c r="BI153" s="4">
        <v>0.30399999999999999</v>
      </c>
      <c r="BJ153" s="4">
        <v>-0.52700000000000002</v>
      </c>
      <c r="BK153" s="4">
        <v>0.05</v>
      </c>
      <c r="BL153" s="4"/>
      <c r="BM153" s="4">
        <f t="shared" si="29"/>
        <v>-1.3125000000000012E-2</v>
      </c>
    </row>
    <row r="154" spans="1:65" x14ac:dyDescent="0.3">
      <c r="A154" t="s">
        <v>133</v>
      </c>
      <c r="B154" s="53">
        <f t="shared" si="30"/>
        <v>0</v>
      </c>
      <c r="C154" s="53">
        <f t="shared" si="23"/>
        <v>0</v>
      </c>
      <c r="D154" s="53">
        <f t="shared" si="24"/>
        <v>0</v>
      </c>
      <c r="E154" s="53">
        <f t="shared" si="25"/>
        <v>0</v>
      </c>
      <c r="F154" s="15">
        <v>0.57599999999999996</v>
      </c>
      <c r="G154" s="4">
        <v>0.70099999999999996</v>
      </c>
      <c r="H154" t="s">
        <v>68</v>
      </c>
      <c r="I154" t="str">
        <f>VLOOKUP(A154,Setores!$A$2:$C$215,2,0)</f>
        <v>capital_goods</v>
      </c>
      <c r="J154" t="str">
        <f>VLOOKUP(A154,Setores!$A$2:$C$215,3,0)</f>
        <v>very_low_beta</v>
      </c>
      <c r="K154" s="92">
        <v>0</v>
      </c>
      <c r="L154" s="42">
        <v>0</v>
      </c>
      <c r="M154" s="92">
        <f>VLOOKUP(A154,'Mandato Ibov'!$B$1:$C$215,2,0)</f>
        <v>0</v>
      </c>
      <c r="N154" s="58">
        <f t="shared" si="26"/>
        <v>0</v>
      </c>
      <c r="O154" s="42">
        <f t="shared" si="27"/>
        <v>0</v>
      </c>
      <c r="P154" s="95">
        <f>VLOOKUP(A154,'Mandato Ibov'!$B$2:$D$215,3,0)</f>
        <v>0</v>
      </c>
      <c r="Q154" s="42">
        <f t="shared" si="28"/>
        <v>0</v>
      </c>
      <c r="R154" s="15">
        <v>-0.79200000000000004</v>
      </c>
      <c r="S154" s="15">
        <v>-0.79800000000000004</v>
      </c>
      <c r="T154" s="15">
        <v>-0.35699999999999998</v>
      </c>
      <c r="U154" s="15">
        <v>-0.85499999999999998</v>
      </c>
      <c r="V154" s="15">
        <v>-0.73899999999999999</v>
      </c>
      <c r="W154" s="15">
        <v>-0.73</v>
      </c>
      <c r="X154" s="15">
        <v>-0.51500000000000001</v>
      </c>
      <c r="Y154" s="15">
        <v>-0.78300000000000003</v>
      </c>
      <c r="Z154" s="15">
        <v>0.216</v>
      </c>
      <c r="AA154" s="15">
        <v>0.215</v>
      </c>
      <c r="AB154" s="15">
        <v>0.35099999999999998</v>
      </c>
      <c r="AC154" s="15">
        <v>0.40699999999999997</v>
      </c>
      <c r="AD154" s="15">
        <v>0.41499999999999998</v>
      </c>
      <c r="AE154" s="14">
        <v>-0.56200000000000006</v>
      </c>
      <c r="AF154" s="15">
        <v>-0.80900000000000005</v>
      </c>
      <c r="AG154" s="15">
        <v>-0.81299999999999994</v>
      </c>
      <c r="AH154" s="15">
        <v>0.57199999999999995</v>
      </c>
      <c r="AI154" s="15">
        <v>-0.432</v>
      </c>
      <c r="AJ154" s="16">
        <v>-0.35499999999999998</v>
      </c>
      <c r="AK154" s="4">
        <v>-0.20799999999999999</v>
      </c>
      <c r="AL154" s="4">
        <v>0.14399999999999999</v>
      </c>
      <c r="AM154" s="4">
        <v>0.23100000000000001</v>
      </c>
      <c r="AN154" s="4">
        <v>0.05</v>
      </c>
      <c r="AO154" s="4">
        <v>-0.58799999999999997</v>
      </c>
      <c r="AP154" s="4">
        <v>-0.66700000000000004</v>
      </c>
      <c r="AQ154" s="4">
        <v>-0.54200000000000004</v>
      </c>
      <c r="AR154" s="4">
        <v>-0.63600000000000001</v>
      </c>
      <c r="AS154" s="4">
        <v>-0.81499999999999995</v>
      </c>
      <c r="AT154" s="4">
        <v>-0.15</v>
      </c>
      <c r="AU154" s="4">
        <v>-0.40300000000000002</v>
      </c>
      <c r="AV154" s="4">
        <v>-0.38500000000000001</v>
      </c>
      <c r="AW154" s="4">
        <v>0.64500000000000002</v>
      </c>
      <c r="AX154" s="4">
        <v>-0.14899999999999999</v>
      </c>
      <c r="AY154" s="4">
        <v>0.83299999999999996</v>
      </c>
      <c r="AZ154" s="4">
        <v>-0.63800000000000001</v>
      </c>
      <c r="BA154" s="4">
        <v>0.45200000000000001</v>
      </c>
      <c r="BB154" s="4">
        <v>-0.10299999999999999</v>
      </c>
      <c r="BC154" s="4">
        <v>-0.33700000000000002</v>
      </c>
      <c r="BD154" s="4">
        <v>9.2999999999999999E-2</v>
      </c>
      <c r="BE154" s="4">
        <v>-0.11600000000000001</v>
      </c>
      <c r="BF154" s="4">
        <v>1</v>
      </c>
      <c r="BG154" s="4">
        <v>0.68100000000000005</v>
      </c>
      <c r="BH154" s="4">
        <v>0.28999999999999998</v>
      </c>
      <c r="BI154" s="4">
        <v>-0.128</v>
      </c>
      <c r="BJ154" s="4">
        <v>0.81299999999999994</v>
      </c>
      <c r="BK154" s="4">
        <v>0.75600000000000001</v>
      </c>
      <c r="BL154" s="4"/>
      <c r="BM154" s="4">
        <f t="shared" si="29"/>
        <v>-0.226325</v>
      </c>
    </row>
    <row r="155" spans="1:65" x14ac:dyDescent="0.3">
      <c r="A155" t="s">
        <v>189</v>
      </c>
      <c r="B155" s="53">
        <f t="shared" si="30"/>
        <v>0</v>
      </c>
      <c r="C155" s="53">
        <f t="shared" si="23"/>
        <v>0</v>
      </c>
      <c r="D155" s="53">
        <f t="shared" si="24"/>
        <v>0</v>
      </c>
      <c r="E155" s="53">
        <f t="shared" si="25"/>
        <v>0</v>
      </c>
      <c r="F155" s="15">
        <v>0.57399999999999995</v>
      </c>
      <c r="G155" s="4">
        <v>0.69199999999999995</v>
      </c>
      <c r="H155" t="s">
        <v>68</v>
      </c>
      <c r="I155" t="str">
        <f>VLOOKUP(A155,Setores!$A$2:$C$215,2,0)</f>
        <v>capital_goods</v>
      </c>
      <c r="J155" t="str">
        <f>VLOOKUP(A155,Setores!$A$2:$C$215,3,0)</f>
        <v>low_beta</v>
      </c>
      <c r="K155" s="92">
        <v>0</v>
      </c>
      <c r="L155" s="42">
        <v>0</v>
      </c>
      <c r="M155" s="92">
        <f>VLOOKUP(A155,'Mandato Ibov'!$B$1:$C$215,2,0)</f>
        <v>0</v>
      </c>
      <c r="N155" s="58">
        <f t="shared" si="26"/>
        <v>0</v>
      </c>
      <c r="O155" s="42">
        <f t="shared" si="27"/>
        <v>0</v>
      </c>
      <c r="P155" s="95">
        <f>VLOOKUP(A155,'Mandato Ibov'!$B$2:$D$215,3,0)</f>
        <v>0</v>
      </c>
      <c r="Q155" s="42">
        <f t="shared" si="28"/>
        <v>0</v>
      </c>
      <c r="R155" s="15">
        <v>-0.75800000000000001</v>
      </c>
      <c r="S155" s="15">
        <v>-0.92300000000000004</v>
      </c>
      <c r="T155" s="15">
        <v>-0.74299999999999999</v>
      </c>
      <c r="U155" s="15">
        <v>-0.76700000000000002</v>
      </c>
      <c r="V155" s="15">
        <v>-0.88800000000000001</v>
      </c>
      <c r="W155" s="15">
        <v>-0.56999999999999995</v>
      </c>
      <c r="X155" s="15">
        <v>-0.32</v>
      </c>
      <c r="Y155" s="15">
        <v>-0.82799999999999996</v>
      </c>
      <c r="Z155" s="15">
        <v>0.193</v>
      </c>
      <c r="AA155" s="15">
        <v>0.192</v>
      </c>
      <c r="AB155" s="15">
        <v>0.51300000000000001</v>
      </c>
      <c r="AC155" s="15">
        <v>0.49199999999999999</v>
      </c>
      <c r="AD155" s="15">
        <v>0.36599999999999999</v>
      </c>
      <c r="AE155" s="14">
        <v>-0.501</v>
      </c>
      <c r="AF155" s="15">
        <v>-0.55900000000000005</v>
      </c>
      <c r="AG155" s="15">
        <v>-1</v>
      </c>
      <c r="AH155" s="15">
        <v>-0.68600000000000005</v>
      </c>
      <c r="AI155" s="15">
        <v>-0.77600000000000002</v>
      </c>
      <c r="AJ155" s="16">
        <v>-0.36699999999999999</v>
      </c>
      <c r="AK155" s="4">
        <v>-8.1000000000000003E-2</v>
      </c>
      <c r="AL155" s="4">
        <v>-0.57999999999999996</v>
      </c>
      <c r="AM155" s="4">
        <v>-0.77900000000000003</v>
      </c>
      <c r="AN155" s="4">
        <v>-4.9000000000000002E-2</v>
      </c>
      <c r="AO155" s="4">
        <v>-0.44600000000000001</v>
      </c>
      <c r="AP155" s="4">
        <v>-0.214</v>
      </c>
      <c r="AQ155" s="4">
        <v>0.13700000000000001</v>
      </c>
      <c r="AR155" s="4">
        <v>-7.6999999999999999E-2</v>
      </c>
      <c r="AS155" s="4">
        <v>-0.66500000000000004</v>
      </c>
      <c r="AT155" s="4">
        <v>0.28199999999999997</v>
      </c>
      <c r="AU155" s="4">
        <v>-0.27100000000000002</v>
      </c>
      <c r="AV155" s="4">
        <v>0.113</v>
      </c>
      <c r="AW155" s="4">
        <v>0.70399999999999996</v>
      </c>
      <c r="AX155" s="4">
        <v>-4.9000000000000002E-2</v>
      </c>
      <c r="AY155" s="4">
        <v>0.69799999999999995</v>
      </c>
      <c r="AZ155" s="4">
        <v>0.73399999999999999</v>
      </c>
      <c r="BA155" s="4">
        <v>-0.377</v>
      </c>
      <c r="BB155" s="4">
        <v>-9.5000000000000001E-2</v>
      </c>
      <c r="BC155" s="4">
        <v>0.35299999999999998</v>
      </c>
      <c r="BD155" s="4">
        <v>7.8E-2</v>
      </c>
      <c r="BE155" s="4">
        <v>-0.81799999999999995</v>
      </c>
      <c r="BF155" s="4">
        <v>-0.52400000000000002</v>
      </c>
      <c r="BG155" s="4">
        <v>0.79500000000000004</v>
      </c>
      <c r="BH155" s="4">
        <v>-0.60699999999999998</v>
      </c>
      <c r="BI155" s="4">
        <v>9.0999999999999998E-2</v>
      </c>
      <c r="BJ155" s="4">
        <v>0.67500000000000004</v>
      </c>
      <c r="BK155" s="4">
        <v>-7.6999999999999999E-2</v>
      </c>
      <c r="BL155" s="4"/>
      <c r="BM155" s="4">
        <f t="shared" si="29"/>
        <v>-1.5949999999999992E-2</v>
      </c>
    </row>
    <row r="156" spans="1:65" x14ac:dyDescent="0.3">
      <c r="A156" t="s">
        <v>208</v>
      </c>
      <c r="B156" s="53">
        <f t="shared" si="30"/>
        <v>0</v>
      </c>
      <c r="C156" s="53">
        <f t="shared" si="23"/>
        <v>0</v>
      </c>
      <c r="D156" s="53">
        <f t="shared" si="24"/>
        <v>0</v>
      </c>
      <c r="E156" s="53">
        <f t="shared" si="25"/>
        <v>0</v>
      </c>
      <c r="F156" s="15">
        <v>0.57399999999999995</v>
      </c>
      <c r="G156" s="4">
        <v>0.41399999999999998</v>
      </c>
      <c r="H156" t="s">
        <v>57</v>
      </c>
      <c r="I156" t="str">
        <f>VLOOKUP(A156,Setores!$A$2:$C$215,2,0)</f>
        <v>consumer_services</v>
      </c>
      <c r="J156" t="str">
        <f>VLOOKUP(A156,Setores!$A$2:$C$215,3,0)</f>
        <v>very_high_beta</v>
      </c>
      <c r="K156" s="92">
        <v>0</v>
      </c>
      <c r="L156" s="42">
        <v>0</v>
      </c>
      <c r="M156" s="92">
        <f>VLOOKUP(A156,'Mandato Ibov'!$B$1:$C$215,2,0)</f>
        <v>0</v>
      </c>
      <c r="N156" s="58">
        <f t="shared" si="26"/>
        <v>0</v>
      </c>
      <c r="O156" s="42">
        <f t="shared" si="27"/>
        <v>0</v>
      </c>
      <c r="P156" s="95">
        <f>VLOOKUP(A156,'Mandato Ibov'!$B$2:$D$215,3,0)</f>
        <v>0</v>
      </c>
      <c r="Q156" s="42">
        <f t="shared" si="28"/>
        <v>0</v>
      </c>
      <c r="R156" s="15">
        <v>-0.745</v>
      </c>
      <c r="S156" s="15">
        <v>-0.66200000000000003</v>
      </c>
      <c r="T156" s="15">
        <v>-0.81699999999999995</v>
      </c>
      <c r="U156" s="15">
        <v>-0.72</v>
      </c>
      <c r="V156" s="15">
        <v>-0.748</v>
      </c>
      <c r="W156" s="15">
        <v>-0.79900000000000004</v>
      </c>
      <c r="X156" s="15">
        <v>-0.81200000000000006</v>
      </c>
      <c r="Y156" s="15">
        <v>-0.69699999999999995</v>
      </c>
      <c r="Z156" s="15">
        <v>0.03</v>
      </c>
      <c r="AA156" s="15">
        <v>2.3E-2</v>
      </c>
      <c r="AB156" s="15">
        <v>0.40200000000000002</v>
      </c>
      <c r="AC156" s="15">
        <v>0.46800000000000003</v>
      </c>
      <c r="AD156" s="15">
        <v>0.496</v>
      </c>
      <c r="AE156" s="14">
        <v>-0.38200000000000001</v>
      </c>
      <c r="AF156" s="15">
        <v>-0.28799999999999998</v>
      </c>
      <c r="AG156" s="15">
        <v>-0.32900000000000001</v>
      </c>
      <c r="AH156" s="15">
        <v>-0.40600000000000003</v>
      </c>
      <c r="AI156" s="15">
        <v>0.20499999999999999</v>
      </c>
      <c r="AJ156" s="16">
        <v>-0.76600000000000001</v>
      </c>
      <c r="AK156" s="4">
        <v>-0.122</v>
      </c>
      <c r="AL156" s="4">
        <v>-0.34300000000000003</v>
      </c>
      <c r="AM156" s="4">
        <v>-0.13</v>
      </c>
      <c r="AN156" s="4">
        <v>8.3000000000000004E-2</v>
      </c>
      <c r="AO156" s="4">
        <v>4.2000000000000003E-2</v>
      </c>
      <c r="AP156" s="4">
        <v>-9.8000000000000004E-2</v>
      </c>
      <c r="AQ156" s="4">
        <v>0.152</v>
      </c>
      <c r="AR156" s="4">
        <v>0.435</v>
      </c>
      <c r="AS156" s="4">
        <v>0.26200000000000001</v>
      </c>
      <c r="AT156" s="4">
        <v>8.9999999999999993E-3</v>
      </c>
      <c r="AU156" s="4">
        <v>-0.42599999999999999</v>
      </c>
      <c r="AV156" s="4">
        <v>-0.153</v>
      </c>
      <c r="AW156" s="4">
        <v>-0.93300000000000005</v>
      </c>
      <c r="AX156" s="4">
        <v>-0.47199999999999998</v>
      </c>
      <c r="AY156" s="4">
        <v>-0.33100000000000002</v>
      </c>
      <c r="AZ156" s="4">
        <v>0.29899999999999999</v>
      </c>
      <c r="BA156" s="4">
        <v>-0.27900000000000003</v>
      </c>
      <c r="BB156" s="4">
        <v>-0.26100000000000001</v>
      </c>
      <c r="BC156" s="4">
        <v>-0.51600000000000001</v>
      </c>
      <c r="BD156" s="4">
        <v>0.45600000000000002</v>
      </c>
      <c r="BE156" s="4">
        <v>0.94499999999999995</v>
      </c>
      <c r="BF156" s="4">
        <v>0.248</v>
      </c>
      <c r="BG156" s="4">
        <v>-4.0000000000000001E-3</v>
      </c>
      <c r="BH156" s="4">
        <v>-0.26400000000000001</v>
      </c>
      <c r="BI156" s="4">
        <v>0.68</v>
      </c>
      <c r="BJ156" s="4">
        <v>-0.65800000000000003</v>
      </c>
      <c r="BK156" s="4">
        <v>0.36199999999999999</v>
      </c>
      <c r="BL156" s="4"/>
      <c r="BM156" s="4">
        <f t="shared" si="29"/>
        <v>-0.13162500000000002</v>
      </c>
    </row>
    <row r="157" spans="1:65" x14ac:dyDescent="0.3">
      <c r="A157" t="s">
        <v>204</v>
      </c>
      <c r="B157" s="53">
        <f t="shared" si="30"/>
        <v>0</v>
      </c>
      <c r="C157" s="53">
        <f t="shared" si="23"/>
        <v>-3.4000000000000002E-2</v>
      </c>
      <c r="D157" s="53">
        <f t="shared" si="24"/>
        <v>0</v>
      </c>
      <c r="E157" s="53">
        <f t="shared" si="25"/>
        <v>3.4000000000000002E-2</v>
      </c>
      <c r="F157" s="15">
        <v>0.56999999999999995</v>
      </c>
      <c r="G157" s="4">
        <v>1.2410000000000001</v>
      </c>
      <c r="H157" t="s">
        <v>55</v>
      </c>
      <c r="I157" t="str">
        <f>VLOOKUP(A157,Setores!$A$2:$C$215,2,0)</f>
        <v>utilities</v>
      </c>
      <c r="J157" t="str">
        <f>VLOOKUP(A157,Setores!$A$2:$C$215,3,0)</f>
        <v>low_beta</v>
      </c>
      <c r="K157" s="92">
        <v>0</v>
      </c>
      <c r="L157" s="42">
        <v>-3.4000000000000002E-2</v>
      </c>
      <c r="M157" s="92">
        <f>VLOOKUP(A157,'Mandato Ibov'!$B$1:$C$215,2,0)</f>
        <v>0</v>
      </c>
      <c r="N157" s="58">
        <f t="shared" si="26"/>
        <v>0</v>
      </c>
      <c r="O157" s="42">
        <f t="shared" si="27"/>
        <v>0</v>
      </c>
      <c r="P157" s="95">
        <f>VLOOKUP(A157,'Mandato Ibov'!$B$2:$D$215,3,0)</f>
        <v>0</v>
      </c>
      <c r="Q157" s="42">
        <f t="shared" si="28"/>
        <v>0</v>
      </c>
      <c r="R157" s="15">
        <v>-0.91</v>
      </c>
      <c r="S157" s="15">
        <v>-0.89400000000000002</v>
      </c>
      <c r="T157" s="15">
        <v>-1</v>
      </c>
      <c r="U157" s="15">
        <v>-0.80100000000000005</v>
      </c>
      <c r="V157" s="15">
        <v>-0.93200000000000005</v>
      </c>
      <c r="W157" s="15">
        <v>-0.72299999999999998</v>
      </c>
      <c r="X157" s="15">
        <v>-0.46200000000000002</v>
      </c>
      <c r="Y157" s="15">
        <v>-0.746</v>
      </c>
      <c r="Z157" s="15">
        <v>0.18099999999999999</v>
      </c>
      <c r="AA157" s="15">
        <v>0.186</v>
      </c>
      <c r="AB157" s="15">
        <v>0.63500000000000001</v>
      </c>
      <c r="AC157" s="15">
        <v>0.60699999999999998</v>
      </c>
      <c r="AD157" s="15">
        <v>0.46800000000000003</v>
      </c>
      <c r="AE157" s="14">
        <v>-0.89</v>
      </c>
      <c r="AF157" s="15">
        <v>-0.61799999999999999</v>
      </c>
      <c r="AG157" s="15">
        <v>-0.2</v>
      </c>
      <c r="AH157" s="15">
        <v>-1</v>
      </c>
      <c r="AI157" s="15">
        <v>-0.73099999999999998</v>
      </c>
      <c r="AJ157" s="16">
        <v>-0.99</v>
      </c>
      <c r="AK157" s="4">
        <v>-0.56100000000000005</v>
      </c>
      <c r="AL157" s="4">
        <v>-0.69199999999999995</v>
      </c>
      <c r="AM157" s="4">
        <v>-0.73199999999999998</v>
      </c>
      <c r="AN157" s="4">
        <v>-0.29099999999999998</v>
      </c>
      <c r="AO157" s="4">
        <v>0.222</v>
      </c>
      <c r="AP157" s="4">
        <v>0.33300000000000002</v>
      </c>
      <c r="AQ157" s="4">
        <v>0.318</v>
      </c>
      <c r="AR157" s="4">
        <v>0.222</v>
      </c>
      <c r="AS157" s="4">
        <v>-2.7E-2</v>
      </c>
      <c r="AT157" s="4">
        <v>0.129</v>
      </c>
      <c r="AU157" s="4">
        <v>4.2999999999999997E-2</v>
      </c>
      <c r="AV157" s="4">
        <v>-0.32700000000000001</v>
      </c>
      <c r="AW157" s="4">
        <v>0.49</v>
      </c>
      <c r="AX157" s="4">
        <v>-0.39300000000000002</v>
      </c>
      <c r="AY157" s="4">
        <v>0.65800000000000003</v>
      </c>
      <c r="AZ157" s="4">
        <v>-0.19600000000000001</v>
      </c>
      <c r="BA157" s="4">
        <v>0.45200000000000001</v>
      </c>
      <c r="BB157" s="4">
        <v>-0.79</v>
      </c>
      <c r="BC157" s="4">
        <v>-0.84699999999999998</v>
      </c>
      <c r="BD157" s="4">
        <v>3.1E-2</v>
      </c>
      <c r="BE157" s="4">
        <v>-3.1E-2</v>
      </c>
      <c r="BF157" s="4">
        <v>-0.71</v>
      </c>
      <c r="BG157" s="4">
        <v>0.55400000000000005</v>
      </c>
      <c r="BH157" s="4">
        <v>-0.99299999999999999</v>
      </c>
      <c r="BI157" s="4">
        <v>-0.26</v>
      </c>
      <c r="BJ157" s="4">
        <v>-0.32500000000000001</v>
      </c>
      <c r="BK157" s="4">
        <v>-0.80200000000000005</v>
      </c>
      <c r="BL157" s="4"/>
      <c r="BM157" s="4">
        <f t="shared" si="29"/>
        <v>4.5025000000000009E-2</v>
      </c>
    </row>
    <row r="158" spans="1:65" x14ac:dyDescent="0.3">
      <c r="A158" t="s">
        <v>241</v>
      </c>
      <c r="B158" s="53">
        <f t="shared" si="30"/>
        <v>0</v>
      </c>
      <c r="C158" s="53">
        <f t="shared" si="23"/>
        <v>-8.0000000000000002E-3</v>
      </c>
      <c r="D158" s="53">
        <f t="shared" si="24"/>
        <v>0</v>
      </c>
      <c r="E158" s="53">
        <f t="shared" si="25"/>
        <v>8.0000000000000002E-3</v>
      </c>
      <c r="F158" s="15">
        <v>0.56999999999999995</v>
      </c>
      <c r="G158" s="4">
        <v>0.71299999999999997</v>
      </c>
      <c r="H158" t="s">
        <v>57</v>
      </c>
      <c r="I158" t="str">
        <f>VLOOKUP(A158,Setores!$A$2:$C$215,2,0)</f>
        <v>transportation</v>
      </c>
      <c r="J158" t="str">
        <f>VLOOKUP(A158,Setores!$A$2:$C$215,3,0)</f>
        <v>neutral_beta</v>
      </c>
      <c r="K158" s="92">
        <v>0</v>
      </c>
      <c r="L158" s="42">
        <v>-8.0000000000000002E-3</v>
      </c>
      <c r="M158" s="92">
        <f>VLOOKUP(A158,'Mandato Ibov'!$B$1:$C$215,2,0)</f>
        <v>0</v>
      </c>
      <c r="N158" s="58">
        <f t="shared" si="26"/>
        <v>0</v>
      </c>
      <c r="O158" s="42">
        <f t="shared" si="27"/>
        <v>0</v>
      </c>
      <c r="P158" s="95">
        <f>VLOOKUP(A158,'Mandato Ibov'!$B$2:$D$215,3,0)</f>
        <v>0</v>
      </c>
      <c r="Q158" s="42">
        <f t="shared" si="28"/>
        <v>0</v>
      </c>
      <c r="R158" s="15">
        <v>-0.66700000000000004</v>
      </c>
      <c r="S158" s="15">
        <v>-0.78400000000000003</v>
      </c>
      <c r="T158" s="15">
        <v>-0.90900000000000003</v>
      </c>
      <c r="U158" s="15">
        <v>-0.70299999999999996</v>
      </c>
      <c r="V158" s="15">
        <v>-0.875</v>
      </c>
      <c r="W158" s="15">
        <v>-0.52700000000000002</v>
      </c>
      <c r="X158" s="15">
        <v>-0.26</v>
      </c>
      <c r="Y158" s="15">
        <v>-0.81299999999999994</v>
      </c>
      <c r="Z158" s="15">
        <v>1E-3</v>
      </c>
      <c r="AA158" s="15">
        <v>0</v>
      </c>
      <c r="AB158" s="15">
        <v>0.45500000000000002</v>
      </c>
      <c r="AC158" s="15">
        <v>0.36899999999999999</v>
      </c>
      <c r="AD158" s="15">
        <v>0.29899999999999999</v>
      </c>
      <c r="AE158" s="14">
        <v>-0.76600000000000001</v>
      </c>
      <c r="AF158" s="15">
        <v>-4.2000000000000003E-2</v>
      </c>
      <c r="AG158" s="15">
        <v>-0.81499999999999995</v>
      </c>
      <c r="AH158" s="15">
        <v>-0.90200000000000002</v>
      </c>
      <c r="AI158" s="15">
        <v>-0.92300000000000004</v>
      </c>
      <c r="AJ158" s="16">
        <v>-0.88100000000000001</v>
      </c>
      <c r="AK158" s="4">
        <v>-0.23899999999999999</v>
      </c>
      <c r="AL158" s="4">
        <v>-0.60199999999999998</v>
      </c>
      <c r="AM158" s="4">
        <v>-0.67500000000000004</v>
      </c>
      <c r="AN158" s="4">
        <v>0.68</v>
      </c>
      <c r="AO158" s="4">
        <v>-0.30499999999999999</v>
      </c>
      <c r="AP158" s="4">
        <v>0.13100000000000001</v>
      </c>
      <c r="AQ158" s="4">
        <v>0.498</v>
      </c>
      <c r="AR158" s="4">
        <v>0.98799999999999999</v>
      </c>
      <c r="AS158" s="4">
        <v>0.36</v>
      </c>
      <c r="AT158" s="4">
        <v>-4.7E-2</v>
      </c>
      <c r="AU158" s="4">
        <v>0.192</v>
      </c>
      <c r="AV158" s="4">
        <v>-0.23200000000000001</v>
      </c>
      <c r="AW158" s="4">
        <v>0.23899999999999999</v>
      </c>
      <c r="AX158" s="4">
        <v>-0.42699999999999999</v>
      </c>
      <c r="AY158" s="4">
        <v>0.65700000000000003</v>
      </c>
      <c r="AZ158" s="4">
        <v>0.32900000000000001</v>
      </c>
      <c r="BA158" s="4">
        <v>0.314</v>
      </c>
      <c r="BB158" s="4">
        <v>-5.0000000000000001E-3</v>
      </c>
      <c r="BC158" s="4">
        <v>-0.48599999999999999</v>
      </c>
      <c r="BD158" s="4">
        <v>0.19500000000000001</v>
      </c>
      <c r="BE158" s="4">
        <v>-0.23799999999999999</v>
      </c>
      <c r="BF158" s="4">
        <v>-0.26400000000000001</v>
      </c>
      <c r="BG158" s="4">
        <v>0.438</v>
      </c>
      <c r="BH158" s="4">
        <v>4.3999999999999997E-2</v>
      </c>
      <c r="BI158" s="4">
        <v>0.247</v>
      </c>
      <c r="BJ158" s="4">
        <v>-0.35699999999999998</v>
      </c>
      <c r="BK158" s="4">
        <v>-0.65700000000000003</v>
      </c>
      <c r="BL158" s="4"/>
      <c r="BM158" s="4">
        <f t="shared" si="29"/>
        <v>8.4375000000000006E-2</v>
      </c>
    </row>
    <row r="159" spans="1:65" x14ac:dyDescent="0.3">
      <c r="A159" t="s">
        <v>222</v>
      </c>
      <c r="B159" s="53">
        <f t="shared" si="30"/>
        <v>0</v>
      </c>
      <c r="C159" s="53">
        <f t="shared" si="23"/>
        <v>-1.0999999999999999E-2</v>
      </c>
      <c r="D159" s="53">
        <f t="shared" si="24"/>
        <v>0</v>
      </c>
      <c r="E159" s="53">
        <f t="shared" si="25"/>
        <v>1.0999999999999999E-2</v>
      </c>
      <c r="F159" s="15">
        <v>0.56899999999999995</v>
      </c>
      <c r="G159" s="4">
        <v>0.84099999999999997</v>
      </c>
      <c r="H159" t="s">
        <v>71</v>
      </c>
      <c r="I159" t="str">
        <f>VLOOKUP(A159,Setores!$A$2:$C$215,2,0)</f>
        <v>basic_materials</v>
      </c>
      <c r="J159" t="str">
        <f>VLOOKUP(A159,Setores!$A$2:$C$215,3,0)</f>
        <v>very_low_beta</v>
      </c>
      <c r="K159" s="92">
        <v>0</v>
      </c>
      <c r="L159" s="42">
        <v>-1.0999999999999999E-2</v>
      </c>
      <c r="M159" s="92">
        <f>VLOOKUP(A159,'Mandato Ibov'!$B$1:$C$215,2,0)</f>
        <v>0</v>
      </c>
      <c r="N159" s="58">
        <f t="shared" si="26"/>
        <v>0</v>
      </c>
      <c r="O159" s="42">
        <f t="shared" si="27"/>
        <v>0</v>
      </c>
      <c r="P159" s="95">
        <f>VLOOKUP(A159,'Mandato Ibov'!$B$2:$D$215,3,0)</f>
        <v>0</v>
      </c>
      <c r="Q159" s="42">
        <f t="shared" si="28"/>
        <v>0</v>
      </c>
      <c r="R159" s="15">
        <v>-0.95399999999999996</v>
      </c>
      <c r="S159" s="15">
        <v>-0.92500000000000004</v>
      </c>
      <c r="T159" s="15">
        <v>-1</v>
      </c>
      <c r="U159" s="15">
        <v>-0.87</v>
      </c>
      <c r="V159" s="15">
        <v>-0.94599999999999995</v>
      </c>
      <c r="W159" s="15">
        <v>-0.70699999999999996</v>
      </c>
      <c r="X159" s="15">
        <v>-0.40500000000000003</v>
      </c>
      <c r="Y159" s="15">
        <v>-0.83799999999999997</v>
      </c>
      <c r="Z159" s="15">
        <v>0.59399999999999997</v>
      </c>
      <c r="AA159" s="15">
        <v>0.59</v>
      </c>
      <c r="AB159" s="15">
        <v>0.504</v>
      </c>
      <c r="AC159" s="15">
        <v>0.52</v>
      </c>
      <c r="AD159" s="15">
        <v>0.43099999999999999</v>
      </c>
      <c r="AE159" s="14">
        <v>-0.64300000000000002</v>
      </c>
      <c r="AF159" s="15">
        <v>-0.90600000000000003</v>
      </c>
      <c r="AG159" s="15">
        <v>-0.73199999999999998</v>
      </c>
      <c r="AH159" s="15">
        <v>-0.90200000000000002</v>
      </c>
      <c r="AI159" s="15">
        <v>-1</v>
      </c>
      <c r="AJ159" s="16">
        <v>-1</v>
      </c>
      <c r="AK159" s="4">
        <v>-2.3E-2</v>
      </c>
      <c r="AL159" s="4">
        <v>-0.57099999999999995</v>
      </c>
      <c r="AM159" s="4">
        <v>-0.35399999999999998</v>
      </c>
      <c r="AN159" s="4">
        <v>3.5000000000000003E-2</v>
      </c>
      <c r="AO159" s="4">
        <v>-0.14099999999999999</v>
      </c>
      <c r="AP159" s="4">
        <v>-0.95199999999999996</v>
      </c>
      <c r="AQ159" s="4">
        <v>-0.48199999999999998</v>
      </c>
      <c r="AR159" s="4">
        <v>-7.4999999999999997E-2</v>
      </c>
      <c r="AS159" s="4">
        <v>-0.12</v>
      </c>
      <c r="AT159" s="4">
        <v>0.17100000000000001</v>
      </c>
      <c r="AU159" s="4">
        <v>4.3999999999999997E-2</v>
      </c>
      <c r="AV159" s="4">
        <v>-0.35599999999999998</v>
      </c>
      <c r="AW159" s="4">
        <v>0.93899999999999995</v>
      </c>
      <c r="AX159" s="4">
        <v>-0.39700000000000002</v>
      </c>
      <c r="AY159" s="4">
        <v>0.14899999999999999</v>
      </c>
      <c r="AZ159" s="4">
        <v>-0.29099999999999998</v>
      </c>
      <c r="BA159" s="4">
        <v>-0.73899999999999999</v>
      </c>
      <c r="BB159" s="4">
        <v>-0.20799999999999999</v>
      </c>
      <c r="BC159" s="4">
        <v>-0.30499999999999999</v>
      </c>
      <c r="BD159" s="4">
        <v>0.219</v>
      </c>
      <c r="BE159" s="4">
        <v>-3.5000000000000003E-2</v>
      </c>
      <c r="BF159" s="4">
        <v>-1E-3</v>
      </c>
      <c r="BG159" s="4">
        <v>0.92800000000000005</v>
      </c>
      <c r="BH159" s="4">
        <v>-0.11600000000000001</v>
      </c>
      <c r="BI159" s="4">
        <v>-0.71899999999999997</v>
      </c>
      <c r="BJ159" s="4">
        <v>-0.33400000000000002</v>
      </c>
      <c r="BK159" s="4">
        <v>-0.65500000000000003</v>
      </c>
      <c r="BL159" s="4"/>
      <c r="BM159" s="4">
        <f t="shared" si="29"/>
        <v>-0.12102499999999998</v>
      </c>
    </row>
    <row r="160" spans="1:65" x14ac:dyDescent="0.3">
      <c r="A160" t="s">
        <v>240</v>
      </c>
      <c r="B160" s="53">
        <f t="shared" si="30"/>
        <v>0</v>
      </c>
      <c r="C160" s="53">
        <f t="shared" si="23"/>
        <v>-2.1000000000000001E-2</v>
      </c>
      <c r="D160" s="53">
        <f t="shared" si="24"/>
        <v>0</v>
      </c>
      <c r="E160" s="53">
        <f t="shared" si="25"/>
        <v>2.1000000000000001E-2</v>
      </c>
      <c r="F160" s="15">
        <v>0.56799999999999995</v>
      </c>
      <c r="G160" s="4">
        <v>0.79400000000000004</v>
      </c>
      <c r="H160" t="s">
        <v>71</v>
      </c>
      <c r="I160" t="str">
        <f>VLOOKUP(A160,Setores!$A$2:$C$215,2,0)</f>
        <v>crude_oil</v>
      </c>
      <c r="J160" t="str">
        <f>VLOOKUP(A160,Setores!$A$2:$C$215,3,0)</f>
        <v>very_low_beta</v>
      </c>
      <c r="K160" s="92">
        <v>0</v>
      </c>
      <c r="L160" s="42">
        <v>-2.1000000000000001E-2</v>
      </c>
      <c r="M160" s="92">
        <f>VLOOKUP(A160,'Mandato Ibov'!$B$1:$C$215,2,0)</f>
        <v>0</v>
      </c>
      <c r="N160" s="58">
        <f t="shared" si="26"/>
        <v>0</v>
      </c>
      <c r="O160" s="42">
        <f t="shared" si="27"/>
        <v>0</v>
      </c>
      <c r="P160" s="95">
        <f>VLOOKUP(A160,'Mandato Ibov'!$B$2:$D$215,3,0)</f>
        <v>0</v>
      </c>
      <c r="Q160" s="42">
        <f t="shared" si="28"/>
        <v>0</v>
      </c>
      <c r="R160" s="15">
        <v>-0.94199999999999995</v>
      </c>
      <c r="S160" s="15">
        <v>-0.72499999999999998</v>
      </c>
      <c r="T160" s="15">
        <v>-1</v>
      </c>
      <c r="U160" s="15">
        <v>-0.85699999999999998</v>
      </c>
      <c r="V160" s="15">
        <v>-0.92500000000000004</v>
      </c>
      <c r="W160" s="15">
        <v>-0.82799999999999996</v>
      </c>
      <c r="X160" s="15">
        <v>-0.81200000000000006</v>
      </c>
      <c r="Y160" s="15">
        <v>-0.64100000000000001</v>
      </c>
      <c r="Z160" s="15">
        <v>5.5E-2</v>
      </c>
      <c r="AA160" s="15">
        <v>6.4000000000000001E-2</v>
      </c>
      <c r="AB160" s="15">
        <v>0.48099999999999998</v>
      </c>
      <c r="AC160" s="15">
        <v>0.56100000000000005</v>
      </c>
      <c r="AD160" s="15">
        <v>0.58499999999999996</v>
      </c>
      <c r="AE160" s="14">
        <v>-1</v>
      </c>
      <c r="AF160" s="15">
        <v>-0.95899999999999996</v>
      </c>
      <c r="AG160" s="15">
        <v>0.32500000000000001</v>
      </c>
      <c r="AH160" s="15">
        <v>-1</v>
      </c>
      <c r="AI160" s="15">
        <v>-0.45300000000000001</v>
      </c>
      <c r="AJ160" s="16">
        <v>-1</v>
      </c>
      <c r="AK160" s="4">
        <v>-0.52</v>
      </c>
      <c r="AL160" s="4">
        <v>-1</v>
      </c>
      <c r="AM160" s="4">
        <v>-0.81599999999999995</v>
      </c>
      <c r="AN160" s="4">
        <v>-0.36399999999999999</v>
      </c>
      <c r="AO160" s="4">
        <v>0.91100000000000003</v>
      </c>
      <c r="AP160" s="4">
        <v>0.95399999999999996</v>
      </c>
      <c r="AQ160" s="4">
        <v>-0.65900000000000003</v>
      </c>
      <c r="AR160" s="4">
        <v>0.30499999999999999</v>
      </c>
      <c r="AS160" s="4">
        <v>4.0000000000000001E-3</v>
      </c>
      <c r="AT160" s="4">
        <v>8.0000000000000002E-3</v>
      </c>
      <c r="AU160" s="4">
        <v>-7.0999999999999994E-2</v>
      </c>
      <c r="AV160" s="4">
        <v>-0.77600000000000002</v>
      </c>
      <c r="AW160" s="4">
        <v>0.433</v>
      </c>
      <c r="AX160" s="4">
        <v>-0.438</v>
      </c>
      <c r="AY160" s="4">
        <v>-0.112</v>
      </c>
      <c r="AZ160" s="4">
        <v>6.8000000000000005E-2</v>
      </c>
      <c r="BA160" s="4">
        <v>0.61899999999999999</v>
      </c>
      <c r="BB160" s="4">
        <v>-0.63100000000000001</v>
      </c>
      <c r="BC160" s="4">
        <v>-0.77600000000000002</v>
      </c>
      <c r="BD160" s="4">
        <v>0.47899999999999998</v>
      </c>
      <c r="BE160" s="4">
        <v>-1</v>
      </c>
      <c r="BF160" s="4">
        <v>0.19400000000000001</v>
      </c>
      <c r="BG160" s="4">
        <v>2.9000000000000001E-2</v>
      </c>
      <c r="BH160" s="4">
        <v>-0.67200000000000004</v>
      </c>
      <c r="BI160" s="4">
        <v>-1</v>
      </c>
      <c r="BJ160" s="4">
        <v>-1</v>
      </c>
      <c r="BK160" s="4">
        <v>-0.40699999999999997</v>
      </c>
      <c r="BL160" s="4"/>
      <c r="BM160" s="4">
        <f t="shared" si="29"/>
        <v>-3.8099999999999995E-2</v>
      </c>
    </row>
    <row r="161" spans="1:65" x14ac:dyDescent="0.3">
      <c r="A161" t="s">
        <v>206</v>
      </c>
      <c r="B161" s="53">
        <f t="shared" si="30"/>
        <v>0</v>
      </c>
      <c r="C161" s="53">
        <f t="shared" si="23"/>
        <v>0</v>
      </c>
      <c r="D161" s="53">
        <f t="shared" si="24"/>
        <v>0</v>
      </c>
      <c r="E161" s="53">
        <f t="shared" si="25"/>
        <v>0</v>
      </c>
      <c r="F161" s="15">
        <v>0.56699999999999995</v>
      </c>
      <c r="G161" s="4">
        <v>0.54900000000000004</v>
      </c>
      <c r="H161" t="s">
        <v>57</v>
      </c>
      <c r="I161" t="str">
        <f>VLOOKUP(A161,Setores!$A$2:$C$215,2,0)</f>
        <v>financial_services</v>
      </c>
      <c r="J161" t="str">
        <f>VLOOKUP(A161,Setores!$A$2:$C$215,3,0)</f>
        <v>very_high_beta</v>
      </c>
      <c r="K161" s="92">
        <v>0</v>
      </c>
      <c r="L161" s="42">
        <v>0</v>
      </c>
      <c r="M161" s="92">
        <f>VLOOKUP(A161,'Mandato Ibov'!$B$1:$C$215,2,0)</f>
        <v>0</v>
      </c>
      <c r="N161" s="58">
        <f t="shared" si="26"/>
        <v>0</v>
      </c>
      <c r="O161" s="42">
        <f t="shared" si="27"/>
        <v>0</v>
      </c>
      <c r="P161" s="95">
        <f>VLOOKUP(A161,'Mandato Ibov'!$B$2:$D$215,3,0)</f>
        <v>0</v>
      </c>
      <c r="Q161" s="42">
        <f t="shared" si="28"/>
        <v>0</v>
      </c>
      <c r="R161" s="15">
        <v>-0.73599999999999999</v>
      </c>
      <c r="S161" s="15">
        <v>-0.8</v>
      </c>
      <c r="T161" s="15">
        <v>-0.87</v>
      </c>
      <c r="U161" s="15">
        <v>-0.80500000000000005</v>
      </c>
      <c r="V161" s="15">
        <v>-0.88800000000000001</v>
      </c>
      <c r="W161" s="15">
        <v>-0.63500000000000001</v>
      </c>
      <c r="X161" s="15">
        <v>-0.499</v>
      </c>
      <c r="Y161" s="15">
        <v>-0.83899999999999997</v>
      </c>
      <c r="Z161" s="15">
        <v>-2.5999999999999999E-2</v>
      </c>
      <c r="AA161" s="15">
        <v>-2.5999999999999999E-2</v>
      </c>
      <c r="AB161" s="15">
        <v>0.64300000000000002</v>
      </c>
      <c r="AC161" s="15">
        <v>0.57599999999999996</v>
      </c>
      <c r="AD161" s="15">
        <v>0.41399999999999998</v>
      </c>
      <c r="AE161" s="14">
        <v>-0.85199999999999998</v>
      </c>
      <c r="AF161" s="15">
        <v>-0.14399999999999999</v>
      </c>
      <c r="AG161" s="15">
        <v>-0.73099999999999998</v>
      </c>
      <c r="AH161" s="15">
        <v>-0.90900000000000003</v>
      </c>
      <c r="AI161" s="15">
        <v>-0.98499999999999999</v>
      </c>
      <c r="AJ161" s="16">
        <v>-0.95399999999999996</v>
      </c>
      <c r="AK161" s="4">
        <v>-9.4E-2</v>
      </c>
      <c r="AL161" s="4">
        <v>-0.60499999999999998</v>
      </c>
      <c r="AM161" s="4">
        <v>-0.45</v>
      </c>
      <c r="AN161" s="4">
        <v>0.19800000000000001</v>
      </c>
      <c r="AO161" s="4">
        <v>-0.33100000000000002</v>
      </c>
      <c r="AP161" s="4">
        <v>-1.4E-2</v>
      </c>
      <c r="AQ161" s="4">
        <v>0.1</v>
      </c>
      <c r="AR161" s="4">
        <v>0.222</v>
      </c>
      <c r="AS161" s="4">
        <v>0.35899999999999999</v>
      </c>
      <c r="AT161" s="4">
        <v>-8.8999999999999996E-2</v>
      </c>
      <c r="AU161" s="4">
        <v>4.8000000000000001E-2</v>
      </c>
      <c r="AV161" s="4">
        <v>-0.68100000000000005</v>
      </c>
      <c r="AW161" s="4">
        <v>5.7000000000000002E-2</v>
      </c>
      <c r="AX161" s="4">
        <v>-0.214</v>
      </c>
      <c r="AY161" s="4">
        <v>-0.115</v>
      </c>
      <c r="AZ161" s="4">
        <v>0.59199999999999997</v>
      </c>
      <c r="BA161" s="4">
        <v>0.52200000000000002</v>
      </c>
      <c r="BB161" s="4">
        <v>-0.316</v>
      </c>
      <c r="BC161" s="4">
        <v>5.1999999999999998E-2</v>
      </c>
      <c r="BD161" s="4">
        <v>0.14899999999999999</v>
      </c>
      <c r="BE161" s="4">
        <v>8.5999999999999993E-2</v>
      </c>
      <c r="BF161" s="4">
        <v>5.8000000000000003E-2</v>
      </c>
      <c r="BG161" s="4">
        <v>0.54700000000000004</v>
      </c>
      <c r="BH161" s="4">
        <v>-5.8000000000000003E-2</v>
      </c>
      <c r="BI161" s="4">
        <v>0.24299999999999999</v>
      </c>
      <c r="BJ161" s="4">
        <v>0.189</v>
      </c>
      <c r="BK161" s="4">
        <v>-0.57499999999999996</v>
      </c>
      <c r="BL161" s="4"/>
      <c r="BM161" s="4">
        <f t="shared" si="29"/>
        <v>-0.11605000000000003</v>
      </c>
    </row>
    <row r="162" spans="1:65" x14ac:dyDescent="0.3">
      <c r="A162" t="s">
        <v>234</v>
      </c>
      <c r="B162" s="53">
        <f t="shared" si="30"/>
        <v>0</v>
      </c>
      <c r="C162" s="53">
        <f t="shared" si="23"/>
        <v>-2E-3</v>
      </c>
      <c r="D162" s="53">
        <f t="shared" si="24"/>
        <v>0</v>
      </c>
      <c r="E162" s="53">
        <f t="shared" si="25"/>
        <v>2E-3</v>
      </c>
      <c r="F162" s="15">
        <v>0.56399999999999995</v>
      </c>
      <c r="G162" s="4">
        <v>0.59499999999999997</v>
      </c>
      <c r="H162" t="s">
        <v>55</v>
      </c>
      <c r="I162" t="str">
        <f>VLOOKUP(A162,Setores!$A$2:$C$215,2,0)</f>
        <v>utilities</v>
      </c>
      <c r="J162" t="str">
        <f>VLOOKUP(A162,Setores!$A$2:$C$215,3,0)</f>
        <v>high_beta</v>
      </c>
      <c r="K162" s="92">
        <v>0</v>
      </c>
      <c r="L162" s="42">
        <v>-2E-3</v>
      </c>
      <c r="M162" s="92">
        <f>VLOOKUP(A162,'Mandato Ibov'!$B$1:$C$215,2,0)</f>
        <v>0</v>
      </c>
      <c r="N162" s="58">
        <f t="shared" si="26"/>
        <v>0</v>
      </c>
      <c r="O162" s="42">
        <f t="shared" si="27"/>
        <v>0</v>
      </c>
      <c r="P162" s="95">
        <f>VLOOKUP(A162,'Mandato Ibov'!$B$2:$D$215,3,0)</f>
        <v>0</v>
      </c>
      <c r="Q162" s="42">
        <f t="shared" si="28"/>
        <v>0</v>
      </c>
      <c r="R162" s="15">
        <v>-0.93</v>
      </c>
      <c r="S162" s="15">
        <v>-0.85899999999999999</v>
      </c>
      <c r="T162" s="15">
        <v>-0.96599999999999997</v>
      </c>
      <c r="U162" s="15">
        <v>-0.89100000000000001</v>
      </c>
      <c r="V162" s="15">
        <v>-0.91400000000000003</v>
      </c>
      <c r="W162" s="15">
        <v>-0.76700000000000002</v>
      </c>
      <c r="X162" s="15">
        <v>-0.63600000000000001</v>
      </c>
      <c r="Y162" s="15">
        <v>-0.64800000000000002</v>
      </c>
      <c r="Z162" s="15">
        <v>6.4000000000000001E-2</v>
      </c>
      <c r="AA162" s="15">
        <v>6.2E-2</v>
      </c>
      <c r="AB162" s="15">
        <v>0.47399999999999998</v>
      </c>
      <c r="AC162" s="15">
        <v>0.32600000000000001</v>
      </c>
      <c r="AD162" s="15">
        <v>0.52900000000000003</v>
      </c>
      <c r="AE162" s="14">
        <v>-0.96</v>
      </c>
      <c r="AF162" s="15">
        <v>-0.98899999999999999</v>
      </c>
      <c r="AG162" s="15">
        <v>-0.247</v>
      </c>
      <c r="AH162" s="15">
        <v>-0.91300000000000003</v>
      </c>
      <c r="AI162" s="15">
        <v>-0.21299999999999999</v>
      </c>
      <c r="AJ162" s="16">
        <v>-0.95399999999999996</v>
      </c>
      <c r="AK162" s="4">
        <v>-0.43099999999999999</v>
      </c>
      <c r="AL162" s="4">
        <v>-0.14499999999999999</v>
      </c>
      <c r="AM162" s="4">
        <v>-0.36199999999999999</v>
      </c>
      <c r="AN162" s="4">
        <v>-0.48899999999999999</v>
      </c>
      <c r="AO162" s="4">
        <v>0.29199999999999998</v>
      </c>
      <c r="AP162" s="4">
        <v>0.79</v>
      </c>
      <c r="AQ162" s="4">
        <v>-0.41099999999999998</v>
      </c>
      <c r="AR162" s="4">
        <v>-1</v>
      </c>
      <c r="AS162" s="4">
        <v>-0.48499999999999999</v>
      </c>
      <c r="AT162" s="4">
        <v>-0.499</v>
      </c>
      <c r="AU162" s="4">
        <v>-0.63400000000000001</v>
      </c>
      <c r="AV162" s="4">
        <v>-0.54600000000000004</v>
      </c>
      <c r="AW162" s="4">
        <v>0.58699999999999997</v>
      </c>
      <c r="AX162" s="4">
        <v>-0.73099999999999998</v>
      </c>
      <c r="AY162" s="4">
        <v>-0.28499999999999998</v>
      </c>
      <c r="AZ162" s="4">
        <v>-9.0999999999999998E-2</v>
      </c>
      <c r="BA162" s="4">
        <v>-0.35299999999999998</v>
      </c>
      <c r="BB162" s="4">
        <v>0.27200000000000002</v>
      </c>
      <c r="BC162" s="4">
        <v>-0.14199999999999999</v>
      </c>
      <c r="BD162" s="4">
        <v>0.316</v>
      </c>
      <c r="BE162" s="4">
        <v>-0.33400000000000002</v>
      </c>
      <c r="BF162" s="4">
        <v>0.48899999999999999</v>
      </c>
      <c r="BG162" s="4">
        <v>0.84899999999999998</v>
      </c>
      <c r="BH162" s="4">
        <v>-0.30299999999999999</v>
      </c>
      <c r="BI162" s="4">
        <v>-5.0000000000000001E-3</v>
      </c>
      <c r="BJ162" s="4">
        <v>0.13700000000000001</v>
      </c>
      <c r="BK162" s="4">
        <v>5.2999999999999999E-2</v>
      </c>
      <c r="BL162" s="4"/>
      <c r="BM162" s="4">
        <f t="shared" si="29"/>
        <v>-0.17052499999999998</v>
      </c>
    </row>
    <row r="163" spans="1:65" x14ac:dyDescent="0.3">
      <c r="A163" t="s">
        <v>218</v>
      </c>
      <c r="B163" s="53">
        <f t="shared" si="30"/>
        <v>0</v>
      </c>
      <c r="C163" s="53">
        <f t="shared" si="23"/>
        <v>-0.02</v>
      </c>
      <c r="D163" s="53">
        <f t="shared" si="24"/>
        <v>0</v>
      </c>
      <c r="E163" s="53">
        <f t="shared" si="25"/>
        <v>0.02</v>
      </c>
      <c r="F163" s="15">
        <v>0.56299999999999994</v>
      </c>
      <c r="G163" s="4">
        <v>1.2250000000000001</v>
      </c>
      <c r="H163" t="s">
        <v>55</v>
      </c>
      <c r="I163" t="str">
        <f>VLOOKUP(A163,Setores!$A$2:$C$215,2,0)</f>
        <v>utilities</v>
      </c>
      <c r="J163" t="str">
        <f>VLOOKUP(A163,Setores!$A$2:$C$215,3,0)</f>
        <v>high_beta</v>
      </c>
      <c r="K163" s="92">
        <v>0</v>
      </c>
      <c r="L163" s="42">
        <v>-0.02</v>
      </c>
      <c r="M163" s="92">
        <f>VLOOKUP(A163,'Mandato Ibov'!$B$1:$C$215,2,0)</f>
        <v>0</v>
      </c>
      <c r="N163" s="58">
        <f t="shared" si="26"/>
        <v>0</v>
      </c>
      <c r="O163" s="42">
        <f t="shared" si="27"/>
        <v>0</v>
      </c>
      <c r="P163" s="95">
        <f>VLOOKUP(A163,'Mandato Ibov'!$B$2:$D$215,3,0)</f>
        <v>0</v>
      </c>
      <c r="Q163" s="42">
        <f t="shared" si="28"/>
        <v>0</v>
      </c>
      <c r="R163" s="15">
        <v>-0.86</v>
      </c>
      <c r="S163" s="15">
        <v>-0.89500000000000002</v>
      </c>
      <c r="T163" s="15">
        <v>-0.98099999999999998</v>
      </c>
      <c r="U163" s="15">
        <v>-0.81899999999999995</v>
      </c>
      <c r="V163" s="15">
        <v>-0.93700000000000006</v>
      </c>
      <c r="W163" s="15">
        <v>-0.63700000000000001</v>
      </c>
      <c r="X163" s="15">
        <v>-0.42199999999999999</v>
      </c>
      <c r="Y163" s="15">
        <v>-0.80900000000000005</v>
      </c>
      <c r="Z163" s="15">
        <v>-1.2999999999999999E-2</v>
      </c>
      <c r="AA163" s="15">
        <v>-1.0999999999999999E-2</v>
      </c>
      <c r="AB163" s="15">
        <v>0.64400000000000002</v>
      </c>
      <c r="AC163" s="15">
        <v>0.59699999999999998</v>
      </c>
      <c r="AD163" s="15">
        <v>0.44500000000000001</v>
      </c>
      <c r="AE163" s="14">
        <v>-0.60699999999999998</v>
      </c>
      <c r="AF163" s="15">
        <v>-0.74199999999999999</v>
      </c>
      <c r="AG163" s="15">
        <v>-0.64200000000000002</v>
      </c>
      <c r="AH163" s="15">
        <v>-0.97199999999999998</v>
      </c>
      <c r="AI163" s="15">
        <v>-0.81399999999999995</v>
      </c>
      <c r="AJ163" s="16">
        <v>-1</v>
      </c>
      <c r="AK163" s="4">
        <v>-0.28599999999999998</v>
      </c>
      <c r="AL163" s="4">
        <v>-0.63500000000000001</v>
      </c>
      <c r="AM163" s="4">
        <v>-0.58399999999999996</v>
      </c>
      <c r="AN163" s="4">
        <v>-0.23699999999999999</v>
      </c>
      <c r="AO163" s="4">
        <v>-9.7000000000000003E-2</v>
      </c>
      <c r="AP163" s="4">
        <v>0.26300000000000001</v>
      </c>
      <c r="AQ163" s="4">
        <v>-6.4000000000000001E-2</v>
      </c>
      <c r="AR163" s="4">
        <v>0.19800000000000001</v>
      </c>
      <c r="AS163" s="4">
        <v>0.13500000000000001</v>
      </c>
      <c r="AT163" s="4">
        <v>-5.5E-2</v>
      </c>
      <c r="AU163" s="4">
        <v>-0.39100000000000001</v>
      </c>
      <c r="AV163" s="4">
        <v>-0.129</v>
      </c>
      <c r="AW163" s="4">
        <v>0.51600000000000001</v>
      </c>
      <c r="AX163" s="4">
        <v>-0.82799999999999996</v>
      </c>
      <c r="AY163" s="4">
        <v>0.94399999999999995</v>
      </c>
      <c r="AZ163" s="4">
        <v>0.33600000000000002</v>
      </c>
      <c r="BA163" s="4">
        <v>0.223</v>
      </c>
      <c r="BB163" s="4">
        <v>0.159</v>
      </c>
      <c r="BC163" s="4">
        <v>1.4999999999999999E-2</v>
      </c>
      <c r="BD163" s="4">
        <v>0.34200000000000003</v>
      </c>
      <c r="BE163" s="4">
        <v>-1.6E-2</v>
      </c>
      <c r="BF163" s="4">
        <v>0.254</v>
      </c>
      <c r="BG163" s="4">
        <v>0.86799999999999999</v>
      </c>
      <c r="BH163" s="4">
        <v>-0.45800000000000002</v>
      </c>
      <c r="BI163" s="4">
        <v>1.0999999999999999E-2</v>
      </c>
      <c r="BJ163" s="4">
        <v>-0.33300000000000002</v>
      </c>
      <c r="BK163" s="4">
        <v>-0.49</v>
      </c>
      <c r="BL163" s="4"/>
      <c r="BM163" s="4">
        <f t="shared" si="29"/>
        <v>6.8249999999999977E-3</v>
      </c>
    </row>
    <row r="164" spans="1:65" x14ac:dyDescent="0.3">
      <c r="A164" t="s">
        <v>277</v>
      </c>
      <c r="B164" s="53">
        <f t="shared" si="30"/>
        <v>0</v>
      </c>
      <c r="C164" s="53">
        <f t="shared" si="23"/>
        <v>0</v>
      </c>
      <c r="D164" s="53">
        <f t="shared" si="24"/>
        <v>0</v>
      </c>
      <c r="E164" s="53">
        <f t="shared" si="25"/>
        <v>0</v>
      </c>
      <c r="F164" s="15">
        <v>0.56299999999999994</v>
      </c>
      <c r="G164" s="4">
        <v>0.56999999999999995</v>
      </c>
      <c r="H164" t="s">
        <v>55</v>
      </c>
      <c r="I164" t="str">
        <f>VLOOKUP(A164,Setores!$A$2:$C$215,2,0)</f>
        <v>telecom</v>
      </c>
      <c r="J164" t="str">
        <f>VLOOKUP(A164,Setores!$A$2:$C$215,3,0)</f>
        <v>low_beta</v>
      </c>
      <c r="K164" s="92">
        <v>0</v>
      </c>
      <c r="L164" s="42">
        <v>0</v>
      </c>
      <c r="M164" s="92">
        <f>VLOOKUP(A164,'Mandato Ibov'!$B$1:$C$215,2,0)</f>
        <v>0</v>
      </c>
      <c r="N164" s="58">
        <f t="shared" si="26"/>
        <v>0</v>
      </c>
      <c r="O164" s="42">
        <f t="shared" si="27"/>
        <v>0</v>
      </c>
      <c r="P164" s="95">
        <f>VLOOKUP(A164,'Mandato Ibov'!$B$2:$D$215,3,0)</f>
        <v>0</v>
      </c>
      <c r="Q164" s="42">
        <f t="shared" si="28"/>
        <v>0</v>
      </c>
      <c r="R164" s="15">
        <v>-0.77400000000000002</v>
      </c>
      <c r="S164" s="15">
        <v>-0.71</v>
      </c>
      <c r="T164" s="15">
        <v>-0.83399999999999996</v>
      </c>
      <c r="U164" s="15">
        <v>-0.85899999999999999</v>
      </c>
      <c r="V164" s="15">
        <v>-0.875</v>
      </c>
      <c r="W164" s="15">
        <v>-0.73499999999999999</v>
      </c>
      <c r="X164" s="15">
        <v>-0.64800000000000002</v>
      </c>
      <c r="Y164" s="15">
        <v>-0.83099999999999996</v>
      </c>
      <c r="Z164" s="15">
        <v>5.5E-2</v>
      </c>
      <c r="AA164" s="15">
        <v>5.8000000000000003E-2</v>
      </c>
      <c r="AB164" s="15">
        <v>0.44400000000000001</v>
      </c>
      <c r="AC164" s="15">
        <v>0.23400000000000001</v>
      </c>
      <c r="AD164" s="15">
        <v>0.53400000000000003</v>
      </c>
      <c r="AE164" s="14">
        <v>-1</v>
      </c>
      <c r="AF164" s="15">
        <v>-1</v>
      </c>
      <c r="AG164" s="15">
        <v>-0.47499999999999998</v>
      </c>
      <c r="AH164" s="15">
        <v>-0.755</v>
      </c>
      <c r="AI164" s="15">
        <v>-0.38800000000000001</v>
      </c>
      <c r="AJ164" s="16">
        <v>-0.78800000000000003</v>
      </c>
      <c r="AK164" s="4">
        <v>-0.23300000000000001</v>
      </c>
      <c r="AL164" s="4">
        <v>-0.79700000000000004</v>
      </c>
      <c r="AM164" s="4">
        <v>-0.46700000000000003</v>
      </c>
      <c r="AN164" s="4">
        <v>-0.24099999999999999</v>
      </c>
      <c r="AO164" s="4">
        <v>3.0000000000000001E-3</v>
      </c>
      <c r="AP164" s="4">
        <v>0.18</v>
      </c>
      <c r="AQ164" s="4">
        <v>-0.105</v>
      </c>
      <c r="AR164" s="4">
        <v>0.25600000000000001</v>
      </c>
      <c r="AS164" s="4">
        <v>-0.217</v>
      </c>
      <c r="AT164" s="4">
        <v>-8.3000000000000004E-2</v>
      </c>
      <c r="AU164" s="4">
        <v>8.1000000000000003E-2</v>
      </c>
      <c r="AV164" s="4">
        <v>-0.68899999999999995</v>
      </c>
      <c r="AW164" s="4">
        <v>0.23400000000000001</v>
      </c>
      <c r="AX164" s="4">
        <v>0.125</v>
      </c>
      <c r="AY164" s="4">
        <v>0.63600000000000001</v>
      </c>
      <c r="AZ164" s="4">
        <v>8.5999999999999993E-2</v>
      </c>
      <c r="BA164" s="4">
        <v>0.64600000000000002</v>
      </c>
      <c r="BB164" s="4">
        <v>0.01</v>
      </c>
      <c r="BC164" s="4">
        <v>-0.108</v>
      </c>
      <c r="BD164" s="4">
        <v>0.44700000000000001</v>
      </c>
      <c r="BE164" s="4">
        <v>-0.28899999999999998</v>
      </c>
      <c r="BF164" s="4">
        <v>-0.252</v>
      </c>
      <c r="BG164" s="4">
        <v>0.245</v>
      </c>
      <c r="BH164" s="4">
        <v>1E-3</v>
      </c>
      <c r="BI164" s="4">
        <v>-0.16</v>
      </c>
      <c r="BJ164" s="4">
        <v>0.83799999999999997</v>
      </c>
      <c r="BK164" s="4">
        <v>-3.7999999999999999E-2</v>
      </c>
      <c r="BL164" s="4"/>
      <c r="BM164" s="4">
        <f t="shared" si="29"/>
        <v>-8.9050000000000018E-2</v>
      </c>
    </row>
    <row r="165" spans="1:65" x14ac:dyDescent="0.3">
      <c r="A165" t="s">
        <v>276</v>
      </c>
      <c r="B165" s="53">
        <f t="shared" si="30"/>
        <v>0</v>
      </c>
      <c r="C165" s="53">
        <f t="shared" si="23"/>
        <v>0</v>
      </c>
      <c r="D165" s="53">
        <f t="shared" si="24"/>
        <v>0</v>
      </c>
      <c r="E165" s="53">
        <f t="shared" si="25"/>
        <v>0</v>
      </c>
      <c r="F165" s="15">
        <v>0.56200000000000006</v>
      </c>
      <c r="G165" s="4">
        <v>0.39400000000000002</v>
      </c>
      <c r="H165" t="s">
        <v>68</v>
      </c>
      <c r="I165" t="str">
        <f>VLOOKUP(A165,Setores!$A$2:$C$215,2,0)</f>
        <v>chemicals</v>
      </c>
      <c r="J165" t="str">
        <f>VLOOKUP(A165,Setores!$A$2:$C$215,3,0)</f>
        <v>very_high_beta</v>
      </c>
      <c r="K165" s="92">
        <v>0</v>
      </c>
      <c r="L165" s="42">
        <v>0</v>
      </c>
      <c r="M165" s="92">
        <f>VLOOKUP(A165,'Mandato Ibov'!$B$1:$C$215,2,0)</f>
        <v>0</v>
      </c>
      <c r="N165" s="58">
        <f t="shared" si="26"/>
        <v>0</v>
      </c>
      <c r="O165" s="42">
        <f t="shared" si="27"/>
        <v>0</v>
      </c>
      <c r="P165" s="95">
        <f>VLOOKUP(A165,'Mandato Ibov'!$B$2:$D$215,3,0)</f>
        <v>0</v>
      </c>
      <c r="Q165" s="42">
        <f t="shared" si="28"/>
        <v>0</v>
      </c>
      <c r="R165" s="15">
        <v>-0.80800000000000005</v>
      </c>
      <c r="S165" s="15">
        <v>-0.81</v>
      </c>
      <c r="T165" s="15">
        <v>-0.81599999999999995</v>
      </c>
      <c r="U165" s="15">
        <v>-0.83499999999999996</v>
      </c>
      <c r="V165" s="15">
        <v>-0.85199999999999998</v>
      </c>
      <c r="W165" s="15">
        <v>-0.88900000000000001</v>
      </c>
      <c r="X165" s="15">
        <v>-0.90700000000000003</v>
      </c>
      <c r="Y165" s="15">
        <v>-0.73399999999999999</v>
      </c>
      <c r="Z165" s="15">
        <v>3.4000000000000002E-2</v>
      </c>
      <c r="AA165" s="15">
        <v>2.9000000000000001E-2</v>
      </c>
      <c r="AB165" s="15">
        <v>0.13400000000000001</v>
      </c>
      <c r="AC165" s="15">
        <v>0.45700000000000002</v>
      </c>
      <c r="AD165" s="15">
        <v>0.61799999999999999</v>
      </c>
      <c r="AE165" s="14">
        <v>-0.79900000000000004</v>
      </c>
      <c r="AF165" s="15">
        <v>-1</v>
      </c>
      <c r="AG165" s="15">
        <v>-0.41099999999999998</v>
      </c>
      <c r="AH165" s="15">
        <v>-0.8</v>
      </c>
      <c r="AI165" s="15">
        <v>0.26300000000000001</v>
      </c>
      <c r="AJ165" s="16">
        <v>-0.65300000000000002</v>
      </c>
      <c r="AK165" s="4">
        <v>-0.28699999999999998</v>
      </c>
      <c r="AL165" s="4">
        <v>-0.71399999999999997</v>
      </c>
      <c r="AM165" s="4">
        <v>-0.72799999999999998</v>
      </c>
      <c r="AN165" s="4">
        <v>-0.90600000000000003</v>
      </c>
      <c r="AO165" s="4">
        <v>0.67900000000000005</v>
      </c>
      <c r="AP165" s="4">
        <v>1</v>
      </c>
      <c r="AQ165" s="4">
        <v>-0.41799999999999998</v>
      </c>
      <c r="AR165" s="4">
        <v>-0.54800000000000004</v>
      </c>
      <c r="AS165" s="4">
        <v>-0.32700000000000001</v>
      </c>
      <c r="AT165" s="4">
        <v>0.22600000000000001</v>
      </c>
      <c r="AU165" s="4">
        <v>-0.50700000000000001</v>
      </c>
      <c r="AV165" s="4">
        <v>-7.3999999999999996E-2</v>
      </c>
      <c r="AW165" s="4">
        <v>-0.72499999999999998</v>
      </c>
      <c r="AX165" s="4">
        <v>-4.2000000000000003E-2</v>
      </c>
      <c r="AY165" s="4">
        <v>-0.40899999999999997</v>
      </c>
      <c r="AZ165" s="4">
        <v>-0.17499999999999999</v>
      </c>
      <c r="BA165" s="4">
        <v>0.95</v>
      </c>
      <c r="BB165" s="4">
        <v>0.161</v>
      </c>
      <c r="BC165" s="4">
        <v>6.2E-2</v>
      </c>
      <c r="BD165" s="4">
        <v>0.84299999999999997</v>
      </c>
      <c r="BE165" s="4">
        <v>-0.21199999999999999</v>
      </c>
      <c r="BF165" s="4">
        <v>-1</v>
      </c>
      <c r="BG165" s="4">
        <v>-0.40200000000000002</v>
      </c>
      <c r="BH165" s="4">
        <v>-1</v>
      </c>
      <c r="BI165" s="4">
        <v>0.58699999999999997</v>
      </c>
      <c r="BJ165" s="4">
        <v>0.97899999999999998</v>
      </c>
      <c r="BK165" s="4">
        <v>0.437</v>
      </c>
      <c r="BL165" s="4"/>
      <c r="BM165" s="4">
        <f t="shared" si="29"/>
        <v>-0.126</v>
      </c>
    </row>
    <row r="166" spans="1:65" x14ac:dyDescent="0.3">
      <c r="A166" t="s">
        <v>220</v>
      </c>
      <c r="B166" s="53">
        <f t="shared" si="30"/>
        <v>0</v>
      </c>
      <c r="C166" s="53">
        <f t="shared" si="23"/>
        <v>-1.7000000000000001E-2</v>
      </c>
      <c r="D166" s="53">
        <f t="shared" si="24"/>
        <v>0</v>
      </c>
      <c r="E166" s="53">
        <f t="shared" si="25"/>
        <v>1.7000000000000001E-2</v>
      </c>
      <c r="F166" s="15">
        <v>0.56100000000000005</v>
      </c>
      <c r="G166" s="4">
        <v>0.95</v>
      </c>
      <c r="H166" t="s">
        <v>57</v>
      </c>
      <c r="I166" t="str">
        <f>VLOOKUP(A166,Setores!$A$2:$C$215,2,0)</f>
        <v>consumer_services</v>
      </c>
      <c r="J166" t="str">
        <f>VLOOKUP(A166,Setores!$A$2:$C$215,3,0)</f>
        <v>very_high_beta</v>
      </c>
      <c r="K166" s="92">
        <v>0</v>
      </c>
      <c r="L166" s="42">
        <v>-1.7000000000000001E-2</v>
      </c>
      <c r="M166" s="92">
        <f>VLOOKUP(A166,'Mandato Ibov'!$B$1:$C$215,2,0)</f>
        <v>0</v>
      </c>
      <c r="N166" s="58">
        <f t="shared" si="26"/>
        <v>0</v>
      </c>
      <c r="O166" s="42">
        <f t="shared" si="27"/>
        <v>0</v>
      </c>
      <c r="P166" s="95">
        <f>VLOOKUP(A166,'Mandato Ibov'!$B$2:$D$215,3,0)</f>
        <v>0</v>
      </c>
      <c r="Q166" s="42">
        <f t="shared" si="28"/>
        <v>0</v>
      </c>
      <c r="R166" s="15">
        <v>-0.78200000000000003</v>
      </c>
      <c r="S166" s="15">
        <v>-0.82899999999999996</v>
      </c>
      <c r="T166" s="15">
        <v>-0.94699999999999995</v>
      </c>
      <c r="U166" s="15">
        <v>-0.72499999999999998</v>
      </c>
      <c r="V166" s="15">
        <v>-0.875</v>
      </c>
      <c r="W166" s="15">
        <v>-0.76600000000000001</v>
      </c>
      <c r="X166" s="15">
        <v>-0.7</v>
      </c>
      <c r="Y166" s="15">
        <v>-0.745</v>
      </c>
      <c r="Z166" s="15">
        <v>-0.11799999999999999</v>
      </c>
      <c r="AA166" s="15">
        <v>-0.11899999999999999</v>
      </c>
      <c r="AB166" s="15">
        <v>0.64800000000000002</v>
      </c>
      <c r="AC166" s="15">
        <v>0.63300000000000001</v>
      </c>
      <c r="AD166" s="15">
        <v>0.40100000000000002</v>
      </c>
      <c r="AE166" s="14">
        <v>-0.35799999999999998</v>
      </c>
      <c r="AF166" s="15">
        <v>-0.52500000000000002</v>
      </c>
      <c r="AG166" s="15">
        <v>-0.67200000000000004</v>
      </c>
      <c r="AH166" s="15">
        <v>-0.97</v>
      </c>
      <c r="AI166" s="15">
        <v>-0.86099999999999999</v>
      </c>
      <c r="AJ166" s="16">
        <v>-1</v>
      </c>
      <c r="AK166" s="4">
        <v>-0.28799999999999998</v>
      </c>
      <c r="AL166" s="4">
        <v>-0.41799999999999998</v>
      </c>
      <c r="AM166" s="4">
        <v>-0.63800000000000001</v>
      </c>
      <c r="AN166" s="4">
        <v>0.317</v>
      </c>
      <c r="AO166" s="4">
        <v>8.0000000000000002E-3</v>
      </c>
      <c r="AP166" s="4">
        <v>-0.05</v>
      </c>
      <c r="AQ166" s="4">
        <v>4.4999999999999998E-2</v>
      </c>
      <c r="AR166" s="4">
        <v>0.48</v>
      </c>
      <c r="AS166" s="4">
        <v>0.42399999999999999</v>
      </c>
      <c r="AT166" s="4">
        <v>4.9000000000000002E-2</v>
      </c>
      <c r="AU166" s="4">
        <v>-0.22900000000000001</v>
      </c>
      <c r="AV166" s="4">
        <v>0.11899999999999999</v>
      </c>
      <c r="AW166" s="4">
        <v>-0.105</v>
      </c>
      <c r="AX166" s="4">
        <v>-0.24299999999999999</v>
      </c>
      <c r="AY166" s="4">
        <v>0.504</v>
      </c>
      <c r="AZ166" s="4">
        <v>-0.36899999999999999</v>
      </c>
      <c r="BA166" s="4">
        <v>0.53100000000000003</v>
      </c>
      <c r="BB166" s="4">
        <v>0.155</v>
      </c>
      <c r="BC166" s="4">
        <v>4.2000000000000003E-2</v>
      </c>
      <c r="BD166" s="4">
        <v>0.41</v>
      </c>
      <c r="BE166" s="4">
        <v>7.6999999999999999E-2</v>
      </c>
      <c r="BF166" s="4">
        <v>-0.34100000000000003</v>
      </c>
      <c r="BG166" s="4">
        <v>-5.7000000000000002E-2</v>
      </c>
      <c r="BH166" s="4">
        <v>-6.5000000000000002E-2</v>
      </c>
      <c r="BI166" s="4">
        <v>0.47799999999999998</v>
      </c>
      <c r="BJ166" s="4">
        <v>-0.54900000000000004</v>
      </c>
      <c r="BK166" s="4">
        <v>-0.65</v>
      </c>
      <c r="BL166" s="4"/>
      <c r="BM166" s="4">
        <f t="shared" si="29"/>
        <v>7.8250000000000038E-3</v>
      </c>
    </row>
    <row r="167" spans="1:65" x14ac:dyDescent="0.3">
      <c r="A167" t="s">
        <v>225</v>
      </c>
      <c r="B167" s="53">
        <f t="shared" si="30"/>
        <v>0</v>
      </c>
      <c r="C167" s="53">
        <f t="shared" si="23"/>
        <v>-1E-3</v>
      </c>
      <c r="D167" s="53">
        <f t="shared" si="24"/>
        <v>0</v>
      </c>
      <c r="E167" s="53">
        <f t="shared" si="25"/>
        <v>1E-3</v>
      </c>
      <c r="F167" s="15">
        <v>0.55900000000000005</v>
      </c>
      <c r="G167" s="4">
        <v>0.432</v>
      </c>
      <c r="H167" t="s">
        <v>71</v>
      </c>
      <c r="I167" t="str">
        <f>VLOOKUP(A167,Setores!$A$2:$C$215,2,0)</f>
        <v>food</v>
      </c>
      <c r="J167" t="str">
        <f>VLOOKUP(A167,Setores!$A$2:$C$215,3,0)</f>
        <v>low_beta</v>
      </c>
      <c r="K167" s="92">
        <v>0</v>
      </c>
      <c r="L167" s="42">
        <v>-1E-3</v>
      </c>
      <c r="M167" s="92">
        <f>VLOOKUP(A167,'Mandato Ibov'!$B$1:$C$215,2,0)</f>
        <v>0</v>
      </c>
      <c r="N167" s="58">
        <f t="shared" si="26"/>
        <v>0</v>
      </c>
      <c r="O167" s="42">
        <f t="shared" si="27"/>
        <v>0</v>
      </c>
      <c r="P167" s="95">
        <f>VLOOKUP(A167,'Mandato Ibov'!$B$2:$D$215,3,0)</f>
        <v>0</v>
      </c>
      <c r="Q167" s="42">
        <f t="shared" si="28"/>
        <v>0</v>
      </c>
      <c r="R167" s="15">
        <v>-0.67600000000000005</v>
      </c>
      <c r="S167" s="15">
        <v>-0.77900000000000003</v>
      </c>
      <c r="T167" s="15">
        <v>-0.70899999999999996</v>
      </c>
      <c r="U167" s="15">
        <v>-0.52300000000000002</v>
      </c>
      <c r="V167" s="15">
        <v>-0.69699999999999995</v>
      </c>
      <c r="W167" s="15">
        <v>-0.67200000000000004</v>
      </c>
      <c r="X167" s="15">
        <v>-0.77700000000000002</v>
      </c>
      <c r="Y167" s="15">
        <v>-0.83</v>
      </c>
      <c r="Z167" s="15">
        <v>-0.123</v>
      </c>
      <c r="AA167" s="15">
        <v>-0.123</v>
      </c>
      <c r="AB167" s="15">
        <v>0.312</v>
      </c>
      <c r="AC167" s="15">
        <v>0.50700000000000001</v>
      </c>
      <c r="AD167" s="15">
        <v>0.34</v>
      </c>
      <c r="AE167" s="14">
        <v>2.1000000000000001E-2</v>
      </c>
      <c r="AF167" s="15">
        <v>0.20399999999999999</v>
      </c>
      <c r="AG167" s="15">
        <v>-0.51200000000000001</v>
      </c>
      <c r="AH167" s="15">
        <v>0.16900000000000001</v>
      </c>
      <c r="AI167" s="15">
        <v>-0.73</v>
      </c>
      <c r="AJ167" s="16">
        <v>-0.79600000000000004</v>
      </c>
      <c r="AK167" s="4">
        <v>1</v>
      </c>
      <c r="AL167" s="4">
        <v>-0.503</v>
      </c>
      <c r="AM167" s="4">
        <v>-0.47099999999999997</v>
      </c>
      <c r="AN167" s="4">
        <v>8.4000000000000005E-2</v>
      </c>
      <c r="AO167" s="4">
        <v>-0.80300000000000005</v>
      </c>
      <c r="AP167" s="4">
        <v>-0.65500000000000003</v>
      </c>
      <c r="AQ167" s="4">
        <v>-0.128</v>
      </c>
      <c r="AR167" s="4">
        <v>0.249</v>
      </c>
      <c r="AS167" s="4">
        <v>0.20200000000000001</v>
      </c>
      <c r="AT167" s="4">
        <v>0.54900000000000004</v>
      </c>
      <c r="AU167" s="4">
        <v>-0.58199999999999996</v>
      </c>
      <c r="AV167" s="4">
        <v>-0.126</v>
      </c>
      <c r="AW167" s="4">
        <v>0.28100000000000003</v>
      </c>
      <c r="AX167" s="4">
        <v>-0.317</v>
      </c>
      <c r="AY167" s="4">
        <v>-0.37</v>
      </c>
      <c r="AZ167" s="4">
        <v>0.22900000000000001</v>
      </c>
      <c r="BA167" s="4">
        <v>-0.19700000000000001</v>
      </c>
      <c r="BB167" s="4">
        <v>-0.29199999999999998</v>
      </c>
      <c r="BC167" s="4">
        <v>0.24</v>
      </c>
      <c r="BD167" s="4">
        <v>0.247</v>
      </c>
      <c r="BE167" s="4">
        <v>-1</v>
      </c>
      <c r="BF167" s="4">
        <v>-0.54500000000000004</v>
      </c>
      <c r="BG167" s="4">
        <v>-0.39400000000000002</v>
      </c>
      <c r="BH167" s="4">
        <v>0.40799999999999997</v>
      </c>
      <c r="BI167" s="4">
        <v>-0.184</v>
      </c>
      <c r="BJ167" s="4">
        <v>-0.61599999999999999</v>
      </c>
      <c r="BK167" s="4">
        <v>0.184</v>
      </c>
      <c r="BL167" s="4"/>
      <c r="BM167" s="4">
        <f t="shared" si="29"/>
        <v>-4.807500000000002E-2</v>
      </c>
    </row>
    <row r="168" spans="1:65" x14ac:dyDescent="0.3">
      <c r="A168" t="s">
        <v>246</v>
      </c>
      <c r="B168" s="53">
        <f t="shared" si="30"/>
        <v>0</v>
      </c>
      <c r="C168" s="53">
        <f t="shared" si="23"/>
        <v>-3.0000000000000001E-3</v>
      </c>
      <c r="D168" s="53">
        <f t="shared" si="24"/>
        <v>0</v>
      </c>
      <c r="E168" s="53">
        <f t="shared" si="25"/>
        <v>3.0000000000000001E-3</v>
      </c>
      <c r="F168" s="15">
        <v>0.55800000000000005</v>
      </c>
      <c r="G168" s="4">
        <v>0.63600000000000001</v>
      </c>
      <c r="H168" t="s">
        <v>53</v>
      </c>
      <c r="I168" t="str">
        <f>VLOOKUP(A168,Setores!$A$2:$C$215,2,0)</f>
        <v>consumer_staples</v>
      </c>
      <c r="J168" t="str">
        <f>VLOOKUP(A168,Setores!$A$2:$C$215,3,0)</f>
        <v>high_beta</v>
      </c>
      <c r="K168" s="92">
        <v>0</v>
      </c>
      <c r="L168" s="42">
        <v>-3.0000000000000001E-3</v>
      </c>
      <c r="M168" s="92">
        <f>VLOOKUP(A168,'Mandato Ibov'!$B$1:$C$215,2,0)</f>
        <v>0</v>
      </c>
      <c r="N168" s="58">
        <f t="shared" si="26"/>
        <v>0</v>
      </c>
      <c r="O168" s="42">
        <f t="shared" si="27"/>
        <v>0</v>
      </c>
      <c r="P168" s="95">
        <f>VLOOKUP(A168,'Mandato Ibov'!$B$2:$D$215,3,0)</f>
        <v>0</v>
      </c>
      <c r="Q168" s="42">
        <f t="shared" si="28"/>
        <v>0</v>
      </c>
      <c r="R168" s="15">
        <v>-0.79900000000000004</v>
      </c>
      <c r="S168" s="15">
        <v>-0.70299999999999996</v>
      </c>
      <c r="T168" s="15">
        <v>-0.89</v>
      </c>
      <c r="U168" s="15">
        <v>-0.82799999999999996</v>
      </c>
      <c r="V168" s="15">
        <v>-0.86299999999999999</v>
      </c>
      <c r="W168" s="15">
        <v>-0.71199999999999997</v>
      </c>
      <c r="X168" s="15">
        <v>-0.65100000000000002</v>
      </c>
      <c r="Y168" s="15">
        <v>-0.75</v>
      </c>
      <c r="Z168" s="15">
        <v>-7.1999999999999995E-2</v>
      </c>
      <c r="AA168" s="15">
        <v>-7.2999999999999995E-2</v>
      </c>
      <c r="AB168" s="15">
        <v>0.58299999999999996</v>
      </c>
      <c r="AC168" s="15">
        <v>0.66100000000000003</v>
      </c>
      <c r="AD168" s="15">
        <v>0.29399999999999998</v>
      </c>
      <c r="AE168" s="14">
        <v>-1</v>
      </c>
      <c r="AF168" s="15">
        <v>-0.39200000000000002</v>
      </c>
      <c r="AG168" s="15">
        <v>-0.45800000000000002</v>
      </c>
      <c r="AH168" s="15">
        <v>-0.93700000000000006</v>
      </c>
      <c r="AI168" s="15">
        <v>-0.33600000000000002</v>
      </c>
      <c r="AJ168" s="16">
        <v>-0.54700000000000004</v>
      </c>
      <c r="AK168" s="4">
        <v>-0.55900000000000005</v>
      </c>
      <c r="AL168" s="4">
        <v>-0.63700000000000001</v>
      </c>
      <c r="AM168" s="4">
        <v>-0.41699999999999998</v>
      </c>
      <c r="AN168" s="4">
        <v>0.151</v>
      </c>
      <c r="AO168" s="4">
        <v>0.253</v>
      </c>
      <c r="AP168" s="4">
        <v>0.60799999999999998</v>
      </c>
      <c r="AQ168" s="4">
        <v>1.2999999999999999E-2</v>
      </c>
      <c r="AR168" s="4">
        <v>0.29299999999999998</v>
      </c>
      <c r="AS168" s="4">
        <v>8.3000000000000004E-2</v>
      </c>
      <c r="AT168" s="4">
        <v>-0.26800000000000002</v>
      </c>
      <c r="AU168" s="4">
        <v>-0.47799999999999998</v>
      </c>
      <c r="AV168" s="4">
        <v>-0.48099999999999998</v>
      </c>
      <c r="AW168" s="4">
        <v>0.28299999999999997</v>
      </c>
      <c r="AX168" s="4">
        <v>-0.28799999999999998</v>
      </c>
      <c r="AY168" s="4">
        <v>0.747</v>
      </c>
      <c r="AZ168" s="4">
        <v>0.54500000000000004</v>
      </c>
      <c r="BA168" s="4">
        <v>-0.42</v>
      </c>
      <c r="BB168" s="4">
        <v>-9.2999999999999999E-2</v>
      </c>
      <c r="BC168" s="4">
        <v>8.6999999999999994E-2</v>
      </c>
      <c r="BD168" s="4">
        <v>-0.27100000000000002</v>
      </c>
      <c r="BE168" s="4">
        <v>-0.63700000000000001</v>
      </c>
      <c r="BF168" s="4">
        <v>1</v>
      </c>
      <c r="BG168" s="4">
        <v>0.58099999999999996</v>
      </c>
      <c r="BH168" s="4">
        <v>-0.113</v>
      </c>
      <c r="BI168" s="4">
        <v>4.9000000000000002E-2</v>
      </c>
      <c r="BJ168" s="4">
        <v>-0.104</v>
      </c>
      <c r="BK168" s="4">
        <v>-0.191</v>
      </c>
      <c r="BL168" s="4"/>
      <c r="BM168" s="4">
        <f t="shared" si="29"/>
        <v>-2.1350000000000022E-2</v>
      </c>
    </row>
    <row r="169" spans="1:65" x14ac:dyDescent="0.3">
      <c r="A169" t="s">
        <v>156</v>
      </c>
      <c r="B169" s="53">
        <f t="shared" si="30"/>
        <v>0</v>
      </c>
      <c r="C169" s="53">
        <f t="shared" si="23"/>
        <v>0</v>
      </c>
      <c r="D169" s="53">
        <f t="shared" si="24"/>
        <v>0</v>
      </c>
      <c r="E169" s="53">
        <f t="shared" si="25"/>
        <v>0</v>
      </c>
      <c r="F169" s="15">
        <v>0.55700000000000005</v>
      </c>
      <c r="G169" s="4">
        <v>0.51300000000000001</v>
      </c>
      <c r="H169" t="s">
        <v>55</v>
      </c>
      <c r="I169" t="str">
        <f>VLOOKUP(A169,Setores!$A$2:$C$215,2,0)</f>
        <v>transportation</v>
      </c>
      <c r="J169" t="str">
        <f>VLOOKUP(A169,Setores!$A$2:$C$215,3,0)</f>
        <v>very_high_beta</v>
      </c>
      <c r="K169" s="92">
        <v>0</v>
      </c>
      <c r="L169" s="42">
        <v>0</v>
      </c>
      <c r="M169" s="92">
        <f>VLOOKUP(A169,'Mandato Ibov'!$B$1:$C$215,2,0)</f>
        <v>0</v>
      </c>
      <c r="N169" s="58">
        <f t="shared" si="26"/>
        <v>0</v>
      </c>
      <c r="O169" s="42">
        <f t="shared" si="27"/>
        <v>0</v>
      </c>
      <c r="P169" s="95">
        <f>VLOOKUP(A169,'Mandato Ibov'!$B$2:$D$215,3,0)</f>
        <v>0</v>
      </c>
      <c r="Q169" s="42">
        <f t="shared" si="28"/>
        <v>0</v>
      </c>
      <c r="R169" s="15">
        <v>-0.76500000000000001</v>
      </c>
      <c r="S169" s="15">
        <v>-0.73299999999999998</v>
      </c>
      <c r="T169" s="15">
        <v>-0.80900000000000005</v>
      </c>
      <c r="U169" s="15">
        <v>-0.745</v>
      </c>
      <c r="V169" s="15">
        <v>-0.75600000000000001</v>
      </c>
      <c r="W169" s="15">
        <v>-0.70799999999999996</v>
      </c>
      <c r="X169" s="15">
        <v>-0.60299999999999998</v>
      </c>
      <c r="Y169" s="15">
        <v>-0.74099999999999999</v>
      </c>
      <c r="Z169" s="15">
        <v>-0.19700000000000001</v>
      </c>
      <c r="AA169" s="15">
        <v>-0.19600000000000001</v>
      </c>
      <c r="AB169" s="15">
        <v>0.42099999999999999</v>
      </c>
      <c r="AC169" s="15">
        <v>0.64700000000000002</v>
      </c>
      <c r="AD169" s="15">
        <v>0.27400000000000002</v>
      </c>
      <c r="AE169" s="14">
        <v>-0.81299999999999994</v>
      </c>
      <c r="AF169" s="15">
        <v>0.105</v>
      </c>
      <c r="AG169" s="15">
        <v>9.0999999999999998E-2</v>
      </c>
      <c r="AH169" s="15">
        <v>-0.23400000000000001</v>
      </c>
      <c r="AI169" s="15">
        <v>-0.40699999999999997</v>
      </c>
      <c r="AJ169" s="16">
        <v>-0.84699999999999998</v>
      </c>
      <c r="AK169" s="4">
        <v>-5.0000000000000001E-3</v>
      </c>
      <c r="AL169" s="4">
        <v>-0.28299999999999997</v>
      </c>
      <c r="AM169" s="4">
        <v>6.0000000000000001E-3</v>
      </c>
      <c r="AN169" s="4">
        <v>0.58599999999999997</v>
      </c>
      <c r="AO169" s="4">
        <v>-0.438</v>
      </c>
      <c r="AP169" s="4">
        <v>-0.24</v>
      </c>
      <c r="AQ169" s="4">
        <v>0.25700000000000001</v>
      </c>
      <c r="AR169" s="4">
        <v>-0.24299999999999999</v>
      </c>
      <c r="AS169" s="4">
        <v>-0.68300000000000005</v>
      </c>
      <c r="AT169" s="4">
        <v>-6.4000000000000001E-2</v>
      </c>
      <c r="AU169" s="4">
        <v>0.14699999999999999</v>
      </c>
      <c r="AV169" s="4">
        <v>-0.54500000000000004</v>
      </c>
      <c r="AW169" s="4">
        <v>-0.35</v>
      </c>
      <c r="AX169" s="4">
        <v>-0.97299999999999998</v>
      </c>
      <c r="AY169" s="4">
        <v>0.84599999999999997</v>
      </c>
      <c r="AZ169" s="4">
        <v>0.39</v>
      </c>
      <c r="BA169" s="4">
        <v>0.56100000000000005</v>
      </c>
      <c r="BB169" s="4">
        <v>-0.55100000000000005</v>
      </c>
      <c r="BC169" s="4">
        <v>-0.79600000000000004</v>
      </c>
      <c r="BD169" s="4">
        <v>0.255</v>
      </c>
      <c r="BE169" s="4">
        <v>0.58599999999999997</v>
      </c>
      <c r="BF169" s="4">
        <v>-1</v>
      </c>
      <c r="BG169" s="4">
        <v>-0.105</v>
      </c>
      <c r="BH169" s="4">
        <v>-0.218</v>
      </c>
      <c r="BI169" s="4">
        <v>0.90100000000000002</v>
      </c>
      <c r="BJ169" s="4">
        <v>-0.27900000000000003</v>
      </c>
      <c r="BK169" s="4">
        <v>0.13100000000000001</v>
      </c>
      <c r="BL169" s="4"/>
      <c r="BM169" s="4">
        <f t="shared" si="29"/>
        <v>-0.13450000000000004</v>
      </c>
    </row>
    <row r="170" spans="1:65" x14ac:dyDescent="0.3">
      <c r="A170" t="s">
        <v>227</v>
      </c>
      <c r="B170" s="53">
        <f t="shared" si="30"/>
        <v>0</v>
      </c>
      <c r="C170" s="53">
        <f t="shared" si="23"/>
        <v>0</v>
      </c>
      <c r="D170" s="53">
        <f t="shared" si="24"/>
        <v>0</v>
      </c>
      <c r="E170" s="53">
        <f t="shared" si="25"/>
        <v>0</v>
      </c>
      <c r="F170" s="15">
        <v>0.55700000000000005</v>
      </c>
      <c r="G170" s="4">
        <v>0.48499999999999999</v>
      </c>
      <c r="H170" t="s">
        <v>71</v>
      </c>
      <c r="I170" t="str">
        <f>VLOOKUP(A170,Setores!$A$2:$C$215,2,0)</f>
        <v>food</v>
      </c>
      <c r="J170" t="str">
        <f>VLOOKUP(A170,Setores!$A$2:$C$215,3,0)</f>
        <v>very_low_beta</v>
      </c>
      <c r="K170" s="92">
        <v>0</v>
      </c>
      <c r="L170" s="42">
        <v>0</v>
      </c>
      <c r="M170" s="92">
        <f>VLOOKUP(A170,'Mandato Ibov'!$B$1:$C$215,2,0)</f>
        <v>0</v>
      </c>
      <c r="N170" s="58">
        <f t="shared" si="26"/>
        <v>0</v>
      </c>
      <c r="O170" s="42">
        <f t="shared" si="27"/>
        <v>0</v>
      </c>
      <c r="P170" s="95">
        <f>VLOOKUP(A170,'Mandato Ibov'!$B$2:$D$215,3,0)</f>
        <v>0</v>
      </c>
      <c r="Q170" s="42">
        <f t="shared" si="28"/>
        <v>0</v>
      </c>
      <c r="R170" s="15">
        <v>-0.93400000000000005</v>
      </c>
      <c r="S170" s="15">
        <v>-0.91100000000000003</v>
      </c>
      <c r="T170" s="15">
        <v>-0.98599999999999999</v>
      </c>
      <c r="U170" s="15">
        <v>-0.88400000000000001</v>
      </c>
      <c r="V170" s="15">
        <v>-0.93899999999999995</v>
      </c>
      <c r="W170" s="15">
        <v>-0.73299999999999998</v>
      </c>
      <c r="X170" s="15">
        <v>-0.66600000000000004</v>
      </c>
      <c r="Y170" s="15">
        <v>-0.78900000000000003</v>
      </c>
      <c r="Z170" s="15">
        <v>0.28799999999999998</v>
      </c>
      <c r="AA170" s="15">
        <v>0.29099999999999998</v>
      </c>
      <c r="AB170" s="15">
        <v>0.32</v>
      </c>
      <c r="AC170" s="15">
        <v>0.49199999999999999</v>
      </c>
      <c r="AD170" s="15">
        <v>0.47</v>
      </c>
      <c r="AE170" s="14">
        <v>-1</v>
      </c>
      <c r="AF170" s="15">
        <v>-0.82899999999999996</v>
      </c>
      <c r="AG170" s="15">
        <v>-0.33200000000000002</v>
      </c>
      <c r="AH170" s="15">
        <v>-0.97699999999999998</v>
      </c>
      <c r="AI170" s="15">
        <v>-0.86199999999999999</v>
      </c>
      <c r="AJ170" s="16">
        <v>-0.95799999999999996</v>
      </c>
      <c r="AK170" s="4">
        <v>-0.104</v>
      </c>
      <c r="AL170" s="4">
        <v>-0.51200000000000001</v>
      </c>
      <c r="AM170" s="4">
        <v>-0.57999999999999996</v>
      </c>
      <c r="AN170" s="4">
        <v>-0.16600000000000001</v>
      </c>
      <c r="AO170" s="4">
        <v>6.2E-2</v>
      </c>
      <c r="AP170" s="4">
        <v>-0.04</v>
      </c>
      <c r="AQ170" s="4">
        <v>-0.43099999999999999</v>
      </c>
      <c r="AR170" s="4">
        <v>-0.32200000000000001</v>
      </c>
      <c r="AS170" s="4">
        <v>-0.38300000000000001</v>
      </c>
      <c r="AT170" s="4">
        <v>0.48599999999999999</v>
      </c>
      <c r="AU170" s="4">
        <v>-0.63600000000000001</v>
      </c>
      <c r="AV170" s="4">
        <v>-0.88200000000000001</v>
      </c>
      <c r="AW170" s="4">
        <v>0.67700000000000005</v>
      </c>
      <c r="AX170" s="4">
        <v>-0.60399999999999998</v>
      </c>
      <c r="AY170" s="4">
        <v>0.56100000000000005</v>
      </c>
      <c r="AZ170" s="4">
        <v>4.0000000000000001E-3</v>
      </c>
      <c r="BA170" s="4">
        <v>0.14499999999999999</v>
      </c>
      <c r="BB170" s="4">
        <v>-0.158</v>
      </c>
      <c r="BC170" s="4">
        <v>-0.21099999999999999</v>
      </c>
      <c r="BD170" s="4">
        <v>0.17</v>
      </c>
      <c r="BE170" s="4">
        <v>0.67200000000000004</v>
      </c>
      <c r="BF170" s="4">
        <v>-0.10299999999999999</v>
      </c>
      <c r="BG170" s="4">
        <v>0.75900000000000001</v>
      </c>
      <c r="BH170" s="4">
        <v>-0.309</v>
      </c>
      <c r="BI170" s="4">
        <v>-0.43</v>
      </c>
      <c r="BJ170" s="4">
        <v>0.187</v>
      </c>
      <c r="BK170" s="4">
        <v>-0.86599999999999999</v>
      </c>
      <c r="BL170" s="4"/>
      <c r="BM170" s="4">
        <f t="shared" si="29"/>
        <v>-0.10645000000000002</v>
      </c>
    </row>
    <row r="171" spans="1:65" x14ac:dyDescent="0.3">
      <c r="A171" t="s">
        <v>194</v>
      </c>
      <c r="B171" s="53">
        <f t="shared" si="30"/>
        <v>0</v>
      </c>
      <c r="C171" s="53">
        <f t="shared" si="23"/>
        <v>-2E-3</v>
      </c>
      <c r="D171" s="53">
        <f t="shared" si="24"/>
        <v>0</v>
      </c>
      <c r="E171" s="53">
        <f t="shared" si="25"/>
        <v>2E-3</v>
      </c>
      <c r="F171" s="15">
        <v>0.55500000000000005</v>
      </c>
      <c r="G171" s="4">
        <v>0.628</v>
      </c>
      <c r="H171" t="s">
        <v>57</v>
      </c>
      <c r="I171" t="str">
        <f>VLOOKUP(A171,Setores!$A$2:$C$215,2,0)</f>
        <v>homebuilders</v>
      </c>
      <c r="J171" t="str">
        <f>VLOOKUP(A171,Setores!$A$2:$C$215,3,0)</f>
        <v>very_high_beta</v>
      </c>
      <c r="K171" s="92">
        <v>0</v>
      </c>
      <c r="L171" s="42">
        <v>-2E-3</v>
      </c>
      <c r="M171" s="92">
        <f>VLOOKUP(A171,'Mandato Ibov'!$B$1:$C$215,2,0)</f>
        <v>0</v>
      </c>
      <c r="N171" s="58">
        <f t="shared" si="26"/>
        <v>0</v>
      </c>
      <c r="O171" s="42">
        <f t="shared" si="27"/>
        <v>0</v>
      </c>
      <c r="P171" s="95">
        <f>VLOOKUP(A171,'Mandato Ibov'!$B$2:$D$215,3,0)</f>
        <v>0</v>
      </c>
      <c r="Q171" s="42">
        <f t="shared" si="28"/>
        <v>0</v>
      </c>
      <c r="R171" s="15">
        <v>-0.83699999999999997</v>
      </c>
      <c r="S171" s="15">
        <v>-0.91</v>
      </c>
      <c r="T171" s="15">
        <v>-0.91</v>
      </c>
      <c r="U171" s="15">
        <v>-0.78500000000000003</v>
      </c>
      <c r="V171" s="15">
        <v>-0.88800000000000001</v>
      </c>
      <c r="W171" s="15">
        <v>-0.66800000000000004</v>
      </c>
      <c r="X171" s="15">
        <v>-0.46700000000000003</v>
      </c>
      <c r="Y171" s="15">
        <v>-0.77400000000000002</v>
      </c>
      <c r="Z171" s="15">
        <v>-0.122</v>
      </c>
      <c r="AA171" s="15">
        <v>-0.123</v>
      </c>
      <c r="AB171" s="15">
        <v>0.59599999999999997</v>
      </c>
      <c r="AC171" s="15">
        <v>0.56100000000000005</v>
      </c>
      <c r="AD171" s="15">
        <v>0.312</v>
      </c>
      <c r="AE171" s="14">
        <v>-0.55800000000000005</v>
      </c>
      <c r="AF171" s="15">
        <v>0.14000000000000001</v>
      </c>
      <c r="AG171" s="15">
        <v>-0.59199999999999997</v>
      </c>
      <c r="AH171" s="15">
        <v>-0.621</v>
      </c>
      <c r="AI171" s="15">
        <v>-0.76100000000000001</v>
      </c>
      <c r="AJ171" s="16">
        <v>-0.85099999999999998</v>
      </c>
      <c r="AK171" s="4">
        <v>-0.252</v>
      </c>
      <c r="AL171" s="4">
        <v>-7.0000000000000007E-2</v>
      </c>
      <c r="AM171" s="4">
        <v>-0.33100000000000002</v>
      </c>
      <c r="AN171" s="4">
        <v>0.184</v>
      </c>
      <c r="AO171" s="4">
        <v>-0.51700000000000002</v>
      </c>
      <c r="AP171" s="4">
        <v>-0.54800000000000004</v>
      </c>
      <c r="AQ171" s="4">
        <v>0.33600000000000002</v>
      </c>
      <c r="AR171" s="4">
        <v>9.4E-2</v>
      </c>
      <c r="AS171" s="4">
        <v>-0.441</v>
      </c>
      <c r="AT171" s="4">
        <v>-1.7000000000000001E-2</v>
      </c>
      <c r="AU171" s="4">
        <v>-0.188</v>
      </c>
      <c r="AV171" s="4">
        <v>-0.35799999999999998</v>
      </c>
      <c r="AW171" s="4">
        <v>-0.17599999999999999</v>
      </c>
      <c r="AX171" s="4">
        <v>-0.185</v>
      </c>
      <c r="AY171" s="4">
        <v>0.81399999999999995</v>
      </c>
      <c r="AZ171" s="4">
        <v>0.29499999999999998</v>
      </c>
      <c r="BA171" s="4">
        <v>0.436</v>
      </c>
      <c r="BB171" s="4">
        <v>-0.67800000000000005</v>
      </c>
      <c r="BC171" s="4">
        <v>-0.629</v>
      </c>
      <c r="BD171" s="4">
        <v>0.10299999999999999</v>
      </c>
      <c r="BE171" s="4">
        <v>0.51500000000000001</v>
      </c>
      <c r="BF171" s="4">
        <v>0.34399999999999997</v>
      </c>
      <c r="BG171" s="4">
        <v>0.64800000000000002</v>
      </c>
      <c r="BH171" s="4">
        <v>-0.50800000000000001</v>
      </c>
      <c r="BI171" s="4">
        <v>0.67700000000000005</v>
      </c>
      <c r="BJ171" s="4">
        <v>-0.78300000000000003</v>
      </c>
      <c r="BK171" s="4">
        <v>-0.379</v>
      </c>
      <c r="BL171" s="4"/>
      <c r="BM171" s="4">
        <f t="shared" si="29"/>
        <v>-0.14642500000000003</v>
      </c>
    </row>
    <row r="172" spans="1:65" x14ac:dyDescent="0.3">
      <c r="A172" t="s">
        <v>252</v>
      </c>
      <c r="B172" s="53">
        <f t="shared" si="30"/>
        <v>0</v>
      </c>
      <c r="C172" s="53">
        <f t="shared" si="23"/>
        <v>-5.0000000000000001E-3</v>
      </c>
      <c r="D172" s="53">
        <f t="shared" si="24"/>
        <v>0</v>
      </c>
      <c r="E172" s="53">
        <f t="shared" si="25"/>
        <v>5.0000000000000001E-3</v>
      </c>
      <c r="F172" s="15">
        <v>0.55200000000000005</v>
      </c>
      <c r="G172" s="4">
        <v>0.46300000000000002</v>
      </c>
      <c r="H172" t="s">
        <v>53</v>
      </c>
      <c r="I172" t="str">
        <f>VLOOKUP(A172,Setores!$A$2:$C$215,2,0)</f>
        <v>consumer_staples</v>
      </c>
      <c r="J172" t="str">
        <f>VLOOKUP(A172,Setores!$A$2:$C$215,3,0)</f>
        <v>very_high_beta</v>
      </c>
      <c r="K172" s="92">
        <v>0</v>
      </c>
      <c r="L172" s="42">
        <v>-5.0000000000000001E-3</v>
      </c>
      <c r="M172" s="92">
        <f>VLOOKUP(A172,'Mandato Ibov'!$B$1:$C$215,2,0)</f>
        <v>0</v>
      </c>
      <c r="N172" s="58">
        <f t="shared" si="26"/>
        <v>0</v>
      </c>
      <c r="O172" s="42">
        <f t="shared" si="27"/>
        <v>0</v>
      </c>
      <c r="P172" s="95">
        <f>VLOOKUP(A172,'Mandato Ibov'!$B$2:$D$215,3,0)</f>
        <v>0</v>
      </c>
      <c r="Q172" s="42">
        <f t="shared" si="28"/>
        <v>0</v>
      </c>
      <c r="R172" s="15">
        <v>-0.745</v>
      </c>
      <c r="S172" s="15">
        <v>-0.80700000000000005</v>
      </c>
      <c r="T172" s="15">
        <v>-0.90400000000000003</v>
      </c>
      <c r="U172" s="15">
        <v>-0.73399999999999999</v>
      </c>
      <c r="V172" s="15">
        <v>-0.86699999999999999</v>
      </c>
      <c r="W172" s="15">
        <v>-0.71399999999999997</v>
      </c>
      <c r="X172" s="15">
        <v>-0.67300000000000004</v>
      </c>
      <c r="Y172" s="15">
        <v>-0.86099999999999999</v>
      </c>
      <c r="Z172" s="15">
        <v>-0.17799999999999999</v>
      </c>
      <c r="AA172" s="15">
        <v>-0.17499999999999999</v>
      </c>
      <c r="AB172" s="15">
        <v>0.60899999999999999</v>
      </c>
      <c r="AC172" s="15">
        <v>0.66500000000000004</v>
      </c>
      <c r="AD172" s="15">
        <v>0.32400000000000001</v>
      </c>
      <c r="AE172" s="14">
        <v>-0.39400000000000002</v>
      </c>
      <c r="AF172" s="15">
        <v>-0.32600000000000001</v>
      </c>
      <c r="AG172" s="15">
        <v>-0.60299999999999998</v>
      </c>
      <c r="AH172" s="15">
        <v>-0.69399999999999995</v>
      </c>
      <c r="AI172" s="15">
        <v>-0.77400000000000002</v>
      </c>
      <c r="AJ172" s="16">
        <v>-0.9</v>
      </c>
      <c r="AK172" s="4">
        <v>0.39400000000000002</v>
      </c>
      <c r="AL172" s="4">
        <v>-0.86699999999999999</v>
      </c>
      <c r="AM172" s="4">
        <v>-0.65100000000000002</v>
      </c>
      <c r="AN172" s="4">
        <v>9.0999999999999998E-2</v>
      </c>
      <c r="AO172" s="4">
        <v>-0.26100000000000001</v>
      </c>
      <c r="AP172" s="4">
        <v>4.5999999999999999E-2</v>
      </c>
      <c r="AQ172" s="4">
        <v>-0.18099999999999999</v>
      </c>
      <c r="AR172" s="4">
        <v>0.872</v>
      </c>
      <c r="AS172" s="4">
        <v>0.17</v>
      </c>
      <c r="AT172" s="4">
        <v>0.47799999999999998</v>
      </c>
      <c r="AU172" s="4">
        <v>-0.6</v>
      </c>
      <c r="AV172" s="4">
        <v>-5.0999999999999997E-2</v>
      </c>
      <c r="AW172" s="4">
        <v>-9.1999999999999998E-2</v>
      </c>
      <c r="AX172" s="4">
        <v>-0.432</v>
      </c>
      <c r="AY172" s="4">
        <v>0.84499999999999997</v>
      </c>
      <c r="AZ172" s="4">
        <v>0.111</v>
      </c>
      <c r="BA172" s="4">
        <v>-4.0000000000000001E-3</v>
      </c>
      <c r="BB172" s="4">
        <v>-0.184</v>
      </c>
      <c r="BC172" s="4">
        <v>7.4999999999999997E-2</v>
      </c>
      <c r="BD172" s="4">
        <v>0.251</v>
      </c>
      <c r="BE172" s="4">
        <v>0.114</v>
      </c>
      <c r="BF172" s="4">
        <v>1</v>
      </c>
      <c r="BG172" s="4">
        <v>0.45200000000000001</v>
      </c>
      <c r="BH172" s="4">
        <v>0.121</v>
      </c>
      <c r="BI172" s="4">
        <v>0.33400000000000002</v>
      </c>
      <c r="BJ172" s="4">
        <v>-0.51800000000000002</v>
      </c>
      <c r="BK172" s="4">
        <v>-0.126</v>
      </c>
      <c r="BL172" s="4"/>
      <c r="BM172" s="4">
        <f t="shared" si="29"/>
        <v>4.0300000000000002E-2</v>
      </c>
    </row>
    <row r="173" spans="1:65" x14ac:dyDescent="0.3">
      <c r="A173" t="s">
        <v>128</v>
      </c>
      <c r="B173" s="53">
        <f t="shared" si="30"/>
        <v>0</v>
      </c>
      <c r="C173" s="53">
        <f t="shared" si="23"/>
        <v>0</v>
      </c>
      <c r="D173" s="53">
        <f t="shared" si="24"/>
        <v>0</v>
      </c>
      <c r="E173" s="53">
        <f t="shared" si="25"/>
        <v>0</v>
      </c>
      <c r="F173" s="15">
        <v>0.55000000000000004</v>
      </c>
      <c r="G173" s="4">
        <v>0.441</v>
      </c>
      <c r="H173" t="s">
        <v>68</v>
      </c>
      <c r="I173" t="str">
        <f>VLOOKUP(A173,Setores!$A$2:$C$215,2,0)</f>
        <v>capital_goods</v>
      </c>
      <c r="J173" t="str">
        <f>VLOOKUP(A173,Setores!$A$2:$C$215,3,0)</f>
        <v>very_low_beta</v>
      </c>
      <c r="K173" s="92">
        <v>0</v>
      </c>
      <c r="L173" s="42">
        <v>0</v>
      </c>
      <c r="M173" s="92">
        <f>VLOOKUP(A173,'Mandato Ibov'!$B$1:$C$215,2,0)</f>
        <v>0</v>
      </c>
      <c r="N173" s="58">
        <f t="shared" si="26"/>
        <v>0</v>
      </c>
      <c r="O173" s="42">
        <f t="shared" si="27"/>
        <v>0</v>
      </c>
      <c r="P173" s="95">
        <f>VLOOKUP(A173,'Mandato Ibov'!$B$2:$D$215,3,0)</f>
        <v>0</v>
      </c>
      <c r="Q173" s="42">
        <f t="shared" si="28"/>
        <v>0</v>
      </c>
      <c r="R173" s="15">
        <v>-0.83099999999999996</v>
      </c>
      <c r="S173" s="15">
        <v>-0.66100000000000003</v>
      </c>
      <c r="T173" s="15">
        <v>-0.56899999999999995</v>
      </c>
      <c r="U173" s="15">
        <v>-0.91300000000000003</v>
      </c>
      <c r="V173" s="15">
        <v>-0.80500000000000005</v>
      </c>
      <c r="W173" s="15">
        <v>-0.84</v>
      </c>
      <c r="X173" s="15">
        <v>-0.751</v>
      </c>
      <c r="Y173" s="15">
        <v>-0.89400000000000002</v>
      </c>
      <c r="Z173" s="15">
        <v>-7.8E-2</v>
      </c>
      <c r="AA173" s="15">
        <v>-7.6999999999999999E-2</v>
      </c>
      <c r="AB173" s="15">
        <v>0.253</v>
      </c>
      <c r="AC173" s="15">
        <v>0.43</v>
      </c>
      <c r="AD173" s="15">
        <v>0.48899999999999999</v>
      </c>
      <c r="AE173" s="14">
        <v>-0.879</v>
      </c>
      <c r="AF173" s="15">
        <v>-1</v>
      </c>
      <c r="AG173" s="15">
        <v>-0.52500000000000002</v>
      </c>
      <c r="AH173" s="15">
        <v>-2.7E-2</v>
      </c>
      <c r="AI173" s="15">
        <v>0.185</v>
      </c>
      <c r="AJ173" s="16">
        <v>-0.22800000000000001</v>
      </c>
      <c r="AK173" s="4">
        <v>-0.41499999999999998</v>
      </c>
      <c r="AL173" s="4">
        <v>-0.69</v>
      </c>
      <c r="AM173" s="4">
        <v>0.108</v>
      </c>
      <c r="AN173" s="4">
        <v>-0.49</v>
      </c>
      <c r="AO173" s="4">
        <v>-0.20799999999999999</v>
      </c>
      <c r="AP173" s="4">
        <v>3.2000000000000001E-2</v>
      </c>
      <c r="AQ173" s="4">
        <v>-0.63100000000000001</v>
      </c>
      <c r="AR173" s="4">
        <v>-0.68799999999999994</v>
      </c>
      <c r="AS173" s="4">
        <v>-5.3999999999999999E-2</v>
      </c>
      <c r="AT173" s="4">
        <v>-0.28599999999999998</v>
      </c>
      <c r="AU173" s="4">
        <v>-0.45900000000000002</v>
      </c>
      <c r="AV173" s="4">
        <v>-0.67500000000000004</v>
      </c>
      <c r="AW173" s="4">
        <v>0.37</v>
      </c>
      <c r="AX173" s="4">
        <v>-0.312</v>
      </c>
      <c r="AY173" s="4">
        <v>0.60199999999999998</v>
      </c>
      <c r="AZ173" s="4">
        <v>-1</v>
      </c>
      <c r="BA173" s="4">
        <v>0.45200000000000001</v>
      </c>
      <c r="BB173" s="4">
        <v>6.7000000000000004E-2</v>
      </c>
      <c r="BC173" s="4">
        <v>-7.2999999999999995E-2</v>
      </c>
      <c r="BD173" s="4">
        <v>-4.9000000000000002E-2</v>
      </c>
      <c r="BE173" s="4">
        <v>-0.19500000000000001</v>
      </c>
      <c r="BF173" s="4">
        <v>0.66900000000000004</v>
      </c>
      <c r="BG173" s="4">
        <v>0.84499999999999997</v>
      </c>
      <c r="BH173" s="4">
        <v>0.60799999999999998</v>
      </c>
      <c r="BI173" s="4">
        <v>-6.2E-2</v>
      </c>
      <c r="BJ173" s="4">
        <v>0.79600000000000004</v>
      </c>
      <c r="BK173" s="4">
        <v>0.73199999999999998</v>
      </c>
      <c r="BL173" s="4"/>
      <c r="BM173" s="4">
        <f t="shared" si="29"/>
        <v>-0.25530000000000003</v>
      </c>
    </row>
    <row r="174" spans="1:65" x14ac:dyDescent="0.3">
      <c r="A174" t="s">
        <v>247</v>
      </c>
      <c r="B174" s="53">
        <f t="shared" si="30"/>
        <v>0</v>
      </c>
      <c r="C174" s="53">
        <f t="shared" si="23"/>
        <v>0</v>
      </c>
      <c r="D174" s="53">
        <f t="shared" si="24"/>
        <v>0</v>
      </c>
      <c r="E174" s="53">
        <f t="shared" si="25"/>
        <v>0</v>
      </c>
      <c r="F174" s="15">
        <v>0.54800000000000004</v>
      </c>
      <c r="G174" s="4">
        <v>0.40699999999999997</v>
      </c>
      <c r="H174" t="s">
        <v>57</v>
      </c>
      <c r="I174" t="str">
        <f>VLOOKUP(A174,Setores!$A$2:$C$215,2,0)</f>
        <v>financial_services</v>
      </c>
      <c r="J174" t="str">
        <f>VLOOKUP(A174,Setores!$A$2:$C$215,3,0)</f>
        <v>high_beta</v>
      </c>
      <c r="K174" s="92">
        <v>0</v>
      </c>
      <c r="L174" s="42">
        <v>0</v>
      </c>
      <c r="M174" s="92">
        <f>VLOOKUP(A174,'Mandato Ibov'!$B$1:$C$215,2,0)</f>
        <v>0</v>
      </c>
      <c r="N174" s="58">
        <f t="shared" si="26"/>
        <v>0</v>
      </c>
      <c r="O174" s="42">
        <f t="shared" si="27"/>
        <v>0</v>
      </c>
      <c r="P174" s="95">
        <f>VLOOKUP(A174,'Mandato Ibov'!$B$2:$D$215,3,0)</f>
        <v>0</v>
      </c>
      <c r="Q174" s="42">
        <f t="shared" si="28"/>
        <v>0</v>
      </c>
      <c r="R174" s="15">
        <v>-0.71</v>
      </c>
      <c r="S174" s="15">
        <v>-0.87</v>
      </c>
      <c r="T174" s="15">
        <v>-0.68500000000000005</v>
      </c>
      <c r="U174" s="15">
        <v>-0.79700000000000004</v>
      </c>
      <c r="V174" s="15">
        <v>-0.86199999999999999</v>
      </c>
      <c r="W174" s="15">
        <v>-0.68100000000000005</v>
      </c>
      <c r="X174" s="15">
        <v>-0.43</v>
      </c>
      <c r="Y174" s="15">
        <v>-0.91800000000000004</v>
      </c>
      <c r="Z174" s="15">
        <v>0.122</v>
      </c>
      <c r="AA174" s="15">
        <v>0.11899999999999999</v>
      </c>
      <c r="AB174" s="15">
        <v>-4.2000000000000003E-2</v>
      </c>
      <c r="AC174" s="15">
        <v>0.32400000000000001</v>
      </c>
      <c r="AD174" s="15">
        <v>0.22600000000000001</v>
      </c>
      <c r="AE174" s="14">
        <v>-0.96899999999999997</v>
      </c>
      <c r="AF174" s="15">
        <v>0.52900000000000003</v>
      </c>
      <c r="AG174" s="15">
        <v>-0.98799999999999999</v>
      </c>
      <c r="AH174" s="15">
        <v>-0.81200000000000006</v>
      </c>
      <c r="AI174" s="15">
        <v>-1</v>
      </c>
      <c r="AJ174" s="16">
        <v>-0.29599999999999999</v>
      </c>
      <c r="AK174" s="4">
        <v>-0.41499999999999998</v>
      </c>
      <c r="AL174" s="4">
        <v>-0.65700000000000003</v>
      </c>
      <c r="AM174" s="4">
        <v>-0.20399999999999999</v>
      </c>
      <c r="AN174" s="4">
        <v>0.33400000000000002</v>
      </c>
      <c r="AO174" s="4">
        <v>-0.873</v>
      </c>
      <c r="AP174" s="4">
        <v>-0.92200000000000004</v>
      </c>
      <c r="AQ174" s="4">
        <v>0.32800000000000001</v>
      </c>
      <c r="AR174" s="4">
        <v>0.99299999999999999</v>
      </c>
      <c r="AS174" s="4">
        <v>-0.123</v>
      </c>
      <c r="AT174" s="4">
        <v>0.17599999999999999</v>
      </c>
      <c r="AU174" s="4">
        <v>0.77300000000000002</v>
      </c>
      <c r="AV174" s="4">
        <v>-0.40699999999999997</v>
      </c>
      <c r="AW174" s="4">
        <v>-0.218</v>
      </c>
      <c r="AX174" s="4">
        <v>2.7E-2</v>
      </c>
      <c r="AY174" s="4">
        <v>-0.13800000000000001</v>
      </c>
      <c r="AZ174" s="4">
        <v>0.375</v>
      </c>
      <c r="BA174" s="4">
        <v>0.67300000000000004</v>
      </c>
      <c r="BB174" s="4">
        <v>-0.15</v>
      </c>
      <c r="BC174" s="4">
        <v>-0.28999999999999998</v>
      </c>
      <c r="BD174" s="4">
        <v>-0.11899999999999999</v>
      </c>
      <c r="BE174" s="4">
        <v>1</v>
      </c>
      <c r="BF174" s="4">
        <v>1</v>
      </c>
      <c r="BG174" s="4">
        <v>0.17100000000000001</v>
      </c>
      <c r="BH174" s="4">
        <v>-0.33700000000000002</v>
      </c>
      <c r="BI174" s="4">
        <v>0.20300000000000001</v>
      </c>
      <c r="BJ174" s="4">
        <v>0.53200000000000003</v>
      </c>
      <c r="BK174" s="4">
        <v>-0.109</v>
      </c>
      <c r="BL174" s="4"/>
      <c r="BM174" s="4">
        <f t="shared" si="29"/>
        <v>-0.18744999999999995</v>
      </c>
    </row>
    <row r="175" spans="1:65" x14ac:dyDescent="0.3">
      <c r="A175" t="s">
        <v>176</v>
      </c>
      <c r="B175" s="53">
        <f t="shared" si="30"/>
        <v>0</v>
      </c>
      <c r="C175" s="53">
        <f t="shared" si="23"/>
        <v>-1E-3</v>
      </c>
      <c r="D175" s="53">
        <f t="shared" si="24"/>
        <v>0</v>
      </c>
      <c r="E175" s="53">
        <f t="shared" si="25"/>
        <v>1E-3</v>
      </c>
      <c r="F175" s="15">
        <v>0.54500000000000004</v>
      </c>
      <c r="G175" s="4">
        <v>0.40600000000000003</v>
      </c>
      <c r="H175" t="s">
        <v>57</v>
      </c>
      <c r="I175" t="str">
        <f>VLOOKUP(A175,Setores!$A$2:$C$215,2,0)</f>
        <v>apparel</v>
      </c>
      <c r="J175" t="str">
        <f>VLOOKUP(A175,Setores!$A$2:$C$215,3,0)</f>
        <v>very_high_beta</v>
      </c>
      <c r="K175" s="92">
        <v>0</v>
      </c>
      <c r="L175" s="42">
        <v>-1E-3</v>
      </c>
      <c r="M175" s="92">
        <f>VLOOKUP(A175,'Mandato Ibov'!$B$1:$C$215,2,0)</f>
        <v>0</v>
      </c>
      <c r="N175" s="58">
        <f t="shared" si="26"/>
        <v>0</v>
      </c>
      <c r="O175" s="42">
        <f t="shared" si="27"/>
        <v>0</v>
      </c>
      <c r="P175" s="95">
        <f>VLOOKUP(A175,'Mandato Ibov'!$B$2:$D$215,3,0)</f>
        <v>0</v>
      </c>
      <c r="Q175" s="42">
        <f t="shared" si="28"/>
        <v>0</v>
      </c>
      <c r="R175" s="15">
        <v>-0.54600000000000004</v>
      </c>
      <c r="S175" s="15">
        <v>-0.83699999999999997</v>
      </c>
      <c r="T175" s="15">
        <v>-0.439</v>
      </c>
      <c r="U175" s="15">
        <v>-0.34899999999999998</v>
      </c>
      <c r="V175" s="15">
        <v>-0.60399999999999998</v>
      </c>
      <c r="W175" s="15">
        <v>-0.70799999999999996</v>
      </c>
      <c r="X175" s="15">
        <v>-0.73499999999999999</v>
      </c>
      <c r="Y175" s="15">
        <v>-0.84199999999999997</v>
      </c>
      <c r="Z175" s="15">
        <v>-0.316</v>
      </c>
      <c r="AA175" s="15">
        <v>-0.313</v>
      </c>
      <c r="AB175" s="15">
        <v>0.32500000000000001</v>
      </c>
      <c r="AC175" s="15">
        <v>-0.104</v>
      </c>
      <c r="AD175" s="15">
        <v>7.9000000000000001E-2</v>
      </c>
      <c r="AE175" s="14">
        <v>0.73599999999999999</v>
      </c>
      <c r="AF175" s="15">
        <v>0.17399999999999999</v>
      </c>
      <c r="AG175" s="15">
        <v>-0.66400000000000003</v>
      </c>
      <c r="AH175" s="15">
        <v>-0.24</v>
      </c>
      <c r="AI175" s="15">
        <v>-0.53800000000000003</v>
      </c>
      <c r="AJ175" s="16">
        <v>0.63800000000000001</v>
      </c>
      <c r="AK175" s="4">
        <v>0.39100000000000001</v>
      </c>
      <c r="AL175" s="4">
        <v>-0.72199999999999998</v>
      </c>
      <c r="AM175" s="4">
        <v>-0.25600000000000001</v>
      </c>
      <c r="AN175" s="4">
        <v>0.19600000000000001</v>
      </c>
      <c r="AO175" s="4">
        <v>-0.82</v>
      </c>
      <c r="AP175" s="4">
        <v>4.4999999999999998E-2</v>
      </c>
      <c r="AQ175" s="4">
        <v>0.60399999999999998</v>
      </c>
      <c r="AR175" s="4">
        <v>-0.309</v>
      </c>
      <c r="AS175" s="4">
        <v>-0.45100000000000001</v>
      </c>
      <c r="AT175" s="4">
        <v>0.29099999999999998</v>
      </c>
      <c r="AU175" s="4">
        <v>-0.19500000000000001</v>
      </c>
      <c r="AV175" s="4">
        <v>0.80100000000000005</v>
      </c>
      <c r="AW175" s="4">
        <v>-0.59799999999999998</v>
      </c>
      <c r="AX175" s="4">
        <v>8.8999999999999996E-2</v>
      </c>
      <c r="AY175" s="4">
        <v>0.66200000000000003</v>
      </c>
      <c r="AZ175" s="4">
        <v>8.4000000000000005E-2</v>
      </c>
      <c r="BA175" s="4">
        <v>-0.23699999999999999</v>
      </c>
      <c r="BB175" s="4">
        <v>-0.14599999999999999</v>
      </c>
      <c r="BC175" s="4">
        <v>-0.215</v>
      </c>
      <c r="BD175" s="4">
        <v>0.42899999999999999</v>
      </c>
      <c r="BE175" s="4">
        <v>0.151</v>
      </c>
      <c r="BF175" s="4">
        <v>-0.187</v>
      </c>
      <c r="BG175" s="4">
        <v>-0.215</v>
      </c>
      <c r="BH175" s="4">
        <v>-0.56999999999999995</v>
      </c>
      <c r="BI175" s="4">
        <v>0.34599999999999997</v>
      </c>
      <c r="BJ175" s="4">
        <v>-0.84799999999999998</v>
      </c>
      <c r="BK175" s="4">
        <v>0.39800000000000002</v>
      </c>
      <c r="BL175" s="4"/>
      <c r="BM175" s="4">
        <f t="shared" si="29"/>
        <v>1.9150000000000021E-2</v>
      </c>
    </row>
    <row r="176" spans="1:65" x14ac:dyDescent="0.3">
      <c r="A176" t="s">
        <v>178</v>
      </c>
      <c r="B176" s="53">
        <f t="shared" ref="B176:B207" si="31">K176</f>
        <v>0</v>
      </c>
      <c r="C176" s="53">
        <f t="shared" si="23"/>
        <v>-0.01</v>
      </c>
      <c r="D176" s="53">
        <f t="shared" si="24"/>
        <v>0</v>
      </c>
      <c r="E176" s="53">
        <f t="shared" si="25"/>
        <v>0.01</v>
      </c>
      <c r="F176" s="15">
        <v>0.54400000000000004</v>
      </c>
      <c r="G176" s="4">
        <v>0.55400000000000005</v>
      </c>
      <c r="H176" t="s">
        <v>53</v>
      </c>
      <c r="I176" t="str">
        <f>VLOOKUP(A176,Setores!$A$2:$C$215,2,0)</f>
        <v>healthcare</v>
      </c>
      <c r="J176" t="str">
        <f>VLOOKUP(A176,Setores!$A$2:$C$215,3,0)</f>
        <v>low_beta</v>
      </c>
      <c r="K176" s="92">
        <v>0</v>
      </c>
      <c r="L176" s="42">
        <v>-0.01</v>
      </c>
      <c r="M176" s="92">
        <f>VLOOKUP(A176,'Mandato Ibov'!$B$1:$C$215,2,0)</f>
        <v>0</v>
      </c>
      <c r="N176" s="58">
        <f t="shared" si="26"/>
        <v>0</v>
      </c>
      <c r="O176" s="42">
        <f t="shared" si="27"/>
        <v>0</v>
      </c>
      <c r="P176" s="95">
        <f>VLOOKUP(A176,'Mandato Ibov'!$B$2:$D$215,3,0)</f>
        <v>0</v>
      </c>
      <c r="Q176" s="42">
        <f t="shared" si="28"/>
        <v>0</v>
      </c>
      <c r="R176" s="15">
        <v>-0.85299999999999998</v>
      </c>
      <c r="S176" s="15">
        <v>-0.92600000000000005</v>
      </c>
      <c r="T176" s="15">
        <v>-0.94799999999999995</v>
      </c>
      <c r="U176" s="15">
        <v>-0.81499999999999995</v>
      </c>
      <c r="V176" s="15">
        <v>-0.93300000000000005</v>
      </c>
      <c r="W176" s="15">
        <v>-0.71499999999999997</v>
      </c>
      <c r="X176" s="15">
        <v>-0.53500000000000003</v>
      </c>
      <c r="Y176" s="15">
        <v>-0.84399999999999997</v>
      </c>
      <c r="Z176" s="15">
        <v>-8.4000000000000005E-2</v>
      </c>
      <c r="AA176" s="15">
        <v>-8.3000000000000004E-2</v>
      </c>
      <c r="AB176" s="15">
        <v>0.53</v>
      </c>
      <c r="AC176" s="15">
        <v>0.54100000000000004</v>
      </c>
      <c r="AD176" s="15">
        <v>0.252</v>
      </c>
      <c r="AE176" s="14">
        <v>-0.443</v>
      </c>
      <c r="AF176" s="15">
        <v>-0.88200000000000001</v>
      </c>
      <c r="AG176" s="15">
        <v>-0.84299999999999997</v>
      </c>
      <c r="AH176" s="15">
        <v>-0.97599999999999998</v>
      </c>
      <c r="AI176" s="15">
        <v>-0.83799999999999997</v>
      </c>
      <c r="AJ176" s="16">
        <v>-0.70899999999999996</v>
      </c>
      <c r="AK176" s="4">
        <v>-0.32400000000000001</v>
      </c>
      <c r="AL176" s="4">
        <v>-0.76</v>
      </c>
      <c r="AM176" s="4">
        <v>-0.91</v>
      </c>
      <c r="AN176" s="4">
        <v>0.40400000000000003</v>
      </c>
      <c r="AO176" s="4">
        <v>-0.219</v>
      </c>
      <c r="AP176" s="4">
        <v>-0.61199999999999999</v>
      </c>
      <c r="AQ176" s="4">
        <v>-4.9000000000000002E-2</v>
      </c>
      <c r="AR176" s="4">
        <v>0.159</v>
      </c>
      <c r="AS176" s="4">
        <v>-0.66400000000000003</v>
      </c>
      <c r="AT176" s="4">
        <v>0.52100000000000002</v>
      </c>
      <c r="AU176" s="4">
        <v>-0.42499999999999999</v>
      </c>
      <c r="AV176" s="4">
        <v>0.36699999999999999</v>
      </c>
      <c r="AW176" s="4">
        <v>0.31</v>
      </c>
      <c r="AX176" s="4">
        <v>-9.7000000000000003E-2</v>
      </c>
      <c r="AY176" s="4">
        <v>0.94699999999999995</v>
      </c>
      <c r="AZ176" s="4">
        <v>0.51</v>
      </c>
      <c r="BA176" s="4">
        <v>0.36799999999999999</v>
      </c>
      <c r="BB176" s="4">
        <v>-0.26600000000000001</v>
      </c>
      <c r="BC176" s="4">
        <v>-0.127</v>
      </c>
      <c r="BD176" s="4">
        <v>0.38600000000000001</v>
      </c>
      <c r="BE176" s="4">
        <v>0.30299999999999999</v>
      </c>
      <c r="BF176" s="4">
        <v>-0.12</v>
      </c>
      <c r="BG176" s="4">
        <v>0.64200000000000002</v>
      </c>
      <c r="BH176" s="4">
        <v>-5.2999999999999999E-2</v>
      </c>
      <c r="BI176" s="4">
        <v>-0.28399999999999997</v>
      </c>
      <c r="BJ176" s="4">
        <v>-0.254</v>
      </c>
      <c r="BK176" s="4">
        <v>-0.67700000000000005</v>
      </c>
      <c r="BL176" s="4"/>
      <c r="BM176" s="4">
        <f t="shared" si="29"/>
        <v>-5.0399999999999973E-2</v>
      </c>
    </row>
    <row r="177" spans="1:65" x14ac:dyDescent="0.3">
      <c r="A177" t="s">
        <v>197</v>
      </c>
      <c r="B177" s="53">
        <f t="shared" si="31"/>
        <v>0</v>
      </c>
      <c r="C177" s="53">
        <f t="shared" si="23"/>
        <v>-1.4999999999999999E-2</v>
      </c>
      <c r="D177" s="53">
        <f t="shared" si="24"/>
        <v>0</v>
      </c>
      <c r="E177" s="53">
        <f t="shared" si="25"/>
        <v>1.4999999999999999E-2</v>
      </c>
      <c r="F177" s="15">
        <v>0.54300000000000004</v>
      </c>
      <c r="G177" s="4">
        <v>0.94699999999999995</v>
      </c>
      <c r="H177" t="s">
        <v>53</v>
      </c>
      <c r="I177" t="str">
        <f>VLOOKUP(A177,Setores!$A$2:$C$215,2,0)</f>
        <v>healthcare</v>
      </c>
      <c r="J177" t="str">
        <f>VLOOKUP(A177,Setores!$A$2:$C$215,3,0)</f>
        <v>low_beta</v>
      </c>
      <c r="K177" s="92">
        <v>0</v>
      </c>
      <c r="L177" s="42">
        <v>-1.4999999999999999E-2</v>
      </c>
      <c r="M177" s="92">
        <f>VLOOKUP(A177,'Mandato Ibov'!$B$1:$C$215,2,0)</f>
        <v>0</v>
      </c>
      <c r="N177" s="58">
        <f t="shared" si="26"/>
        <v>0</v>
      </c>
      <c r="O177" s="42">
        <f t="shared" si="27"/>
        <v>0</v>
      </c>
      <c r="P177" s="95">
        <f>VLOOKUP(A177,'Mandato Ibov'!$B$2:$D$215,3,0)</f>
        <v>0</v>
      </c>
      <c r="Q177" s="42">
        <f t="shared" si="28"/>
        <v>0</v>
      </c>
      <c r="R177" s="15">
        <v>-0.82799999999999996</v>
      </c>
      <c r="S177" s="15">
        <v>-0.94399999999999995</v>
      </c>
      <c r="T177" s="15">
        <v>-0.92600000000000005</v>
      </c>
      <c r="U177" s="15">
        <v>-0.78200000000000003</v>
      </c>
      <c r="V177" s="15">
        <v>-0.92100000000000004</v>
      </c>
      <c r="W177" s="15">
        <v>-0.67300000000000004</v>
      </c>
      <c r="X177" s="15">
        <v>-0.51100000000000001</v>
      </c>
      <c r="Y177" s="15">
        <v>-0.78600000000000003</v>
      </c>
      <c r="Z177" s="15">
        <v>-0.32100000000000001</v>
      </c>
      <c r="AA177" s="15">
        <v>-0.32100000000000001</v>
      </c>
      <c r="AB177" s="15">
        <v>0.58899999999999997</v>
      </c>
      <c r="AC177" s="15">
        <v>0.50900000000000001</v>
      </c>
      <c r="AD177" s="15">
        <v>0.23499999999999999</v>
      </c>
      <c r="AE177" s="14">
        <v>-0.501</v>
      </c>
      <c r="AF177" s="15">
        <v>-0.01</v>
      </c>
      <c r="AG177" s="15">
        <v>-0.97699999999999998</v>
      </c>
      <c r="AH177" s="15">
        <v>-0.94699999999999995</v>
      </c>
      <c r="AI177" s="15">
        <v>-1</v>
      </c>
      <c r="AJ177" s="16">
        <v>-0.97299999999999998</v>
      </c>
      <c r="AK177" s="4">
        <v>-0.5</v>
      </c>
      <c r="AL177" s="4">
        <v>-0.11799999999999999</v>
      </c>
      <c r="AM177" s="4">
        <v>-0.85399999999999998</v>
      </c>
      <c r="AN177" s="4">
        <v>0.316</v>
      </c>
      <c r="AO177" s="4">
        <v>-0.45</v>
      </c>
      <c r="AP177" s="4">
        <v>-0.218</v>
      </c>
      <c r="AQ177" s="4">
        <v>0.41499999999999998</v>
      </c>
      <c r="AR177" s="4">
        <v>0.27200000000000002</v>
      </c>
      <c r="AS177" s="4">
        <v>-0.34799999999999998</v>
      </c>
      <c r="AT177" s="4">
        <v>-1.2999999999999999E-2</v>
      </c>
      <c r="AU177" s="4">
        <v>-0.34300000000000003</v>
      </c>
      <c r="AV177" s="4">
        <v>-0.115</v>
      </c>
      <c r="AW177" s="4">
        <v>0.214</v>
      </c>
      <c r="AX177" s="4">
        <v>0.20499999999999999</v>
      </c>
      <c r="AY177" s="4">
        <v>0.83899999999999997</v>
      </c>
      <c r="AZ177" s="4">
        <v>0.25600000000000001</v>
      </c>
      <c r="BA177" s="4">
        <v>0.65600000000000003</v>
      </c>
      <c r="BB177" s="4">
        <v>2.3E-2</v>
      </c>
      <c r="BC177" s="4">
        <v>-0.247</v>
      </c>
      <c r="BD177" s="4">
        <v>0.22</v>
      </c>
      <c r="BE177" s="4">
        <v>0.222</v>
      </c>
      <c r="BF177" s="4">
        <v>0.437</v>
      </c>
      <c r="BG177" s="4">
        <v>0.32800000000000001</v>
      </c>
      <c r="BH177" s="4">
        <v>-0.217</v>
      </c>
      <c r="BI177" s="4">
        <v>-0.20399999999999999</v>
      </c>
      <c r="BJ177" s="4">
        <v>-0.14399999999999999</v>
      </c>
      <c r="BK177" s="4">
        <v>-0.874</v>
      </c>
      <c r="BL177" s="4"/>
      <c r="BM177" s="4">
        <f t="shared" si="29"/>
        <v>-6.5049999999999969E-2</v>
      </c>
    </row>
    <row r="178" spans="1:65" x14ac:dyDescent="0.3">
      <c r="A178" t="s">
        <v>169</v>
      </c>
      <c r="B178" s="53">
        <f t="shared" si="31"/>
        <v>0</v>
      </c>
      <c r="C178" s="53">
        <f t="shared" si="23"/>
        <v>0</v>
      </c>
      <c r="D178" s="53">
        <f t="shared" si="24"/>
        <v>0</v>
      </c>
      <c r="E178" s="53">
        <f t="shared" si="25"/>
        <v>0</v>
      </c>
      <c r="F178" s="15">
        <v>0.54</v>
      </c>
      <c r="G178" s="4">
        <v>0.55000000000000004</v>
      </c>
      <c r="H178" t="s">
        <v>57</v>
      </c>
      <c r="I178" t="str">
        <f>VLOOKUP(A178,Setores!$A$2:$C$215,2,0)</f>
        <v>homebuilders</v>
      </c>
      <c r="J178" t="str">
        <f>VLOOKUP(A178,Setores!$A$2:$C$215,3,0)</f>
        <v>very_high_beta</v>
      </c>
      <c r="K178" s="92">
        <v>0</v>
      </c>
      <c r="L178" s="42">
        <v>0</v>
      </c>
      <c r="M178" s="92">
        <f>VLOOKUP(A178,'Mandato Ibov'!$B$1:$C$215,2,0)</f>
        <v>0</v>
      </c>
      <c r="N178" s="58">
        <f t="shared" si="26"/>
        <v>0</v>
      </c>
      <c r="O178" s="42">
        <f t="shared" si="27"/>
        <v>0</v>
      </c>
      <c r="P178" s="95">
        <f>VLOOKUP(A178,'Mandato Ibov'!$B$2:$D$215,3,0)</f>
        <v>0</v>
      </c>
      <c r="Q178" s="42">
        <f t="shared" si="28"/>
        <v>0</v>
      </c>
      <c r="R178" s="15">
        <v>-0.77500000000000002</v>
      </c>
      <c r="S178" s="15">
        <v>-0.91300000000000003</v>
      </c>
      <c r="T178" s="15">
        <v>-0.747</v>
      </c>
      <c r="U178" s="15">
        <v>-0.82699999999999996</v>
      </c>
      <c r="V178" s="15">
        <v>-0.89300000000000002</v>
      </c>
      <c r="W178" s="15">
        <v>-0.70599999999999996</v>
      </c>
      <c r="X178" s="15">
        <v>-0.60399999999999998</v>
      </c>
      <c r="Y178" s="15">
        <v>-0.88800000000000001</v>
      </c>
      <c r="Z178" s="15">
        <v>8.0000000000000002E-3</v>
      </c>
      <c r="AA178" s="15">
        <v>6.0000000000000001E-3</v>
      </c>
      <c r="AB178" s="15">
        <v>0.435</v>
      </c>
      <c r="AC178" s="15">
        <v>0.36499999999999999</v>
      </c>
      <c r="AD178" s="15">
        <v>0.14499999999999999</v>
      </c>
      <c r="AE178" s="14">
        <v>-0.94099999999999995</v>
      </c>
      <c r="AF178" s="15">
        <v>0.26700000000000002</v>
      </c>
      <c r="AG178" s="15">
        <v>-0.85</v>
      </c>
      <c r="AH178" s="15">
        <v>-0.746</v>
      </c>
      <c r="AI178" s="15">
        <v>-0.94299999999999995</v>
      </c>
      <c r="AJ178" s="16">
        <v>-0.46100000000000002</v>
      </c>
      <c r="AK178" s="4">
        <v>-0.252</v>
      </c>
      <c r="AL178" s="4">
        <v>-0.56499999999999995</v>
      </c>
      <c r="AM178" s="4">
        <v>-0.33100000000000002</v>
      </c>
      <c r="AN178" s="4">
        <v>0.38</v>
      </c>
      <c r="AO178" s="4">
        <v>-0.60199999999999998</v>
      </c>
      <c r="AP178" s="4">
        <v>-0.621</v>
      </c>
      <c r="AQ178" s="4">
        <v>0.375</v>
      </c>
      <c r="AR178" s="4">
        <v>0.29499999999999998</v>
      </c>
      <c r="AS178" s="4">
        <v>-0.19</v>
      </c>
      <c r="AT178" s="4">
        <v>-3.5000000000000003E-2</v>
      </c>
      <c r="AU178" s="4">
        <v>-0.188</v>
      </c>
      <c r="AV178" s="4">
        <v>-0.57299999999999995</v>
      </c>
      <c r="AW178" s="4">
        <v>0.06</v>
      </c>
      <c r="AX178" s="4">
        <v>-0.185</v>
      </c>
      <c r="AY178" s="4">
        <v>0.63900000000000001</v>
      </c>
      <c r="AZ178" s="4">
        <v>0.64800000000000002</v>
      </c>
      <c r="BA178" s="4">
        <v>0.32600000000000001</v>
      </c>
      <c r="BB178" s="4">
        <v>-0.26200000000000001</v>
      </c>
      <c r="BC178" s="4">
        <v>-0.54300000000000004</v>
      </c>
      <c r="BD178" s="4">
        <v>-1.7000000000000001E-2</v>
      </c>
      <c r="BE178" s="4">
        <v>0.42</v>
      </c>
      <c r="BF178" s="4">
        <v>0.33100000000000002</v>
      </c>
      <c r="BG178" s="4">
        <v>0.438</v>
      </c>
      <c r="BH178" s="4">
        <v>-0.501</v>
      </c>
      <c r="BI178" s="4">
        <v>0.82699999999999996</v>
      </c>
      <c r="BJ178" s="4">
        <v>0.54800000000000004</v>
      </c>
      <c r="BK178" s="4">
        <v>-0.379</v>
      </c>
      <c r="BL178" s="4"/>
      <c r="BM178" s="4">
        <f t="shared" si="29"/>
        <v>-0.16402499999999995</v>
      </c>
    </row>
    <row r="179" spans="1:65" x14ac:dyDescent="0.3">
      <c r="A179" t="s">
        <v>238</v>
      </c>
      <c r="B179" s="53">
        <f t="shared" si="31"/>
        <v>0</v>
      </c>
      <c r="C179" s="53">
        <f t="shared" si="23"/>
        <v>0</v>
      </c>
      <c r="D179" s="53">
        <f t="shared" si="24"/>
        <v>0</v>
      </c>
      <c r="E179" s="53">
        <f t="shared" si="25"/>
        <v>0</v>
      </c>
      <c r="F179" s="15">
        <v>0.54</v>
      </c>
      <c r="G179" s="4">
        <v>0.46600000000000003</v>
      </c>
      <c r="H179" t="s">
        <v>68</v>
      </c>
      <c r="I179" t="str">
        <f>VLOOKUP(A179,Setores!$A$2:$C$215,2,0)</f>
        <v>capital_goods</v>
      </c>
      <c r="J179" t="str">
        <f>VLOOKUP(A179,Setores!$A$2:$C$215,3,0)</f>
        <v>high_beta</v>
      </c>
      <c r="K179" s="92">
        <v>0</v>
      </c>
      <c r="L179" s="42">
        <v>0</v>
      </c>
      <c r="M179" s="92">
        <f>VLOOKUP(A179,'Mandato Ibov'!$B$1:$C$215,2,0)</f>
        <v>0</v>
      </c>
      <c r="N179" s="58">
        <f t="shared" si="26"/>
        <v>0</v>
      </c>
      <c r="O179" s="42">
        <f t="shared" si="27"/>
        <v>0</v>
      </c>
      <c r="P179" s="95">
        <f>VLOOKUP(A179,'Mandato Ibov'!$B$2:$D$215,3,0)</f>
        <v>0</v>
      </c>
      <c r="Q179" s="42">
        <f t="shared" si="28"/>
        <v>0</v>
      </c>
      <c r="R179" s="15">
        <v>-0.77500000000000002</v>
      </c>
      <c r="S179" s="15">
        <v>-0.56999999999999995</v>
      </c>
      <c r="T179" s="15">
        <v>-0.68100000000000005</v>
      </c>
      <c r="U179" s="15">
        <v>-0.872</v>
      </c>
      <c r="V179" s="15">
        <v>-0.78700000000000003</v>
      </c>
      <c r="W179" s="15">
        <v>-0.82399999999999995</v>
      </c>
      <c r="X179" s="15">
        <v>-0.81899999999999995</v>
      </c>
      <c r="Y179" s="15">
        <v>-0.81399999999999995</v>
      </c>
      <c r="Z179" s="15">
        <v>-0.36499999999999999</v>
      </c>
      <c r="AA179" s="15">
        <v>-0.36299999999999999</v>
      </c>
      <c r="AB179" s="15">
        <v>-8.2000000000000003E-2</v>
      </c>
      <c r="AC179" s="15">
        <v>0.504</v>
      </c>
      <c r="AD179" s="15">
        <v>0.35299999999999998</v>
      </c>
      <c r="AE179" s="14">
        <v>-0.90200000000000002</v>
      </c>
      <c r="AF179" s="15">
        <v>-0.748</v>
      </c>
      <c r="AG179" s="15">
        <v>0.09</v>
      </c>
      <c r="AH179" s="15">
        <v>4.5999999999999999E-2</v>
      </c>
      <c r="AI179" s="15">
        <v>0.55100000000000005</v>
      </c>
      <c r="AJ179" s="16">
        <v>-0.71699999999999997</v>
      </c>
      <c r="AK179" s="4">
        <v>8.5999999999999993E-2</v>
      </c>
      <c r="AL179" s="4">
        <v>-0.61899999999999999</v>
      </c>
      <c r="AM179" s="4">
        <v>-0.112</v>
      </c>
      <c r="AN179" s="4">
        <v>-0.50900000000000001</v>
      </c>
      <c r="AO179" s="4">
        <v>-0.14599999999999999</v>
      </c>
      <c r="AP179" s="4">
        <v>0.873</v>
      </c>
      <c r="AQ179" s="4">
        <v>-0.63200000000000001</v>
      </c>
      <c r="AR179" s="4">
        <v>-1</v>
      </c>
      <c r="AS179" s="4">
        <v>-0.81899999999999995</v>
      </c>
      <c r="AT179" s="4">
        <v>-0.29299999999999998</v>
      </c>
      <c r="AU179" s="4">
        <v>-0.71799999999999997</v>
      </c>
      <c r="AV179" s="4">
        <v>-0.77600000000000002</v>
      </c>
      <c r="AW179" s="4">
        <v>0.32700000000000001</v>
      </c>
      <c r="AX179" s="4">
        <v>-0.27</v>
      </c>
      <c r="AY179" s="4">
        <v>0.40100000000000002</v>
      </c>
      <c r="AZ179" s="4">
        <v>-5.0000000000000001E-3</v>
      </c>
      <c r="BA179" s="4">
        <v>4.0000000000000001E-3</v>
      </c>
      <c r="BB179" s="4">
        <v>0.71399999999999997</v>
      </c>
      <c r="BC179" s="4">
        <v>0.433</v>
      </c>
      <c r="BD179" s="4">
        <v>0.23499999999999999</v>
      </c>
      <c r="BE179" s="4">
        <v>8.9999999999999993E-3</v>
      </c>
      <c r="BF179" s="4">
        <v>0.11</v>
      </c>
      <c r="BG179" s="4">
        <v>0.35899999999999999</v>
      </c>
      <c r="BH179" s="4">
        <v>0.17699999999999999</v>
      </c>
      <c r="BI179" s="4">
        <v>0.71699999999999997</v>
      </c>
      <c r="BJ179" s="4">
        <v>-3.0000000000000001E-3</v>
      </c>
      <c r="BK179" s="4">
        <v>0.378</v>
      </c>
      <c r="BL179" s="4"/>
      <c r="BM179" s="4">
        <f t="shared" si="29"/>
        <v>-0.20937499999999998</v>
      </c>
    </row>
    <row r="180" spans="1:65" x14ac:dyDescent="0.3">
      <c r="A180" t="s">
        <v>170</v>
      </c>
      <c r="B180" s="53">
        <f t="shared" si="31"/>
        <v>0</v>
      </c>
      <c r="C180" s="53">
        <f t="shared" si="23"/>
        <v>0</v>
      </c>
      <c r="D180" s="53">
        <f t="shared" si="24"/>
        <v>0</v>
      </c>
      <c r="E180" s="53">
        <f t="shared" si="25"/>
        <v>0</v>
      </c>
      <c r="F180" s="15">
        <v>0.53600000000000003</v>
      </c>
      <c r="G180" s="4">
        <v>0.45500000000000002</v>
      </c>
      <c r="H180" t="s">
        <v>57</v>
      </c>
      <c r="I180" t="str">
        <f>VLOOKUP(A180,Setores!$A$2:$C$215,2,0)</f>
        <v>consumer_durables</v>
      </c>
      <c r="J180" t="str">
        <f>VLOOKUP(A180,Setores!$A$2:$C$215,3,0)</f>
        <v>very_high_beta</v>
      </c>
      <c r="K180" s="92">
        <v>0</v>
      </c>
      <c r="L180" s="42">
        <v>0</v>
      </c>
      <c r="M180" s="92">
        <f>VLOOKUP(A180,'Mandato Ibov'!$B$1:$C$215,2,0)</f>
        <v>0</v>
      </c>
      <c r="N180" s="58">
        <f t="shared" si="26"/>
        <v>0</v>
      </c>
      <c r="O180" s="42">
        <f t="shared" si="27"/>
        <v>0</v>
      </c>
      <c r="P180" s="95">
        <f>VLOOKUP(A180,'Mandato Ibov'!$B$2:$D$215,3,0)</f>
        <v>0</v>
      </c>
      <c r="Q180" s="42">
        <f t="shared" si="28"/>
        <v>0</v>
      </c>
      <c r="R180" s="15">
        <v>-0.75</v>
      </c>
      <c r="S180" s="15">
        <v>-0.82699999999999996</v>
      </c>
      <c r="T180" s="15">
        <v>-0.75</v>
      </c>
      <c r="U180" s="15">
        <v>-0.78900000000000003</v>
      </c>
      <c r="V180" s="15">
        <v>-0.83399999999999996</v>
      </c>
      <c r="W180" s="15">
        <v>-0.81</v>
      </c>
      <c r="X180" s="15">
        <v>-0.80600000000000005</v>
      </c>
      <c r="Y180" s="15">
        <v>-0.879</v>
      </c>
      <c r="Z180" s="15">
        <v>-0.26800000000000002</v>
      </c>
      <c r="AA180" s="15">
        <v>-0.26800000000000002</v>
      </c>
      <c r="AB180" s="15">
        <v>0.45800000000000002</v>
      </c>
      <c r="AC180" s="15">
        <v>0.42199999999999999</v>
      </c>
      <c r="AD180" s="15">
        <v>0.20200000000000001</v>
      </c>
      <c r="AE180" s="14">
        <v>-0.6</v>
      </c>
      <c r="AF180" s="15">
        <v>-0.17299999999999999</v>
      </c>
      <c r="AG180" s="15">
        <v>-0.625</v>
      </c>
      <c r="AH180" s="15">
        <v>-0.33100000000000002</v>
      </c>
      <c r="AI180" s="15">
        <v>-0.21099999999999999</v>
      </c>
      <c r="AJ180" s="16">
        <v>-0.28000000000000003</v>
      </c>
      <c r="AK180" s="4">
        <v>-0.28399999999999997</v>
      </c>
      <c r="AL180" s="4">
        <v>-0.57199999999999995</v>
      </c>
      <c r="AM180" s="4">
        <v>-0.34399999999999997</v>
      </c>
      <c r="AN180" s="4">
        <v>0.193</v>
      </c>
      <c r="AO180" s="4">
        <v>-0.56699999999999995</v>
      </c>
      <c r="AP180" s="4">
        <v>0.115</v>
      </c>
      <c r="AQ180" s="4">
        <v>0.35399999999999998</v>
      </c>
      <c r="AR180" s="4">
        <v>0.27400000000000002</v>
      </c>
      <c r="AS180" s="4">
        <v>0.17499999999999999</v>
      </c>
      <c r="AT180" s="4">
        <v>0.14199999999999999</v>
      </c>
      <c r="AU180" s="4">
        <v>-0.45100000000000001</v>
      </c>
      <c r="AV180" s="4">
        <v>-0.183</v>
      </c>
      <c r="AW180" s="4">
        <v>-0.40799999999999997</v>
      </c>
      <c r="AX180" s="4">
        <v>-0.42499999999999999</v>
      </c>
      <c r="AY180" s="4">
        <v>0.65200000000000002</v>
      </c>
      <c r="AZ180" s="4">
        <v>0.23499999999999999</v>
      </c>
      <c r="BA180" s="4">
        <v>0.42299999999999999</v>
      </c>
      <c r="BB180" s="4">
        <v>-0.309</v>
      </c>
      <c r="BC180" s="4">
        <v>-0.70299999999999996</v>
      </c>
      <c r="BD180" s="4">
        <v>0.21199999999999999</v>
      </c>
      <c r="BE180" s="4">
        <v>-0.113</v>
      </c>
      <c r="BF180" s="4">
        <v>0.11799999999999999</v>
      </c>
      <c r="BG180" s="4">
        <v>-3.3000000000000002E-2</v>
      </c>
      <c r="BH180" s="4">
        <v>-8.3000000000000004E-2</v>
      </c>
      <c r="BI180" s="4">
        <v>0.29899999999999999</v>
      </c>
      <c r="BJ180" s="4">
        <v>-0.17100000000000001</v>
      </c>
      <c r="BK180" s="4">
        <v>3.5000000000000003E-2</v>
      </c>
      <c r="BL180" s="4"/>
      <c r="BM180" s="4">
        <f t="shared" si="29"/>
        <v>-8.2974999999999993E-2</v>
      </c>
    </row>
    <row r="181" spans="1:65" x14ac:dyDescent="0.3">
      <c r="A181" t="s">
        <v>217</v>
      </c>
      <c r="B181" s="53">
        <f t="shared" si="31"/>
        <v>0</v>
      </c>
      <c r="C181" s="53">
        <f t="shared" si="23"/>
        <v>0</v>
      </c>
      <c r="D181" s="53">
        <f t="shared" si="24"/>
        <v>0</v>
      </c>
      <c r="E181" s="53">
        <f t="shared" si="25"/>
        <v>0</v>
      </c>
      <c r="F181" s="15">
        <v>0.53500000000000003</v>
      </c>
      <c r="G181" s="4">
        <v>0.50600000000000001</v>
      </c>
      <c r="H181" t="s">
        <v>57</v>
      </c>
      <c r="I181" t="str">
        <f>VLOOKUP(A181,Setores!$A$2:$C$215,2,0)</f>
        <v>consumer_services</v>
      </c>
      <c r="J181" t="str">
        <f>VLOOKUP(A181,Setores!$A$2:$C$215,3,0)</f>
        <v>very_high_beta</v>
      </c>
      <c r="K181" s="92">
        <v>0</v>
      </c>
      <c r="L181" s="42">
        <v>0</v>
      </c>
      <c r="M181" s="92">
        <f>VLOOKUP(A181,'Mandato Ibov'!$B$1:$C$215,2,0)</f>
        <v>0</v>
      </c>
      <c r="N181" s="58">
        <f t="shared" si="26"/>
        <v>0</v>
      </c>
      <c r="O181" s="42">
        <f t="shared" si="27"/>
        <v>0</v>
      </c>
      <c r="P181" s="95">
        <f>VLOOKUP(A181,'Mandato Ibov'!$B$2:$D$215,3,0)</f>
        <v>0</v>
      </c>
      <c r="Q181" s="42">
        <f t="shared" si="28"/>
        <v>0</v>
      </c>
      <c r="R181" s="15">
        <v>-0.75900000000000001</v>
      </c>
      <c r="S181" s="15">
        <v>-0.86399999999999999</v>
      </c>
      <c r="T181" s="15">
        <v>-0.84699999999999998</v>
      </c>
      <c r="U181" s="15">
        <v>-0.81799999999999995</v>
      </c>
      <c r="V181" s="15">
        <v>-0.9</v>
      </c>
      <c r="W181" s="15">
        <v>-0.79300000000000004</v>
      </c>
      <c r="X181" s="15">
        <v>-0.75900000000000001</v>
      </c>
      <c r="Y181" s="15">
        <v>-0.88500000000000001</v>
      </c>
      <c r="Z181" s="15">
        <v>-0.16200000000000001</v>
      </c>
      <c r="AA181" s="15">
        <v>-0.16200000000000001</v>
      </c>
      <c r="AB181" s="15">
        <v>0.375</v>
      </c>
      <c r="AC181" s="15">
        <v>0.44</v>
      </c>
      <c r="AD181" s="15">
        <v>0.18</v>
      </c>
      <c r="AE181" s="14">
        <v>-0.97399999999999998</v>
      </c>
      <c r="AF181" s="15">
        <v>-0.17</v>
      </c>
      <c r="AG181" s="15">
        <v>-0.754</v>
      </c>
      <c r="AH181" s="15">
        <v>-0.98399999999999999</v>
      </c>
      <c r="AI181" s="15">
        <v>-0.89900000000000002</v>
      </c>
      <c r="AJ181" s="16">
        <v>-0.72</v>
      </c>
      <c r="AK181" s="4">
        <v>-0.28799999999999998</v>
      </c>
      <c r="AL181" s="4">
        <v>-0.72699999999999998</v>
      </c>
      <c r="AM181" s="4">
        <v>-0.63800000000000001</v>
      </c>
      <c r="AN181" s="4">
        <v>0.371</v>
      </c>
      <c r="AO181" s="4">
        <v>-0.33100000000000002</v>
      </c>
      <c r="AP181" s="4">
        <v>-2.5999999999999999E-2</v>
      </c>
      <c r="AQ181" s="4">
        <v>0.41099999999999998</v>
      </c>
      <c r="AR181" s="4">
        <v>0.47099999999999997</v>
      </c>
      <c r="AS181" s="4">
        <v>0.22700000000000001</v>
      </c>
      <c r="AT181" s="4">
        <v>4.5999999999999999E-2</v>
      </c>
      <c r="AU181" s="4">
        <v>-0.22900000000000001</v>
      </c>
      <c r="AV181" s="4">
        <v>-0.432</v>
      </c>
      <c r="AW181" s="4">
        <v>-4.2999999999999997E-2</v>
      </c>
      <c r="AX181" s="4">
        <v>-0.24299999999999999</v>
      </c>
      <c r="AY181" s="4">
        <v>-6.8000000000000005E-2</v>
      </c>
      <c r="AZ181" s="4">
        <v>0.13900000000000001</v>
      </c>
      <c r="BA181" s="4">
        <v>0.51300000000000001</v>
      </c>
      <c r="BB181" s="4">
        <v>-0.156</v>
      </c>
      <c r="BC181" s="4">
        <v>-0.05</v>
      </c>
      <c r="BD181" s="4">
        <v>0.17499999999999999</v>
      </c>
      <c r="BE181" s="4">
        <v>5.2999999999999999E-2</v>
      </c>
      <c r="BF181" s="4">
        <v>-0.26700000000000002</v>
      </c>
      <c r="BG181" s="4">
        <v>-6.6000000000000003E-2</v>
      </c>
      <c r="BH181" s="4">
        <v>-3.5000000000000003E-2</v>
      </c>
      <c r="BI181" s="4">
        <v>0.505</v>
      </c>
      <c r="BJ181" s="4">
        <v>0.60099999999999998</v>
      </c>
      <c r="BK181" s="4">
        <v>-0.65</v>
      </c>
      <c r="BL181" s="4"/>
      <c r="BM181" s="4">
        <f t="shared" si="29"/>
        <v>-8.9275000000000021E-2</v>
      </c>
    </row>
    <row r="182" spans="1:65" x14ac:dyDescent="0.3">
      <c r="A182" t="s">
        <v>231</v>
      </c>
      <c r="B182" s="53">
        <f t="shared" si="31"/>
        <v>0</v>
      </c>
      <c r="C182" s="53">
        <f t="shared" si="23"/>
        <v>0</v>
      </c>
      <c r="D182" s="53">
        <f t="shared" si="24"/>
        <v>0</v>
      </c>
      <c r="E182" s="53">
        <f t="shared" si="25"/>
        <v>0</v>
      </c>
      <c r="F182" s="15">
        <v>0.53400000000000003</v>
      </c>
      <c r="G182" s="4">
        <v>0.51800000000000002</v>
      </c>
      <c r="H182" t="s">
        <v>71</v>
      </c>
      <c r="I182" t="str">
        <f>VLOOKUP(A182,Setores!$A$2:$C$215,2,0)</f>
        <v>food</v>
      </c>
      <c r="J182" t="str">
        <f>VLOOKUP(A182,Setores!$A$2:$C$215,3,0)</f>
        <v>very_low_beta</v>
      </c>
      <c r="K182" s="92">
        <v>0</v>
      </c>
      <c r="L182" s="42">
        <v>0</v>
      </c>
      <c r="M182" s="92">
        <f>VLOOKUP(A182,'Mandato Ibov'!$B$1:$C$215,2,0)</f>
        <v>0</v>
      </c>
      <c r="N182" s="58">
        <f t="shared" si="26"/>
        <v>0</v>
      </c>
      <c r="O182" s="42">
        <f t="shared" si="27"/>
        <v>0</v>
      </c>
      <c r="P182" s="95">
        <f>VLOOKUP(A182,'Mandato Ibov'!$B$2:$D$215,3,0)</f>
        <v>0</v>
      </c>
      <c r="Q182" s="42">
        <f t="shared" si="28"/>
        <v>0</v>
      </c>
      <c r="R182" s="15">
        <v>-0.93100000000000005</v>
      </c>
      <c r="S182" s="15">
        <v>-0.92100000000000004</v>
      </c>
      <c r="T182" s="15">
        <v>-0.95699999999999996</v>
      </c>
      <c r="U182" s="15">
        <v>-0.91200000000000003</v>
      </c>
      <c r="V182" s="15">
        <v>-0.95099999999999996</v>
      </c>
      <c r="W182" s="15">
        <v>-0.84299999999999997</v>
      </c>
      <c r="X182" s="15">
        <v>-0.85499999999999998</v>
      </c>
      <c r="Y182" s="15">
        <v>-0.86599999999999999</v>
      </c>
      <c r="Z182" s="15">
        <v>-9.6000000000000002E-2</v>
      </c>
      <c r="AA182" s="15">
        <v>-9.5000000000000001E-2</v>
      </c>
      <c r="AB182" s="15">
        <v>0.53600000000000003</v>
      </c>
      <c r="AC182" s="15">
        <v>0.52900000000000003</v>
      </c>
      <c r="AD182" s="15">
        <v>0.316</v>
      </c>
      <c r="AE182" s="14">
        <v>-0.94099999999999995</v>
      </c>
      <c r="AF182" s="15">
        <v>-0.93300000000000005</v>
      </c>
      <c r="AG182" s="15">
        <v>-0.47499999999999998</v>
      </c>
      <c r="AH182" s="15">
        <v>-0.83399999999999996</v>
      </c>
      <c r="AI182" s="15">
        <v>-0.36199999999999999</v>
      </c>
      <c r="AJ182" s="16">
        <v>-0.81299999999999994</v>
      </c>
      <c r="AK182" s="4">
        <v>-0.48199999999999998</v>
      </c>
      <c r="AL182" s="4">
        <v>-0.84599999999999997</v>
      </c>
      <c r="AM182" s="4">
        <v>-0.69699999999999995</v>
      </c>
      <c r="AN182" s="4">
        <v>-0.14499999999999999</v>
      </c>
      <c r="AO182" s="4">
        <v>4.0000000000000001E-3</v>
      </c>
      <c r="AP182" s="4">
        <v>0.34899999999999998</v>
      </c>
      <c r="AQ182" s="4">
        <v>-4.8000000000000001E-2</v>
      </c>
      <c r="AR182" s="4">
        <v>-0.40100000000000002</v>
      </c>
      <c r="AS182" s="4">
        <v>-0.71799999999999997</v>
      </c>
      <c r="AT182" s="4">
        <v>0.152</v>
      </c>
      <c r="AU182" s="4">
        <v>-0.55600000000000005</v>
      </c>
      <c r="AV182" s="4">
        <v>-0.52200000000000002</v>
      </c>
      <c r="AW182" s="4">
        <v>0.45200000000000001</v>
      </c>
      <c r="AX182" s="4">
        <v>-3.1E-2</v>
      </c>
      <c r="AY182" s="4">
        <v>0.72799999999999998</v>
      </c>
      <c r="AZ182" s="4">
        <v>0.59099999999999997</v>
      </c>
      <c r="BA182" s="4">
        <v>0.52700000000000002</v>
      </c>
      <c r="BB182" s="4">
        <v>-0.95199999999999996</v>
      </c>
      <c r="BC182" s="4">
        <v>-0.76800000000000002</v>
      </c>
      <c r="BD182" s="4">
        <v>-0.17799999999999999</v>
      </c>
      <c r="BE182" s="4">
        <v>-1</v>
      </c>
      <c r="BF182" s="4">
        <v>-0.98399999999999999</v>
      </c>
      <c r="BG182" s="4">
        <v>0</v>
      </c>
      <c r="BH182" s="4">
        <v>-0.314</v>
      </c>
      <c r="BI182" s="4">
        <v>-0.316</v>
      </c>
      <c r="BJ182" s="4">
        <v>0.35099999999999998</v>
      </c>
      <c r="BK182" s="4">
        <v>-7.6999999999999999E-2</v>
      </c>
      <c r="BL182" s="4"/>
      <c r="BM182" s="4">
        <f t="shared" si="29"/>
        <v>-0.12020000000000002</v>
      </c>
    </row>
    <row r="183" spans="1:65" x14ac:dyDescent="0.3">
      <c r="A183" t="s">
        <v>257</v>
      </c>
      <c r="B183" s="53">
        <f t="shared" si="31"/>
        <v>0</v>
      </c>
      <c r="C183" s="53">
        <f t="shared" si="23"/>
        <v>-1E-3</v>
      </c>
      <c r="D183" s="53">
        <f t="shared" si="24"/>
        <v>0</v>
      </c>
      <c r="E183" s="53">
        <f t="shared" si="25"/>
        <v>1E-3</v>
      </c>
      <c r="F183" s="15">
        <v>0.53400000000000003</v>
      </c>
      <c r="G183" s="4">
        <v>0.39800000000000002</v>
      </c>
      <c r="H183" t="s">
        <v>57</v>
      </c>
      <c r="I183" t="str">
        <f>VLOOKUP(A183,Setores!$A$2:$C$215,2,0)</f>
        <v>transportation</v>
      </c>
      <c r="J183" t="str">
        <f>VLOOKUP(A183,Setores!$A$2:$C$215,3,0)</f>
        <v>very_high_beta</v>
      </c>
      <c r="K183" s="92">
        <v>0</v>
      </c>
      <c r="L183" s="42">
        <v>-1E-3</v>
      </c>
      <c r="M183" s="92">
        <f>VLOOKUP(A183,'Mandato Ibov'!$B$1:$C$215,2,0)</f>
        <v>0</v>
      </c>
      <c r="N183" s="58">
        <f t="shared" si="26"/>
        <v>0</v>
      </c>
      <c r="O183" s="42">
        <f t="shared" si="27"/>
        <v>0</v>
      </c>
      <c r="P183" s="95">
        <f>VLOOKUP(A183,'Mandato Ibov'!$B$2:$D$215,3,0)</f>
        <v>0</v>
      </c>
      <c r="Q183" s="42">
        <f t="shared" si="28"/>
        <v>0</v>
      </c>
      <c r="R183" s="15">
        <v>-0.78300000000000003</v>
      </c>
      <c r="S183" s="15">
        <v>-0.68600000000000005</v>
      </c>
      <c r="T183" s="15">
        <v>-0.85</v>
      </c>
      <c r="U183" s="15">
        <v>-0.83899999999999997</v>
      </c>
      <c r="V183" s="15">
        <v>-0.84199999999999997</v>
      </c>
      <c r="W183" s="15">
        <v>-0.81200000000000006</v>
      </c>
      <c r="X183" s="15">
        <v>-0.75700000000000001</v>
      </c>
      <c r="Y183" s="15">
        <v>-0.83399999999999996</v>
      </c>
      <c r="Z183" s="15">
        <v>-0.20499999999999999</v>
      </c>
      <c r="AA183" s="15">
        <v>-0.20799999999999999</v>
      </c>
      <c r="AB183" s="15">
        <v>0.25</v>
      </c>
      <c r="AC183" s="15">
        <v>-3.1E-2</v>
      </c>
      <c r="AD183" s="15">
        <v>0.245</v>
      </c>
      <c r="AE183" s="14">
        <v>-0.65900000000000003</v>
      </c>
      <c r="AF183" s="15">
        <v>-0.64900000000000002</v>
      </c>
      <c r="AG183" s="15">
        <v>-0.71399999999999997</v>
      </c>
      <c r="AH183" s="15">
        <v>-0.436</v>
      </c>
      <c r="AI183" s="15">
        <v>-0.42699999999999999</v>
      </c>
      <c r="AJ183" s="16">
        <v>-0.81100000000000005</v>
      </c>
      <c r="AK183" s="4">
        <v>-3.2000000000000001E-2</v>
      </c>
      <c r="AL183" s="4">
        <v>-0.41899999999999998</v>
      </c>
      <c r="AM183" s="4">
        <v>-0.17699999999999999</v>
      </c>
      <c r="AN183" s="4">
        <v>0.35499999999999998</v>
      </c>
      <c r="AO183" s="4">
        <v>-0.19800000000000001</v>
      </c>
      <c r="AP183" s="4">
        <v>-0.192</v>
      </c>
      <c r="AQ183" s="4">
        <v>-0.12</v>
      </c>
      <c r="AR183" s="4">
        <v>9.6000000000000002E-2</v>
      </c>
      <c r="AS183" s="4">
        <v>0.24399999999999999</v>
      </c>
      <c r="AT183" s="4">
        <v>1.4E-2</v>
      </c>
      <c r="AU183" s="4">
        <v>0.123</v>
      </c>
      <c r="AV183" s="4">
        <v>-0.39700000000000002</v>
      </c>
      <c r="AW183" s="4">
        <v>-0.68700000000000006</v>
      </c>
      <c r="AX183" s="4">
        <v>-0.36099999999999999</v>
      </c>
      <c r="AY183" s="4">
        <v>-0.13800000000000001</v>
      </c>
      <c r="AZ183" s="4">
        <v>0.125</v>
      </c>
      <c r="BA183" s="4">
        <v>-2.3E-2</v>
      </c>
      <c r="BB183" s="4">
        <v>-0.1</v>
      </c>
      <c r="BC183" s="4">
        <v>-8.4000000000000005E-2</v>
      </c>
      <c r="BD183" s="4">
        <v>0.13700000000000001</v>
      </c>
      <c r="BE183" s="4">
        <v>0.30199999999999999</v>
      </c>
      <c r="BF183" s="4">
        <v>-3.0000000000000001E-3</v>
      </c>
      <c r="BG183" s="4">
        <v>-1.7000000000000001E-2</v>
      </c>
      <c r="BH183" s="4">
        <v>0.47099999999999997</v>
      </c>
      <c r="BI183" s="4">
        <v>0.97799999999999998</v>
      </c>
      <c r="BJ183" s="4">
        <v>-0.64200000000000002</v>
      </c>
      <c r="BK183" s="4">
        <v>0.308</v>
      </c>
      <c r="BL183" s="4"/>
      <c r="BM183" s="4">
        <f t="shared" si="29"/>
        <v>-0.16145000000000004</v>
      </c>
    </row>
    <row r="184" spans="1:65" x14ac:dyDescent="0.3">
      <c r="A184" t="s">
        <v>251</v>
      </c>
      <c r="B184" s="53">
        <f t="shared" si="31"/>
        <v>0</v>
      </c>
      <c r="C184" s="53">
        <f t="shared" si="23"/>
        <v>0</v>
      </c>
      <c r="D184" s="53">
        <f t="shared" si="24"/>
        <v>0</v>
      </c>
      <c r="E184" s="53">
        <f t="shared" si="25"/>
        <v>0</v>
      </c>
      <c r="F184" s="15">
        <v>0.53400000000000003</v>
      </c>
      <c r="G184" s="4">
        <v>0.374</v>
      </c>
      <c r="H184" t="s">
        <v>55</v>
      </c>
      <c r="I184" t="str">
        <f>VLOOKUP(A184,Setores!$A$2:$C$215,2,0)</f>
        <v>utilities</v>
      </c>
      <c r="J184" t="str">
        <f>VLOOKUP(A184,Setores!$A$2:$C$215,3,0)</f>
        <v>neutral_beta</v>
      </c>
      <c r="K184" s="92">
        <v>0</v>
      </c>
      <c r="L184" s="42">
        <v>0</v>
      </c>
      <c r="M184" s="92">
        <f>VLOOKUP(A184,'Mandato Ibov'!$B$1:$C$215,2,0)</f>
        <v>0</v>
      </c>
      <c r="N184" s="58">
        <f t="shared" si="26"/>
        <v>0</v>
      </c>
      <c r="O184" s="42">
        <f t="shared" si="27"/>
        <v>0</v>
      </c>
      <c r="P184" s="95">
        <f>VLOOKUP(A184,'Mandato Ibov'!$B$2:$D$215,3,0)</f>
        <v>0</v>
      </c>
      <c r="Q184" s="42">
        <f t="shared" si="28"/>
        <v>0</v>
      </c>
      <c r="R184" s="15">
        <v>-0.67800000000000005</v>
      </c>
      <c r="S184" s="15">
        <v>-0.28199999999999997</v>
      </c>
      <c r="T184" s="15">
        <v>-0.155</v>
      </c>
      <c r="U184" s="15">
        <v>-0.874</v>
      </c>
      <c r="V184" s="15">
        <v>-0.58499999999999996</v>
      </c>
      <c r="W184" s="15">
        <v>-0.83499999999999996</v>
      </c>
      <c r="X184" s="15">
        <v>-0.879</v>
      </c>
      <c r="Y184" s="15">
        <v>-0.93500000000000005</v>
      </c>
      <c r="Z184" s="15">
        <v>-0.26700000000000002</v>
      </c>
      <c r="AA184" s="15">
        <v>-0.26700000000000002</v>
      </c>
      <c r="AB184" s="15">
        <v>0.121</v>
      </c>
      <c r="AC184" s="15">
        <v>-0.27</v>
      </c>
      <c r="AD184" s="15">
        <v>0.14099999999999999</v>
      </c>
      <c r="AE184" s="14">
        <v>-0.61499999999999999</v>
      </c>
      <c r="AF184" s="15">
        <v>-0.20599999999999999</v>
      </c>
      <c r="AG184" s="15">
        <v>-0.32400000000000001</v>
      </c>
      <c r="AH184" s="15">
        <v>1</v>
      </c>
      <c r="AI184" s="15">
        <v>-0.34</v>
      </c>
      <c r="AJ184" s="16">
        <v>-0.57799999999999996</v>
      </c>
      <c r="AK184" s="4">
        <v>0.68600000000000005</v>
      </c>
      <c r="AL184" s="4">
        <v>-1</v>
      </c>
      <c r="AM184" s="4">
        <v>0.79800000000000004</v>
      </c>
      <c r="AN184" s="4">
        <v>-0.27200000000000002</v>
      </c>
      <c r="AO184" s="4">
        <v>-0.65300000000000002</v>
      </c>
      <c r="AP184" s="4">
        <v>-0.66900000000000004</v>
      </c>
      <c r="AQ184" s="4">
        <v>-0.45700000000000002</v>
      </c>
      <c r="AR184" s="4">
        <v>-0.68200000000000005</v>
      </c>
      <c r="AS184" s="4">
        <v>-0.437</v>
      </c>
      <c r="AT184" s="4">
        <v>-0.26400000000000001</v>
      </c>
      <c r="AU184" s="4">
        <v>-0.40500000000000003</v>
      </c>
      <c r="AV184" s="4">
        <v>-0.81499999999999995</v>
      </c>
      <c r="AW184" s="4">
        <v>-0.61499999999999999</v>
      </c>
      <c r="AX184" s="4">
        <v>-0.39300000000000002</v>
      </c>
      <c r="AY184" s="4">
        <v>0.54100000000000004</v>
      </c>
      <c r="AZ184" s="4">
        <v>0.875</v>
      </c>
      <c r="BA184" s="4">
        <v>0.67900000000000005</v>
      </c>
      <c r="BB184" s="4">
        <v>-0.376</v>
      </c>
      <c r="BC184" s="4">
        <v>0.16800000000000001</v>
      </c>
      <c r="BD184" s="4">
        <v>-7.0999999999999994E-2</v>
      </c>
      <c r="BE184" s="4">
        <v>-6.0999999999999999E-2</v>
      </c>
      <c r="BF184" s="4">
        <v>-1.4999999999999999E-2</v>
      </c>
      <c r="BG184" s="4">
        <v>0.08</v>
      </c>
      <c r="BH184" s="4">
        <v>0.97199999999999998</v>
      </c>
      <c r="BI184" s="4">
        <v>-6.9000000000000006E-2</v>
      </c>
      <c r="BJ184" s="4">
        <v>0.45400000000000001</v>
      </c>
      <c r="BK184" s="4">
        <v>1</v>
      </c>
      <c r="BL184" s="4"/>
      <c r="BM184" s="4">
        <f t="shared" si="29"/>
        <v>-0.36470000000000002</v>
      </c>
    </row>
    <row r="185" spans="1:65" x14ac:dyDescent="0.3">
      <c r="A185" t="s">
        <v>187</v>
      </c>
      <c r="B185" s="53">
        <f t="shared" si="31"/>
        <v>0</v>
      </c>
      <c r="C185" s="53">
        <f t="shared" si="23"/>
        <v>0</v>
      </c>
      <c r="D185" s="53">
        <f t="shared" si="24"/>
        <v>0</v>
      </c>
      <c r="E185" s="53">
        <f t="shared" si="25"/>
        <v>0</v>
      </c>
      <c r="F185" s="15">
        <v>0.53300000000000003</v>
      </c>
      <c r="G185" s="4">
        <v>0.46200000000000002</v>
      </c>
      <c r="H185" t="s">
        <v>53</v>
      </c>
      <c r="I185" t="str">
        <f>VLOOKUP(A185,Setores!$A$2:$C$215,2,0)</f>
        <v>consumer_staples</v>
      </c>
      <c r="J185" t="str">
        <f>VLOOKUP(A185,Setores!$A$2:$C$215,3,0)</f>
        <v>very_low_beta</v>
      </c>
      <c r="K185" s="92">
        <v>0</v>
      </c>
      <c r="L185" s="42">
        <v>0</v>
      </c>
      <c r="M185" s="92">
        <f>VLOOKUP(A185,'Mandato Ibov'!$B$1:$C$215,2,0)</f>
        <v>0</v>
      </c>
      <c r="N185" s="58">
        <f t="shared" si="26"/>
        <v>0</v>
      </c>
      <c r="O185" s="42">
        <f t="shared" si="27"/>
        <v>0</v>
      </c>
      <c r="P185" s="95">
        <f>VLOOKUP(A185,'Mandato Ibov'!$B$2:$D$215,3,0)</f>
        <v>0</v>
      </c>
      <c r="Q185" s="42">
        <f t="shared" si="28"/>
        <v>0</v>
      </c>
      <c r="R185" s="15">
        <v>-0.86399999999999999</v>
      </c>
      <c r="S185" s="15">
        <v>-0.92300000000000004</v>
      </c>
      <c r="T185" s="15">
        <v>-0.85299999999999998</v>
      </c>
      <c r="U185" s="15">
        <v>-0.84299999999999997</v>
      </c>
      <c r="V185" s="15">
        <v>-0.89600000000000002</v>
      </c>
      <c r="W185" s="15">
        <v>-0.84299999999999997</v>
      </c>
      <c r="X185" s="15">
        <v>-0.8</v>
      </c>
      <c r="Y185" s="15">
        <v>-0.90500000000000003</v>
      </c>
      <c r="Z185" s="15">
        <v>-4.7E-2</v>
      </c>
      <c r="AA185" s="15">
        <v>-4.7E-2</v>
      </c>
      <c r="AB185" s="15">
        <v>0.51200000000000001</v>
      </c>
      <c r="AC185" s="15">
        <v>0.52800000000000002</v>
      </c>
      <c r="AD185" s="15">
        <v>0.184</v>
      </c>
      <c r="AE185" s="14">
        <v>-0.501</v>
      </c>
      <c r="AF185" s="15">
        <v>-0.317</v>
      </c>
      <c r="AG185" s="15">
        <v>-0.83099999999999996</v>
      </c>
      <c r="AH185" s="15">
        <v>-0.67</v>
      </c>
      <c r="AI185" s="15">
        <v>-0.93600000000000005</v>
      </c>
      <c r="AJ185" s="16">
        <v>-0.58699999999999997</v>
      </c>
      <c r="AK185" s="4">
        <v>7.3999999999999996E-2</v>
      </c>
      <c r="AL185" s="4">
        <v>-0.52500000000000002</v>
      </c>
      <c r="AM185" s="4">
        <v>-0.14699999999999999</v>
      </c>
      <c r="AN185" s="4">
        <v>0.747</v>
      </c>
      <c r="AO185" s="4">
        <v>-0.69899999999999995</v>
      </c>
      <c r="AP185" s="4">
        <v>-0.373</v>
      </c>
      <c r="AQ185" s="4">
        <v>0.223</v>
      </c>
      <c r="AR185" s="4">
        <v>-0.17599999999999999</v>
      </c>
      <c r="AS185" s="4">
        <v>-0.86899999999999999</v>
      </c>
      <c r="AT185" s="4">
        <v>0.45300000000000001</v>
      </c>
      <c r="AU185" s="4">
        <v>-0.46899999999999997</v>
      </c>
      <c r="AV185" s="4">
        <v>-0.28599999999999998</v>
      </c>
      <c r="AW185" s="4">
        <v>0.06</v>
      </c>
      <c r="AX185" s="4">
        <v>0.189</v>
      </c>
      <c r="AY185" s="4">
        <v>0.94899999999999995</v>
      </c>
      <c r="AZ185" s="4">
        <v>9.7000000000000003E-2</v>
      </c>
      <c r="BA185" s="4">
        <v>2.3E-2</v>
      </c>
      <c r="BB185" s="4">
        <v>-0.52600000000000002</v>
      </c>
      <c r="BC185" s="4">
        <v>-0.312</v>
      </c>
      <c r="BD185" s="4">
        <v>6.7000000000000004E-2</v>
      </c>
      <c r="BE185" s="4">
        <v>-0.29799999999999999</v>
      </c>
      <c r="BF185" s="4">
        <v>-9.0999999999999998E-2</v>
      </c>
      <c r="BG185" s="4">
        <v>-0.16500000000000001</v>
      </c>
      <c r="BH185" s="4">
        <v>0.152</v>
      </c>
      <c r="BI185" s="4">
        <v>-0.36</v>
      </c>
      <c r="BJ185" s="4">
        <v>8.6999999999999994E-2</v>
      </c>
      <c r="BK185" s="4">
        <v>-7.2999999999999995E-2</v>
      </c>
      <c r="BL185" s="4"/>
      <c r="BM185" s="4">
        <f t="shared" si="29"/>
        <v>-9.4300000000000009E-2</v>
      </c>
    </row>
    <row r="186" spans="1:65" x14ac:dyDescent="0.3">
      <c r="A186" t="s">
        <v>157</v>
      </c>
      <c r="B186" s="53">
        <f t="shared" si="31"/>
        <v>0</v>
      </c>
      <c r="C186" s="53">
        <f t="shared" si="23"/>
        <v>-1E-3</v>
      </c>
      <c r="D186" s="53">
        <f t="shared" si="24"/>
        <v>0</v>
      </c>
      <c r="E186" s="53">
        <f t="shared" si="25"/>
        <v>1E-3</v>
      </c>
      <c r="F186" s="15">
        <v>0.53200000000000003</v>
      </c>
      <c r="G186" s="4">
        <v>0.39600000000000002</v>
      </c>
      <c r="H186" t="s">
        <v>57</v>
      </c>
      <c r="I186" t="str">
        <f>VLOOKUP(A186,Setores!$A$2:$C$215,2,0)</f>
        <v>consumer_durables</v>
      </c>
      <c r="J186" t="str">
        <f>VLOOKUP(A186,Setores!$A$2:$C$215,3,0)</f>
        <v>high_beta</v>
      </c>
      <c r="K186" s="92">
        <v>0</v>
      </c>
      <c r="L186" s="42">
        <v>-1E-3</v>
      </c>
      <c r="M186" s="92">
        <f>VLOOKUP(A186,'Mandato Ibov'!$B$1:$C$215,2,0)</f>
        <v>0</v>
      </c>
      <c r="N186" s="58">
        <f t="shared" si="26"/>
        <v>0</v>
      </c>
      <c r="O186" s="42">
        <f t="shared" si="27"/>
        <v>0</v>
      </c>
      <c r="P186" s="95">
        <f>VLOOKUP(A186,'Mandato Ibov'!$B$2:$D$215,3,0)</f>
        <v>0</v>
      </c>
      <c r="Q186" s="42">
        <f t="shared" si="28"/>
        <v>0</v>
      </c>
      <c r="R186" s="15">
        <v>-0.67200000000000004</v>
      </c>
      <c r="S186" s="15">
        <v>-0.46</v>
      </c>
      <c r="T186" s="15">
        <v>-0.52900000000000003</v>
      </c>
      <c r="U186" s="15">
        <v>-0.56899999999999995</v>
      </c>
      <c r="V186" s="15">
        <v>-0.40899999999999997</v>
      </c>
      <c r="W186" s="15">
        <v>-0.77200000000000002</v>
      </c>
      <c r="X186" s="15">
        <v>-0.752</v>
      </c>
      <c r="Y186" s="15">
        <v>-0.88</v>
      </c>
      <c r="Z186" s="15">
        <v>-0.28199999999999997</v>
      </c>
      <c r="AA186" s="15">
        <v>-0.28000000000000003</v>
      </c>
      <c r="AB186" s="15">
        <v>-0.20300000000000001</v>
      </c>
      <c r="AC186" s="15">
        <v>-1</v>
      </c>
      <c r="AD186" s="15">
        <v>0.23200000000000001</v>
      </c>
      <c r="AE186" s="14">
        <v>6.4000000000000001E-2</v>
      </c>
      <c r="AF186" s="15">
        <v>0.78900000000000003</v>
      </c>
      <c r="AG186" s="15">
        <v>-0.13900000000000001</v>
      </c>
      <c r="AH186" s="15">
        <v>0.19400000000000001</v>
      </c>
      <c r="AI186" s="15">
        <v>-0.70699999999999996</v>
      </c>
      <c r="AJ186" s="16">
        <v>-0.20899999999999999</v>
      </c>
      <c r="AK186" s="4">
        <v>0.69599999999999995</v>
      </c>
      <c r="AL186" s="4">
        <v>-0.93</v>
      </c>
      <c r="AM186" s="4">
        <v>0.20699999999999999</v>
      </c>
      <c r="AN186" s="4">
        <v>0.20200000000000001</v>
      </c>
      <c r="AO186" s="4">
        <v>-0.55800000000000005</v>
      </c>
      <c r="AP186" s="4">
        <v>-0.56999999999999995</v>
      </c>
      <c r="AQ186" s="4">
        <v>0.34799999999999998</v>
      </c>
      <c r="AR186" s="4">
        <v>-0.98399999999999999</v>
      </c>
      <c r="AS186" s="4">
        <v>-0.29199999999999998</v>
      </c>
      <c r="AT186" s="4">
        <v>0.29199999999999998</v>
      </c>
      <c r="AU186" s="4">
        <v>-0.16900000000000001</v>
      </c>
      <c r="AV186" s="4">
        <v>-0.20699999999999999</v>
      </c>
      <c r="AW186" s="4">
        <v>-0.78800000000000003</v>
      </c>
      <c r="AX186" s="4">
        <v>-0.22</v>
      </c>
      <c r="AY186" s="4">
        <v>0.32100000000000001</v>
      </c>
      <c r="AZ186" s="4">
        <v>-0.91200000000000003</v>
      </c>
      <c r="BA186" s="4">
        <v>-0.14599999999999999</v>
      </c>
      <c r="BB186" s="4">
        <v>0.11799999999999999</v>
      </c>
      <c r="BC186" s="4">
        <v>6.8000000000000005E-2</v>
      </c>
      <c r="BD186" s="4">
        <v>0.25700000000000001</v>
      </c>
      <c r="BE186" s="4">
        <v>0.80500000000000005</v>
      </c>
      <c r="BF186" s="4">
        <v>0.97099999999999997</v>
      </c>
      <c r="BG186" s="4">
        <v>0.38400000000000001</v>
      </c>
      <c r="BH186" s="4">
        <v>1</v>
      </c>
      <c r="BI186" s="4">
        <v>0.123</v>
      </c>
      <c r="BJ186" s="4">
        <v>-0.89600000000000002</v>
      </c>
      <c r="BK186" s="4">
        <v>-0.36499999999999999</v>
      </c>
      <c r="BL186" s="4"/>
      <c r="BM186" s="4">
        <f t="shared" si="29"/>
        <v>-0.17117500000000002</v>
      </c>
    </row>
    <row r="187" spans="1:65" x14ac:dyDescent="0.3">
      <c r="A187" t="s">
        <v>223</v>
      </c>
      <c r="B187" s="53">
        <f t="shared" si="31"/>
        <v>0</v>
      </c>
      <c r="C187" s="53">
        <f t="shared" si="23"/>
        <v>0</v>
      </c>
      <c r="D187" s="53">
        <f t="shared" si="24"/>
        <v>0</v>
      </c>
      <c r="E187" s="53">
        <f t="shared" si="25"/>
        <v>0</v>
      </c>
      <c r="F187" s="15">
        <v>0.53100000000000003</v>
      </c>
      <c r="G187" s="4">
        <v>0.57099999999999995</v>
      </c>
      <c r="H187" t="s">
        <v>68</v>
      </c>
      <c r="I187" t="str">
        <f>VLOOKUP(A187,Setores!$A$2:$C$215,2,0)</f>
        <v>capital_goods</v>
      </c>
      <c r="J187" t="str">
        <f>VLOOKUP(A187,Setores!$A$2:$C$215,3,0)</f>
        <v>high_beta</v>
      </c>
      <c r="K187" s="92">
        <v>0</v>
      </c>
      <c r="L187" s="42">
        <v>0</v>
      </c>
      <c r="M187" s="92">
        <f>VLOOKUP(A187,'Mandato Ibov'!$B$1:$C$215,2,0)</f>
        <v>0</v>
      </c>
      <c r="N187" s="58">
        <f t="shared" si="26"/>
        <v>0</v>
      </c>
      <c r="O187" s="42">
        <f t="shared" si="27"/>
        <v>0</v>
      </c>
      <c r="P187" s="95">
        <f>VLOOKUP(A187,'Mandato Ibov'!$B$2:$D$215,3,0)</f>
        <v>0</v>
      </c>
      <c r="Q187" s="42">
        <f t="shared" si="28"/>
        <v>0</v>
      </c>
      <c r="R187" s="15">
        <v>-0.95199999999999996</v>
      </c>
      <c r="S187" s="15">
        <v>-0.90600000000000003</v>
      </c>
      <c r="T187" s="15">
        <v>-0.91800000000000004</v>
      </c>
      <c r="U187" s="15">
        <v>-0.92800000000000005</v>
      </c>
      <c r="V187" s="15">
        <v>-0.93</v>
      </c>
      <c r="W187" s="15">
        <v>-0.93799999999999994</v>
      </c>
      <c r="X187" s="15">
        <v>-0.89300000000000002</v>
      </c>
      <c r="Y187" s="15">
        <v>-0.88600000000000001</v>
      </c>
      <c r="Z187" s="15">
        <v>5.3999999999999999E-2</v>
      </c>
      <c r="AA187" s="15">
        <v>4.7E-2</v>
      </c>
      <c r="AB187" s="15">
        <v>0.437</v>
      </c>
      <c r="AC187" s="15">
        <v>0.45200000000000001</v>
      </c>
      <c r="AD187" s="15">
        <v>0.27200000000000002</v>
      </c>
      <c r="AE187" s="14">
        <v>-0.96599999999999997</v>
      </c>
      <c r="AF187" s="15">
        <v>-1</v>
      </c>
      <c r="AG187" s="15">
        <v>-0.47899999999999998</v>
      </c>
      <c r="AH187" s="15">
        <v>-0.47699999999999998</v>
      </c>
      <c r="AI187" s="15">
        <v>1</v>
      </c>
      <c r="AJ187" s="16">
        <v>-0.58499999999999996</v>
      </c>
      <c r="AK187" s="4">
        <v>-0.34899999999999998</v>
      </c>
      <c r="AL187" s="4">
        <v>-0.96599999999999997</v>
      </c>
      <c r="AM187" s="4">
        <v>-0.66400000000000003</v>
      </c>
      <c r="AN187" s="4">
        <v>-0.42399999999999999</v>
      </c>
      <c r="AO187" s="4">
        <v>0.32100000000000001</v>
      </c>
      <c r="AP187" s="4">
        <v>0.109</v>
      </c>
      <c r="AQ187" s="4">
        <v>-0.86399999999999999</v>
      </c>
      <c r="AR187" s="4">
        <v>-0.89200000000000002</v>
      </c>
      <c r="AS187" s="4">
        <v>-0.311</v>
      </c>
      <c r="AT187" s="4">
        <v>1.4999999999999999E-2</v>
      </c>
      <c r="AU187" s="4">
        <v>-0.45400000000000001</v>
      </c>
      <c r="AV187" s="4">
        <v>-0.502</v>
      </c>
      <c r="AW187" s="4">
        <v>0.53600000000000003</v>
      </c>
      <c r="AX187" s="4">
        <v>-0.13400000000000001</v>
      </c>
      <c r="AY187" s="4">
        <v>0.75700000000000001</v>
      </c>
      <c r="AZ187" s="4">
        <v>-0.56699999999999995</v>
      </c>
      <c r="BA187" s="4">
        <v>-0.38700000000000001</v>
      </c>
      <c r="BB187" s="4">
        <v>-1</v>
      </c>
      <c r="BC187" s="4">
        <v>-0.68500000000000005</v>
      </c>
      <c r="BD187" s="4">
        <v>8.7999999999999995E-2</v>
      </c>
      <c r="BE187" s="4">
        <v>-0.20200000000000001</v>
      </c>
      <c r="BF187" s="4">
        <v>-1</v>
      </c>
      <c r="BG187" s="4">
        <v>0.10299999999999999</v>
      </c>
      <c r="BH187" s="4">
        <v>-0.61699999999999999</v>
      </c>
      <c r="BI187" s="4">
        <v>0.25700000000000001</v>
      </c>
      <c r="BJ187" s="4">
        <v>0.13400000000000001</v>
      </c>
      <c r="BK187" s="4">
        <v>0.55100000000000005</v>
      </c>
      <c r="BL187" s="4"/>
      <c r="BM187" s="4">
        <f t="shared" si="29"/>
        <v>-0.19389999999999999</v>
      </c>
    </row>
    <row r="188" spans="1:65" x14ac:dyDescent="0.3">
      <c r="A188" t="s">
        <v>191</v>
      </c>
      <c r="B188" s="53">
        <f t="shared" si="31"/>
        <v>0</v>
      </c>
      <c r="C188" s="53">
        <f t="shared" si="23"/>
        <v>0</v>
      </c>
      <c r="D188" s="53">
        <f t="shared" si="24"/>
        <v>0</v>
      </c>
      <c r="E188" s="53">
        <f t="shared" si="25"/>
        <v>0</v>
      </c>
      <c r="F188" s="15">
        <v>0.53</v>
      </c>
      <c r="G188" s="4">
        <v>0.627</v>
      </c>
      <c r="H188" t="s">
        <v>71</v>
      </c>
      <c r="I188" t="str">
        <f>VLOOKUP(A188,Setores!$A$2:$C$215,2,0)</f>
        <v>food</v>
      </c>
      <c r="J188" t="str">
        <f>VLOOKUP(A188,Setores!$A$2:$C$215,3,0)</f>
        <v>very_low_beta</v>
      </c>
      <c r="K188" s="92">
        <v>0</v>
      </c>
      <c r="L188" s="42">
        <v>0</v>
      </c>
      <c r="M188" s="92">
        <f>VLOOKUP(A188,'Mandato Ibov'!$B$1:$C$215,2,0)</f>
        <v>0</v>
      </c>
      <c r="N188" s="58">
        <f t="shared" si="26"/>
        <v>0</v>
      </c>
      <c r="O188" s="42">
        <f t="shared" si="27"/>
        <v>0</v>
      </c>
      <c r="P188" s="95">
        <f>VLOOKUP(A188,'Mandato Ibov'!$B$2:$D$215,3,0)</f>
        <v>0</v>
      </c>
      <c r="Q188" s="42">
        <f t="shared" si="28"/>
        <v>0</v>
      </c>
      <c r="R188" s="15">
        <v>-0.97599999999999998</v>
      </c>
      <c r="S188" s="15">
        <v>-0.97099999999999997</v>
      </c>
      <c r="T188" s="15">
        <v>-0.92700000000000005</v>
      </c>
      <c r="U188" s="15">
        <v>-0.95099999999999996</v>
      </c>
      <c r="V188" s="15">
        <v>-0.95499999999999996</v>
      </c>
      <c r="W188" s="15">
        <v>-0.85199999999999998</v>
      </c>
      <c r="X188" s="15">
        <v>-0.78300000000000003</v>
      </c>
      <c r="Y188" s="15">
        <v>-0.86599999999999999</v>
      </c>
      <c r="Z188" s="15">
        <v>3.5999999999999997E-2</v>
      </c>
      <c r="AA188" s="15">
        <v>3.3000000000000002E-2</v>
      </c>
      <c r="AB188" s="15">
        <v>9.0999999999999998E-2</v>
      </c>
      <c r="AC188" s="15">
        <v>8.5000000000000006E-2</v>
      </c>
      <c r="AD188" s="15">
        <v>0.38700000000000001</v>
      </c>
      <c r="AE188" s="14">
        <v>-0.95599999999999996</v>
      </c>
      <c r="AF188" s="15">
        <v>-1</v>
      </c>
      <c r="AG188" s="15">
        <v>-0.85099999999999998</v>
      </c>
      <c r="AH188" s="15">
        <v>-0.45400000000000001</v>
      </c>
      <c r="AI188" s="15">
        <v>-0.17299999999999999</v>
      </c>
      <c r="AJ188" s="16">
        <v>-0.60399999999999998</v>
      </c>
      <c r="AK188" s="4">
        <v>-0.41</v>
      </c>
      <c r="AL188" s="4">
        <v>-0.13</v>
      </c>
      <c r="AM188" s="4">
        <v>-0.35</v>
      </c>
      <c r="AN188" s="4">
        <v>-0.50800000000000001</v>
      </c>
      <c r="AO188" s="4">
        <v>-0.156</v>
      </c>
      <c r="AP188" s="4">
        <v>2.4E-2</v>
      </c>
      <c r="AQ188" s="4">
        <v>-0.315</v>
      </c>
      <c r="AR188" s="4">
        <v>-1</v>
      </c>
      <c r="AS188" s="4">
        <v>-0.70499999999999996</v>
      </c>
      <c r="AT188" s="4">
        <v>-0.36299999999999999</v>
      </c>
      <c r="AU188" s="4">
        <v>-0.82099999999999995</v>
      </c>
      <c r="AV188" s="4">
        <v>-0.78600000000000003</v>
      </c>
      <c r="AW188" s="4">
        <v>0.82099999999999995</v>
      </c>
      <c r="AX188" s="4">
        <v>-0.77500000000000002</v>
      </c>
      <c r="AY188" s="4">
        <v>-0.24199999999999999</v>
      </c>
      <c r="AZ188" s="4">
        <v>-0.90100000000000002</v>
      </c>
      <c r="BA188" s="4">
        <v>-0.17799999999999999</v>
      </c>
      <c r="BB188" s="4">
        <v>9.8000000000000004E-2</v>
      </c>
      <c r="BC188" s="4">
        <v>-0.214</v>
      </c>
      <c r="BD188" s="4">
        <v>0.20300000000000001</v>
      </c>
      <c r="BE188" s="4">
        <v>-0.43099999999999999</v>
      </c>
      <c r="BF188" s="4">
        <v>0.252</v>
      </c>
      <c r="BG188" s="4">
        <v>0.78500000000000003</v>
      </c>
      <c r="BH188" s="4">
        <v>-9.8000000000000004E-2</v>
      </c>
      <c r="BI188" s="4">
        <v>-0.626</v>
      </c>
      <c r="BJ188" s="4">
        <v>0.71599999999999997</v>
      </c>
      <c r="BK188" s="4">
        <v>0.51900000000000002</v>
      </c>
      <c r="BL188" s="4"/>
      <c r="BM188" s="4">
        <f t="shared" si="29"/>
        <v>-0.28484999999999999</v>
      </c>
    </row>
    <row r="189" spans="1:65" x14ac:dyDescent="0.3">
      <c r="A189" t="s">
        <v>129</v>
      </c>
      <c r="B189" s="53">
        <f t="shared" si="31"/>
        <v>0</v>
      </c>
      <c r="C189" s="53">
        <f t="shared" si="23"/>
        <v>0</v>
      </c>
      <c r="D189" s="53">
        <f t="shared" si="24"/>
        <v>0</v>
      </c>
      <c r="E189" s="53">
        <f t="shared" si="25"/>
        <v>0</v>
      </c>
      <c r="F189" s="15">
        <v>0.52800000000000002</v>
      </c>
      <c r="G189" s="4">
        <v>0.371</v>
      </c>
      <c r="H189" t="s">
        <v>57</v>
      </c>
      <c r="I189" t="str">
        <f>VLOOKUP(A189,Setores!$A$2:$C$215,2,0)</f>
        <v>homebuilders</v>
      </c>
      <c r="J189" t="str">
        <f>VLOOKUP(A189,Setores!$A$2:$C$215,3,0)</f>
        <v>very_high_beta</v>
      </c>
      <c r="K189" s="92">
        <v>0</v>
      </c>
      <c r="L189" s="42">
        <v>0</v>
      </c>
      <c r="M189" s="92">
        <f>VLOOKUP(A189,'Mandato Ibov'!$B$1:$C$215,2,0)</f>
        <v>0</v>
      </c>
      <c r="N189" s="58">
        <f t="shared" si="26"/>
        <v>0</v>
      </c>
      <c r="O189" s="42">
        <f t="shared" si="27"/>
        <v>0</v>
      </c>
      <c r="P189" s="95">
        <f>VLOOKUP(A189,'Mandato Ibov'!$B$2:$D$215,3,0)</f>
        <v>0</v>
      </c>
      <c r="Q189" s="42">
        <f t="shared" si="28"/>
        <v>0</v>
      </c>
      <c r="R189" s="15">
        <v>-0.82</v>
      </c>
      <c r="S189" s="15">
        <v>-0.51200000000000001</v>
      </c>
      <c r="T189" s="15">
        <v>-0.379</v>
      </c>
      <c r="U189" s="15">
        <v>-0.86</v>
      </c>
      <c r="V189" s="15">
        <v>-0.57199999999999995</v>
      </c>
      <c r="W189" s="15">
        <v>-0.93700000000000006</v>
      </c>
      <c r="X189" s="15">
        <v>-0.94799999999999995</v>
      </c>
      <c r="Y189" s="15">
        <v>-0.83699999999999997</v>
      </c>
      <c r="Z189" s="15">
        <v>-0.123</v>
      </c>
      <c r="AA189" s="15">
        <v>-0.123</v>
      </c>
      <c r="AB189" s="15">
        <v>-0.13</v>
      </c>
      <c r="AC189" s="15">
        <v>9.4E-2</v>
      </c>
      <c r="AD189" s="15">
        <v>0.03</v>
      </c>
      <c r="AE189" s="14">
        <v>-0.65</v>
      </c>
      <c r="AF189" s="15">
        <v>-0.20399999999999999</v>
      </c>
      <c r="AG189" s="15">
        <v>2.7E-2</v>
      </c>
      <c r="AH189" s="15">
        <v>0.86599999999999999</v>
      </c>
      <c r="AI189" s="15">
        <v>0.24099999999999999</v>
      </c>
      <c r="AJ189" s="16">
        <v>-0.51600000000000001</v>
      </c>
      <c r="AK189" s="4">
        <v>-0.26900000000000002</v>
      </c>
      <c r="AL189" s="4">
        <v>-0.33</v>
      </c>
      <c r="AM189" s="4">
        <v>0.75600000000000001</v>
      </c>
      <c r="AN189" s="4">
        <v>-0.17299999999999999</v>
      </c>
      <c r="AO189" s="4">
        <v>-0.35</v>
      </c>
      <c r="AP189" s="4">
        <v>-0.45900000000000002</v>
      </c>
      <c r="AQ189" s="4">
        <v>-9.7000000000000003E-2</v>
      </c>
      <c r="AR189" s="4">
        <v>-2E-3</v>
      </c>
      <c r="AS189" s="4">
        <v>-0.30199999999999999</v>
      </c>
      <c r="AT189" s="4">
        <v>-0.34399999999999997</v>
      </c>
      <c r="AU189" s="4">
        <v>-0.35799999999999998</v>
      </c>
      <c r="AV189" s="4">
        <v>-0.74</v>
      </c>
      <c r="AW189" s="4">
        <v>-1</v>
      </c>
      <c r="AX189" s="4">
        <v>-0.70799999999999996</v>
      </c>
      <c r="AY189" s="4">
        <v>-0.115</v>
      </c>
      <c r="AZ189" s="4">
        <v>-0.26400000000000001</v>
      </c>
      <c r="BA189" s="4">
        <v>-0.751</v>
      </c>
      <c r="BB189" s="4">
        <v>0.20100000000000001</v>
      </c>
      <c r="BC189" s="4">
        <v>-0.28000000000000003</v>
      </c>
      <c r="BD189" s="4">
        <v>0.28599999999999998</v>
      </c>
      <c r="BE189" s="4">
        <v>-0.248</v>
      </c>
      <c r="BF189" s="4">
        <v>-0.49199999999999999</v>
      </c>
      <c r="BG189" s="4">
        <v>-0.64200000000000002</v>
      </c>
      <c r="BH189" s="4">
        <v>0.16600000000000001</v>
      </c>
      <c r="BI189" s="4">
        <v>0.73699999999999999</v>
      </c>
      <c r="BJ189" s="4">
        <v>0.219</v>
      </c>
      <c r="BK189" s="4">
        <v>0.92400000000000004</v>
      </c>
      <c r="BL189" s="4"/>
      <c r="BM189" s="4">
        <f t="shared" si="29"/>
        <v>-0.36667500000000008</v>
      </c>
    </row>
    <row r="190" spans="1:65" x14ac:dyDescent="0.3">
      <c r="A190" t="s">
        <v>183</v>
      </c>
      <c r="B190" s="53">
        <f t="shared" si="31"/>
        <v>0</v>
      </c>
      <c r="C190" s="53">
        <f t="shared" si="23"/>
        <v>0</v>
      </c>
      <c r="D190" s="53">
        <f t="shared" si="24"/>
        <v>0</v>
      </c>
      <c r="E190" s="53">
        <f t="shared" si="25"/>
        <v>0</v>
      </c>
      <c r="F190" s="15">
        <v>0.52300000000000002</v>
      </c>
      <c r="G190" s="4">
        <v>0.58599999999999997</v>
      </c>
      <c r="H190" t="s">
        <v>68</v>
      </c>
      <c r="I190" t="str">
        <f>VLOOKUP(A190,Setores!$A$2:$C$215,2,0)</f>
        <v>capital_goods</v>
      </c>
      <c r="J190" t="str">
        <f>VLOOKUP(A190,Setores!$A$2:$C$215,3,0)</f>
        <v>neutral_beta</v>
      </c>
      <c r="K190" s="92">
        <v>0</v>
      </c>
      <c r="L190" s="42">
        <v>0</v>
      </c>
      <c r="M190" s="92">
        <f>VLOOKUP(A190,'Mandato Ibov'!$B$1:$C$215,2,0)</f>
        <v>0</v>
      </c>
      <c r="N190" s="58">
        <f t="shared" si="26"/>
        <v>0</v>
      </c>
      <c r="O190" s="42">
        <f t="shared" si="27"/>
        <v>0</v>
      </c>
      <c r="P190" s="95">
        <f>VLOOKUP(A190,'Mandato Ibov'!$B$2:$D$215,3,0)</f>
        <v>0</v>
      </c>
      <c r="Q190" s="42">
        <f t="shared" si="28"/>
        <v>0</v>
      </c>
      <c r="R190" s="15">
        <v>-0.89600000000000002</v>
      </c>
      <c r="S190" s="15">
        <v>-0.97899999999999998</v>
      </c>
      <c r="T190" s="15">
        <v>-0.93600000000000005</v>
      </c>
      <c r="U190" s="15">
        <v>-0.90300000000000002</v>
      </c>
      <c r="V190" s="15">
        <v>-0.97499999999999998</v>
      </c>
      <c r="W190" s="15">
        <v>-0.82099999999999995</v>
      </c>
      <c r="X190" s="15">
        <v>-0.73199999999999998</v>
      </c>
      <c r="Y190" s="15">
        <v>-0.92800000000000005</v>
      </c>
      <c r="Z190" s="15">
        <v>-0.17299999999999999</v>
      </c>
      <c r="AA190" s="15">
        <v>-0.17100000000000001</v>
      </c>
      <c r="AB190" s="15">
        <v>0.33200000000000002</v>
      </c>
      <c r="AC190" s="15">
        <v>0.38500000000000001</v>
      </c>
      <c r="AD190" s="15">
        <v>0.14099999999999999</v>
      </c>
      <c r="AE190" s="14">
        <v>-0.71199999999999997</v>
      </c>
      <c r="AF190" s="15">
        <v>-0.71799999999999997</v>
      </c>
      <c r="AG190" s="15">
        <v>-1</v>
      </c>
      <c r="AH190" s="15">
        <v>-0.80300000000000005</v>
      </c>
      <c r="AI190" s="15">
        <v>-0.87</v>
      </c>
      <c r="AJ190" s="16">
        <v>-0.91400000000000003</v>
      </c>
      <c r="AK190" s="4">
        <v>-6.0999999999999999E-2</v>
      </c>
      <c r="AL190" s="4">
        <v>-0.72599999999999998</v>
      </c>
      <c r="AM190" s="4">
        <v>-0.75600000000000001</v>
      </c>
      <c r="AN190" s="4">
        <v>0.34100000000000003</v>
      </c>
      <c r="AO190" s="4">
        <v>-0.56100000000000005</v>
      </c>
      <c r="AP190" s="4">
        <v>-0.77600000000000002</v>
      </c>
      <c r="AQ190" s="4">
        <v>-4.8000000000000001E-2</v>
      </c>
      <c r="AR190" s="4">
        <v>8.7999999999999995E-2</v>
      </c>
      <c r="AS190" s="4">
        <v>-0.83399999999999996</v>
      </c>
      <c r="AT190" s="4">
        <v>0.34399999999999997</v>
      </c>
      <c r="AU190" s="4">
        <v>-0.52100000000000002</v>
      </c>
      <c r="AV190" s="4">
        <v>-0.311</v>
      </c>
      <c r="AW190" s="4">
        <v>0.308</v>
      </c>
      <c r="AX190" s="4">
        <v>0.06</v>
      </c>
      <c r="AY190" s="4">
        <v>0.93300000000000005</v>
      </c>
      <c r="AZ190" s="4">
        <v>0.52600000000000002</v>
      </c>
      <c r="BA190" s="4">
        <v>0.41699999999999998</v>
      </c>
      <c r="BB190" s="4">
        <v>-0.35099999999999998</v>
      </c>
      <c r="BC190" s="4">
        <v>8.0000000000000002E-3</v>
      </c>
      <c r="BD190" s="4">
        <v>0.13500000000000001</v>
      </c>
      <c r="BE190" s="4">
        <v>0.4</v>
      </c>
      <c r="BF190" s="4">
        <v>-0.61599999999999999</v>
      </c>
      <c r="BG190" s="4">
        <v>0.53300000000000003</v>
      </c>
      <c r="BH190" s="4">
        <v>-0.255</v>
      </c>
      <c r="BI190" s="4">
        <v>0.14000000000000001</v>
      </c>
      <c r="BJ190" s="4">
        <v>9.8000000000000004E-2</v>
      </c>
      <c r="BK190" s="4">
        <v>-0.25600000000000001</v>
      </c>
      <c r="BL190" s="4"/>
      <c r="BM190" s="4">
        <f t="shared" si="29"/>
        <v>-0.17387500000000006</v>
      </c>
    </row>
    <row r="191" spans="1:65" x14ac:dyDescent="0.3">
      <c r="A191" t="s">
        <v>224</v>
      </c>
      <c r="B191" s="53">
        <f t="shared" si="31"/>
        <v>0</v>
      </c>
      <c r="C191" s="53">
        <f t="shared" si="23"/>
        <v>0</v>
      </c>
      <c r="D191" s="53">
        <f t="shared" si="24"/>
        <v>0</v>
      </c>
      <c r="E191" s="53">
        <f t="shared" si="25"/>
        <v>0</v>
      </c>
      <c r="F191" s="15">
        <v>0.52100000000000002</v>
      </c>
      <c r="G191" s="4">
        <v>0.437</v>
      </c>
      <c r="H191" t="s">
        <v>71</v>
      </c>
      <c r="I191" t="str">
        <f>VLOOKUP(A191,Setores!$A$2:$C$215,2,0)</f>
        <v>food</v>
      </c>
      <c r="J191" t="str">
        <f>VLOOKUP(A191,Setores!$A$2:$C$215,3,0)</f>
        <v>very_low_beta</v>
      </c>
      <c r="K191" s="92">
        <v>0</v>
      </c>
      <c r="L191" s="42">
        <v>0</v>
      </c>
      <c r="M191" s="92">
        <f>VLOOKUP(A191,'Mandato Ibov'!$B$1:$C$215,2,0)</f>
        <v>0</v>
      </c>
      <c r="N191" s="58">
        <f t="shared" si="26"/>
        <v>0</v>
      </c>
      <c r="O191" s="42">
        <f t="shared" si="27"/>
        <v>0</v>
      </c>
      <c r="P191" s="95">
        <f>VLOOKUP(A191,'Mandato Ibov'!$B$2:$D$215,3,0)</f>
        <v>0</v>
      </c>
      <c r="Q191" s="42">
        <f t="shared" si="28"/>
        <v>0</v>
      </c>
      <c r="R191" s="15">
        <v>-0.96199999999999997</v>
      </c>
      <c r="S191" s="15">
        <v>-0.94299999999999995</v>
      </c>
      <c r="T191" s="15">
        <v>-0.90500000000000003</v>
      </c>
      <c r="U191" s="15">
        <v>-0.95499999999999996</v>
      </c>
      <c r="V191" s="15">
        <v>-0.95399999999999996</v>
      </c>
      <c r="W191" s="15">
        <v>-0.86599999999999999</v>
      </c>
      <c r="X191" s="15">
        <v>-0.82099999999999995</v>
      </c>
      <c r="Y191" s="15">
        <v>-0.95599999999999996</v>
      </c>
      <c r="Z191" s="15">
        <v>0.10299999999999999</v>
      </c>
      <c r="AA191" s="15">
        <v>0.10299999999999999</v>
      </c>
      <c r="AB191" s="15">
        <v>-2.1999999999999999E-2</v>
      </c>
      <c r="AC191" s="15">
        <v>-0.33</v>
      </c>
      <c r="AD191" s="15">
        <v>0.32700000000000001</v>
      </c>
      <c r="AE191" s="14">
        <v>-0.89</v>
      </c>
      <c r="AF191" s="15">
        <v>-0.621</v>
      </c>
      <c r="AG191" s="15">
        <v>-0.96199999999999997</v>
      </c>
      <c r="AH191" s="15">
        <v>-9.7000000000000003E-2</v>
      </c>
      <c r="AI191" s="15">
        <v>-0.496</v>
      </c>
      <c r="AJ191" s="16">
        <v>-0.63400000000000001</v>
      </c>
      <c r="AK191" s="4">
        <v>-0.65800000000000003</v>
      </c>
      <c r="AL191" s="4">
        <v>-0.502</v>
      </c>
      <c r="AM191" s="4">
        <v>-1.7000000000000001E-2</v>
      </c>
      <c r="AN191" s="4">
        <v>-0.25800000000000001</v>
      </c>
      <c r="AO191" s="4">
        <v>-0.68700000000000006</v>
      </c>
      <c r="AP191" s="4">
        <v>-0.51600000000000001</v>
      </c>
      <c r="AQ191" s="4">
        <v>-0.41699999999999998</v>
      </c>
      <c r="AR191" s="4">
        <v>0.69699999999999995</v>
      </c>
      <c r="AS191" s="4">
        <v>0.34200000000000003</v>
      </c>
      <c r="AT191" s="4">
        <v>-0.223</v>
      </c>
      <c r="AU191" s="4">
        <v>-0.72699999999999998</v>
      </c>
      <c r="AV191" s="4">
        <v>-0.78100000000000003</v>
      </c>
      <c r="AW191" s="4">
        <v>0.55600000000000005</v>
      </c>
      <c r="AX191" s="4">
        <v>-0.128</v>
      </c>
      <c r="AY191" s="4">
        <v>-0.42599999999999999</v>
      </c>
      <c r="AZ191" s="4">
        <v>-0.79500000000000004</v>
      </c>
      <c r="BA191" s="4">
        <v>-0.93100000000000005</v>
      </c>
      <c r="BB191" s="4">
        <v>-0.32500000000000001</v>
      </c>
      <c r="BC191" s="4">
        <v>-0.7</v>
      </c>
      <c r="BD191" s="4">
        <v>-0.45</v>
      </c>
      <c r="BE191" s="4">
        <v>-4.0000000000000001E-3</v>
      </c>
      <c r="BF191" s="4">
        <v>0.12</v>
      </c>
      <c r="BG191" s="4">
        <v>0.78600000000000003</v>
      </c>
      <c r="BH191" s="4">
        <v>0.20599999999999999</v>
      </c>
      <c r="BI191" s="4">
        <v>-0.52700000000000002</v>
      </c>
      <c r="BJ191" s="4">
        <v>0.23699999999999999</v>
      </c>
      <c r="BK191" s="4">
        <v>0.83</v>
      </c>
      <c r="BL191" s="4"/>
      <c r="BM191" s="4">
        <f t="shared" si="29"/>
        <v>-0.31027499999999997</v>
      </c>
    </row>
    <row r="192" spans="1:65" x14ac:dyDescent="0.3">
      <c r="A192" t="s">
        <v>221</v>
      </c>
      <c r="B192" s="53">
        <f t="shared" si="31"/>
        <v>0</v>
      </c>
      <c r="C192" s="53">
        <f t="shared" si="23"/>
        <v>-4.0000000000000001E-3</v>
      </c>
      <c r="D192" s="53">
        <f t="shared" si="24"/>
        <v>0</v>
      </c>
      <c r="E192" s="53">
        <f t="shared" si="25"/>
        <v>4.0000000000000001E-3</v>
      </c>
      <c r="F192" s="15">
        <v>0.51900000000000002</v>
      </c>
      <c r="G192" s="4">
        <v>0.57199999999999995</v>
      </c>
      <c r="H192" t="s">
        <v>57</v>
      </c>
      <c r="I192" t="str">
        <f>VLOOKUP(A192,Setores!$A$2:$C$215,2,0)</f>
        <v>consumer_services</v>
      </c>
      <c r="J192" t="str">
        <f>VLOOKUP(A192,Setores!$A$2:$C$215,3,0)</f>
        <v>neutral_beta</v>
      </c>
      <c r="K192" s="92">
        <v>0</v>
      </c>
      <c r="L192" s="42">
        <v>-4.0000000000000001E-3</v>
      </c>
      <c r="M192" s="92">
        <f>VLOOKUP(A192,'Mandato Ibov'!$B$1:$C$215,2,0)</f>
        <v>0</v>
      </c>
      <c r="N192" s="58">
        <f t="shared" si="26"/>
        <v>0</v>
      </c>
      <c r="O192" s="42">
        <f t="shared" si="27"/>
        <v>0</v>
      </c>
      <c r="P192" s="95">
        <f>VLOOKUP(A192,'Mandato Ibov'!$B$2:$D$215,3,0)</f>
        <v>0</v>
      </c>
      <c r="Q192" s="42">
        <f t="shared" si="28"/>
        <v>0</v>
      </c>
      <c r="R192" s="15">
        <v>-0.83499999999999996</v>
      </c>
      <c r="S192" s="15">
        <v>-0.92900000000000005</v>
      </c>
      <c r="T192" s="15">
        <v>-0.91</v>
      </c>
      <c r="U192" s="15">
        <v>-0.72299999999999998</v>
      </c>
      <c r="V192" s="15">
        <v>-0.88900000000000001</v>
      </c>
      <c r="W192" s="15">
        <v>-0.85399999999999998</v>
      </c>
      <c r="X192" s="15">
        <v>-0.81399999999999995</v>
      </c>
      <c r="Y192" s="15">
        <v>-0.875</v>
      </c>
      <c r="Z192" s="15">
        <v>-0.33600000000000002</v>
      </c>
      <c r="AA192" s="15">
        <v>-0.33900000000000002</v>
      </c>
      <c r="AB192" s="15">
        <v>0.36899999999999999</v>
      </c>
      <c r="AC192" s="15">
        <v>0.36299999999999999</v>
      </c>
      <c r="AD192" s="15">
        <v>-0.04</v>
      </c>
      <c r="AE192" s="14">
        <v>-0.28000000000000003</v>
      </c>
      <c r="AF192" s="15">
        <v>3.4000000000000002E-2</v>
      </c>
      <c r="AG192" s="15">
        <v>-0.93100000000000005</v>
      </c>
      <c r="AH192" s="15">
        <v>-0.83099999999999996</v>
      </c>
      <c r="AI192" s="15">
        <v>-0.83899999999999997</v>
      </c>
      <c r="AJ192" s="16">
        <v>-0.47199999999999998</v>
      </c>
      <c r="AK192" s="4">
        <v>-0.27500000000000002</v>
      </c>
      <c r="AL192" s="4">
        <v>-0.48099999999999998</v>
      </c>
      <c r="AM192" s="4">
        <v>-0.67</v>
      </c>
      <c r="AN192" s="4">
        <v>0.46600000000000003</v>
      </c>
      <c r="AO192" s="4">
        <v>-0.64300000000000002</v>
      </c>
      <c r="AP192" s="4">
        <v>-0.159</v>
      </c>
      <c r="AQ192" s="4">
        <v>0.83699999999999997</v>
      </c>
      <c r="AR192" s="4">
        <v>0.39200000000000002</v>
      </c>
      <c r="AS192" s="4">
        <v>-0.17100000000000001</v>
      </c>
      <c r="AT192" s="4">
        <v>2.5999999999999999E-2</v>
      </c>
      <c r="AU192" s="4">
        <v>4.9000000000000002E-2</v>
      </c>
      <c r="AV192" s="4">
        <v>0.38700000000000001</v>
      </c>
      <c r="AW192" s="4">
        <v>6.0000000000000001E-3</v>
      </c>
      <c r="AX192" s="4">
        <v>7.3999999999999996E-2</v>
      </c>
      <c r="AY192" s="4">
        <v>0.8</v>
      </c>
      <c r="AZ192" s="4">
        <v>-9.5000000000000001E-2</v>
      </c>
      <c r="BA192" s="4">
        <v>-8.0000000000000002E-3</v>
      </c>
      <c r="BB192" s="4">
        <v>-0.49</v>
      </c>
      <c r="BC192" s="4">
        <v>-0.39400000000000002</v>
      </c>
      <c r="BD192" s="4">
        <v>-7.8E-2</v>
      </c>
      <c r="BE192" s="4">
        <v>-0.80800000000000005</v>
      </c>
      <c r="BF192" s="4">
        <v>-1</v>
      </c>
      <c r="BG192" s="4">
        <v>-0.76200000000000001</v>
      </c>
      <c r="BH192" s="4">
        <v>-1.4E-2</v>
      </c>
      <c r="BI192" s="4">
        <v>-0.01</v>
      </c>
      <c r="BJ192" s="4">
        <v>-0.59699999999999998</v>
      </c>
      <c r="BK192" s="4">
        <v>-0.112</v>
      </c>
      <c r="BL192" s="4"/>
      <c r="BM192" s="4">
        <f t="shared" si="29"/>
        <v>4.2250000000000017E-2</v>
      </c>
    </row>
    <row r="193" spans="1:65" x14ac:dyDescent="0.3">
      <c r="A193" t="s">
        <v>207</v>
      </c>
      <c r="B193" s="53">
        <f t="shared" si="31"/>
        <v>0</v>
      </c>
      <c r="C193" s="53">
        <f t="shared" si="23"/>
        <v>0</v>
      </c>
      <c r="D193" s="53">
        <f t="shared" si="24"/>
        <v>0</v>
      </c>
      <c r="E193" s="53">
        <f t="shared" si="25"/>
        <v>0</v>
      </c>
      <c r="F193" s="15">
        <v>0.51900000000000002</v>
      </c>
      <c r="G193" s="4">
        <v>0.36399999999999999</v>
      </c>
      <c r="H193" t="s">
        <v>53</v>
      </c>
      <c r="I193" t="str">
        <f>VLOOKUP(A193,Setores!$A$2:$C$215,2,0)</f>
        <v>healthcare</v>
      </c>
      <c r="J193" t="str">
        <f>VLOOKUP(A193,Setores!$A$2:$C$215,3,0)</f>
        <v>very_high_beta</v>
      </c>
      <c r="K193" s="92">
        <v>0</v>
      </c>
      <c r="L193" s="42">
        <v>0</v>
      </c>
      <c r="M193" s="92">
        <f>VLOOKUP(A193,'Mandato Ibov'!$B$1:$C$215,2,0)</f>
        <v>0</v>
      </c>
      <c r="N193" s="58">
        <f t="shared" si="26"/>
        <v>0</v>
      </c>
      <c r="O193" s="42">
        <f t="shared" si="27"/>
        <v>0</v>
      </c>
      <c r="P193" s="95">
        <f>VLOOKUP(A193,'Mandato Ibov'!$B$2:$D$215,3,0)</f>
        <v>0</v>
      </c>
      <c r="Q193" s="42">
        <f t="shared" si="28"/>
        <v>0</v>
      </c>
      <c r="R193" s="15">
        <v>-0.73299999999999998</v>
      </c>
      <c r="S193" s="15">
        <v>-0.34300000000000003</v>
      </c>
      <c r="T193" s="15">
        <v>-0.73199999999999998</v>
      </c>
      <c r="U193" s="15">
        <v>-0.84899999999999998</v>
      </c>
      <c r="V193" s="15">
        <v>-0.73799999999999999</v>
      </c>
      <c r="W193" s="15">
        <v>-0.93500000000000005</v>
      </c>
      <c r="X193" s="15">
        <v>-0.96</v>
      </c>
      <c r="Y193" s="15">
        <v>-0.86</v>
      </c>
      <c r="Z193" s="15">
        <v>-0.47699999999999998</v>
      </c>
      <c r="AA193" s="15">
        <v>-0.47699999999999998</v>
      </c>
      <c r="AB193" s="15">
        <v>-8.5999999999999993E-2</v>
      </c>
      <c r="AC193" s="15">
        <v>-5.8000000000000003E-2</v>
      </c>
      <c r="AD193" s="15">
        <v>2.9000000000000001E-2</v>
      </c>
      <c r="AE193" s="14">
        <v>-0.79100000000000004</v>
      </c>
      <c r="AF193" s="15">
        <v>-0.60699999999999998</v>
      </c>
      <c r="AG193" s="15">
        <v>-0.24199999999999999</v>
      </c>
      <c r="AH193" s="15">
        <v>-0.498</v>
      </c>
      <c r="AI193" s="15">
        <v>1.0999999999999999E-2</v>
      </c>
      <c r="AJ193" s="16">
        <v>-0.83599999999999997</v>
      </c>
      <c r="AK193" s="4">
        <v>-0.124</v>
      </c>
      <c r="AL193" s="4">
        <v>-1</v>
      </c>
      <c r="AM193" s="4">
        <v>-0.126</v>
      </c>
      <c r="AN193" s="4">
        <v>-0.313</v>
      </c>
      <c r="AO193" s="4">
        <v>0.38400000000000001</v>
      </c>
      <c r="AP193" s="4">
        <v>-0.433</v>
      </c>
      <c r="AQ193" s="4">
        <v>-0.23100000000000001</v>
      </c>
      <c r="AR193" s="4">
        <v>0.71</v>
      </c>
      <c r="AS193" s="4">
        <v>0.28199999999999997</v>
      </c>
      <c r="AT193" s="4">
        <v>-0.27100000000000002</v>
      </c>
      <c r="AU193" s="4">
        <v>-0.57999999999999996</v>
      </c>
      <c r="AV193" s="4">
        <v>-0.59</v>
      </c>
      <c r="AW193" s="4">
        <v>-0.77400000000000002</v>
      </c>
      <c r="AX193" s="4">
        <v>-0.45600000000000002</v>
      </c>
      <c r="AY193" s="4">
        <v>0.64</v>
      </c>
      <c r="AZ193" s="4">
        <v>-0.67</v>
      </c>
      <c r="BA193" s="4">
        <v>0.81499999999999995</v>
      </c>
      <c r="BB193" s="4">
        <v>0.92700000000000005</v>
      </c>
      <c r="BC193" s="4">
        <v>0.50700000000000001</v>
      </c>
      <c r="BD193" s="4">
        <v>1</v>
      </c>
      <c r="BE193" s="4">
        <v>-1</v>
      </c>
      <c r="BF193" s="4">
        <v>-0.67200000000000004</v>
      </c>
      <c r="BG193" s="4">
        <v>-0.84299999999999997</v>
      </c>
      <c r="BH193" s="4">
        <v>1</v>
      </c>
      <c r="BI193" s="4">
        <v>0.27500000000000002</v>
      </c>
      <c r="BJ193" s="4">
        <v>0.61</v>
      </c>
      <c r="BK193" s="4">
        <v>0.11899999999999999</v>
      </c>
      <c r="BL193" s="4"/>
      <c r="BM193" s="4">
        <f t="shared" si="29"/>
        <v>-0.21227499999999999</v>
      </c>
    </row>
    <row r="194" spans="1:65" x14ac:dyDescent="0.3">
      <c r="A194" t="s">
        <v>235</v>
      </c>
      <c r="B194" s="53">
        <f t="shared" si="31"/>
        <v>0</v>
      </c>
      <c r="C194" s="53">
        <f t="shared" si="23"/>
        <v>-1E-3</v>
      </c>
      <c r="D194" s="53">
        <f t="shared" si="24"/>
        <v>0</v>
      </c>
      <c r="E194" s="53">
        <f t="shared" si="25"/>
        <v>1E-3</v>
      </c>
      <c r="F194" s="15">
        <v>0.51800000000000002</v>
      </c>
      <c r="G194" s="4">
        <v>0.437</v>
      </c>
      <c r="H194" t="s">
        <v>57</v>
      </c>
      <c r="I194" t="str">
        <f>VLOOKUP(A194,Setores!$A$2:$C$215,2,0)</f>
        <v>apparel</v>
      </c>
      <c r="J194" t="str">
        <f>VLOOKUP(A194,Setores!$A$2:$C$215,3,0)</f>
        <v>neutral_beta</v>
      </c>
      <c r="K194" s="92">
        <v>0</v>
      </c>
      <c r="L194" s="42">
        <v>-1E-3</v>
      </c>
      <c r="M194" s="92">
        <f>VLOOKUP(A194,'Mandato Ibov'!$B$1:$C$215,2,0)</f>
        <v>0</v>
      </c>
      <c r="N194" s="58">
        <f t="shared" si="26"/>
        <v>0</v>
      </c>
      <c r="O194" s="42">
        <f t="shared" si="27"/>
        <v>0</v>
      </c>
      <c r="P194" s="95">
        <f>VLOOKUP(A194,'Mandato Ibov'!$B$2:$D$215,3,0)</f>
        <v>0</v>
      </c>
      <c r="Q194" s="42">
        <f t="shared" si="28"/>
        <v>0</v>
      </c>
      <c r="R194" s="15">
        <v>-0.82799999999999996</v>
      </c>
      <c r="S194" s="15">
        <v>-0.92100000000000004</v>
      </c>
      <c r="T194" s="15">
        <v>-0.81899999999999995</v>
      </c>
      <c r="U194" s="15">
        <v>-0.81399999999999995</v>
      </c>
      <c r="V194" s="15">
        <v>-0.89400000000000002</v>
      </c>
      <c r="W194" s="15">
        <v>-0.80600000000000005</v>
      </c>
      <c r="X194" s="15">
        <v>-0.748</v>
      </c>
      <c r="Y194" s="15">
        <v>-0.89</v>
      </c>
      <c r="Z194" s="15">
        <v>-0.37</v>
      </c>
      <c r="AA194" s="15">
        <v>-0.36699999999999999</v>
      </c>
      <c r="AB194" s="15">
        <v>0.437</v>
      </c>
      <c r="AC194" s="15">
        <v>0.35499999999999998</v>
      </c>
      <c r="AD194" s="15">
        <v>-0.122</v>
      </c>
      <c r="AE194" s="14">
        <v>-0.20300000000000001</v>
      </c>
      <c r="AF194" s="15">
        <v>-0.627</v>
      </c>
      <c r="AG194" s="15">
        <v>-0.99</v>
      </c>
      <c r="AH194" s="15">
        <v>-0.66300000000000003</v>
      </c>
      <c r="AI194" s="15">
        <v>-0.72799999999999998</v>
      </c>
      <c r="AJ194" s="16">
        <v>0.501</v>
      </c>
      <c r="AK194" s="4">
        <v>-0.252</v>
      </c>
      <c r="AL194" s="4">
        <v>-0.67900000000000005</v>
      </c>
      <c r="AM194" s="4">
        <v>-0.73299999999999998</v>
      </c>
      <c r="AN194" s="4">
        <v>0.52100000000000002</v>
      </c>
      <c r="AO194" s="4">
        <v>-0.70199999999999996</v>
      </c>
      <c r="AP194" s="4">
        <v>-0.42799999999999999</v>
      </c>
      <c r="AQ194" s="4">
        <v>4.8000000000000001E-2</v>
      </c>
      <c r="AR194" s="4">
        <v>-4.2000000000000003E-2</v>
      </c>
      <c r="AS194" s="4">
        <v>-0.71099999999999997</v>
      </c>
      <c r="AT194" s="4">
        <v>0.35899999999999999</v>
      </c>
      <c r="AU194" s="4">
        <v>3.5999999999999997E-2</v>
      </c>
      <c r="AV194" s="4">
        <v>0.35399999999999998</v>
      </c>
      <c r="AW194" s="4">
        <v>-5.6000000000000001E-2</v>
      </c>
      <c r="AX194" s="4">
        <v>0.153</v>
      </c>
      <c r="AY194" s="4">
        <v>0.55000000000000004</v>
      </c>
      <c r="AZ194" s="4">
        <v>1</v>
      </c>
      <c r="BA194" s="4">
        <v>-9.8000000000000004E-2</v>
      </c>
      <c r="BB194" s="4">
        <v>-0.45800000000000002</v>
      </c>
      <c r="BC194" s="4">
        <v>-0.36199999999999999</v>
      </c>
      <c r="BD194" s="4">
        <v>0.15</v>
      </c>
      <c r="BE194" s="4">
        <v>5.2999999999999999E-2</v>
      </c>
      <c r="BF194" s="4">
        <v>0.747</v>
      </c>
      <c r="BG194" s="4">
        <v>-0.124</v>
      </c>
      <c r="BH194" s="4">
        <v>-0.182</v>
      </c>
      <c r="BI194" s="4">
        <v>-0.104</v>
      </c>
      <c r="BJ194" s="4">
        <v>-0.73099999999999998</v>
      </c>
      <c r="BK194" s="4">
        <v>-2E-3</v>
      </c>
      <c r="BL194" s="4"/>
      <c r="BM194" s="4">
        <f t="shared" si="29"/>
        <v>-0.11530000000000001</v>
      </c>
    </row>
    <row r="195" spans="1:65" x14ac:dyDescent="0.3">
      <c r="A195" t="s">
        <v>219</v>
      </c>
      <c r="B195" s="53">
        <f t="shared" si="31"/>
        <v>0</v>
      </c>
      <c r="C195" s="53">
        <f t="shared" si="23"/>
        <v>0</v>
      </c>
      <c r="D195" s="53">
        <f t="shared" si="24"/>
        <v>0</v>
      </c>
      <c r="E195" s="53">
        <f t="shared" si="25"/>
        <v>0</v>
      </c>
      <c r="F195" s="15">
        <v>0.51800000000000002</v>
      </c>
      <c r="G195" s="4">
        <v>0.43</v>
      </c>
      <c r="H195" t="s">
        <v>57</v>
      </c>
      <c r="I195" t="str">
        <f>VLOOKUP(A195,Setores!$A$2:$C$215,2,0)</f>
        <v>banks</v>
      </c>
      <c r="J195" t="str">
        <f>VLOOKUP(A195,Setores!$A$2:$C$215,3,0)</f>
        <v>neutral_beta</v>
      </c>
      <c r="K195" s="92">
        <v>0</v>
      </c>
      <c r="L195" s="42">
        <v>0</v>
      </c>
      <c r="M195" s="92">
        <f>VLOOKUP(A195,'Mandato Ibov'!$B$1:$C$215,2,0)</f>
        <v>0</v>
      </c>
      <c r="N195" s="58">
        <f t="shared" si="26"/>
        <v>0</v>
      </c>
      <c r="O195" s="42">
        <f t="shared" si="27"/>
        <v>0</v>
      </c>
      <c r="P195" s="95">
        <f>VLOOKUP(A195,'Mandato Ibov'!$B$2:$D$215,3,0)</f>
        <v>0</v>
      </c>
      <c r="Q195" s="42">
        <f t="shared" si="28"/>
        <v>0</v>
      </c>
      <c r="R195" s="15">
        <v>-0.85</v>
      </c>
      <c r="S195" s="15">
        <v>-0.95799999999999996</v>
      </c>
      <c r="T195" s="15">
        <v>-0.873</v>
      </c>
      <c r="U195" s="15">
        <v>-0.80300000000000005</v>
      </c>
      <c r="V195" s="15">
        <v>-0.91200000000000003</v>
      </c>
      <c r="W195" s="15">
        <v>-0.84099999999999997</v>
      </c>
      <c r="X195" s="15">
        <v>-0.79</v>
      </c>
      <c r="Y195" s="15">
        <v>-0.93400000000000005</v>
      </c>
      <c r="Z195" s="15">
        <v>-0.191</v>
      </c>
      <c r="AA195" s="15">
        <v>-0.193</v>
      </c>
      <c r="AB195" s="15">
        <v>0.379</v>
      </c>
      <c r="AC195" s="15">
        <v>0.28000000000000003</v>
      </c>
      <c r="AD195" s="15">
        <v>-6.0999999999999999E-2</v>
      </c>
      <c r="AE195" s="14">
        <v>-0.40500000000000003</v>
      </c>
      <c r="AF195" s="15">
        <v>0.375</v>
      </c>
      <c r="AG195" s="15">
        <v>-0.96099999999999997</v>
      </c>
      <c r="AH195" s="15">
        <v>-0.81899999999999995</v>
      </c>
      <c r="AI195" s="15">
        <v>-0.97199999999999998</v>
      </c>
      <c r="AJ195" s="16">
        <v>-0.308</v>
      </c>
      <c r="AK195" s="4">
        <v>-0.20899999999999999</v>
      </c>
      <c r="AL195" s="4">
        <v>-0.84299999999999997</v>
      </c>
      <c r="AM195" s="4">
        <v>-0.35499999999999998</v>
      </c>
      <c r="AN195" s="4">
        <v>0.56699999999999995</v>
      </c>
      <c r="AO195" s="4">
        <v>-0.74299999999999999</v>
      </c>
      <c r="AP195" s="4">
        <v>-0.55000000000000004</v>
      </c>
      <c r="AQ195" s="4">
        <v>0.63500000000000001</v>
      </c>
      <c r="AR195" s="4">
        <v>0.34</v>
      </c>
      <c r="AS195" s="4">
        <v>-0.38800000000000001</v>
      </c>
      <c r="AT195" s="4">
        <v>-1.0999999999999999E-2</v>
      </c>
      <c r="AU195" s="4">
        <v>0.13400000000000001</v>
      </c>
      <c r="AV195" s="4">
        <v>2E-3</v>
      </c>
      <c r="AW195" s="4">
        <v>-0.30199999999999999</v>
      </c>
      <c r="AX195" s="4">
        <v>-0.29199999999999998</v>
      </c>
      <c r="AY195" s="4">
        <v>0.871</v>
      </c>
      <c r="AZ195" s="4">
        <v>0.44500000000000001</v>
      </c>
      <c r="BA195" s="4">
        <v>0.253</v>
      </c>
      <c r="BB195" s="4">
        <v>-0.67700000000000005</v>
      </c>
      <c r="BC195" s="4">
        <v>-0.39800000000000002</v>
      </c>
      <c r="BD195" s="4">
        <v>3.2000000000000001E-2</v>
      </c>
      <c r="BE195" s="4">
        <v>1</v>
      </c>
      <c r="BF195" s="4">
        <v>1</v>
      </c>
      <c r="BG195" s="4">
        <v>-0.217</v>
      </c>
      <c r="BH195" s="4">
        <v>-0.56799999999999995</v>
      </c>
      <c r="BI195" s="4">
        <v>-0.13</v>
      </c>
      <c r="BJ195" s="4">
        <v>-5.8000000000000003E-2</v>
      </c>
      <c r="BK195" s="4">
        <v>0.16500000000000001</v>
      </c>
      <c r="BL195" s="4"/>
      <c r="BM195" s="4">
        <f t="shared" si="29"/>
        <v>-0.10679999999999999</v>
      </c>
    </row>
    <row r="196" spans="1:65" x14ac:dyDescent="0.3">
      <c r="A196" t="s">
        <v>248</v>
      </c>
      <c r="B196" s="53">
        <f t="shared" si="31"/>
        <v>0</v>
      </c>
      <c r="C196" s="53">
        <f t="shared" si="23"/>
        <v>-1E-3</v>
      </c>
      <c r="D196" s="53">
        <f t="shared" si="24"/>
        <v>0</v>
      </c>
      <c r="E196" s="53">
        <f t="shared" si="25"/>
        <v>1E-3</v>
      </c>
      <c r="F196" s="15">
        <v>0.51600000000000001</v>
      </c>
      <c r="G196" s="4">
        <v>0.40500000000000003</v>
      </c>
      <c r="H196" t="s">
        <v>57</v>
      </c>
      <c r="I196" t="str">
        <f>VLOOKUP(A196,Setores!$A$2:$C$215,2,0)</f>
        <v>homebuilders</v>
      </c>
      <c r="J196" t="str">
        <f>VLOOKUP(A196,Setores!$A$2:$C$215,3,0)</f>
        <v>high_beta</v>
      </c>
      <c r="K196" s="92">
        <v>0</v>
      </c>
      <c r="L196" s="42">
        <v>-1E-3</v>
      </c>
      <c r="M196" s="92">
        <f>VLOOKUP(A196,'Mandato Ibov'!$B$1:$C$215,2,0)</f>
        <v>0</v>
      </c>
      <c r="N196" s="58">
        <f t="shared" si="26"/>
        <v>0</v>
      </c>
      <c r="O196" s="42">
        <f t="shared" si="27"/>
        <v>0</v>
      </c>
      <c r="P196" s="95">
        <f>VLOOKUP(A196,'Mandato Ibov'!$B$2:$D$215,3,0)</f>
        <v>0</v>
      </c>
      <c r="Q196" s="42">
        <f t="shared" si="28"/>
        <v>0</v>
      </c>
      <c r="R196" s="15">
        <v>-0.77600000000000002</v>
      </c>
      <c r="S196" s="15">
        <v>-0.84299999999999997</v>
      </c>
      <c r="T196" s="15">
        <v>-0.82199999999999995</v>
      </c>
      <c r="U196" s="15">
        <v>-0.81799999999999995</v>
      </c>
      <c r="V196" s="15">
        <v>-0.86899999999999999</v>
      </c>
      <c r="W196" s="15">
        <v>-0.83799999999999997</v>
      </c>
      <c r="X196" s="15">
        <v>-0.84599999999999997</v>
      </c>
      <c r="Y196" s="15">
        <v>-0.93600000000000005</v>
      </c>
      <c r="Z196" s="15">
        <v>-0.45200000000000001</v>
      </c>
      <c r="AA196" s="15">
        <v>-0.45400000000000001</v>
      </c>
      <c r="AB196" s="15">
        <v>0.32900000000000001</v>
      </c>
      <c r="AC196" s="15">
        <v>0.39600000000000002</v>
      </c>
      <c r="AD196" s="15">
        <v>-7.9000000000000001E-2</v>
      </c>
      <c r="AE196" s="14">
        <v>-0.19700000000000001</v>
      </c>
      <c r="AF196" s="15">
        <v>0.20899999999999999</v>
      </c>
      <c r="AG196" s="15">
        <v>-0.83299999999999996</v>
      </c>
      <c r="AH196" s="15">
        <v>-0.28100000000000003</v>
      </c>
      <c r="AI196" s="15">
        <v>-0.51500000000000001</v>
      </c>
      <c r="AJ196" s="16">
        <v>-0.74099999999999999</v>
      </c>
      <c r="AK196" s="4">
        <v>-1.2999999999999999E-2</v>
      </c>
      <c r="AL196" s="4">
        <v>-1</v>
      </c>
      <c r="AM196" s="4">
        <v>-5.5E-2</v>
      </c>
      <c r="AN196" s="4">
        <v>-0.13700000000000001</v>
      </c>
      <c r="AO196" s="4">
        <v>-0.59299999999999997</v>
      </c>
      <c r="AP196" s="4">
        <v>-0.91100000000000003</v>
      </c>
      <c r="AQ196" s="4">
        <v>-0.05</v>
      </c>
      <c r="AR196" s="4">
        <v>1</v>
      </c>
      <c r="AS196" s="4">
        <v>0.24199999999999999</v>
      </c>
      <c r="AT196" s="4">
        <v>-0.29599999999999999</v>
      </c>
      <c r="AU196" s="4">
        <v>-0.56499999999999995</v>
      </c>
      <c r="AV196" s="4">
        <v>-9.2999999999999999E-2</v>
      </c>
      <c r="AW196" s="4">
        <v>-0.435</v>
      </c>
      <c r="AX196" s="4">
        <v>-0.82899999999999996</v>
      </c>
      <c r="AY196" s="4">
        <v>0.52400000000000002</v>
      </c>
      <c r="AZ196" s="4">
        <v>0.63900000000000001</v>
      </c>
      <c r="BA196" s="4">
        <v>0.191</v>
      </c>
      <c r="BB196" s="4">
        <v>0.28100000000000003</v>
      </c>
      <c r="BC196" s="4">
        <v>0.1</v>
      </c>
      <c r="BD196" s="4">
        <v>0.46300000000000002</v>
      </c>
      <c r="BE196" s="4">
        <v>0.47</v>
      </c>
      <c r="BF196" s="4">
        <v>-0.54300000000000004</v>
      </c>
      <c r="BG196" s="4">
        <v>0.22500000000000001</v>
      </c>
      <c r="BH196" s="4">
        <v>0.19600000000000001</v>
      </c>
      <c r="BI196" s="4">
        <v>0.58499999999999996</v>
      </c>
      <c r="BJ196" s="4">
        <v>-0.70499999999999996</v>
      </c>
      <c r="BK196" s="4">
        <v>3.2000000000000001E-2</v>
      </c>
      <c r="BL196" s="4"/>
      <c r="BM196" s="4">
        <f t="shared" si="29"/>
        <v>-0.23385000000000006</v>
      </c>
    </row>
    <row r="197" spans="1:65" x14ac:dyDescent="0.3">
      <c r="A197" t="s">
        <v>202</v>
      </c>
      <c r="B197" s="53">
        <f t="shared" si="31"/>
        <v>0</v>
      </c>
      <c r="C197" s="53">
        <f t="shared" si="23"/>
        <v>0</v>
      </c>
      <c r="D197" s="53">
        <f t="shared" si="24"/>
        <v>0</v>
      </c>
      <c r="E197" s="53">
        <f t="shared" si="25"/>
        <v>0</v>
      </c>
      <c r="F197" s="15">
        <v>0.51500000000000001</v>
      </c>
      <c r="G197" s="4">
        <v>0.42699999999999999</v>
      </c>
      <c r="H197" t="s">
        <v>57</v>
      </c>
      <c r="I197" t="str">
        <f>VLOOKUP(A197,Setores!$A$2:$C$215,2,0)</f>
        <v>transportation</v>
      </c>
      <c r="J197" t="str">
        <f>VLOOKUP(A197,Setores!$A$2:$C$215,3,0)</f>
        <v>neutral_beta</v>
      </c>
      <c r="K197" s="92">
        <v>0</v>
      </c>
      <c r="L197" s="42">
        <v>0</v>
      </c>
      <c r="M197" s="92">
        <f>VLOOKUP(A197,'Mandato Ibov'!$B$1:$C$215,2,0)</f>
        <v>0</v>
      </c>
      <c r="N197" s="58">
        <f t="shared" si="26"/>
        <v>0</v>
      </c>
      <c r="O197" s="42">
        <f t="shared" si="27"/>
        <v>0</v>
      </c>
      <c r="P197" s="95">
        <f>VLOOKUP(A197,'Mandato Ibov'!$B$2:$D$215,3,0)</f>
        <v>0</v>
      </c>
      <c r="Q197" s="42">
        <f t="shared" si="28"/>
        <v>0</v>
      </c>
      <c r="R197" s="15">
        <v>-0.876</v>
      </c>
      <c r="S197" s="15">
        <v>-0.94299999999999995</v>
      </c>
      <c r="T197" s="15">
        <v>-0.89200000000000002</v>
      </c>
      <c r="U197" s="15">
        <v>-0.89</v>
      </c>
      <c r="V197" s="15">
        <v>-0.94499999999999995</v>
      </c>
      <c r="W197" s="15">
        <v>-0.85099999999999998</v>
      </c>
      <c r="X197" s="15">
        <v>-0.78400000000000003</v>
      </c>
      <c r="Y197" s="15">
        <v>-0.93400000000000005</v>
      </c>
      <c r="Z197" s="15">
        <v>-0.30199999999999999</v>
      </c>
      <c r="AA197" s="15">
        <v>-0.30499999999999999</v>
      </c>
      <c r="AB197" s="15">
        <v>0.30299999999999999</v>
      </c>
      <c r="AC197" s="15">
        <v>0.13600000000000001</v>
      </c>
      <c r="AD197" s="15">
        <v>1.7000000000000001E-2</v>
      </c>
      <c r="AE197" s="14">
        <v>-0.51400000000000001</v>
      </c>
      <c r="AF197" s="15">
        <v>-0.754</v>
      </c>
      <c r="AG197" s="15">
        <v>-0.91300000000000003</v>
      </c>
      <c r="AH197" s="15">
        <v>-0.68500000000000005</v>
      </c>
      <c r="AI197" s="15">
        <v>-0.42099999999999999</v>
      </c>
      <c r="AJ197" s="16">
        <v>-0.83499999999999996</v>
      </c>
      <c r="AK197" s="4">
        <v>-0.251</v>
      </c>
      <c r="AL197" s="4">
        <v>-1</v>
      </c>
      <c r="AM197" s="4">
        <v>-0.78800000000000003</v>
      </c>
      <c r="AN197" s="4">
        <v>0.107</v>
      </c>
      <c r="AO197" s="4">
        <v>-0.34899999999999998</v>
      </c>
      <c r="AP197" s="4">
        <v>-0.107</v>
      </c>
      <c r="AQ197" s="4">
        <v>-0.28399999999999997</v>
      </c>
      <c r="AR197" s="4">
        <v>-0.49</v>
      </c>
      <c r="AS197" s="4">
        <v>-0.25800000000000001</v>
      </c>
      <c r="AT197" s="4">
        <v>-0.19700000000000001</v>
      </c>
      <c r="AU197" s="4">
        <v>-0.41399999999999998</v>
      </c>
      <c r="AV197" s="4">
        <v>7.6999999999999999E-2</v>
      </c>
      <c r="AW197" s="4">
        <v>0.17499999999999999</v>
      </c>
      <c r="AX197" s="4">
        <v>-0.26900000000000002</v>
      </c>
      <c r="AY197" s="4">
        <v>-0.78300000000000003</v>
      </c>
      <c r="AZ197" s="4">
        <v>-0.27600000000000002</v>
      </c>
      <c r="BA197" s="4">
        <v>0.65800000000000003</v>
      </c>
      <c r="BB197" s="4">
        <v>-0.154</v>
      </c>
      <c r="BC197" s="4">
        <v>-0.23300000000000001</v>
      </c>
      <c r="BD197" s="4">
        <v>0.48699999999999999</v>
      </c>
      <c r="BE197" s="4">
        <v>0.19500000000000001</v>
      </c>
      <c r="BF197" s="4">
        <v>0.39900000000000002</v>
      </c>
      <c r="BG197" s="4">
        <v>0.45200000000000001</v>
      </c>
      <c r="BH197" s="4">
        <v>4.0000000000000001E-3</v>
      </c>
      <c r="BI197" s="4">
        <v>0.153</v>
      </c>
      <c r="BJ197" s="4">
        <v>0.58499999999999996</v>
      </c>
      <c r="BK197" s="4">
        <v>0.20599999999999999</v>
      </c>
      <c r="BL197" s="4"/>
      <c r="BM197" s="4">
        <f t="shared" si="29"/>
        <v>-0.25787499999999997</v>
      </c>
    </row>
    <row r="198" spans="1:65" x14ac:dyDescent="0.3">
      <c r="A198" t="s">
        <v>195</v>
      </c>
      <c r="B198" s="53">
        <f t="shared" si="31"/>
        <v>0</v>
      </c>
      <c r="C198" s="53">
        <f t="shared" si="23"/>
        <v>0</v>
      </c>
      <c r="D198" s="53">
        <f t="shared" si="24"/>
        <v>0</v>
      </c>
      <c r="E198" s="53">
        <f t="shared" si="25"/>
        <v>0</v>
      </c>
      <c r="F198" s="15">
        <v>0.51400000000000001</v>
      </c>
      <c r="G198" s="4">
        <v>0.45700000000000002</v>
      </c>
      <c r="H198" t="s">
        <v>57</v>
      </c>
      <c r="I198" t="str">
        <f>VLOOKUP(A198,Setores!$A$2:$C$215,2,0)</f>
        <v>banks</v>
      </c>
      <c r="J198" t="str">
        <f>VLOOKUP(A198,Setores!$A$2:$C$215,3,0)</f>
        <v>very_low_beta</v>
      </c>
      <c r="K198" s="92">
        <v>0</v>
      </c>
      <c r="L198" s="42">
        <v>0</v>
      </c>
      <c r="M198" s="92">
        <f>VLOOKUP(A198,'Mandato Ibov'!$B$1:$C$215,2,0)</f>
        <v>0</v>
      </c>
      <c r="N198" s="58">
        <f t="shared" si="26"/>
        <v>0</v>
      </c>
      <c r="O198" s="42">
        <f t="shared" si="27"/>
        <v>0</v>
      </c>
      <c r="P198" s="95">
        <f>VLOOKUP(A198,'Mandato Ibov'!$B$2:$D$215,3,0)</f>
        <v>0</v>
      </c>
      <c r="Q198" s="42">
        <f t="shared" si="28"/>
        <v>0</v>
      </c>
      <c r="R198" s="15">
        <v>-0.94799999999999995</v>
      </c>
      <c r="S198" s="15">
        <v>-0.99099999999999999</v>
      </c>
      <c r="T198" s="15">
        <v>-0.997</v>
      </c>
      <c r="U198" s="15">
        <v>-0.93799999999999994</v>
      </c>
      <c r="V198" s="15">
        <v>-1</v>
      </c>
      <c r="W198" s="15">
        <v>-0.85199999999999998</v>
      </c>
      <c r="X198" s="15">
        <v>-0.69</v>
      </c>
      <c r="Y198" s="15">
        <v>-0.97799999999999998</v>
      </c>
      <c r="Z198" s="15">
        <v>-0.115</v>
      </c>
      <c r="AA198" s="15">
        <v>-0.11</v>
      </c>
      <c r="AB198" s="15">
        <v>4.0000000000000001E-3</v>
      </c>
      <c r="AC198" s="15">
        <v>0.19400000000000001</v>
      </c>
      <c r="AD198" s="15">
        <v>9.6000000000000002E-2</v>
      </c>
      <c r="AE198" s="14">
        <v>-1</v>
      </c>
      <c r="AF198" s="15">
        <v>-0.71799999999999997</v>
      </c>
      <c r="AG198" s="15">
        <v>-1</v>
      </c>
      <c r="AH198" s="15">
        <v>-1</v>
      </c>
      <c r="AI198" s="15">
        <v>-1</v>
      </c>
      <c r="AJ198" s="16">
        <v>-0.85699999999999998</v>
      </c>
      <c r="AK198" s="4">
        <v>-0.38</v>
      </c>
      <c r="AL198" s="4">
        <v>-1</v>
      </c>
      <c r="AM198" s="4">
        <v>-0.80100000000000005</v>
      </c>
      <c r="AN198" s="4">
        <v>0.311</v>
      </c>
      <c r="AO198" s="4">
        <v>-0.66500000000000004</v>
      </c>
      <c r="AP198" s="4">
        <v>-0.84699999999999998</v>
      </c>
      <c r="AQ198" s="4">
        <v>0.27900000000000003</v>
      </c>
      <c r="AR198" s="4">
        <v>0.30599999999999999</v>
      </c>
      <c r="AS198" s="4">
        <v>0.28699999999999998</v>
      </c>
      <c r="AT198" s="4">
        <v>0.152</v>
      </c>
      <c r="AU198" s="4">
        <v>2.5000000000000001E-2</v>
      </c>
      <c r="AV198" s="4">
        <v>-0.623</v>
      </c>
      <c r="AW198" s="4">
        <v>0</v>
      </c>
      <c r="AX198" s="4">
        <v>5.8999999999999997E-2</v>
      </c>
      <c r="AY198" s="4">
        <v>-1.0999999999999999E-2</v>
      </c>
      <c r="AZ198" s="4">
        <v>2.1999999999999999E-2</v>
      </c>
      <c r="BA198" s="4">
        <v>0.55300000000000005</v>
      </c>
      <c r="BB198" s="4">
        <v>-0.50900000000000001</v>
      </c>
      <c r="BC198" s="4">
        <v>-0.58699999999999997</v>
      </c>
      <c r="BD198" s="4">
        <v>-0.25600000000000001</v>
      </c>
      <c r="BE198" s="4">
        <v>0.26</v>
      </c>
      <c r="BF198" s="4">
        <v>0.435</v>
      </c>
      <c r="BG198" s="4">
        <v>0.90300000000000002</v>
      </c>
      <c r="BH198" s="4">
        <v>-0.35899999999999999</v>
      </c>
      <c r="BI198" s="4">
        <v>-0.61099999999999999</v>
      </c>
      <c r="BJ198" s="4">
        <v>0.21</v>
      </c>
      <c r="BK198" s="4">
        <v>-0.38600000000000001</v>
      </c>
      <c r="BL198" s="4"/>
      <c r="BM198" s="4">
        <f t="shared" si="29"/>
        <v>-0.24029999999999999</v>
      </c>
    </row>
    <row r="199" spans="1:65" x14ac:dyDescent="0.3">
      <c r="A199" t="s">
        <v>254</v>
      </c>
      <c r="B199" s="53">
        <f t="shared" si="31"/>
        <v>0</v>
      </c>
      <c r="C199" s="53">
        <f t="shared" si="23"/>
        <v>-4.0000000000000001E-3</v>
      </c>
      <c r="D199" s="53">
        <f t="shared" si="24"/>
        <v>0</v>
      </c>
      <c r="E199" s="53">
        <f t="shared" si="25"/>
        <v>4.0000000000000001E-3</v>
      </c>
      <c r="F199" s="15">
        <v>0.51200000000000001</v>
      </c>
      <c r="G199" s="4">
        <v>0.42199999999999999</v>
      </c>
      <c r="H199" t="s">
        <v>57</v>
      </c>
      <c r="I199" t="str">
        <f>VLOOKUP(A199,Setores!$A$2:$C$215,2,0)</f>
        <v>consumer_services</v>
      </c>
      <c r="J199" t="str">
        <f>VLOOKUP(A199,Setores!$A$2:$C$215,3,0)</f>
        <v>very_high_beta</v>
      </c>
      <c r="K199" s="92">
        <v>0</v>
      </c>
      <c r="L199" s="42">
        <v>-4.0000000000000001E-3</v>
      </c>
      <c r="M199" s="92">
        <f>VLOOKUP(A199,'Mandato Ibov'!$B$1:$C$215,2,0)</f>
        <v>0</v>
      </c>
      <c r="N199" s="58">
        <f t="shared" si="26"/>
        <v>0</v>
      </c>
      <c r="O199" s="42">
        <f t="shared" si="27"/>
        <v>0</v>
      </c>
      <c r="P199" s="95">
        <f>VLOOKUP(A199,'Mandato Ibov'!$B$2:$D$215,3,0)</f>
        <v>0</v>
      </c>
      <c r="Q199" s="42">
        <f t="shared" si="28"/>
        <v>0</v>
      </c>
      <c r="R199" s="15">
        <v>-0.92700000000000005</v>
      </c>
      <c r="S199" s="15">
        <v>-0.91300000000000003</v>
      </c>
      <c r="T199" s="15">
        <v>-0.92700000000000005</v>
      </c>
      <c r="U199" s="15">
        <v>-0.9</v>
      </c>
      <c r="V199" s="15">
        <v>-0.91900000000000004</v>
      </c>
      <c r="W199" s="15">
        <v>-0.89700000000000002</v>
      </c>
      <c r="X199" s="15">
        <v>-0.84599999999999997</v>
      </c>
      <c r="Y199" s="15">
        <v>-0.95899999999999996</v>
      </c>
      <c r="Z199" s="15">
        <v>-0.53</v>
      </c>
      <c r="AA199" s="15">
        <v>-0.52900000000000003</v>
      </c>
      <c r="AB199" s="15">
        <v>0.54900000000000004</v>
      </c>
      <c r="AC199" s="15">
        <v>0.42899999999999999</v>
      </c>
      <c r="AD199" s="15">
        <v>8.9999999999999993E-3</v>
      </c>
      <c r="AE199" s="14">
        <v>-5.8000000000000003E-2</v>
      </c>
      <c r="AF199" s="15">
        <v>-0.186</v>
      </c>
      <c r="AG199" s="15">
        <v>-0.72</v>
      </c>
      <c r="AH199" s="15">
        <v>-0.55000000000000004</v>
      </c>
      <c r="AI199" s="15">
        <v>-1</v>
      </c>
      <c r="AJ199" s="16">
        <v>-0.98899999999999999</v>
      </c>
      <c r="AK199" s="4">
        <v>0.27700000000000002</v>
      </c>
      <c r="AL199" s="4">
        <v>-0.80900000000000005</v>
      </c>
      <c r="AM199" s="4">
        <v>0.154</v>
      </c>
      <c r="AN199" s="4">
        <v>-0.34300000000000003</v>
      </c>
      <c r="AO199" s="4">
        <v>-0.81499999999999995</v>
      </c>
      <c r="AP199" s="4">
        <v>-0.58499999999999996</v>
      </c>
      <c r="AQ199" s="4">
        <v>-0.189</v>
      </c>
      <c r="AR199" s="4">
        <v>-0.61199999999999999</v>
      </c>
      <c r="AS199" s="4">
        <v>-0.42199999999999999</v>
      </c>
      <c r="AT199" s="4">
        <v>-0.43099999999999999</v>
      </c>
      <c r="AU199" s="4">
        <v>-0.16200000000000001</v>
      </c>
      <c r="AV199" s="4">
        <v>-0.26100000000000001</v>
      </c>
      <c r="AW199" s="4">
        <v>-0.41899999999999998</v>
      </c>
      <c r="AX199" s="4">
        <v>-0.33100000000000002</v>
      </c>
      <c r="AY199" s="4">
        <v>0.30399999999999999</v>
      </c>
      <c r="AZ199" s="4">
        <v>-0.27300000000000002</v>
      </c>
      <c r="BA199" s="4">
        <v>-3.7999999999999999E-2</v>
      </c>
      <c r="BB199" s="4">
        <v>0.32800000000000001</v>
      </c>
      <c r="BC199" s="4">
        <v>4.4999999999999998E-2</v>
      </c>
      <c r="BD199" s="4">
        <v>0.08</v>
      </c>
      <c r="BE199" s="4">
        <v>0.35899999999999999</v>
      </c>
      <c r="BF199" s="4">
        <v>-0.10299999999999999</v>
      </c>
      <c r="BG199" s="4">
        <v>0.39900000000000002</v>
      </c>
      <c r="BH199" s="4">
        <v>0.65300000000000002</v>
      </c>
      <c r="BI199" s="4">
        <v>0.35599999999999998</v>
      </c>
      <c r="BJ199" s="4">
        <v>-0.622</v>
      </c>
      <c r="BK199" s="4">
        <v>-0.26900000000000002</v>
      </c>
      <c r="BL199" s="4"/>
      <c r="BM199" s="4">
        <f t="shared" si="29"/>
        <v>-0.33207500000000006</v>
      </c>
    </row>
    <row r="200" spans="1:65" x14ac:dyDescent="0.3">
      <c r="A200" t="s">
        <v>230</v>
      </c>
      <c r="B200" s="53">
        <f t="shared" si="31"/>
        <v>0</v>
      </c>
      <c r="C200" s="53">
        <f t="shared" si="23"/>
        <v>-2E-3</v>
      </c>
      <c r="D200" s="53">
        <f t="shared" si="24"/>
        <v>0</v>
      </c>
      <c r="E200" s="53">
        <f t="shared" si="25"/>
        <v>2E-3</v>
      </c>
      <c r="F200" s="15">
        <v>0.50800000000000001</v>
      </c>
      <c r="G200" s="4">
        <v>0.39500000000000002</v>
      </c>
      <c r="H200" t="s">
        <v>71</v>
      </c>
      <c r="I200" t="str">
        <f>VLOOKUP(A200,Setores!$A$2:$C$215,2,0)</f>
        <v>basic_materials</v>
      </c>
      <c r="J200" t="str">
        <f>VLOOKUP(A200,Setores!$A$2:$C$215,3,0)</f>
        <v>very_high_beta</v>
      </c>
      <c r="K200" s="92">
        <v>0</v>
      </c>
      <c r="L200" s="42">
        <v>-2E-3</v>
      </c>
      <c r="M200" s="92">
        <f>VLOOKUP(A200,'Mandato Ibov'!$B$1:$C$215,2,0)</f>
        <v>0</v>
      </c>
      <c r="N200" s="58">
        <f t="shared" si="26"/>
        <v>0</v>
      </c>
      <c r="O200" s="42">
        <f t="shared" si="27"/>
        <v>0</v>
      </c>
      <c r="P200" s="95">
        <f>VLOOKUP(A200,'Mandato Ibov'!$B$2:$D$215,3,0)</f>
        <v>0</v>
      </c>
      <c r="Q200" s="42">
        <f t="shared" si="28"/>
        <v>0</v>
      </c>
      <c r="R200" s="15">
        <v>-1</v>
      </c>
      <c r="S200" s="15">
        <v>-0.98</v>
      </c>
      <c r="T200" s="15">
        <v>-1</v>
      </c>
      <c r="U200" s="15">
        <v>-0.996</v>
      </c>
      <c r="V200" s="15">
        <v>-0.998</v>
      </c>
      <c r="W200" s="15">
        <v>-0.95699999999999996</v>
      </c>
      <c r="X200" s="15">
        <v>-0.93899999999999995</v>
      </c>
      <c r="Y200" s="15">
        <v>-0.96099999999999997</v>
      </c>
      <c r="Z200" s="15">
        <v>-0.48799999999999999</v>
      </c>
      <c r="AA200" s="15">
        <v>-0.48799999999999999</v>
      </c>
      <c r="AB200" s="15">
        <v>0.23899999999999999</v>
      </c>
      <c r="AC200" s="15">
        <v>0.46400000000000002</v>
      </c>
      <c r="AD200" s="15">
        <v>0.129</v>
      </c>
      <c r="AE200" s="14">
        <v>-0.95699999999999996</v>
      </c>
      <c r="AF200" s="15">
        <v>-0.92300000000000004</v>
      </c>
      <c r="AG200" s="15">
        <v>-0.97399999999999998</v>
      </c>
      <c r="AH200" s="15">
        <v>-0.79800000000000004</v>
      </c>
      <c r="AI200" s="15">
        <v>-0.92800000000000005</v>
      </c>
      <c r="AJ200" s="16">
        <v>-0.93700000000000006</v>
      </c>
      <c r="AK200" s="4">
        <v>-0.64500000000000002</v>
      </c>
      <c r="AL200" s="4">
        <v>-0.11</v>
      </c>
      <c r="AM200" s="4">
        <v>0.186</v>
      </c>
      <c r="AN200" s="4">
        <v>-0.73199999999999998</v>
      </c>
      <c r="AO200" s="4">
        <v>-0.61099999999999999</v>
      </c>
      <c r="AP200" s="4">
        <v>-0.66900000000000004</v>
      </c>
      <c r="AQ200" s="4">
        <v>-0.68100000000000005</v>
      </c>
      <c r="AR200" s="4">
        <v>0.42</v>
      </c>
      <c r="AS200" s="4">
        <v>-3.2000000000000001E-2</v>
      </c>
      <c r="AT200" s="4">
        <v>-0.36699999999999999</v>
      </c>
      <c r="AU200" s="4">
        <v>-0.57499999999999996</v>
      </c>
      <c r="AV200" s="4">
        <v>-0.81499999999999995</v>
      </c>
      <c r="AW200" s="4">
        <v>-0.42899999999999999</v>
      </c>
      <c r="AX200" s="4">
        <v>-0.70099999999999996</v>
      </c>
      <c r="AY200" s="4">
        <v>0.63</v>
      </c>
      <c r="AZ200" s="4">
        <v>-1</v>
      </c>
      <c r="BA200" s="4">
        <v>0.32900000000000001</v>
      </c>
      <c r="BB200" s="4">
        <v>3.5999999999999997E-2</v>
      </c>
      <c r="BC200" s="4">
        <v>-0.02</v>
      </c>
      <c r="BD200" s="4">
        <v>0.20799999999999999</v>
      </c>
      <c r="BE200" s="4">
        <v>-0.70299999999999996</v>
      </c>
      <c r="BF200" s="4">
        <v>-0.437</v>
      </c>
      <c r="BG200" s="4">
        <v>-3.4000000000000002E-2</v>
      </c>
      <c r="BH200" s="4">
        <v>0.50800000000000001</v>
      </c>
      <c r="BI200" s="4">
        <v>0.35699999999999998</v>
      </c>
      <c r="BJ200" s="4">
        <v>-0.32800000000000001</v>
      </c>
      <c r="BK200" s="4">
        <v>9.9000000000000005E-2</v>
      </c>
      <c r="BL200" s="4"/>
      <c r="BM200" s="4">
        <f t="shared" si="29"/>
        <v>-0.41870000000000002</v>
      </c>
    </row>
    <row r="201" spans="1:65" x14ac:dyDescent="0.3">
      <c r="A201" t="s">
        <v>212</v>
      </c>
      <c r="B201" s="53">
        <f t="shared" si="31"/>
        <v>0</v>
      </c>
      <c r="C201" s="53">
        <f t="shared" ref="C201:C219" si="32">B201-E201</f>
        <v>0</v>
      </c>
      <c r="D201" s="53">
        <f t="shared" ref="D201:D219" si="33">B201-K201</f>
        <v>0</v>
      </c>
      <c r="E201" s="53">
        <f t="shared" ref="E201:E219" si="34">K201-L201</f>
        <v>0</v>
      </c>
      <c r="F201" s="15">
        <v>0.50700000000000001</v>
      </c>
      <c r="G201" s="4">
        <v>0.38700000000000001</v>
      </c>
      <c r="H201" t="s">
        <v>57</v>
      </c>
      <c r="I201" t="str">
        <f>VLOOKUP(A201,Setores!$A$2:$C$215,2,0)</f>
        <v>homebuilders</v>
      </c>
      <c r="J201" t="str">
        <f>VLOOKUP(A201,Setores!$A$2:$C$215,3,0)</f>
        <v>low_beta</v>
      </c>
      <c r="K201" s="92">
        <v>0</v>
      </c>
      <c r="L201" s="42">
        <v>0</v>
      </c>
      <c r="M201" s="92">
        <f>VLOOKUP(A201,'Mandato Ibov'!$B$1:$C$215,2,0)</f>
        <v>0</v>
      </c>
      <c r="N201" s="58">
        <f t="shared" ref="N201:N219" si="35">K201-M201</f>
        <v>0</v>
      </c>
      <c r="O201" s="42">
        <f t="shared" ref="O201:O219" si="36">B201-M201</f>
        <v>0</v>
      </c>
      <c r="P201" s="95">
        <f>VLOOKUP(A201,'Mandato Ibov'!$B$2:$D$215,3,0)</f>
        <v>0</v>
      </c>
      <c r="Q201" s="42">
        <f t="shared" ref="Q201:Q219" si="37">K201-P201</f>
        <v>0</v>
      </c>
      <c r="R201" s="15">
        <v>-0.97499999999999998</v>
      </c>
      <c r="S201" s="15">
        <v>-1</v>
      </c>
      <c r="T201" s="15">
        <v>-0.94199999999999995</v>
      </c>
      <c r="U201" s="15">
        <v>-0.95</v>
      </c>
      <c r="V201" s="15">
        <v>-0.98699999999999999</v>
      </c>
      <c r="W201" s="15">
        <v>-0.93500000000000005</v>
      </c>
      <c r="X201" s="15">
        <v>-0.89600000000000002</v>
      </c>
      <c r="Y201" s="15">
        <v>-0.94499999999999995</v>
      </c>
      <c r="Z201" s="15">
        <v>-0.317</v>
      </c>
      <c r="AA201" s="15">
        <v>-0.314</v>
      </c>
      <c r="AB201" s="15">
        <v>0.214</v>
      </c>
      <c r="AC201" s="15">
        <v>0.27700000000000002</v>
      </c>
      <c r="AD201" s="15">
        <v>-4.1000000000000002E-2</v>
      </c>
      <c r="AE201" s="14">
        <v>-0.83899999999999997</v>
      </c>
      <c r="AF201" s="15">
        <v>-0.67200000000000004</v>
      </c>
      <c r="AG201" s="15">
        <v>-1</v>
      </c>
      <c r="AH201" s="15">
        <v>-0.38800000000000001</v>
      </c>
      <c r="AI201" s="15">
        <v>-0.57599999999999996</v>
      </c>
      <c r="AJ201" s="16">
        <v>-0.432</v>
      </c>
      <c r="AK201" s="4">
        <v>-0.113</v>
      </c>
      <c r="AL201" s="4">
        <v>-0.32600000000000001</v>
      </c>
      <c r="AM201" s="4">
        <v>-0.65400000000000003</v>
      </c>
      <c r="AN201" s="4">
        <v>-0.25800000000000001</v>
      </c>
      <c r="AO201" s="4">
        <v>-0.76400000000000001</v>
      </c>
      <c r="AP201" s="4">
        <v>-0.72099999999999997</v>
      </c>
      <c r="AQ201" s="4">
        <v>-4.4999999999999998E-2</v>
      </c>
      <c r="AR201" s="4">
        <v>-0.375</v>
      </c>
      <c r="AS201" s="4">
        <v>-0.74399999999999999</v>
      </c>
      <c r="AT201" s="4">
        <v>0.42299999999999999</v>
      </c>
      <c r="AU201" s="4">
        <v>-0.374</v>
      </c>
      <c r="AV201" s="4">
        <v>-0.64</v>
      </c>
      <c r="AW201" s="4">
        <v>-0.19600000000000001</v>
      </c>
      <c r="AX201" s="4">
        <v>0.40100000000000002</v>
      </c>
      <c r="AY201" s="4">
        <v>0.68100000000000005</v>
      </c>
      <c r="AZ201" s="4">
        <v>0.38</v>
      </c>
      <c r="BA201" s="4">
        <v>-0.497</v>
      </c>
      <c r="BB201" s="4">
        <v>-0.56799999999999995</v>
      </c>
      <c r="BC201" s="4">
        <v>-0.3</v>
      </c>
      <c r="BD201" s="4">
        <v>-0.23799999999999999</v>
      </c>
      <c r="BE201" s="4">
        <v>0.76400000000000001</v>
      </c>
      <c r="BF201" s="4">
        <v>0.60799999999999998</v>
      </c>
      <c r="BG201" s="4">
        <v>-8.4000000000000005E-2</v>
      </c>
      <c r="BH201" s="4">
        <v>-0.61399999999999999</v>
      </c>
      <c r="BI201" s="4">
        <v>0.29099999999999998</v>
      </c>
      <c r="BJ201" s="4">
        <v>-0.41899999999999998</v>
      </c>
      <c r="BK201" s="4">
        <v>0.23499999999999999</v>
      </c>
      <c r="BL201" s="4"/>
      <c r="BM201" s="4">
        <f t="shared" si="29"/>
        <v>-0.28530000000000005</v>
      </c>
    </row>
    <row r="202" spans="1:65" x14ac:dyDescent="0.3">
      <c r="A202" t="s">
        <v>181</v>
      </c>
      <c r="B202" s="53">
        <f t="shared" si="31"/>
        <v>0</v>
      </c>
      <c r="C202" s="53">
        <f t="shared" si="32"/>
        <v>-2.1000000000000001E-2</v>
      </c>
      <c r="D202" s="53">
        <f t="shared" si="33"/>
        <v>0</v>
      </c>
      <c r="E202" s="53">
        <f t="shared" si="34"/>
        <v>2.1000000000000001E-2</v>
      </c>
      <c r="F202" s="15">
        <v>0.50600000000000001</v>
      </c>
      <c r="G202" s="4">
        <v>0.57099999999999995</v>
      </c>
      <c r="H202" t="s">
        <v>68</v>
      </c>
      <c r="I202" t="str">
        <f>VLOOKUP(A202,Setores!$A$2:$C$215,2,0)</f>
        <v>capital_goods</v>
      </c>
      <c r="J202" t="str">
        <f>VLOOKUP(A202,Setores!$A$2:$C$215,3,0)</f>
        <v>very_high_beta</v>
      </c>
      <c r="K202" s="92">
        <v>0</v>
      </c>
      <c r="L202" s="42">
        <v>-2.1000000000000001E-2</v>
      </c>
      <c r="M202" s="92">
        <f>VLOOKUP(A202,'Mandato Ibov'!$B$1:$C$215,2,0)</f>
        <v>0</v>
      </c>
      <c r="N202" s="58">
        <f t="shared" si="35"/>
        <v>0</v>
      </c>
      <c r="O202" s="42">
        <f t="shared" si="36"/>
        <v>0</v>
      </c>
      <c r="P202" s="95">
        <f>VLOOKUP(A202,'Mandato Ibov'!$B$2:$D$215,3,0)</f>
        <v>0</v>
      </c>
      <c r="Q202" s="42">
        <f t="shared" si="37"/>
        <v>0</v>
      </c>
      <c r="R202" s="15">
        <v>-0.89200000000000002</v>
      </c>
      <c r="S202" s="15">
        <v>-0.999</v>
      </c>
      <c r="T202" s="15">
        <v>-0.97899999999999998</v>
      </c>
      <c r="U202" s="15">
        <v>-0.86599999999999999</v>
      </c>
      <c r="V202" s="15">
        <v>-0.98799999999999999</v>
      </c>
      <c r="W202" s="15">
        <v>-0.86199999999999999</v>
      </c>
      <c r="X202" s="15">
        <v>-0.83399999999999996</v>
      </c>
      <c r="Y202" s="15">
        <v>-0.92300000000000004</v>
      </c>
      <c r="Z202" s="15">
        <v>-0.35299999999999998</v>
      </c>
      <c r="AA202" s="15">
        <v>-0.35299999999999998</v>
      </c>
      <c r="AB202" s="15">
        <v>0.28499999999999998</v>
      </c>
      <c r="AC202" s="15">
        <v>0.254</v>
      </c>
      <c r="AD202" s="15">
        <v>-0.25900000000000001</v>
      </c>
      <c r="AE202" s="14">
        <v>-0.57199999999999995</v>
      </c>
      <c r="AF202" s="15">
        <v>-0.64700000000000002</v>
      </c>
      <c r="AG202" s="15">
        <v>-0.98399999999999999</v>
      </c>
      <c r="AH202" s="15">
        <v>-1</v>
      </c>
      <c r="AI202" s="15">
        <v>-1</v>
      </c>
      <c r="AJ202" s="16">
        <v>-0.72899999999999998</v>
      </c>
      <c r="AK202" s="4">
        <v>-0.34599999999999997</v>
      </c>
      <c r="AL202" s="4">
        <v>-0.94</v>
      </c>
      <c r="AM202" s="4">
        <v>-0.82199999999999995</v>
      </c>
      <c r="AN202" s="4">
        <v>0.32600000000000001</v>
      </c>
      <c r="AO202" s="4">
        <v>-0.27300000000000002</v>
      </c>
      <c r="AP202" s="4">
        <v>-0.314</v>
      </c>
      <c r="AQ202" s="4">
        <v>0.45500000000000002</v>
      </c>
      <c r="AR202" s="4">
        <v>-0.27700000000000002</v>
      </c>
      <c r="AS202" s="4">
        <v>-0.40799999999999997</v>
      </c>
      <c r="AT202" s="4">
        <v>-6.6000000000000003E-2</v>
      </c>
      <c r="AU202" s="4">
        <v>-0.64900000000000002</v>
      </c>
      <c r="AV202" s="4">
        <v>0.221</v>
      </c>
      <c r="AW202" s="4">
        <v>0.36199999999999999</v>
      </c>
      <c r="AX202" s="4">
        <v>9.4E-2</v>
      </c>
      <c r="AY202" s="4">
        <v>0.26</v>
      </c>
      <c r="AZ202" s="4">
        <v>0.63</v>
      </c>
      <c r="BA202" s="4">
        <v>0.28799999999999998</v>
      </c>
      <c r="BB202" s="4">
        <v>8.4000000000000005E-2</v>
      </c>
      <c r="BC202" s="4">
        <v>0.253</v>
      </c>
      <c r="BD202" s="4">
        <v>0.34599999999999997</v>
      </c>
      <c r="BE202" s="4">
        <v>0.24</v>
      </c>
      <c r="BF202" s="4">
        <v>0.92300000000000004</v>
      </c>
      <c r="BG202" s="4">
        <v>-0.1</v>
      </c>
      <c r="BH202" s="4">
        <v>-1</v>
      </c>
      <c r="BI202" s="4">
        <v>0.79800000000000004</v>
      </c>
      <c r="BJ202" s="4">
        <v>-0.42399999999999999</v>
      </c>
      <c r="BK202" s="4">
        <v>-0.80200000000000005</v>
      </c>
      <c r="BL202" s="4"/>
      <c r="BM202" s="4">
        <f t="shared" ref="BM202:BM219" si="38">10%*AK202+5%*AL202+2.5%*AM202+2.5%*AN202+10%*AO202+10%*AP202+10%*AQ202+5%*AR202+5%*AS202+10%*AT202+5%*AU202+5%*AY202+10%*AV202+10%*AW202</f>
        <v>-0.10919999999999996</v>
      </c>
    </row>
    <row r="203" spans="1:65" x14ac:dyDescent="0.3">
      <c r="A203" t="s">
        <v>213</v>
      </c>
      <c r="B203" s="53">
        <f t="shared" si="31"/>
        <v>0</v>
      </c>
      <c r="C203" s="53">
        <f t="shared" si="32"/>
        <v>-7.0000000000000001E-3</v>
      </c>
      <c r="D203" s="53">
        <f t="shared" si="33"/>
        <v>0</v>
      </c>
      <c r="E203" s="53">
        <f t="shared" si="34"/>
        <v>7.0000000000000001E-3</v>
      </c>
      <c r="F203" s="15">
        <v>0.505</v>
      </c>
      <c r="G203" s="4">
        <v>0.60499999999999998</v>
      </c>
      <c r="H203" t="s">
        <v>57</v>
      </c>
      <c r="I203" t="str">
        <f>VLOOKUP(A203,Setores!$A$2:$C$215,2,0)</f>
        <v>tech</v>
      </c>
      <c r="J203" t="str">
        <f>VLOOKUP(A203,Setores!$A$2:$C$215,3,0)</f>
        <v>neutral_beta</v>
      </c>
      <c r="K203" s="92">
        <v>0</v>
      </c>
      <c r="L203" s="42">
        <v>-7.0000000000000001E-3</v>
      </c>
      <c r="M203" s="92">
        <f>VLOOKUP(A203,'Mandato Ibov'!$B$1:$C$215,2,0)</f>
        <v>0</v>
      </c>
      <c r="N203" s="58">
        <f t="shared" si="35"/>
        <v>0</v>
      </c>
      <c r="O203" s="42">
        <f t="shared" si="36"/>
        <v>0</v>
      </c>
      <c r="P203" s="95">
        <f>VLOOKUP(A203,'Mandato Ibov'!$B$2:$D$215,3,0)</f>
        <v>0</v>
      </c>
      <c r="Q203" s="42">
        <f t="shared" si="37"/>
        <v>0</v>
      </c>
      <c r="R203" s="15">
        <v>-0.95099999999999996</v>
      </c>
      <c r="S203" s="15">
        <v>-1</v>
      </c>
      <c r="T203" s="15">
        <v>-0.98499999999999999</v>
      </c>
      <c r="U203" s="15">
        <v>-0.88600000000000001</v>
      </c>
      <c r="V203" s="15">
        <v>-0.98199999999999998</v>
      </c>
      <c r="W203" s="15">
        <v>-0.90500000000000003</v>
      </c>
      <c r="X203" s="15">
        <v>-0.82399999999999995</v>
      </c>
      <c r="Y203" s="15">
        <v>-0.95099999999999996</v>
      </c>
      <c r="Z203" s="15">
        <v>-0.375</v>
      </c>
      <c r="AA203" s="15">
        <v>-0.372</v>
      </c>
      <c r="AB203" s="15">
        <v>0.34899999999999998</v>
      </c>
      <c r="AC203" s="15">
        <v>0.36499999999999999</v>
      </c>
      <c r="AD203" s="15">
        <v>-0.22800000000000001</v>
      </c>
      <c r="AE203" s="14">
        <v>-0.60899999999999999</v>
      </c>
      <c r="AF203" s="15">
        <v>-0.57799999999999996</v>
      </c>
      <c r="AG203" s="15">
        <v>-1</v>
      </c>
      <c r="AH203" s="15">
        <v>-0.94799999999999995</v>
      </c>
      <c r="AI203" s="15">
        <v>-1</v>
      </c>
      <c r="AJ203" s="16">
        <v>-0.437</v>
      </c>
      <c r="AK203" s="4">
        <v>-0.60399999999999998</v>
      </c>
      <c r="AL203" s="4">
        <v>-0.749</v>
      </c>
      <c r="AM203" s="4">
        <v>-0.92300000000000004</v>
      </c>
      <c r="AN203" s="4">
        <v>0.53500000000000003</v>
      </c>
      <c r="AO203" s="4">
        <v>-0.88500000000000001</v>
      </c>
      <c r="AP203" s="4">
        <v>-0.40600000000000003</v>
      </c>
      <c r="AQ203" s="4">
        <v>0.36899999999999999</v>
      </c>
      <c r="AR203" s="4">
        <v>0.20899999999999999</v>
      </c>
      <c r="AS203" s="4">
        <v>0.154</v>
      </c>
      <c r="AT203" s="4">
        <v>0.25600000000000001</v>
      </c>
      <c r="AU203" s="4">
        <v>0.154</v>
      </c>
      <c r="AV203" s="4">
        <v>0.16800000000000001</v>
      </c>
      <c r="AW203" s="4">
        <v>0.21299999999999999</v>
      </c>
      <c r="AX203" s="4">
        <v>-0.41699999999999998</v>
      </c>
      <c r="AY203" s="4">
        <v>0.876</v>
      </c>
      <c r="AZ203" s="4">
        <v>0.59299999999999997</v>
      </c>
      <c r="BA203" s="4">
        <v>-0.309</v>
      </c>
      <c r="BB203" s="4">
        <v>-0.85299999999999998</v>
      </c>
      <c r="BC203" s="4">
        <v>-1</v>
      </c>
      <c r="BD203" s="4">
        <v>-0.497</v>
      </c>
      <c r="BE203" s="4">
        <v>-0.26200000000000001</v>
      </c>
      <c r="BF203" s="4">
        <v>-1</v>
      </c>
      <c r="BG203" s="4">
        <v>-0.371</v>
      </c>
      <c r="BH203" s="4">
        <v>-0.20899999999999999</v>
      </c>
      <c r="BI203" s="4">
        <v>-0.11600000000000001</v>
      </c>
      <c r="BJ203" s="4">
        <v>-0.311</v>
      </c>
      <c r="BK203" s="4">
        <v>-0.621</v>
      </c>
      <c r="BL203" s="4"/>
      <c r="BM203" s="4">
        <f t="shared" si="38"/>
        <v>-6.6399999999999917E-2</v>
      </c>
    </row>
    <row r="204" spans="1:65" x14ac:dyDescent="0.3">
      <c r="A204" t="s">
        <v>249</v>
      </c>
      <c r="B204" s="53">
        <f t="shared" si="31"/>
        <v>0</v>
      </c>
      <c r="C204" s="53">
        <f t="shared" si="32"/>
        <v>0</v>
      </c>
      <c r="D204" s="53">
        <f t="shared" si="33"/>
        <v>0</v>
      </c>
      <c r="E204" s="53">
        <f t="shared" si="34"/>
        <v>0</v>
      </c>
      <c r="F204" s="15">
        <v>0.501</v>
      </c>
      <c r="G204" s="4">
        <v>0.35099999999999998</v>
      </c>
      <c r="H204" t="s">
        <v>71</v>
      </c>
      <c r="I204" t="str">
        <f>VLOOKUP(A204,Setores!$A$2:$C$215,2,0)</f>
        <v>basic_materials</v>
      </c>
      <c r="J204" t="str">
        <f>VLOOKUP(A204,Setores!$A$2:$C$215,3,0)</f>
        <v>very_high_beta</v>
      </c>
      <c r="K204" s="92">
        <v>0</v>
      </c>
      <c r="L204" s="42">
        <v>0</v>
      </c>
      <c r="M204" s="92">
        <f>VLOOKUP(A204,'Mandato Ibov'!$B$1:$C$215,2,0)</f>
        <v>0</v>
      </c>
      <c r="N204" s="58">
        <f t="shared" si="35"/>
        <v>0</v>
      </c>
      <c r="O204" s="42">
        <f t="shared" si="36"/>
        <v>0</v>
      </c>
      <c r="P204" s="95">
        <f>VLOOKUP(A204,'Mandato Ibov'!$B$2:$D$215,3,0)</f>
        <v>0</v>
      </c>
      <c r="Q204" s="42">
        <f t="shared" si="37"/>
        <v>0</v>
      </c>
      <c r="R204" s="15">
        <v>-0.85399999999999998</v>
      </c>
      <c r="S204" s="15">
        <v>-0.56799999999999995</v>
      </c>
      <c r="T204" s="15">
        <v>-0.79800000000000004</v>
      </c>
      <c r="U204" s="15">
        <v>-0.91900000000000004</v>
      </c>
      <c r="V204" s="15">
        <v>-0.83099999999999996</v>
      </c>
      <c r="W204" s="15">
        <v>-0.93899999999999995</v>
      </c>
      <c r="X204" s="15">
        <v>-0.97199999999999998</v>
      </c>
      <c r="Y204" s="15">
        <v>-0.84099999999999997</v>
      </c>
      <c r="Z204" s="15">
        <v>-0.39</v>
      </c>
      <c r="AA204" s="15">
        <v>-0.40100000000000002</v>
      </c>
      <c r="AB204" s="15">
        <v>-1</v>
      </c>
      <c r="AC204" s="15">
        <v>-1</v>
      </c>
      <c r="AD204" s="15">
        <v>-5.6000000000000001E-2</v>
      </c>
      <c r="AE204" s="14">
        <v>-1</v>
      </c>
      <c r="AF204" s="15">
        <v>-1</v>
      </c>
      <c r="AG204" s="15">
        <v>-0.34399999999999997</v>
      </c>
      <c r="AH204" s="15">
        <v>-0.63900000000000001</v>
      </c>
      <c r="AI204" s="15">
        <v>1</v>
      </c>
      <c r="AJ204" s="16">
        <v>-0.66100000000000003</v>
      </c>
      <c r="AK204" s="4">
        <v>-0.55300000000000005</v>
      </c>
      <c r="AL204" s="4">
        <v>-1</v>
      </c>
      <c r="AM204" s="4">
        <v>-0.41299999999999998</v>
      </c>
      <c r="AN204" s="4">
        <v>-0.40500000000000003</v>
      </c>
      <c r="AO204" s="4">
        <v>0.79800000000000004</v>
      </c>
      <c r="AP204" s="4">
        <v>0.91600000000000004</v>
      </c>
      <c r="AQ204" s="4">
        <v>-0.66800000000000004</v>
      </c>
      <c r="AR204" s="4">
        <v>-1</v>
      </c>
      <c r="AS204" s="4">
        <v>-2.5999999999999999E-2</v>
      </c>
      <c r="AT204" s="4">
        <v>-0.67700000000000005</v>
      </c>
      <c r="AU204" s="4">
        <v>-0.02</v>
      </c>
      <c r="AV204" s="4">
        <v>-0.52400000000000002</v>
      </c>
      <c r="AW204" s="4">
        <v>-0.77800000000000002</v>
      </c>
      <c r="AX204" s="4">
        <v>-9.9000000000000005E-2</v>
      </c>
      <c r="AY204" s="4">
        <v>-0.56200000000000006</v>
      </c>
      <c r="AZ204" s="4">
        <v>-0.88600000000000001</v>
      </c>
      <c r="BA204" s="4">
        <v>0.875</v>
      </c>
      <c r="BB204" s="4">
        <v>0.49199999999999999</v>
      </c>
      <c r="BC204" s="4">
        <v>0.17699999999999999</v>
      </c>
      <c r="BD204" s="4">
        <v>0.73799999999999999</v>
      </c>
      <c r="BE204" s="4">
        <v>-0.63</v>
      </c>
      <c r="BF204" s="4">
        <v>-0.10299999999999999</v>
      </c>
      <c r="BG204" s="4">
        <v>-1</v>
      </c>
      <c r="BH204" s="4">
        <v>0.155</v>
      </c>
      <c r="BI204" s="4">
        <v>0.36099999999999999</v>
      </c>
      <c r="BJ204" s="4">
        <v>0.83599999999999997</v>
      </c>
      <c r="BK204" s="4">
        <v>0.72599999999999998</v>
      </c>
      <c r="BL204" s="4"/>
      <c r="BM204" s="4">
        <f t="shared" si="38"/>
        <v>-0.29944999999999999</v>
      </c>
    </row>
    <row r="205" spans="1:65" x14ac:dyDescent="0.3">
      <c r="A205" t="s">
        <v>245</v>
      </c>
      <c r="B205" s="53">
        <f t="shared" si="31"/>
        <v>0</v>
      </c>
      <c r="C205" s="53">
        <f t="shared" si="32"/>
        <v>0</v>
      </c>
      <c r="D205" s="53">
        <f t="shared" si="33"/>
        <v>0</v>
      </c>
      <c r="E205" s="53">
        <f t="shared" si="34"/>
        <v>0</v>
      </c>
      <c r="F205" s="15">
        <v>0.5</v>
      </c>
      <c r="G205" s="4">
        <v>0.37</v>
      </c>
      <c r="H205" t="s">
        <v>57</v>
      </c>
      <c r="I205" t="str">
        <f>VLOOKUP(A205,Setores!$A$2:$C$215,2,0)</f>
        <v>consumer_services</v>
      </c>
      <c r="J205" t="str">
        <f>VLOOKUP(A205,Setores!$A$2:$C$215,3,0)</f>
        <v>very_high_beta</v>
      </c>
      <c r="K205" s="92">
        <v>0</v>
      </c>
      <c r="L205" s="42">
        <v>0</v>
      </c>
      <c r="M205" s="92">
        <f>VLOOKUP(A205,'Mandato Ibov'!$B$1:$C$215,2,0)</f>
        <v>0</v>
      </c>
      <c r="N205" s="58">
        <f t="shared" si="35"/>
        <v>0</v>
      </c>
      <c r="O205" s="42">
        <f t="shared" si="36"/>
        <v>0</v>
      </c>
      <c r="P205" s="95">
        <f>VLOOKUP(A205,'Mandato Ibov'!$B$2:$D$215,3,0)</f>
        <v>0</v>
      </c>
      <c r="Q205" s="42">
        <f t="shared" si="37"/>
        <v>0</v>
      </c>
      <c r="R205" s="15">
        <v>-0.97</v>
      </c>
      <c r="S205" s="15">
        <v>-0.91900000000000004</v>
      </c>
      <c r="T205" s="15">
        <v>-0.90900000000000003</v>
      </c>
      <c r="U205" s="15">
        <v>-0.94499999999999995</v>
      </c>
      <c r="V205" s="15">
        <v>-0.92200000000000004</v>
      </c>
      <c r="W205" s="15">
        <v>-0.98099999999999998</v>
      </c>
      <c r="X205" s="15">
        <v>-0.98099999999999998</v>
      </c>
      <c r="Y205" s="15">
        <v>-0.94799999999999995</v>
      </c>
      <c r="Z205" s="15">
        <v>-0.14199999999999999</v>
      </c>
      <c r="AA205" s="15">
        <v>-0.14799999999999999</v>
      </c>
      <c r="AB205" s="15">
        <v>-0.33200000000000002</v>
      </c>
      <c r="AC205" s="15">
        <v>-0.30599999999999999</v>
      </c>
      <c r="AD205" s="15">
        <v>-0.14399999999999999</v>
      </c>
      <c r="AE205" s="14">
        <v>-0.38100000000000001</v>
      </c>
      <c r="AF205" s="15">
        <v>-0.71</v>
      </c>
      <c r="AG205" s="15">
        <v>-0.59399999999999997</v>
      </c>
      <c r="AH205" s="15">
        <v>-0.38700000000000001</v>
      </c>
      <c r="AI205" s="15">
        <v>-0.55400000000000005</v>
      </c>
      <c r="AJ205" s="16">
        <v>-0.84199999999999997</v>
      </c>
      <c r="AK205" s="4">
        <v>0.114</v>
      </c>
      <c r="AL205" s="4">
        <v>-0.90400000000000003</v>
      </c>
      <c r="AM205" s="4">
        <v>0.38100000000000001</v>
      </c>
      <c r="AN205" s="4">
        <v>-6.9000000000000006E-2</v>
      </c>
      <c r="AO205" s="4">
        <v>-0.33100000000000002</v>
      </c>
      <c r="AP205" s="4">
        <v>-0.56000000000000005</v>
      </c>
      <c r="AQ205" s="4">
        <v>-0.54400000000000004</v>
      </c>
      <c r="AR205" s="4">
        <v>-1</v>
      </c>
      <c r="AS205" s="4">
        <v>-0.78900000000000003</v>
      </c>
      <c r="AT205" s="4">
        <v>-0.121</v>
      </c>
      <c r="AU205" s="4">
        <v>-0.379</v>
      </c>
      <c r="AV205" s="4">
        <v>-0.26200000000000001</v>
      </c>
      <c r="AW205" s="4">
        <v>-0.81899999999999995</v>
      </c>
      <c r="AX205" s="4">
        <v>-0.48099999999999998</v>
      </c>
      <c r="AY205" s="4">
        <v>0.46200000000000002</v>
      </c>
      <c r="AZ205" s="4">
        <v>0.48599999999999999</v>
      </c>
      <c r="BA205" s="4">
        <v>-0.73</v>
      </c>
      <c r="BB205" s="4">
        <v>-1E-3</v>
      </c>
      <c r="BC205" s="4">
        <v>-0.41099999999999998</v>
      </c>
      <c r="BD205" s="4">
        <v>0.249</v>
      </c>
      <c r="BE205" s="4">
        <v>0.30199999999999999</v>
      </c>
      <c r="BF205" s="4">
        <v>-0.96</v>
      </c>
      <c r="BG205" s="4">
        <v>-0.54800000000000004</v>
      </c>
      <c r="BH205" s="4">
        <v>0.17399999999999999</v>
      </c>
      <c r="BI205" s="4">
        <v>0.56499999999999995</v>
      </c>
      <c r="BJ205" s="4">
        <v>-7.1999999999999995E-2</v>
      </c>
      <c r="BK205" s="4">
        <v>0.29099999999999998</v>
      </c>
      <c r="BL205" s="4"/>
      <c r="BM205" s="4">
        <f t="shared" si="38"/>
        <v>-0.375</v>
      </c>
    </row>
    <row r="206" spans="1:65" x14ac:dyDescent="0.3">
      <c r="A206" t="s">
        <v>243</v>
      </c>
      <c r="B206" s="53">
        <f t="shared" si="31"/>
        <v>0</v>
      </c>
      <c r="C206" s="53">
        <f t="shared" si="32"/>
        <v>-1E-3</v>
      </c>
      <c r="D206" s="53">
        <f t="shared" si="33"/>
        <v>0</v>
      </c>
      <c r="E206" s="53">
        <f t="shared" si="34"/>
        <v>1E-3</v>
      </c>
      <c r="F206" s="15">
        <v>0.499</v>
      </c>
      <c r="G206" s="4">
        <v>0.35299999999999998</v>
      </c>
      <c r="H206" t="s">
        <v>53</v>
      </c>
      <c r="I206" t="str">
        <f>VLOOKUP(A206,Setores!$A$2:$C$215,2,0)</f>
        <v>healthcare</v>
      </c>
      <c r="J206" t="str">
        <f>VLOOKUP(A206,Setores!$A$2:$C$215,3,0)</f>
        <v>very_high_beta</v>
      </c>
      <c r="K206" s="92">
        <v>0</v>
      </c>
      <c r="L206" s="42">
        <v>-1E-3</v>
      </c>
      <c r="M206" s="92">
        <f>VLOOKUP(A206,'Mandato Ibov'!$B$1:$C$215,2,0)</f>
        <v>0</v>
      </c>
      <c r="N206" s="58">
        <f t="shared" si="35"/>
        <v>0</v>
      </c>
      <c r="O206" s="42">
        <f t="shared" si="36"/>
        <v>0</v>
      </c>
      <c r="P206" s="95">
        <f>VLOOKUP(A206,'Mandato Ibov'!$B$2:$D$215,3,0)</f>
        <v>0</v>
      </c>
      <c r="Q206" s="42">
        <f t="shared" si="37"/>
        <v>0</v>
      </c>
      <c r="R206" s="15">
        <v>-0.71299999999999997</v>
      </c>
      <c r="S206" s="15">
        <v>-0.251</v>
      </c>
      <c r="T206" s="15">
        <v>-0.73299999999999998</v>
      </c>
      <c r="U206" s="15">
        <v>-0.78300000000000003</v>
      </c>
      <c r="V206" s="15">
        <v>-0.65800000000000003</v>
      </c>
      <c r="W206" s="15">
        <v>-0.89900000000000002</v>
      </c>
      <c r="X206" s="15">
        <v>-0.94499999999999995</v>
      </c>
      <c r="Y206" s="15">
        <v>-0.92200000000000004</v>
      </c>
      <c r="Z206" s="15">
        <v>-0.57999999999999996</v>
      </c>
      <c r="AA206" s="15">
        <v>-0.57999999999999996</v>
      </c>
      <c r="AB206" s="15">
        <v>-0.28699999999999998</v>
      </c>
      <c r="AC206" s="15">
        <v>-0.54600000000000004</v>
      </c>
      <c r="AD206" s="15">
        <v>-0.52600000000000002</v>
      </c>
      <c r="AE206" s="14">
        <v>-0.41299999999999998</v>
      </c>
      <c r="AF206" s="15">
        <v>0.22</v>
      </c>
      <c r="AG206" s="15">
        <v>0.123</v>
      </c>
      <c r="AH206" s="15">
        <v>-0.214</v>
      </c>
      <c r="AI206" s="15">
        <v>-0.35599999999999998</v>
      </c>
      <c r="AJ206" s="16">
        <v>-0.80900000000000005</v>
      </c>
      <c r="AK206" s="4">
        <v>0.45300000000000001</v>
      </c>
      <c r="AL206" s="4">
        <v>-1</v>
      </c>
      <c r="AM206" s="4">
        <v>0.85699999999999998</v>
      </c>
      <c r="AN206" s="4">
        <v>-0.29199999999999998</v>
      </c>
      <c r="AO206" s="4">
        <v>-0.76500000000000001</v>
      </c>
      <c r="AP206" s="4">
        <v>0.93600000000000005</v>
      </c>
      <c r="AQ206" s="4">
        <v>8.0000000000000002E-3</v>
      </c>
      <c r="AR206" s="4">
        <v>-0.36299999999999999</v>
      </c>
      <c r="AS206" s="4">
        <v>-1.4E-2</v>
      </c>
      <c r="AT206" s="4">
        <v>-0.26</v>
      </c>
      <c r="AU206" s="4">
        <v>-0.33</v>
      </c>
      <c r="AV206" s="4">
        <v>-0.41299999999999998</v>
      </c>
      <c r="AW206" s="4">
        <v>-0.81200000000000006</v>
      </c>
      <c r="AX206" s="4">
        <v>-0.36299999999999999</v>
      </c>
      <c r="AY206" s="4">
        <v>0.40799999999999997</v>
      </c>
      <c r="AZ206" s="4">
        <v>0.52800000000000002</v>
      </c>
      <c r="BA206" s="4">
        <v>0.17</v>
      </c>
      <c r="BB206" s="4">
        <v>0.26100000000000001</v>
      </c>
      <c r="BC206" s="4">
        <v>-5.1999999999999998E-2</v>
      </c>
      <c r="BD206" s="4">
        <v>9.2999999999999999E-2</v>
      </c>
      <c r="BE206" s="4">
        <v>-0.627</v>
      </c>
      <c r="BF206" s="4">
        <v>0.10199999999999999</v>
      </c>
      <c r="BG206" s="4">
        <v>-0.90900000000000003</v>
      </c>
      <c r="BH206" s="4">
        <v>1</v>
      </c>
      <c r="BI206" s="4">
        <v>0.28499999999999998</v>
      </c>
      <c r="BJ206" s="4">
        <v>-0.85399999999999998</v>
      </c>
      <c r="BK206" s="4">
        <v>-2.5999999999999999E-2</v>
      </c>
      <c r="BL206" s="4"/>
      <c r="BM206" s="4">
        <f t="shared" si="38"/>
        <v>-0.136125</v>
      </c>
    </row>
    <row r="207" spans="1:65" x14ac:dyDescent="0.3">
      <c r="A207" t="s">
        <v>258</v>
      </c>
      <c r="B207" s="53">
        <f t="shared" si="31"/>
        <v>0</v>
      </c>
      <c r="C207" s="53">
        <f t="shared" si="32"/>
        <v>0</v>
      </c>
      <c r="D207" s="53">
        <f t="shared" si="33"/>
        <v>0</v>
      </c>
      <c r="E207" s="53">
        <f t="shared" si="34"/>
        <v>0</v>
      </c>
      <c r="F207" s="15">
        <v>0.497</v>
      </c>
      <c r="G207" s="4">
        <v>0.36199999999999999</v>
      </c>
      <c r="H207" t="s">
        <v>57</v>
      </c>
      <c r="I207" t="str">
        <f>VLOOKUP(A207,Setores!$A$2:$C$215,2,0)</f>
        <v>consumer_durables</v>
      </c>
      <c r="J207" t="str">
        <f>VLOOKUP(A207,Setores!$A$2:$C$215,3,0)</f>
        <v>very_high_beta</v>
      </c>
      <c r="K207" s="92">
        <v>0</v>
      </c>
      <c r="L207" s="42">
        <v>0</v>
      </c>
      <c r="M207" s="92">
        <f>VLOOKUP(A207,'Mandato Ibov'!$B$1:$C$215,2,0)</f>
        <v>0</v>
      </c>
      <c r="N207" s="58">
        <f t="shared" si="35"/>
        <v>0</v>
      </c>
      <c r="O207" s="42">
        <f t="shared" si="36"/>
        <v>0</v>
      </c>
      <c r="P207" s="95">
        <f>VLOOKUP(A207,'Mandato Ibov'!$B$2:$D$215,3,0)</f>
        <v>0</v>
      </c>
      <c r="Q207" s="42">
        <f t="shared" si="37"/>
        <v>0</v>
      </c>
      <c r="R207" s="15">
        <v>-0.76600000000000001</v>
      </c>
      <c r="S207" s="15">
        <v>-0.60099999999999998</v>
      </c>
      <c r="T207" s="15">
        <v>-0.38200000000000001</v>
      </c>
      <c r="U207" s="15">
        <v>-0.90200000000000002</v>
      </c>
      <c r="V207" s="15">
        <v>-0.76300000000000001</v>
      </c>
      <c r="W207" s="15">
        <v>-0.92400000000000004</v>
      </c>
      <c r="X207" s="15">
        <v>-0.94399999999999995</v>
      </c>
      <c r="Y207" s="15">
        <v>-0.94599999999999995</v>
      </c>
      <c r="Z207" s="15">
        <v>-0.68700000000000006</v>
      </c>
      <c r="AA207" s="15">
        <v>-0.68500000000000005</v>
      </c>
      <c r="AB207" s="15">
        <v>-0.20200000000000001</v>
      </c>
      <c r="AC207" s="15">
        <v>-0.97399999999999998</v>
      </c>
      <c r="AD207" s="15">
        <v>-0.32</v>
      </c>
      <c r="AE207" s="14">
        <v>-0.76800000000000002</v>
      </c>
      <c r="AF207" s="15">
        <v>-0.41399999999999998</v>
      </c>
      <c r="AG207" s="15">
        <v>-0.45900000000000002</v>
      </c>
      <c r="AH207" s="15">
        <v>1</v>
      </c>
      <c r="AI207" s="15">
        <v>3.5000000000000003E-2</v>
      </c>
      <c r="AJ207" s="16">
        <v>-0.49</v>
      </c>
      <c r="AK207" s="4">
        <v>0.498</v>
      </c>
      <c r="AL207" s="4">
        <v>-0.68799999999999994</v>
      </c>
      <c r="AM207" s="4">
        <v>-2.7E-2</v>
      </c>
      <c r="AN207" s="4">
        <v>-0.308</v>
      </c>
      <c r="AO207" s="4">
        <v>-0.66</v>
      </c>
      <c r="AP207" s="4">
        <v>-0.35699999999999998</v>
      </c>
      <c r="AQ207" s="4">
        <v>-0.43</v>
      </c>
      <c r="AR207" s="4">
        <v>-0.30299999999999999</v>
      </c>
      <c r="AS207" s="4">
        <v>-0.23200000000000001</v>
      </c>
      <c r="AT207" s="4">
        <v>-0.28699999999999998</v>
      </c>
      <c r="AU207" s="4">
        <v>-0.35799999999999998</v>
      </c>
      <c r="AV207" s="4">
        <v>-0.71199999999999997</v>
      </c>
      <c r="AW207" s="4">
        <v>-0.78500000000000003</v>
      </c>
      <c r="AX207" s="4">
        <v>0.39300000000000002</v>
      </c>
      <c r="AY207" s="4">
        <v>-6.4000000000000001E-2</v>
      </c>
      <c r="AZ207" s="4">
        <v>-0.27400000000000002</v>
      </c>
      <c r="BA207" s="4">
        <v>-0.34</v>
      </c>
      <c r="BB207" s="4">
        <v>0.624</v>
      </c>
      <c r="BC207" s="4">
        <v>1</v>
      </c>
      <c r="BD207" s="4">
        <v>-8.9999999999999993E-3</v>
      </c>
      <c r="BE207" s="4">
        <v>1</v>
      </c>
      <c r="BF207" s="4">
        <v>1</v>
      </c>
      <c r="BG207" s="4">
        <v>-0.42399999999999999</v>
      </c>
      <c r="BH207" s="4">
        <v>0.747</v>
      </c>
      <c r="BI207" s="4">
        <v>0.623</v>
      </c>
      <c r="BJ207" s="4">
        <v>-0.21</v>
      </c>
      <c r="BK207" s="4">
        <v>1</v>
      </c>
      <c r="BL207" s="4"/>
      <c r="BM207" s="4">
        <f t="shared" si="38"/>
        <v>-0.36392500000000005</v>
      </c>
    </row>
    <row r="208" spans="1:65" x14ac:dyDescent="0.3">
      <c r="A208" t="s">
        <v>260</v>
      </c>
      <c r="B208" s="53">
        <f t="shared" ref="B208:B219" si="39">K208</f>
        <v>0</v>
      </c>
      <c r="C208" s="53">
        <f t="shared" si="32"/>
        <v>0</v>
      </c>
      <c r="D208" s="53">
        <f t="shared" si="33"/>
        <v>0</v>
      </c>
      <c r="E208" s="53">
        <f t="shared" si="34"/>
        <v>0</v>
      </c>
      <c r="F208" s="15">
        <v>0.49199999999999999</v>
      </c>
      <c r="G208" s="4">
        <v>0.34499999999999997</v>
      </c>
      <c r="H208" t="s">
        <v>57</v>
      </c>
      <c r="I208" t="str">
        <f>VLOOKUP(A208,Setores!$A$2:$C$215,2,0)</f>
        <v>consumer_services</v>
      </c>
      <c r="J208" t="str">
        <f>VLOOKUP(A208,Setores!$A$2:$C$215,3,0)</f>
        <v>high_beta</v>
      </c>
      <c r="K208" s="92">
        <v>0</v>
      </c>
      <c r="L208" s="42">
        <v>0</v>
      </c>
      <c r="M208" s="92">
        <f>VLOOKUP(A208,'Mandato Ibov'!$B$1:$C$215,2,0)</f>
        <v>0</v>
      </c>
      <c r="N208" s="58">
        <f t="shared" si="35"/>
        <v>0</v>
      </c>
      <c r="O208" s="42">
        <f t="shared" si="36"/>
        <v>0</v>
      </c>
      <c r="P208" s="95">
        <f>VLOOKUP(A208,'Mandato Ibov'!$B$2:$D$215,3,0)</f>
        <v>0</v>
      </c>
      <c r="Q208" s="42">
        <f t="shared" si="37"/>
        <v>0</v>
      </c>
      <c r="R208" s="15">
        <v>-0.96699999999999997</v>
      </c>
      <c r="S208" s="15">
        <v>-0.93799999999999994</v>
      </c>
      <c r="T208" s="15">
        <v>-0.89100000000000001</v>
      </c>
      <c r="U208" s="15">
        <v>-0.98199999999999998</v>
      </c>
      <c r="V208" s="15">
        <v>-0.95799999999999996</v>
      </c>
      <c r="W208" s="15">
        <v>-0.97499999999999998</v>
      </c>
      <c r="X208" s="15">
        <v>-0.96699999999999997</v>
      </c>
      <c r="Y208" s="15">
        <v>-0.99</v>
      </c>
      <c r="Z208" s="15">
        <v>-0.77800000000000002</v>
      </c>
      <c r="AA208" s="15">
        <v>-0.77500000000000002</v>
      </c>
      <c r="AB208" s="15">
        <v>-0.36899999999999999</v>
      </c>
      <c r="AC208" s="15">
        <v>-0.33700000000000002</v>
      </c>
      <c r="AD208" s="15">
        <v>-0.115</v>
      </c>
      <c r="AE208" s="14">
        <v>-0.84799999999999998</v>
      </c>
      <c r="AF208" s="15">
        <v>-0.68200000000000005</v>
      </c>
      <c r="AG208" s="15">
        <v>-0.73399999999999999</v>
      </c>
      <c r="AH208" s="15">
        <v>-6.2E-2</v>
      </c>
      <c r="AI208" s="15">
        <v>-0.74299999999999999</v>
      </c>
      <c r="AJ208" s="16">
        <v>-0.86299999999999999</v>
      </c>
      <c r="AK208" s="4">
        <v>0.51</v>
      </c>
      <c r="AL208" s="4">
        <v>-0.57799999999999996</v>
      </c>
      <c r="AM208" s="4">
        <v>-0.307</v>
      </c>
      <c r="AN208" s="4">
        <v>-0.309</v>
      </c>
      <c r="AO208" s="4">
        <v>-0.83</v>
      </c>
      <c r="AP208" s="4">
        <v>-0.26200000000000001</v>
      </c>
      <c r="AQ208" s="4">
        <v>-0.92200000000000004</v>
      </c>
      <c r="AR208" s="4">
        <v>-0.51600000000000001</v>
      </c>
      <c r="AS208" s="4">
        <v>-0.13200000000000001</v>
      </c>
      <c r="AT208" s="4">
        <v>-0.41399999999999998</v>
      </c>
      <c r="AU208" s="4">
        <v>-0.79400000000000004</v>
      </c>
      <c r="AV208" s="4">
        <v>-0.81499999999999995</v>
      </c>
      <c r="AW208" s="4">
        <v>-0.63700000000000001</v>
      </c>
      <c r="AX208" s="4">
        <v>-0.33200000000000002</v>
      </c>
      <c r="AY208" s="4">
        <v>-0.10299999999999999</v>
      </c>
      <c r="AZ208" s="4">
        <v>-0.61899999999999999</v>
      </c>
      <c r="BA208" s="4">
        <v>-9.4E-2</v>
      </c>
      <c r="BB208" s="4">
        <v>0.63</v>
      </c>
      <c r="BC208" s="4">
        <v>0.111</v>
      </c>
      <c r="BD208" s="4">
        <v>-7.1999999999999995E-2</v>
      </c>
      <c r="BE208" s="4">
        <v>0.54500000000000004</v>
      </c>
      <c r="BF208" s="4">
        <v>0.14099999999999999</v>
      </c>
      <c r="BG208" s="4">
        <v>9.4E-2</v>
      </c>
      <c r="BH208" s="4">
        <v>1</v>
      </c>
      <c r="BI208" s="4">
        <v>0.111</v>
      </c>
      <c r="BJ208" s="4">
        <v>0.32700000000000001</v>
      </c>
      <c r="BK208" s="4">
        <v>0.22800000000000001</v>
      </c>
      <c r="BL208" s="4"/>
      <c r="BM208" s="4">
        <f t="shared" si="38"/>
        <v>-0.45855000000000001</v>
      </c>
    </row>
    <row r="209" spans="1:65" x14ac:dyDescent="0.3">
      <c r="A209" t="s">
        <v>242</v>
      </c>
      <c r="B209" s="53">
        <f t="shared" si="39"/>
        <v>0</v>
      </c>
      <c r="C209" s="53">
        <f t="shared" si="32"/>
        <v>0</v>
      </c>
      <c r="D209" s="53">
        <f t="shared" si="33"/>
        <v>0</v>
      </c>
      <c r="E209" s="53">
        <f t="shared" si="34"/>
        <v>0</v>
      </c>
      <c r="F209" s="15">
        <v>0.49199999999999999</v>
      </c>
      <c r="G209" s="4">
        <v>0.34399999999999997</v>
      </c>
      <c r="H209" t="s">
        <v>57</v>
      </c>
      <c r="I209" t="str">
        <f>VLOOKUP(A209,Setores!$A$2:$C$215,2,0)</f>
        <v>consumer_durables</v>
      </c>
      <c r="J209" t="str">
        <f>VLOOKUP(A209,Setores!$A$2:$C$215,3,0)</f>
        <v>very_high_beta</v>
      </c>
      <c r="K209" s="92">
        <v>0</v>
      </c>
      <c r="L209" s="42">
        <v>0</v>
      </c>
      <c r="M209" s="92">
        <f>VLOOKUP(A209,'Mandato Ibov'!$B$1:$C$215,2,0)</f>
        <v>0</v>
      </c>
      <c r="N209" s="58">
        <f t="shared" si="35"/>
        <v>0</v>
      </c>
      <c r="O209" s="42">
        <f t="shared" si="36"/>
        <v>0</v>
      </c>
      <c r="P209" s="95">
        <f>VLOOKUP(A209,'Mandato Ibov'!$B$2:$D$215,3,0)</f>
        <v>0</v>
      </c>
      <c r="Q209" s="42">
        <f t="shared" si="37"/>
        <v>0</v>
      </c>
      <c r="R209" s="15">
        <v>-0.80200000000000005</v>
      </c>
      <c r="S209" s="15">
        <v>-0.76600000000000001</v>
      </c>
      <c r="T209" s="15">
        <v>-0.53300000000000003</v>
      </c>
      <c r="U209" s="15">
        <v>-0.88200000000000001</v>
      </c>
      <c r="V209" s="15">
        <v>-0.79600000000000004</v>
      </c>
      <c r="W209" s="15">
        <v>-0.93200000000000005</v>
      </c>
      <c r="X209" s="15">
        <v>-0.93200000000000005</v>
      </c>
      <c r="Y209" s="15">
        <v>-0.99299999999999999</v>
      </c>
      <c r="Z209" s="15">
        <v>-0.74099999999999999</v>
      </c>
      <c r="AA209" s="15">
        <v>-0.74099999999999999</v>
      </c>
      <c r="AB209" s="15">
        <v>-0.66400000000000003</v>
      </c>
      <c r="AC209" s="15">
        <v>-0.91800000000000004</v>
      </c>
      <c r="AD209" s="15">
        <v>-0.312</v>
      </c>
      <c r="AE209" s="14">
        <v>-0.624</v>
      </c>
      <c r="AF209" s="15">
        <v>4.9000000000000002E-2</v>
      </c>
      <c r="AG209" s="15">
        <v>-0.59</v>
      </c>
      <c r="AH209" s="15">
        <v>0.624</v>
      </c>
      <c r="AI209" s="15">
        <v>-0.4</v>
      </c>
      <c r="AJ209" s="16">
        <v>-0.56699999999999995</v>
      </c>
      <c r="AK209" s="4">
        <v>0.85299999999999998</v>
      </c>
      <c r="AL209" s="4">
        <v>-1</v>
      </c>
      <c r="AM209" s="4">
        <v>-3.7999999999999999E-2</v>
      </c>
      <c r="AN209" s="4">
        <v>-0.23699999999999999</v>
      </c>
      <c r="AO209" s="4">
        <v>-0.87</v>
      </c>
      <c r="AP209" s="4">
        <v>-0.49</v>
      </c>
      <c r="AQ209" s="4">
        <v>-0.32600000000000001</v>
      </c>
      <c r="AR209" s="4">
        <v>-0.42899999999999999</v>
      </c>
      <c r="AS209" s="4">
        <v>0.159</v>
      </c>
      <c r="AT209" s="4">
        <v>-0.246</v>
      </c>
      <c r="AU209" s="4">
        <v>-0.27700000000000002</v>
      </c>
      <c r="AV209" s="4">
        <v>-0.41399999999999998</v>
      </c>
      <c r="AW209" s="4">
        <v>-0.98099999999999998</v>
      </c>
      <c r="AX209" s="4">
        <v>-0.80500000000000005</v>
      </c>
      <c r="AY209" s="4">
        <v>-0.92200000000000004</v>
      </c>
      <c r="AZ209" s="4">
        <v>-1</v>
      </c>
      <c r="BA209" s="4">
        <v>0.14099999999999999</v>
      </c>
      <c r="BB209" s="4">
        <v>0.66300000000000003</v>
      </c>
      <c r="BC209" s="4">
        <v>0.85299999999999998</v>
      </c>
      <c r="BD209" s="4">
        <v>0.28199999999999997</v>
      </c>
      <c r="BE209" s="4">
        <v>1</v>
      </c>
      <c r="BF209" s="4">
        <v>4.4999999999999998E-2</v>
      </c>
      <c r="BG209" s="4">
        <v>-0.193</v>
      </c>
      <c r="BH209" s="4">
        <v>1</v>
      </c>
      <c r="BI209" s="4">
        <v>0.56499999999999995</v>
      </c>
      <c r="BJ209" s="4">
        <v>0.14000000000000001</v>
      </c>
      <c r="BK209" s="4">
        <v>0.25800000000000001</v>
      </c>
      <c r="BL209" s="4"/>
      <c r="BM209" s="4">
        <f t="shared" si="38"/>
        <v>-0.37772500000000003</v>
      </c>
    </row>
    <row r="210" spans="1:65" x14ac:dyDescent="0.3">
      <c r="A210" t="s">
        <v>255</v>
      </c>
      <c r="B210" s="53">
        <f t="shared" si="39"/>
        <v>0</v>
      </c>
      <c r="C210" s="53">
        <f t="shared" si="32"/>
        <v>0</v>
      </c>
      <c r="D210" s="53">
        <f t="shared" si="33"/>
        <v>0</v>
      </c>
      <c r="E210" s="53">
        <f t="shared" si="34"/>
        <v>0</v>
      </c>
      <c r="F210" s="15">
        <v>0.48899999999999999</v>
      </c>
      <c r="G210" s="4">
        <v>0.51800000000000002</v>
      </c>
      <c r="H210" t="s">
        <v>57</v>
      </c>
      <c r="I210" t="str">
        <f>VLOOKUP(A210,Setores!$A$2:$C$215,2,0)</f>
        <v>education</v>
      </c>
      <c r="J210" t="str">
        <f>VLOOKUP(A210,Setores!$A$2:$C$215,3,0)</f>
        <v>neutral_beta</v>
      </c>
      <c r="K210" s="92">
        <v>0</v>
      </c>
      <c r="L210" s="42">
        <v>0</v>
      </c>
      <c r="M210" s="92">
        <f>VLOOKUP(A210,'Mandato Ibov'!$B$1:$C$215,2,0)</f>
        <v>0</v>
      </c>
      <c r="N210" s="58">
        <f t="shared" si="35"/>
        <v>0</v>
      </c>
      <c r="O210" s="42">
        <f t="shared" si="36"/>
        <v>0</v>
      </c>
      <c r="P210" s="95">
        <f>VLOOKUP(A210,'Mandato Ibov'!$B$2:$D$215,3,0)</f>
        <v>0</v>
      </c>
      <c r="Q210" s="42">
        <f t="shared" si="37"/>
        <v>0</v>
      </c>
      <c r="R210" s="15">
        <v>-0.86499999999999999</v>
      </c>
      <c r="S210" s="15">
        <v>-0.96099999999999997</v>
      </c>
      <c r="T210" s="15">
        <v>-0.86199999999999999</v>
      </c>
      <c r="U210" s="15">
        <v>-0.92100000000000004</v>
      </c>
      <c r="V210" s="15">
        <v>-0.97</v>
      </c>
      <c r="W210" s="15">
        <v>-0.89200000000000002</v>
      </c>
      <c r="X210" s="15">
        <v>-0.86599999999999999</v>
      </c>
      <c r="Y210" s="15">
        <v>-0.96499999999999997</v>
      </c>
      <c r="Z210" s="15">
        <v>-0.89</v>
      </c>
      <c r="AA210" s="15">
        <v>-0.89300000000000002</v>
      </c>
      <c r="AB210" s="15">
        <v>0.111</v>
      </c>
      <c r="AC210" s="15">
        <v>5.0000000000000001E-3</v>
      </c>
      <c r="AD210" s="15">
        <v>-0.63400000000000001</v>
      </c>
      <c r="AE210" s="14">
        <v>-1</v>
      </c>
      <c r="AF210" s="15">
        <v>-2.5999999999999999E-2</v>
      </c>
      <c r="AG210" s="15">
        <v>-1</v>
      </c>
      <c r="AH210" s="15">
        <v>-0.77400000000000002</v>
      </c>
      <c r="AI210" s="15">
        <v>0.48899999999999999</v>
      </c>
      <c r="AJ210" s="16">
        <v>-0.60899999999999999</v>
      </c>
      <c r="AK210" s="4">
        <v>-1</v>
      </c>
      <c r="AL210" s="4">
        <v>-0.75800000000000001</v>
      </c>
      <c r="AM210" s="4">
        <v>-0.83499999999999996</v>
      </c>
      <c r="AN210" s="4">
        <v>0.2</v>
      </c>
      <c r="AO210" s="4">
        <v>-0.81899999999999995</v>
      </c>
      <c r="AP210" s="4">
        <v>0.63200000000000001</v>
      </c>
      <c r="AQ210" s="4">
        <v>0.57799999999999996</v>
      </c>
      <c r="AR210" s="4">
        <v>0.28199999999999997</v>
      </c>
      <c r="AS210" s="4">
        <v>0.17799999999999999</v>
      </c>
      <c r="AT210" s="4">
        <v>-1</v>
      </c>
      <c r="AU210" s="4">
        <v>-0.02</v>
      </c>
      <c r="AV210" s="4">
        <v>-0.39300000000000002</v>
      </c>
      <c r="AW210" s="4">
        <v>-1.7999999999999999E-2</v>
      </c>
      <c r="AX210" s="4">
        <v>-0.34699999999999998</v>
      </c>
      <c r="AY210" s="4">
        <v>-0.13</v>
      </c>
      <c r="AZ210" s="4">
        <v>0.39</v>
      </c>
      <c r="BA210" s="4">
        <v>0.71899999999999997</v>
      </c>
      <c r="BB210" s="4">
        <v>-0.60899999999999999</v>
      </c>
      <c r="BC210" s="4">
        <v>-0.27700000000000002</v>
      </c>
      <c r="BD210" s="4">
        <v>-0.308</v>
      </c>
      <c r="BE210" s="4">
        <v>-0.66900000000000004</v>
      </c>
      <c r="BF210" s="4">
        <v>-0.45200000000000001</v>
      </c>
      <c r="BG210" s="4">
        <v>-0.26900000000000002</v>
      </c>
      <c r="BH210" s="4">
        <v>-0.44500000000000001</v>
      </c>
      <c r="BI210" s="4">
        <v>-0.188</v>
      </c>
      <c r="BJ210" s="4">
        <v>0.54700000000000004</v>
      </c>
      <c r="BK210" s="4">
        <v>0.17799999999999999</v>
      </c>
      <c r="BL210" s="4"/>
      <c r="BM210" s="4">
        <f t="shared" si="38"/>
        <v>-0.24027500000000004</v>
      </c>
    </row>
    <row r="211" spans="1:65" x14ac:dyDescent="0.3">
      <c r="A211" t="s">
        <v>256</v>
      </c>
      <c r="B211" s="53">
        <f t="shared" si="39"/>
        <v>0</v>
      </c>
      <c r="C211" s="53">
        <f t="shared" si="32"/>
        <v>0</v>
      </c>
      <c r="D211" s="53">
        <f t="shared" si="33"/>
        <v>0</v>
      </c>
      <c r="E211" s="53">
        <f t="shared" si="34"/>
        <v>0</v>
      </c>
      <c r="F211" s="15">
        <v>0.48499999999999999</v>
      </c>
      <c r="G211" s="4">
        <v>0.36199999999999999</v>
      </c>
      <c r="H211" t="s">
        <v>68</v>
      </c>
      <c r="I211" t="str">
        <f>VLOOKUP(A211,Setores!$A$2:$C$215,2,0)</f>
        <v>building_materials</v>
      </c>
      <c r="J211" t="str">
        <f>VLOOKUP(A211,Setores!$A$2:$C$215,3,0)</f>
        <v>very_low_beta</v>
      </c>
      <c r="K211" s="92">
        <v>0</v>
      </c>
      <c r="L211" s="42">
        <v>0</v>
      </c>
      <c r="M211" s="92">
        <f>VLOOKUP(A211,'Mandato Ibov'!$B$1:$C$215,2,0)</f>
        <v>0</v>
      </c>
      <c r="N211" s="58">
        <f t="shared" si="35"/>
        <v>0</v>
      </c>
      <c r="O211" s="42">
        <f t="shared" si="36"/>
        <v>0</v>
      </c>
      <c r="P211" s="95">
        <f>VLOOKUP(A211,'Mandato Ibov'!$B$2:$D$215,3,0)</f>
        <v>0</v>
      </c>
      <c r="Q211" s="42">
        <f t="shared" si="37"/>
        <v>0</v>
      </c>
      <c r="R211" s="15">
        <v>-1</v>
      </c>
      <c r="S211" s="15">
        <v>-1</v>
      </c>
      <c r="T211" s="15">
        <v>-0.92900000000000005</v>
      </c>
      <c r="U211" s="15">
        <v>-1</v>
      </c>
      <c r="V211" s="15">
        <v>-1</v>
      </c>
      <c r="W211" s="15">
        <v>-1</v>
      </c>
      <c r="X211" s="15">
        <v>-0.995</v>
      </c>
      <c r="Y211" s="15">
        <v>-1</v>
      </c>
      <c r="Z211" s="15">
        <v>-1</v>
      </c>
      <c r="AA211" s="15">
        <v>-1</v>
      </c>
      <c r="AB211" s="15">
        <v>-7.1999999999999995E-2</v>
      </c>
      <c r="AC211" s="15">
        <v>-6.3E-2</v>
      </c>
      <c r="AD211" s="15">
        <v>-0.441</v>
      </c>
      <c r="AE211" s="14">
        <v>-1</v>
      </c>
      <c r="AF211" s="15">
        <v>-1</v>
      </c>
      <c r="AG211" s="15">
        <v>-1</v>
      </c>
      <c r="AH211" s="15">
        <v>-0.60199999999999998</v>
      </c>
      <c r="AI211" s="15">
        <v>-0.49299999999999999</v>
      </c>
      <c r="AJ211" s="16">
        <v>-0.57799999999999996</v>
      </c>
      <c r="AK211" s="4">
        <v>-0.56000000000000005</v>
      </c>
      <c r="AL211" s="4">
        <v>-1</v>
      </c>
      <c r="AM211" s="4">
        <v>-0.45100000000000001</v>
      </c>
      <c r="AN211" s="4">
        <v>-1</v>
      </c>
      <c r="AO211" s="4">
        <v>-0.95299999999999996</v>
      </c>
      <c r="AP211" s="4">
        <v>-0.95099999999999996</v>
      </c>
      <c r="AQ211" s="4">
        <v>-0.71399999999999997</v>
      </c>
      <c r="AR211" s="4">
        <v>-5.2999999999999999E-2</v>
      </c>
      <c r="AS211" s="4">
        <v>-0.109</v>
      </c>
      <c r="AT211" s="4">
        <v>-0.56299999999999994</v>
      </c>
      <c r="AU211" s="4">
        <v>-0.66500000000000004</v>
      </c>
      <c r="AV211" s="4">
        <v>-1</v>
      </c>
      <c r="AW211" s="4">
        <v>-0.28100000000000003</v>
      </c>
      <c r="AX211" s="4">
        <v>-0.314</v>
      </c>
      <c r="AY211" s="4">
        <v>-0.39300000000000002</v>
      </c>
      <c r="AZ211" s="4">
        <v>-0.15</v>
      </c>
      <c r="BA211" s="4">
        <v>3.3000000000000002E-2</v>
      </c>
      <c r="BB211" s="4">
        <v>0.46600000000000003</v>
      </c>
      <c r="BC211" s="4">
        <v>0.26600000000000001</v>
      </c>
      <c r="BD211" s="4">
        <v>9.9000000000000005E-2</v>
      </c>
      <c r="BE211" s="4">
        <v>0.63500000000000001</v>
      </c>
      <c r="BF211" s="4">
        <v>4.1000000000000002E-2</v>
      </c>
      <c r="BG211" s="4">
        <v>6.3E-2</v>
      </c>
      <c r="BH211" s="4">
        <v>0.67200000000000004</v>
      </c>
      <c r="BI211" s="4">
        <v>-7.2999999999999995E-2</v>
      </c>
      <c r="BJ211" s="4">
        <v>0.88700000000000001</v>
      </c>
      <c r="BK211" s="4">
        <v>1</v>
      </c>
      <c r="BL211" s="4"/>
      <c r="BM211" s="4">
        <f t="shared" si="38"/>
        <v>-0.64947499999999991</v>
      </c>
    </row>
    <row r="212" spans="1:65" x14ac:dyDescent="0.3">
      <c r="A212" t="s">
        <v>198</v>
      </c>
      <c r="B212" s="53">
        <f t="shared" si="39"/>
        <v>0</v>
      </c>
      <c r="C212" s="53">
        <f t="shared" si="32"/>
        <v>0</v>
      </c>
      <c r="D212" s="53">
        <f t="shared" si="33"/>
        <v>0</v>
      </c>
      <c r="E212" s="53">
        <f t="shared" si="34"/>
        <v>0</v>
      </c>
      <c r="F212" s="15">
        <v>0.48199999999999998</v>
      </c>
      <c r="G212" s="4">
        <v>0.34200000000000003</v>
      </c>
      <c r="H212" t="s">
        <v>57</v>
      </c>
      <c r="I212" t="str">
        <f>VLOOKUP(A212,Setores!$A$2:$C$215,2,0)</f>
        <v>consumer_services</v>
      </c>
      <c r="J212" t="str">
        <f>VLOOKUP(A212,Setores!$A$2:$C$215,3,0)</f>
        <v>high_beta</v>
      </c>
      <c r="K212" s="92">
        <v>0</v>
      </c>
      <c r="L212" s="42">
        <v>0</v>
      </c>
      <c r="M212" s="92">
        <f>VLOOKUP(A212,'Mandato Ibov'!$B$1:$C$215,2,0)</f>
        <v>0</v>
      </c>
      <c r="N212" s="58">
        <f t="shared" si="35"/>
        <v>0</v>
      </c>
      <c r="O212" s="42">
        <f t="shared" si="36"/>
        <v>0</v>
      </c>
      <c r="P212" s="95">
        <f>VLOOKUP(A212,'Mandato Ibov'!$B$2:$D$215,3,0)</f>
        <v>0</v>
      </c>
      <c r="Q212" s="42">
        <f t="shared" si="37"/>
        <v>0</v>
      </c>
      <c r="R212" s="15">
        <v>-0.83</v>
      </c>
      <c r="S212" s="15">
        <v>-0.82799999999999996</v>
      </c>
      <c r="T212" s="15">
        <v>-0.64800000000000002</v>
      </c>
      <c r="U212" s="15">
        <v>-0.81100000000000005</v>
      </c>
      <c r="V212" s="15">
        <v>-0.76400000000000001</v>
      </c>
      <c r="W212" s="15">
        <v>-0.95599999999999996</v>
      </c>
      <c r="X212" s="15">
        <v>-0.96199999999999997</v>
      </c>
      <c r="Y212" s="15">
        <v>-0.93799999999999994</v>
      </c>
      <c r="Z212" s="15">
        <v>-0.93899999999999995</v>
      </c>
      <c r="AA212" s="15">
        <v>-0.94</v>
      </c>
      <c r="AB212" s="15">
        <v>-0.219</v>
      </c>
      <c r="AC212" s="15">
        <v>-0.24</v>
      </c>
      <c r="AD212" s="15">
        <v>-1</v>
      </c>
      <c r="AE212" s="14">
        <v>-0.36</v>
      </c>
      <c r="AF212" s="15">
        <v>-0.14000000000000001</v>
      </c>
      <c r="AG212" s="15">
        <v>-0.82499999999999996</v>
      </c>
      <c r="AH212" s="15">
        <v>-0.183</v>
      </c>
      <c r="AI212" s="15">
        <v>-0.14899999999999999</v>
      </c>
      <c r="AJ212" s="16">
        <v>1</v>
      </c>
      <c r="AK212" s="4">
        <v>6.7000000000000004E-2</v>
      </c>
      <c r="AL212" s="4">
        <v>-1</v>
      </c>
      <c r="AM212" s="4">
        <v>-0.67800000000000005</v>
      </c>
      <c r="AN212" s="4">
        <v>0.311</v>
      </c>
      <c r="AO212" s="4">
        <v>-0.122</v>
      </c>
      <c r="AP212" s="4">
        <v>-0.55000000000000004</v>
      </c>
      <c r="AQ212" s="4">
        <v>0.745</v>
      </c>
      <c r="AR212" s="4">
        <v>-1</v>
      </c>
      <c r="AS212" s="4">
        <v>-0.56799999999999995</v>
      </c>
      <c r="AT212" s="4">
        <v>-0.126</v>
      </c>
      <c r="AU212" s="4">
        <v>-0.183</v>
      </c>
      <c r="AV212" s="4">
        <v>0.42</v>
      </c>
      <c r="AW212" s="4">
        <v>-0.93100000000000005</v>
      </c>
      <c r="AX212" s="4">
        <v>-0.26800000000000002</v>
      </c>
      <c r="AY212" s="4">
        <v>-1</v>
      </c>
      <c r="AZ212" s="4">
        <v>-1</v>
      </c>
      <c r="BA212" s="4">
        <v>6.6000000000000003E-2</v>
      </c>
      <c r="BB212" s="4">
        <v>5.8000000000000003E-2</v>
      </c>
      <c r="BC212" s="4">
        <v>0.48399999999999999</v>
      </c>
      <c r="BD212" s="4">
        <v>0.47099999999999997</v>
      </c>
      <c r="BE212" s="4">
        <v>-0.41299999999999998</v>
      </c>
      <c r="BF212" s="4">
        <v>-1</v>
      </c>
      <c r="BG212" s="4">
        <v>-1</v>
      </c>
      <c r="BH212" s="4">
        <v>0.71</v>
      </c>
      <c r="BI212" s="4">
        <v>0.14000000000000001</v>
      </c>
      <c r="BJ212" s="4">
        <v>-0.64800000000000002</v>
      </c>
      <c r="BK212" s="4">
        <v>0.82599999999999996</v>
      </c>
      <c r="BL212" s="4"/>
      <c r="BM212" s="4">
        <f t="shared" si="38"/>
        <v>-0.24642500000000003</v>
      </c>
    </row>
    <row r="213" spans="1:65" x14ac:dyDescent="0.3">
      <c r="A213" t="s">
        <v>261</v>
      </c>
      <c r="B213" s="53">
        <f t="shared" si="39"/>
        <v>0</v>
      </c>
      <c r="C213" s="53">
        <f t="shared" si="32"/>
        <v>-1E-3</v>
      </c>
      <c r="D213" s="53">
        <f t="shared" si="33"/>
        <v>0</v>
      </c>
      <c r="E213" s="53">
        <f t="shared" si="34"/>
        <v>1E-3</v>
      </c>
      <c r="F213" s="15">
        <v>0.47799999999999998</v>
      </c>
      <c r="G213" s="4">
        <v>0.33600000000000002</v>
      </c>
      <c r="H213" t="s">
        <v>68</v>
      </c>
      <c r="I213" t="str">
        <f>VLOOKUP(A213,Setores!$A$2:$C$215,2,0)</f>
        <v>chemicals</v>
      </c>
      <c r="J213" t="str">
        <f>VLOOKUP(A213,Setores!$A$2:$C$215,3,0)</f>
        <v>very_low_beta</v>
      </c>
      <c r="K213" s="92">
        <v>0</v>
      </c>
      <c r="L213" s="42">
        <v>-1E-3</v>
      </c>
      <c r="M213" s="92">
        <f>VLOOKUP(A213,'Mandato Ibov'!$B$1:$C$215,2,0)</f>
        <v>0</v>
      </c>
      <c r="N213" s="58">
        <f t="shared" si="35"/>
        <v>0</v>
      </c>
      <c r="O213" s="42">
        <f t="shared" si="36"/>
        <v>0</v>
      </c>
      <c r="P213" s="95">
        <f>VLOOKUP(A213,'Mandato Ibov'!$B$2:$D$215,3,0)</f>
        <v>0</v>
      </c>
      <c r="Q213" s="42">
        <f t="shared" si="37"/>
        <v>0</v>
      </c>
      <c r="R213" s="15">
        <v>-1</v>
      </c>
      <c r="S213" s="15">
        <v>-0.94299999999999995</v>
      </c>
      <c r="T213" s="15">
        <v>-1</v>
      </c>
      <c r="U213" s="15">
        <v>-1</v>
      </c>
      <c r="V213" s="15">
        <v>-1</v>
      </c>
      <c r="W213" s="15">
        <v>-1</v>
      </c>
      <c r="X213" s="15">
        <v>-1</v>
      </c>
      <c r="Y213" s="15">
        <v>-0.97299999999999998</v>
      </c>
      <c r="Z213" s="15">
        <v>-0.94099999999999995</v>
      </c>
      <c r="AA213" s="15">
        <v>-0.93500000000000005</v>
      </c>
      <c r="AB213" s="15">
        <v>-1</v>
      </c>
      <c r="AC213" s="15">
        <v>-0.73499999999999999</v>
      </c>
      <c r="AD213" s="15">
        <v>-0.55900000000000005</v>
      </c>
      <c r="AE213" s="14">
        <v>-1</v>
      </c>
      <c r="AF213" s="15">
        <v>-1</v>
      </c>
      <c r="AG213" s="15">
        <v>-0.872</v>
      </c>
      <c r="AH213" s="15">
        <v>-0.96399999999999997</v>
      </c>
      <c r="AI213" s="15">
        <v>-0.29599999999999999</v>
      </c>
      <c r="AJ213" s="16">
        <v>-0.93400000000000005</v>
      </c>
      <c r="AK213" s="4">
        <v>-0.79300000000000004</v>
      </c>
      <c r="AL213" s="4">
        <v>-1</v>
      </c>
      <c r="AM213" s="4">
        <v>-0.64800000000000002</v>
      </c>
      <c r="AN213" s="4">
        <v>-0.69699999999999995</v>
      </c>
      <c r="AO213" s="4">
        <v>0.42299999999999999</v>
      </c>
      <c r="AP213" s="4">
        <v>0.41899999999999998</v>
      </c>
      <c r="AQ213" s="4">
        <v>-0.441</v>
      </c>
      <c r="AR213" s="4">
        <v>0.79200000000000004</v>
      </c>
      <c r="AS213" s="4">
        <v>0.123</v>
      </c>
      <c r="AT213" s="4">
        <v>-0.60799999999999998</v>
      </c>
      <c r="AU213" s="4">
        <v>-0.95699999999999996</v>
      </c>
      <c r="AV213" s="4">
        <v>-1</v>
      </c>
      <c r="AW213" s="4">
        <v>-0.55800000000000005</v>
      </c>
      <c r="AX213" s="4">
        <v>-0.42499999999999999</v>
      </c>
      <c r="AY213" s="4">
        <v>-0.35</v>
      </c>
      <c r="AZ213" s="4">
        <v>-0.95699999999999996</v>
      </c>
      <c r="BA213" s="4">
        <v>-4.2999999999999997E-2</v>
      </c>
      <c r="BB213" s="4">
        <v>0.745</v>
      </c>
      <c r="BC213" s="4">
        <v>0.36099999999999999</v>
      </c>
      <c r="BD213" s="4">
        <v>0.40500000000000003</v>
      </c>
      <c r="BE213" s="4">
        <v>-1</v>
      </c>
      <c r="BF213" s="4">
        <v>-1</v>
      </c>
      <c r="BG213" s="4">
        <v>-1</v>
      </c>
      <c r="BH213" s="4">
        <v>0.71299999999999997</v>
      </c>
      <c r="BI213" s="4">
        <v>-0.77400000000000002</v>
      </c>
      <c r="BJ213" s="4">
        <v>-6.9000000000000006E-2</v>
      </c>
      <c r="BK213" s="4">
        <v>-0.315</v>
      </c>
      <c r="BL213" s="4"/>
      <c r="BM213" s="4">
        <f t="shared" si="38"/>
        <v>-0.35902500000000004</v>
      </c>
    </row>
    <row r="214" spans="1:65" x14ac:dyDescent="0.3">
      <c r="A214" t="s">
        <v>175</v>
      </c>
      <c r="B214" s="53">
        <f t="shared" si="39"/>
        <v>0</v>
      </c>
      <c r="C214" s="53">
        <f t="shared" si="32"/>
        <v>0</v>
      </c>
      <c r="D214" s="53">
        <f t="shared" si="33"/>
        <v>0</v>
      </c>
      <c r="E214" s="53">
        <f t="shared" si="34"/>
        <v>0</v>
      </c>
      <c r="F214" s="15">
        <v>0.47699999999999998</v>
      </c>
      <c r="G214" s="4">
        <v>0.33900000000000002</v>
      </c>
      <c r="H214" t="s">
        <v>53</v>
      </c>
      <c r="I214" t="str">
        <f>VLOOKUP(A214,Setores!$A$2:$C$215,2,0)</f>
        <v>consumer_staples</v>
      </c>
      <c r="J214" t="str">
        <f>VLOOKUP(A214,Setores!$A$2:$C$215,3,0)</f>
        <v>very_high_beta</v>
      </c>
      <c r="K214" s="92">
        <v>0</v>
      </c>
      <c r="L214" s="42">
        <v>0</v>
      </c>
      <c r="M214" s="92">
        <f>VLOOKUP(A214,'Mandato Ibov'!$B$1:$C$215,2,0)</f>
        <v>0</v>
      </c>
      <c r="N214" s="58">
        <f t="shared" si="35"/>
        <v>0</v>
      </c>
      <c r="O214" s="42">
        <f t="shared" si="36"/>
        <v>0</v>
      </c>
      <c r="P214" s="95">
        <f>VLOOKUP(A214,'Mandato Ibov'!$B$2:$D$215,3,0)</f>
        <v>0</v>
      </c>
      <c r="Q214" s="42">
        <f t="shared" si="37"/>
        <v>0</v>
      </c>
      <c r="R214" s="15">
        <v>-0.92700000000000005</v>
      </c>
      <c r="S214" s="15">
        <v>-0.95</v>
      </c>
      <c r="T214" s="15">
        <v>-0.80100000000000005</v>
      </c>
      <c r="U214" s="15">
        <v>-0.92800000000000005</v>
      </c>
      <c r="V214" s="15">
        <v>-0.91100000000000003</v>
      </c>
      <c r="W214" s="15">
        <v>-0.99299999999999999</v>
      </c>
      <c r="X214" s="15">
        <v>-1</v>
      </c>
      <c r="Y214" s="15">
        <v>-1</v>
      </c>
      <c r="Z214" s="15">
        <v>-1</v>
      </c>
      <c r="AA214" s="15">
        <v>-1</v>
      </c>
      <c r="AB214" s="15">
        <v>-0.62</v>
      </c>
      <c r="AC214" s="15">
        <v>-0.98699999999999999</v>
      </c>
      <c r="AD214" s="15">
        <v>-1</v>
      </c>
      <c r="AE214" s="14">
        <v>-0.47899999999999998</v>
      </c>
      <c r="AF214" s="15">
        <v>-2.1999999999999999E-2</v>
      </c>
      <c r="AG214" s="15">
        <v>-0.69799999999999995</v>
      </c>
      <c r="AH214" s="15">
        <v>0.60899999999999999</v>
      </c>
      <c r="AI214" s="15">
        <v>-0.38300000000000001</v>
      </c>
      <c r="AJ214" s="16">
        <v>-0.29799999999999999</v>
      </c>
      <c r="AK214" s="4">
        <v>0.59499999999999997</v>
      </c>
      <c r="AL214" s="4">
        <v>-1</v>
      </c>
      <c r="AM214" s="4">
        <v>-0.22500000000000001</v>
      </c>
      <c r="AN214" s="4">
        <v>-0.33200000000000002</v>
      </c>
      <c r="AO214" s="4">
        <v>-0.82899999999999996</v>
      </c>
      <c r="AP214" s="4">
        <v>-0.60299999999999998</v>
      </c>
      <c r="AQ214" s="4">
        <v>-0.20699999999999999</v>
      </c>
      <c r="AR214" s="4">
        <v>-1</v>
      </c>
      <c r="AS214" s="4">
        <v>-0.53800000000000003</v>
      </c>
      <c r="AT214" s="4">
        <v>-0.48899999999999999</v>
      </c>
      <c r="AU214" s="4">
        <v>-0.81899999999999995</v>
      </c>
      <c r="AV214" s="4">
        <v>-9.6000000000000002E-2</v>
      </c>
      <c r="AW214" s="4">
        <v>-0.62</v>
      </c>
      <c r="AX214" s="4">
        <v>-0.437</v>
      </c>
      <c r="AY214" s="4">
        <v>-0.501</v>
      </c>
      <c r="AZ214" s="4">
        <v>-0.60599999999999998</v>
      </c>
      <c r="BA214" s="4">
        <v>0.38100000000000001</v>
      </c>
      <c r="BB214" s="4">
        <v>0.70199999999999996</v>
      </c>
      <c r="BC214" s="4">
        <v>0.53100000000000003</v>
      </c>
      <c r="BD214" s="4">
        <v>0.33200000000000002</v>
      </c>
      <c r="BE214" s="4">
        <v>-0.34300000000000003</v>
      </c>
      <c r="BF214" s="4">
        <v>-0.34</v>
      </c>
      <c r="BG214" s="4">
        <v>-0.94</v>
      </c>
      <c r="BH214" s="4">
        <v>0.35799999999999998</v>
      </c>
      <c r="BI214" s="4">
        <v>0.58699999999999997</v>
      </c>
      <c r="BJ214" s="4">
        <v>-0.59499999999999997</v>
      </c>
      <c r="BK214" s="4">
        <v>0.752</v>
      </c>
      <c r="BL214" s="4"/>
      <c r="BM214" s="4">
        <f t="shared" si="38"/>
        <v>-0.43172499999999997</v>
      </c>
    </row>
    <row r="215" spans="1:65" x14ac:dyDescent="0.3">
      <c r="A215" t="s">
        <v>239</v>
      </c>
      <c r="B215" s="53">
        <f t="shared" si="39"/>
        <v>0</v>
      </c>
      <c r="C215" s="53">
        <f t="shared" si="32"/>
        <v>0</v>
      </c>
      <c r="D215" s="53">
        <f t="shared" si="33"/>
        <v>0</v>
      </c>
      <c r="E215" s="53">
        <f t="shared" si="34"/>
        <v>0</v>
      </c>
      <c r="F215" s="15">
        <v>0.47699999999999998</v>
      </c>
      <c r="G215" s="4">
        <v>0.33700000000000002</v>
      </c>
      <c r="H215" t="s">
        <v>57</v>
      </c>
      <c r="I215" t="str">
        <f>VLOOKUP(A215,Setores!$A$2:$C$215,2,0)</f>
        <v>tech</v>
      </c>
      <c r="J215" t="str">
        <f>VLOOKUP(A215,Setores!$A$2:$C$215,3,0)</f>
        <v>high_beta</v>
      </c>
      <c r="K215" s="92">
        <v>0</v>
      </c>
      <c r="L215" s="42">
        <v>0</v>
      </c>
      <c r="M215" s="92">
        <f>VLOOKUP(A215,'Mandato Ibov'!$B$1:$C$215,2,0)</f>
        <v>0</v>
      </c>
      <c r="N215" s="58">
        <f t="shared" si="35"/>
        <v>0</v>
      </c>
      <c r="O215" s="42">
        <f t="shared" si="36"/>
        <v>0</v>
      </c>
      <c r="P215" s="95">
        <f>VLOOKUP(A215,'Mandato Ibov'!$B$2:$D$215,3,0)</f>
        <v>0</v>
      </c>
      <c r="Q215" s="42">
        <f t="shared" si="37"/>
        <v>0</v>
      </c>
      <c r="R215" s="15">
        <v>-0.88600000000000001</v>
      </c>
      <c r="S215" s="15">
        <v>-0.86299999999999999</v>
      </c>
      <c r="T215" s="15">
        <v>-0.63400000000000001</v>
      </c>
      <c r="U215" s="15">
        <v>-0.94599999999999995</v>
      </c>
      <c r="V215" s="15">
        <v>-0.89500000000000002</v>
      </c>
      <c r="W215" s="15">
        <v>-0.96</v>
      </c>
      <c r="X215" s="15">
        <v>-0.97799999999999998</v>
      </c>
      <c r="Y215" s="15">
        <v>-0.97</v>
      </c>
      <c r="Z215" s="15">
        <v>-1</v>
      </c>
      <c r="AA215" s="15">
        <v>-1</v>
      </c>
      <c r="AB215" s="15">
        <v>-0.88200000000000001</v>
      </c>
      <c r="AC215" s="15">
        <v>-1</v>
      </c>
      <c r="AD215" s="15">
        <v>-0.83099999999999996</v>
      </c>
      <c r="AE215" s="14">
        <v>-0.77800000000000002</v>
      </c>
      <c r="AF215" s="15">
        <v>-0.77300000000000002</v>
      </c>
      <c r="AG215" s="15">
        <v>-0.70599999999999996</v>
      </c>
      <c r="AH215" s="15">
        <v>-0.39700000000000002</v>
      </c>
      <c r="AI215" s="15">
        <v>1</v>
      </c>
      <c r="AJ215" s="16">
        <v>1</v>
      </c>
      <c r="AK215" s="4">
        <v>-0.80300000000000005</v>
      </c>
      <c r="AL215" s="4">
        <v>-1</v>
      </c>
      <c r="AM215" s="4">
        <v>-0.47</v>
      </c>
      <c r="AN215" s="4">
        <v>-0.32400000000000001</v>
      </c>
      <c r="AO215" s="4">
        <v>-0.35899999999999999</v>
      </c>
      <c r="AP215" s="4">
        <v>0.81499999999999995</v>
      </c>
      <c r="AQ215" s="4">
        <v>0.26700000000000002</v>
      </c>
      <c r="AR215" s="4">
        <v>-1</v>
      </c>
      <c r="AS215" s="4">
        <v>-0.51400000000000001</v>
      </c>
      <c r="AT215" s="4">
        <v>-0.64300000000000002</v>
      </c>
      <c r="AU215" s="4">
        <v>-0.84399999999999997</v>
      </c>
      <c r="AV215" s="4">
        <v>-0.107</v>
      </c>
      <c r="AW215" s="4">
        <v>-0.66400000000000003</v>
      </c>
      <c r="AX215" s="4">
        <v>0.17399999999999999</v>
      </c>
      <c r="AY215" s="4">
        <v>-0.247</v>
      </c>
      <c r="AZ215" s="4">
        <v>-0.25800000000000001</v>
      </c>
      <c r="BA215" s="4">
        <v>-0.121</v>
      </c>
      <c r="BB215" s="4">
        <v>-0.53900000000000003</v>
      </c>
      <c r="BC215" s="4">
        <v>-0.54500000000000004</v>
      </c>
      <c r="BD215" s="4">
        <v>0.34300000000000003</v>
      </c>
      <c r="BE215" s="4">
        <v>-0.92300000000000004</v>
      </c>
      <c r="BF215" s="4">
        <v>-0.54100000000000004</v>
      </c>
      <c r="BG215" s="4">
        <v>-0.20499999999999999</v>
      </c>
      <c r="BH215" s="4">
        <v>0.29399999999999998</v>
      </c>
      <c r="BI215" s="4">
        <v>0.21199999999999999</v>
      </c>
      <c r="BJ215" s="4">
        <v>-0.188</v>
      </c>
      <c r="BK215" s="4">
        <v>0.92</v>
      </c>
      <c r="BL215" s="4"/>
      <c r="BM215" s="4">
        <f t="shared" si="38"/>
        <v>-0.34950000000000009</v>
      </c>
    </row>
    <row r="216" spans="1:65" x14ac:dyDescent="0.3">
      <c r="A216" t="s">
        <v>263</v>
      </c>
      <c r="B216" s="53">
        <f t="shared" si="39"/>
        <v>0</v>
      </c>
      <c r="C216" s="53">
        <f t="shared" si="32"/>
        <v>0</v>
      </c>
      <c r="D216" s="53">
        <f t="shared" si="33"/>
        <v>0</v>
      </c>
      <c r="E216" s="53">
        <f t="shared" si="34"/>
        <v>0</v>
      </c>
      <c r="F216" s="15">
        <v>0.47699999999999998</v>
      </c>
      <c r="G216" s="4">
        <v>0.33400000000000002</v>
      </c>
      <c r="H216" t="s">
        <v>68</v>
      </c>
      <c r="I216" t="str">
        <f>VLOOKUP(A216,Setores!$A$2:$C$215,2,0)</f>
        <v>capital_goods</v>
      </c>
      <c r="J216" t="str">
        <f>VLOOKUP(A216,Setores!$A$2:$C$215,3,0)</f>
        <v>very_low_beta</v>
      </c>
      <c r="K216" s="92">
        <v>0</v>
      </c>
      <c r="L216" s="42">
        <v>0</v>
      </c>
      <c r="M216" s="92">
        <f>VLOOKUP(A216,'Mandato Ibov'!$B$1:$C$215,2,0)</f>
        <v>0</v>
      </c>
      <c r="N216" s="58">
        <f t="shared" si="35"/>
        <v>0</v>
      </c>
      <c r="O216" s="42">
        <f t="shared" si="36"/>
        <v>0</v>
      </c>
      <c r="P216" s="95">
        <f>VLOOKUP(A216,'Mandato Ibov'!$B$2:$D$215,3,0)</f>
        <v>0</v>
      </c>
      <c r="Q216" s="42">
        <f t="shared" si="37"/>
        <v>0</v>
      </c>
      <c r="R216" s="15">
        <v>-1</v>
      </c>
      <c r="S216" s="15">
        <v>-1</v>
      </c>
      <c r="T216" s="15">
        <v>-1</v>
      </c>
      <c r="U216" s="15">
        <v>-1</v>
      </c>
      <c r="V216" s="15">
        <v>-1</v>
      </c>
      <c r="W216" s="15">
        <v>-1</v>
      </c>
      <c r="X216" s="15">
        <v>-1</v>
      </c>
      <c r="Y216" s="15">
        <v>-1</v>
      </c>
      <c r="Z216" s="15">
        <v>-1</v>
      </c>
      <c r="AA216" s="15">
        <v>-1</v>
      </c>
      <c r="AB216" s="15">
        <v>-1</v>
      </c>
      <c r="AC216" s="15">
        <v>-1</v>
      </c>
      <c r="AD216" s="15">
        <v>-1</v>
      </c>
      <c r="AE216" s="14">
        <v>-1</v>
      </c>
      <c r="AF216" s="15">
        <v>-1</v>
      </c>
      <c r="AG216" s="15">
        <v>-1</v>
      </c>
      <c r="AH216" s="15">
        <v>-0.59599999999999997</v>
      </c>
      <c r="AI216" s="15">
        <v>0.66100000000000003</v>
      </c>
      <c r="AJ216" s="16">
        <v>-0.57799999999999996</v>
      </c>
      <c r="AK216" s="4">
        <v>-0.96599999999999997</v>
      </c>
      <c r="AL216" s="4">
        <v>-1</v>
      </c>
      <c r="AM216" s="4">
        <v>-1</v>
      </c>
      <c r="AN216" s="4">
        <v>-0.51400000000000001</v>
      </c>
      <c r="AO216" s="4">
        <v>0.187</v>
      </c>
      <c r="AP216" s="4">
        <v>-1</v>
      </c>
      <c r="AQ216" s="4">
        <v>-0.59399999999999997</v>
      </c>
      <c r="AR216" s="4">
        <v>1.0999999999999999E-2</v>
      </c>
      <c r="AS216" s="4">
        <v>0.23599999999999999</v>
      </c>
      <c r="AT216" s="4">
        <v>-1</v>
      </c>
      <c r="AU216" s="4">
        <v>-1</v>
      </c>
      <c r="AV216" s="4">
        <v>-1</v>
      </c>
      <c r="AW216" s="4">
        <v>-0.32800000000000001</v>
      </c>
      <c r="AX216" s="4">
        <v>-0.70799999999999996</v>
      </c>
      <c r="AY216" s="4">
        <v>-0.45600000000000002</v>
      </c>
      <c r="AZ216" s="4">
        <v>-1</v>
      </c>
      <c r="BA216" s="4">
        <v>0.32900000000000001</v>
      </c>
      <c r="BB216" s="4">
        <v>0.32100000000000001</v>
      </c>
      <c r="BC216" s="4">
        <v>-0.28799999999999998</v>
      </c>
      <c r="BD216" s="4">
        <v>0.34200000000000003</v>
      </c>
      <c r="BE216" s="4">
        <v>1</v>
      </c>
      <c r="BF216" s="4">
        <v>-1</v>
      </c>
      <c r="BG216" s="4">
        <v>-1</v>
      </c>
      <c r="BH216" s="4">
        <v>0.74199999999999999</v>
      </c>
      <c r="BI216" s="4">
        <v>-0.27900000000000003</v>
      </c>
      <c r="BJ216" s="4">
        <v>-0.50900000000000001</v>
      </c>
      <c r="BK216" s="4">
        <v>1</v>
      </c>
      <c r="BL216" s="4"/>
      <c r="BM216" s="4">
        <f t="shared" si="38"/>
        <v>-0.61840000000000006</v>
      </c>
    </row>
    <row r="217" spans="1:65" x14ac:dyDescent="0.3">
      <c r="A217" t="s">
        <v>259</v>
      </c>
      <c r="B217" s="53">
        <f t="shared" si="39"/>
        <v>0</v>
      </c>
      <c r="C217" s="53">
        <f t="shared" si="32"/>
        <v>0</v>
      </c>
      <c r="D217" s="53">
        <f t="shared" si="33"/>
        <v>0</v>
      </c>
      <c r="E217" s="53">
        <f t="shared" si="34"/>
        <v>0</v>
      </c>
      <c r="F217" s="15">
        <v>0.47699999999999998</v>
      </c>
      <c r="G217" s="4">
        <v>0.33400000000000002</v>
      </c>
      <c r="H217" t="s">
        <v>57</v>
      </c>
      <c r="I217" t="str">
        <f>VLOOKUP(A217,Setores!$A$2:$C$215,2,0)</f>
        <v>homebuilders</v>
      </c>
      <c r="J217" t="str">
        <f>VLOOKUP(A217,Setores!$A$2:$C$215,3,0)</f>
        <v>low_beta</v>
      </c>
      <c r="K217" s="92">
        <v>0</v>
      </c>
      <c r="L217" s="42">
        <v>0</v>
      </c>
      <c r="M217" s="92">
        <f>VLOOKUP(A217,'Mandato Ibov'!$B$1:$C$215,2,0)</f>
        <v>0</v>
      </c>
      <c r="N217" s="58">
        <f t="shared" si="35"/>
        <v>0</v>
      </c>
      <c r="O217" s="42">
        <f t="shared" si="36"/>
        <v>0</v>
      </c>
      <c r="P217" s="95">
        <f>VLOOKUP(A217,'Mandato Ibov'!$B$2:$D$215,3,0)</f>
        <v>0</v>
      </c>
      <c r="Q217" s="42">
        <f t="shared" si="37"/>
        <v>0</v>
      </c>
      <c r="R217" s="15">
        <v>-1</v>
      </c>
      <c r="S217" s="15">
        <v>-1</v>
      </c>
      <c r="T217" s="15">
        <v>-0.96599999999999997</v>
      </c>
      <c r="U217" s="15">
        <v>-1</v>
      </c>
      <c r="V217" s="15">
        <v>-1</v>
      </c>
      <c r="W217" s="15">
        <v>-1</v>
      </c>
      <c r="X217" s="15">
        <v>-1</v>
      </c>
      <c r="Y217" s="15">
        <v>-1</v>
      </c>
      <c r="Z217" s="15">
        <v>-0.98299999999999998</v>
      </c>
      <c r="AA217" s="15">
        <v>-0.97899999999999998</v>
      </c>
      <c r="AB217" s="15">
        <v>-1</v>
      </c>
      <c r="AC217" s="15">
        <v>0.23400000000000001</v>
      </c>
      <c r="AD217" s="15">
        <v>-1</v>
      </c>
      <c r="AE217" s="14">
        <v>-0.91</v>
      </c>
      <c r="AF217" s="15">
        <v>-1</v>
      </c>
      <c r="AG217" s="15">
        <v>-0.96499999999999997</v>
      </c>
      <c r="AH217" s="15">
        <v>0.186</v>
      </c>
      <c r="AI217" s="15">
        <v>-0.55300000000000005</v>
      </c>
      <c r="AJ217" s="16">
        <v>-0.57799999999999996</v>
      </c>
      <c r="AK217" s="4">
        <v>-0.79200000000000004</v>
      </c>
      <c r="AL217" s="4">
        <v>-1</v>
      </c>
      <c r="AM217" s="4">
        <v>1</v>
      </c>
      <c r="AN217" s="4">
        <v>-0.93899999999999995</v>
      </c>
      <c r="AO217" s="4">
        <v>-1</v>
      </c>
      <c r="AP217" s="4">
        <v>-1</v>
      </c>
      <c r="AQ217" s="4">
        <v>-0.94699999999999995</v>
      </c>
      <c r="AR217" s="4">
        <v>-0.76600000000000001</v>
      </c>
      <c r="AS217" s="4">
        <v>-0.28799999999999998</v>
      </c>
      <c r="AT217" s="4">
        <v>-0.80100000000000005</v>
      </c>
      <c r="AU217" s="4">
        <v>-1</v>
      </c>
      <c r="AV217" s="4">
        <v>-1</v>
      </c>
      <c r="AW217" s="4">
        <v>-0.63300000000000001</v>
      </c>
      <c r="AX217" s="4">
        <v>-0.745</v>
      </c>
      <c r="AY217" s="4">
        <v>-0.71</v>
      </c>
      <c r="AZ217" s="4">
        <v>-1</v>
      </c>
      <c r="BA217" s="4">
        <v>-0.22900000000000001</v>
      </c>
      <c r="BB217" s="4">
        <v>0.54300000000000004</v>
      </c>
      <c r="BC217" s="4">
        <v>0.214</v>
      </c>
      <c r="BD217" s="4">
        <v>0.11799999999999999</v>
      </c>
      <c r="BE217" s="4">
        <v>0.157</v>
      </c>
      <c r="BF217" s="4">
        <v>6.8000000000000005E-2</v>
      </c>
      <c r="BG217" s="4">
        <v>-0.92200000000000004</v>
      </c>
      <c r="BH217" s="4">
        <v>1</v>
      </c>
      <c r="BI217" s="4">
        <v>-1E-3</v>
      </c>
      <c r="BJ217" s="4">
        <v>-0.13800000000000001</v>
      </c>
      <c r="BK217" s="4">
        <v>1</v>
      </c>
      <c r="BL217" s="4"/>
      <c r="BM217" s="4">
        <f t="shared" si="38"/>
        <v>-0.80397500000000011</v>
      </c>
    </row>
    <row r="218" spans="1:65" x14ac:dyDescent="0.3">
      <c r="A218" t="s">
        <v>267</v>
      </c>
      <c r="B218" s="53">
        <f t="shared" si="39"/>
        <v>0</v>
      </c>
      <c r="C218" s="53">
        <f t="shared" si="32"/>
        <v>0</v>
      </c>
      <c r="D218" s="53">
        <f t="shared" si="33"/>
        <v>0</v>
      </c>
      <c r="E218" s="53">
        <f t="shared" si="34"/>
        <v>0</v>
      </c>
      <c r="F218" s="15">
        <v>0.47699999999999998</v>
      </c>
      <c r="G218" s="4">
        <v>0.33400000000000002</v>
      </c>
      <c r="H218" t="s">
        <v>53</v>
      </c>
      <c r="I218" t="str">
        <f>VLOOKUP(A218,Setores!$A$2:$C$215,2,0)</f>
        <v>healthcare</v>
      </c>
      <c r="J218" t="str">
        <f>VLOOKUP(A218,Setores!$A$2:$C$215,3,0)</f>
        <v>very_high_beta</v>
      </c>
      <c r="K218" s="92">
        <v>0</v>
      </c>
      <c r="L218" s="42">
        <v>0</v>
      </c>
      <c r="M218" s="92">
        <f>VLOOKUP(A218,'Mandato Ibov'!$B$1:$C$215,2,0)</f>
        <v>0</v>
      </c>
      <c r="N218" s="58">
        <f t="shared" si="35"/>
        <v>0</v>
      </c>
      <c r="O218" s="42">
        <f t="shared" si="36"/>
        <v>0</v>
      </c>
      <c r="P218" s="95">
        <f>VLOOKUP(A218,'Mandato Ibov'!$B$2:$D$215,3,0)</f>
        <v>0</v>
      </c>
      <c r="Q218" s="42">
        <f t="shared" si="37"/>
        <v>0</v>
      </c>
      <c r="R218" s="15">
        <v>-1</v>
      </c>
      <c r="S218" s="15">
        <v>-0.98</v>
      </c>
      <c r="T218" s="15">
        <v>-0.93500000000000005</v>
      </c>
      <c r="U218" s="15">
        <v>-1</v>
      </c>
      <c r="V218" s="15">
        <v>-0.98899999999999999</v>
      </c>
      <c r="W218" s="15">
        <v>-1</v>
      </c>
      <c r="X218" s="15">
        <v>-1</v>
      </c>
      <c r="Y218" s="15">
        <v>-1</v>
      </c>
      <c r="Z218" s="15">
        <v>-1</v>
      </c>
      <c r="AA218" s="15">
        <v>-1</v>
      </c>
      <c r="AB218" s="15">
        <v>-1</v>
      </c>
      <c r="AC218" s="15">
        <v>-1</v>
      </c>
      <c r="AD218" s="15">
        <v>-1</v>
      </c>
      <c r="AE218" s="14">
        <v>-0.88500000000000001</v>
      </c>
      <c r="AF218" s="15">
        <v>-0.753</v>
      </c>
      <c r="AG218" s="15">
        <v>-1</v>
      </c>
      <c r="AH218" s="15">
        <v>-0.157</v>
      </c>
      <c r="AI218" s="15">
        <v>-0.39200000000000002</v>
      </c>
      <c r="AJ218" s="16">
        <v>-0.68500000000000005</v>
      </c>
      <c r="AK218" s="4">
        <v>-0.217</v>
      </c>
      <c r="AL218" s="4">
        <v>-1</v>
      </c>
      <c r="AM218" s="4">
        <v>-0.36399999999999999</v>
      </c>
      <c r="AN218" s="4">
        <v>-0.80200000000000005</v>
      </c>
      <c r="AO218" s="4">
        <v>-0.46700000000000003</v>
      </c>
      <c r="AP218" s="4">
        <v>-0.59899999999999998</v>
      </c>
      <c r="AQ218" s="4">
        <v>-0.54500000000000004</v>
      </c>
      <c r="AR218" s="4">
        <v>-1</v>
      </c>
      <c r="AS218" s="4">
        <v>-0.37</v>
      </c>
      <c r="AT218" s="4">
        <v>-0.66300000000000003</v>
      </c>
      <c r="AU218" s="4">
        <v>-0.60099999999999998</v>
      </c>
      <c r="AV218" s="4">
        <v>-0.80200000000000005</v>
      </c>
      <c r="AW218" s="4">
        <v>-0.58399999999999996</v>
      </c>
      <c r="AX218" s="4">
        <v>-1</v>
      </c>
      <c r="AY218" s="4">
        <v>-0.48499999999999999</v>
      </c>
      <c r="AZ218" s="4">
        <v>0.10299999999999999</v>
      </c>
      <c r="BA218" s="4">
        <v>0.31900000000000001</v>
      </c>
      <c r="BB218" s="4">
        <v>1</v>
      </c>
      <c r="BC218" s="4">
        <v>3.1E-2</v>
      </c>
      <c r="BD218" s="4">
        <v>0.24099999999999999</v>
      </c>
      <c r="BE218" s="4">
        <v>0.16800000000000001</v>
      </c>
      <c r="BF218" s="4">
        <v>7.2999999999999995E-2</v>
      </c>
      <c r="BG218" s="4">
        <v>-1</v>
      </c>
      <c r="BH218" s="4">
        <v>0.998</v>
      </c>
      <c r="BI218" s="4">
        <v>0.26700000000000002</v>
      </c>
      <c r="BJ218" s="4">
        <v>0.317</v>
      </c>
      <c r="BK218" s="4">
        <v>0.60099999999999998</v>
      </c>
      <c r="BL218" s="4"/>
      <c r="BM218" s="4">
        <f t="shared" si="38"/>
        <v>-0.58965000000000012</v>
      </c>
    </row>
    <row r="219" spans="1:65" x14ac:dyDescent="0.3">
      <c r="A219" t="s">
        <v>268</v>
      </c>
      <c r="B219" s="53">
        <f t="shared" si="39"/>
        <v>0</v>
      </c>
      <c r="C219" s="53">
        <f t="shared" si="32"/>
        <v>0</v>
      </c>
      <c r="D219" s="53">
        <f t="shared" si="33"/>
        <v>0</v>
      </c>
      <c r="E219" s="53">
        <f t="shared" si="34"/>
        <v>0</v>
      </c>
      <c r="F219" s="15">
        <v>0.47699999999999998</v>
      </c>
      <c r="G219" s="4">
        <v>0.33400000000000002</v>
      </c>
      <c r="H219" t="s">
        <v>71</v>
      </c>
      <c r="I219" t="str">
        <f>VLOOKUP(A219,Setores!$A$2:$C$215,2,0)</f>
        <v>basic_materials</v>
      </c>
      <c r="J219" t="str">
        <f>VLOOKUP(A219,Setores!$A$2:$C$215,3,0)</f>
        <v>high_beta</v>
      </c>
      <c r="K219" s="92">
        <v>0</v>
      </c>
      <c r="L219" s="42">
        <v>0</v>
      </c>
      <c r="M219" s="92">
        <f>VLOOKUP(A219,'Mandato Ibov'!$B$1:$C$215,2,0)</f>
        <v>0</v>
      </c>
      <c r="N219" s="58">
        <f t="shared" si="35"/>
        <v>0</v>
      </c>
      <c r="O219" s="42">
        <f t="shared" si="36"/>
        <v>0</v>
      </c>
      <c r="P219" s="95">
        <f>VLOOKUP(A219,'Mandato Ibov'!$B$2:$D$215,3,0)</f>
        <v>0</v>
      </c>
      <c r="Q219" s="42">
        <f t="shared" si="37"/>
        <v>0</v>
      </c>
      <c r="R219" s="15">
        <v>-0.996</v>
      </c>
      <c r="S219" s="15">
        <v>-1</v>
      </c>
      <c r="T219" s="15">
        <v>-0.93300000000000005</v>
      </c>
      <c r="U219" s="15">
        <v>-1</v>
      </c>
      <c r="V219" s="15">
        <v>-1</v>
      </c>
      <c r="W219" s="15">
        <v>-1</v>
      </c>
      <c r="X219" s="15">
        <v>-1</v>
      </c>
      <c r="Y219" s="15">
        <v>-1</v>
      </c>
      <c r="Z219" s="15">
        <v>-1</v>
      </c>
      <c r="AA219" s="15">
        <v>-1</v>
      </c>
      <c r="AB219" s="15">
        <v>-1</v>
      </c>
      <c r="AC219" s="15">
        <v>-1</v>
      </c>
      <c r="AD219" s="15">
        <v>-1</v>
      </c>
      <c r="AE219" s="14">
        <v>-1</v>
      </c>
      <c r="AF219" s="15">
        <v>-0.82299999999999995</v>
      </c>
      <c r="AG219" s="15">
        <v>-1</v>
      </c>
      <c r="AH219" s="15">
        <v>-0.48</v>
      </c>
      <c r="AI219" s="15">
        <v>-0.26400000000000001</v>
      </c>
      <c r="AJ219" s="16">
        <v>-0.39700000000000002</v>
      </c>
      <c r="AK219" s="4">
        <v>-0.58499999999999996</v>
      </c>
      <c r="AL219" s="4">
        <v>-1</v>
      </c>
      <c r="AM219" s="4">
        <v>-0.95699999999999996</v>
      </c>
      <c r="AN219" s="4">
        <v>-1.7000000000000001E-2</v>
      </c>
      <c r="AO219" s="4">
        <v>-0.58499999999999996</v>
      </c>
      <c r="AP219" s="4">
        <v>-0.378</v>
      </c>
      <c r="AQ219" s="4">
        <v>0.17100000000000001</v>
      </c>
      <c r="AR219" s="4">
        <v>-0.502</v>
      </c>
      <c r="AS219" s="4">
        <v>-0.35599999999999998</v>
      </c>
      <c r="AT219" s="4">
        <v>-0.78300000000000003</v>
      </c>
      <c r="AU219" s="4">
        <v>-0.81899999999999995</v>
      </c>
      <c r="AV219" s="4">
        <v>-0.41699999999999998</v>
      </c>
      <c r="AW219" s="4">
        <v>-0.49199999999999999</v>
      </c>
      <c r="AX219" s="4">
        <v>-0.77400000000000002</v>
      </c>
      <c r="AY219" s="4">
        <v>-0.87</v>
      </c>
      <c r="AZ219" s="4">
        <v>-0.621</v>
      </c>
      <c r="BA219" s="4">
        <v>-0.47699999999999998</v>
      </c>
      <c r="BB219" s="4">
        <v>0.85299999999999998</v>
      </c>
      <c r="BC219" s="4">
        <v>0.755</v>
      </c>
      <c r="BD219" s="4">
        <v>-2.3E-2</v>
      </c>
      <c r="BE219" s="4">
        <v>0.62</v>
      </c>
      <c r="BF219" s="4">
        <v>0.69799999999999995</v>
      </c>
      <c r="BG219" s="4">
        <v>-0.70799999999999996</v>
      </c>
      <c r="BH219" s="4">
        <v>1</v>
      </c>
      <c r="BI219" s="4">
        <v>-0.02</v>
      </c>
      <c r="BJ219" s="4">
        <v>0.68899999999999995</v>
      </c>
      <c r="BK219" s="4">
        <v>0.96499999999999997</v>
      </c>
      <c r="BL219" s="4"/>
      <c r="BM219" s="4">
        <f t="shared" si="38"/>
        <v>-0.50860000000000005</v>
      </c>
    </row>
    <row r="220" spans="1:65" x14ac:dyDescent="0.3">
      <c r="B220" s="53"/>
      <c r="C220" s="53"/>
      <c r="D220" s="53"/>
      <c r="E220" s="53"/>
      <c r="F220" s="15"/>
      <c r="K220" s="41"/>
      <c r="L220" s="42"/>
      <c r="M220" s="41"/>
      <c r="N220" s="58"/>
      <c r="O220" s="42"/>
      <c r="P220" s="58"/>
      <c r="Q220" s="42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4"/>
      <c r="AF220" s="15"/>
      <c r="AG220" s="15"/>
      <c r="AH220" s="15"/>
      <c r="AI220" s="15"/>
      <c r="AJ220" s="16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</row>
    <row r="221" spans="1:65" x14ac:dyDescent="0.3">
      <c r="B221" s="53"/>
      <c r="C221" s="53"/>
      <c r="D221" s="53"/>
      <c r="E221" s="53"/>
      <c r="F221" s="15"/>
      <c r="K221" s="41"/>
      <c r="L221" s="42"/>
      <c r="M221" s="41"/>
      <c r="N221" s="58"/>
      <c r="O221" s="42"/>
      <c r="P221" s="58"/>
      <c r="Q221" s="42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4"/>
      <c r="AF221" s="15"/>
      <c r="AG221" s="15"/>
      <c r="AH221" s="15"/>
      <c r="AI221" s="15"/>
      <c r="AJ221" s="16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</row>
    <row r="222" spans="1:65" ht="15" thickBot="1" x14ac:dyDescent="0.35">
      <c r="B222" s="53"/>
      <c r="C222" s="53"/>
      <c r="D222" s="53"/>
      <c r="E222" s="53"/>
      <c r="F222" s="15"/>
      <c r="K222" s="43"/>
      <c r="L222" s="44"/>
      <c r="M222" s="43"/>
      <c r="N222" s="59"/>
      <c r="O222" s="44"/>
      <c r="P222" s="59"/>
      <c r="Q222" s="44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4"/>
      <c r="AF222" s="15"/>
      <c r="AG222" s="15"/>
      <c r="AH222" s="15"/>
      <c r="AI222" s="15"/>
      <c r="AJ222" s="16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</row>
    <row r="223" spans="1:65" x14ac:dyDescent="0.3">
      <c r="AE223"/>
      <c r="AJ223"/>
    </row>
    <row r="224" spans="1:65" x14ac:dyDescent="0.3">
      <c r="AE224"/>
      <c r="AJ224"/>
    </row>
    <row r="225" spans="18:36" x14ac:dyDescent="0.3">
      <c r="R225" s="26">
        <v>0.1784</v>
      </c>
      <c r="S225" s="26">
        <v>3.9800000000000002E-2</v>
      </c>
      <c r="T225" s="26">
        <v>4.2599999999999999E-2</v>
      </c>
      <c r="U225" s="26">
        <v>3.6799999999999999E-2</v>
      </c>
      <c r="V225" s="26">
        <v>3.85E-2</v>
      </c>
      <c r="W225" s="26">
        <v>5.6000000000000001E-2</v>
      </c>
      <c r="X225" s="26">
        <v>6.8699999999999997E-2</v>
      </c>
      <c r="Y225" s="66">
        <v>0.1991</v>
      </c>
      <c r="Z225" s="26">
        <v>4.3799999999999999E-2</v>
      </c>
      <c r="AA225" s="26">
        <v>5.1200000000000002E-2</v>
      </c>
      <c r="AB225" s="26">
        <v>4.0800000000000003E-2</v>
      </c>
      <c r="AC225" s="26">
        <v>4.0800000000000003E-2</v>
      </c>
      <c r="AD225" s="26">
        <v>0.16350000000000001</v>
      </c>
      <c r="AE225"/>
      <c r="AJ225"/>
    </row>
    <row r="226" spans="18:36" x14ac:dyDescent="0.3">
      <c r="AE226"/>
      <c r="AJ226"/>
    </row>
    <row r="248" spans="8:15" x14ac:dyDescent="0.3">
      <c r="H248" s="23" t="s">
        <v>308</v>
      </c>
      <c r="I248" t="s">
        <v>327</v>
      </c>
      <c r="J248" t="s">
        <v>328</v>
      </c>
      <c r="K248" t="s">
        <v>551</v>
      </c>
      <c r="L248" t="s">
        <v>310</v>
      </c>
      <c r="M248" t="s">
        <v>323</v>
      </c>
      <c r="N248" t="s">
        <v>324</v>
      </c>
    </row>
    <row r="249" spans="8:15" x14ac:dyDescent="0.3">
      <c r="H249" s="24" t="s">
        <v>55</v>
      </c>
      <c r="I249" s="26">
        <v>0.19550000000000001</v>
      </c>
      <c r="J249" s="26">
        <v>-1.7499999999999988E-2</v>
      </c>
      <c r="K249" s="26">
        <v>0.188</v>
      </c>
      <c r="L249" s="26">
        <v>-2.4999999999999981E-2</v>
      </c>
      <c r="M249" s="26">
        <v>0.16537046632861085</v>
      </c>
      <c r="N249" s="26">
        <v>0.23790880907915637</v>
      </c>
      <c r="O249" s="26"/>
    </row>
    <row r="250" spans="8:15" x14ac:dyDescent="0.3">
      <c r="H250" s="25" t="s">
        <v>295</v>
      </c>
      <c r="I250" s="26">
        <v>5.5E-2</v>
      </c>
      <c r="J250" s="26">
        <v>4.300000000000001E-2</v>
      </c>
      <c r="K250" s="26">
        <v>5.7000000000000002E-2</v>
      </c>
      <c r="L250" s="26">
        <v>4.5000000000000012E-2</v>
      </c>
      <c r="M250" s="26">
        <v>6.9041879506492501E-2</v>
      </c>
      <c r="N250" s="26">
        <v>3.3714351620223744E-2</v>
      </c>
      <c r="O250" s="26"/>
    </row>
    <row r="251" spans="8:15" x14ac:dyDescent="0.3">
      <c r="H251" s="25" t="s">
        <v>302</v>
      </c>
      <c r="I251" s="26">
        <v>4.8500000000000001E-2</v>
      </c>
      <c r="J251" s="26">
        <v>3.15E-2</v>
      </c>
      <c r="K251" s="26">
        <v>5.6000000000000008E-2</v>
      </c>
      <c r="L251" s="26">
        <v>3.9E-2</v>
      </c>
      <c r="M251" s="26">
        <v>5.0756027704421801E-2</v>
      </c>
      <c r="N251" s="26">
        <v>2.4048680657156998E-2</v>
      </c>
      <c r="O251" s="26"/>
    </row>
    <row r="252" spans="8:15" x14ac:dyDescent="0.3">
      <c r="H252" s="25" t="s">
        <v>285</v>
      </c>
      <c r="I252" s="26">
        <v>0</v>
      </c>
      <c r="J252" s="26">
        <v>-6.0000000000000001E-3</v>
      </c>
      <c r="K252" s="26">
        <v>0</v>
      </c>
      <c r="L252" s="26">
        <v>-6.0000000000000001E-3</v>
      </c>
      <c r="M252" s="26">
        <v>0</v>
      </c>
      <c r="N252" s="26">
        <v>0</v>
      </c>
      <c r="O252" s="26"/>
    </row>
    <row r="253" spans="8:15" x14ac:dyDescent="0.3">
      <c r="H253" s="25" t="s">
        <v>280</v>
      </c>
      <c r="I253" s="26">
        <v>9.1999999999999998E-2</v>
      </c>
      <c r="J253" s="26">
        <v>-8.5999999999999993E-2</v>
      </c>
      <c r="K253" s="26">
        <v>7.4999999999999997E-2</v>
      </c>
      <c r="L253" s="26">
        <v>-0.10299999999999999</v>
      </c>
      <c r="M253" s="26">
        <v>4.5572559117696559E-2</v>
      </c>
      <c r="N253" s="26">
        <v>0.18014577680177563</v>
      </c>
      <c r="O253" s="26"/>
    </row>
    <row r="254" spans="8:15" x14ac:dyDescent="0.3">
      <c r="H254" s="24" t="s">
        <v>71</v>
      </c>
      <c r="I254" s="26">
        <v>0.22600000000000001</v>
      </c>
      <c r="J254" s="26">
        <v>-8.9000000000000024E-2</v>
      </c>
      <c r="K254" s="26">
        <v>0.19</v>
      </c>
      <c r="L254" s="26">
        <v>-0.125</v>
      </c>
      <c r="M254" s="26">
        <v>0.20993075191487126</v>
      </c>
      <c r="N254" s="26">
        <v>0.21662589622295117</v>
      </c>
      <c r="O254" s="26"/>
    </row>
    <row r="255" spans="8:15" x14ac:dyDescent="0.3">
      <c r="H255" s="25" t="s">
        <v>284</v>
      </c>
      <c r="I255" s="26">
        <v>8.9499999999999996E-2</v>
      </c>
      <c r="J255" s="26">
        <v>-6.8500000000000019E-2</v>
      </c>
      <c r="K255" s="26">
        <v>8.6000000000000007E-2</v>
      </c>
      <c r="L255" s="26">
        <v>-7.2000000000000008E-2</v>
      </c>
      <c r="M255" s="26">
        <v>5.3517279287996801E-2</v>
      </c>
      <c r="N255" s="26">
        <v>4.1033524440629618E-2</v>
      </c>
      <c r="O255" s="26"/>
    </row>
    <row r="256" spans="8:15" x14ac:dyDescent="0.3">
      <c r="H256" s="25" t="s">
        <v>300</v>
      </c>
      <c r="I256" s="26">
        <v>0.124</v>
      </c>
      <c r="J256" s="26">
        <v>-2.5000000000000001E-2</v>
      </c>
      <c r="K256" s="26">
        <v>8.8999999999999996E-2</v>
      </c>
      <c r="L256" s="26">
        <v>-6.0000000000000012E-2</v>
      </c>
      <c r="M256" s="26">
        <v>0.14960481512270371</v>
      </c>
      <c r="N256" s="26">
        <v>0.168413807676046</v>
      </c>
      <c r="O256" s="26"/>
    </row>
    <row r="257" spans="8:15" x14ac:dyDescent="0.3">
      <c r="H257" s="25" t="s">
        <v>292</v>
      </c>
      <c r="I257" s="26">
        <v>1.2500000000000001E-2</v>
      </c>
      <c r="J257" s="26">
        <v>4.5000000000000005E-3</v>
      </c>
      <c r="K257" s="26">
        <v>1.4999999999999999E-2</v>
      </c>
      <c r="L257" s="26">
        <v>7.0000000000000001E-3</v>
      </c>
      <c r="M257" s="26">
        <v>6.8086575041707599E-3</v>
      </c>
      <c r="N257" s="26">
        <v>7.1785641062755701E-3</v>
      </c>
      <c r="O257" s="26"/>
    </row>
    <row r="258" spans="8:15" x14ac:dyDescent="0.3">
      <c r="H258" s="24" t="s">
        <v>53</v>
      </c>
      <c r="I258" s="26">
        <v>9.1999999999999998E-2</v>
      </c>
      <c r="J258" s="26">
        <v>9.0000000000000045E-3</v>
      </c>
      <c r="K258" s="26">
        <v>9.8999999999999991E-2</v>
      </c>
      <c r="L258" s="26">
        <v>1.6E-2</v>
      </c>
      <c r="M258" s="26">
        <v>8.2289426886852285E-2</v>
      </c>
      <c r="N258" s="26">
        <v>0.12351381392727161</v>
      </c>
      <c r="O258" s="26"/>
    </row>
    <row r="259" spans="8:15" x14ac:dyDescent="0.3">
      <c r="H259" s="25" t="s">
        <v>288</v>
      </c>
      <c r="I259" s="26">
        <v>0</v>
      </c>
      <c r="J259" s="26">
        <v>-3.4999999999999996E-2</v>
      </c>
      <c r="K259" s="26">
        <v>0</v>
      </c>
      <c r="L259" s="26">
        <v>-3.4999999999999996E-2</v>
      </c>
      <c r="M259" s="26">
        <v>0</v>
      </c>
      <c r="N259" s="26">
        <v>3.3876297343917998E-2</v>
      </c>
      <c r="O259" s="26"/>
    </row>
    <row r="260" spans="8:15" x14ac:dyDescent="0.3">
      <c r="H260" s="25" t="s">
        <v>299</v>
      </c>
      <c r="I260" s="26">
        <v>1.2999999999999999E-2</v>
      </c>
      <c r="J260" s="26">
        <v>1.2999999999999999E-2</v>
      </c>
      <c r="K260" s="26">
        <v>1.2999999999999999E-2</v>
      </c>
      <c r="L260" s="26">
        <v>1.2999999999999999E-2</v>
      </c>
      <c r="M260" s="26">
        <v>1.7075746070312099E-2</v>
      </c>
      <c r="N260" s="26">
        <v>1.2109688947626001E-2</v>
      </c>
      <c r="O260" s="26"/>
    </row>
    <row r="261" spans="8:15" x14ac:dyDescent="0.3">
      <c r="H261" s="25" t="s">
        <v>301</v>
      </c>
      <c r="I261" s="26">
        <v>5.0999999999999997E-2</v>
      </c>
      <c r="J261" s="26">
        <v>3.5000000000000003E-2</v>
      </c>
      <c r="K261" s="26">
        <v>5.3999999999999992E-2</v>
      </c>
      <c r="L261" s="26">
        <v>3.7999999999999999E-2</v>
      </c>
      <c r="M261" s="26">
        <v>4.050005518287432E-2</v>
      </c>
      <c r="N261" s="26">
        <v>4.7257241737716005E-2</v>
      </c>
      <c r="O261" s="26"/>
    </row>
    <row r="262" spans="8:15" x14ac:dyDescent="0.3">
      <c r="H262" s="25" t="s">
        <v>290</v>
      </c>
      <c r="I262" s="26">
        <v>2.7999999999999997E-2</v>
      </c>
      <c r="J262" s="26">
        <v>-4.000000000000001E-3</v>
      </c>
      <c r="K262" s="26">
        <v>3.2000000000000001E-2</v>
      </c>
      <c r="L262" s="26">
        <v>0</v>
      </c>
      <c r="M262" s="26">
        <v>2.4713625633665869E-2</v>
      </c>
      <c r="N262" s="26">
        <v>3.0270585898011609E-2</v>
      </c>
      <c r="O262" s="26"/>
    </row>
    <row r="263" spans="8:15" x14ac:dyDescent="0.3">
      <c r="H263" s="24" t="s">
        <v>68</v>
      </c>
      <c r="I263" s="26">
        <v>6.7000000000000004E-2</v>
      </c>
      <c r="J263" s="26">
        <v>1.6999999999999994E-2</v>
      </c>
      <c r="K263" s="26">
        <v>6.7000000000000004E-2</v>
      </c>
      <c r="L263" s="26">
        <v>1.6999999999999994E-2</v>
      </c>
      <c r="M263" s="26">
        <v>7.1649275506789817E-2</v>
      </c>
      <c r="N263" s="26">
        <v>5.1283761689767726E-2</v>
      </c>
      <c r="O263" s="26"/>
    </row>
    <row r="264" spans="8:15" x14ac:dyDescent="0.3">
      <c r="H264" s="25" t="s">
        <v>298</v>
      </c>
      <c r="I264" s="26">
        <v>2.3E-2</v>
      </c>
      <c r="J264" s="26">
        <v>2.3E-2</v>
      </c>
      <c r="K264" s="26">
        <v>2.3E-2</v>
      </c>
      <c r="L264" s="26">
        <v>2.3E-2</v>
      </c>
      <c r="M264" s="26">
        <v>2.27560860419578E-2</v>
      </c>
      <c r="N264" s="26">
        <v>1.4591457204404051E-2</v>
      </c>
      <c r="O264" s="26"/>
    </row>
    <row r="265" spans="8:15" x14ac:dyDescent="0.3">
      <c r="H265" s="25" t="s">
        <v>293</v>
      </c>
      <c r="I265" s="26">
        <v>4.3999999999999997E-2</v>
      </c>
      <c r="J265" s="26">
        <v>-5.0000000000000044E-3</v>
      </c>
      <c r="K265" s="26">
        <v>4.3999999999999997E-2</v>
      </c>
      <c r="L265" s="26">
        <v>-5.0000000000000044E-3</v>
      </c>
      <c r="M265" s="26">
        <v>4.8893189464832024E-2</v>
      </c>
      <c r="N265" s="26">
        <v>3.6692304485363675E-2</v>
      </c>
      <c r="O265" s="26"/>
    </row>
    <row r="266" spans="8:15" x14ac:dyDescent="0.3">
      <c r="H266" s="25" t="s">
        <v>303</v>
      </c>
      <c r="I266" s="26">
        <v>0</v>
      </c>
      <c r="J266" s="26">
        <v>-1E-3</v>
      </c>
      <c r="K266" s="26">
        <v>0</v>
      </c>
      <c r="L266" s="26">
        <v>-1E-3</v>
      </c>
      <c r="M266" s="26">
        <v>0</v>
      </c>
      <c r="N266" s="26">
        <v>0</v>
      </c>
      <c r="O266" s="26"/>
    </row>
    <row r="267" spans="8:15" x14ac:dyDescent="0.3">
      <c r="H267" s="24" t="s">
        <v>57</v>
      </c>
      <c r="I267" s="26">
        <v>0.42499999999999999</v>
      </c>
      <c r="J267" s="26">
        <v>8.6999999999999994E-2</v>
      </c>
      <c r="K267" s="26">
        <v>0.45700000000000002</v>
      </c>
      <c r="L267" s="26">
        <v>0.11899999999999999</v>
      </c>
      <c r="M267" s="26">
        <v>0.47076007936287562</v>
      </c>
      <c r="N267" s="26">
        <v>0.37066771908085311</v>
      </c>
      <c r="O267" s="26"/>
    </row>
    <row r="268" spans="8:15" x14ac:dyDescent="0.3">
      <c r="H268" s="25" t="s">
        <v>289</v>
      </c>
      <c r="I268" s="26">
        <v>4.1000000000000002E-2</v>
      </c>
      <c r="J268" s="26">
        <v>3.3000000000000002E-2</v>
      </c>
      <c r="K268" s="26">
        <v>4.3999999999999997E-2</v>
      </c>
      <c r="L268" s="26">
        <v>3.5999999999999997E-2</v>
      </c>
      <c r="M268" s="26">
        <v>4.8145531508213768E-2</v>
      </c>
      <c r="N268" s="26">
        <v>2.6282613271332127E-2</v>
      </c>
      <c r="O268" s="26"/>
    </row>
    <row r="269" spans="8:15" x14ac:dyDescent="0.3">
      <c r="H269" s="25" t="s">
        <v>286</v>
      </c>
      <c r="I269" s="26">
        <v>0.14149999999999999</v>
      </c>
      <c r="J269" s="26">
        <v>-7.350000000000001E-2</v>
      </c>
      <c r="K269" s="26">
        <v>0.16200000000000001</v>
      </c>
      <c r="L269" s="26">
        <v>-5.2999999999999992E-2</v>
      </c>
      <c r="M269" s="26">
        <v>0.127558612075931</v>
      </c>
      <c r="N269" s="26">
        <v>0.10337870079547259</v>
      </c>
      <c r="O269" s="26"/>
    </row>
    <row r="270" spans="8:15" x14ac:dyDescent="0.3">
      <c r="H270" s="25" t="s">
        <v>296</v>
      </c>
      <c r="I270" s="26">
        <v>7.0000000000000001E-3</v>
      </c>
      <c r="J270" s="26">
        <v>6.0000000000000001E-3</v>
      </c>
      <c r="K270" s="26">
        <v>7.0000000000000001E-3</v>
      </c>
      <c r="L270" s="26">
        <v>6.0000000000000001E-3</v>
      </c>
      <c r="M270" s="26">
        <v>1.7075746070312099E-2</v>
      </c>
      <c r="N270" s="26">
        <v>1.33335221956458E-2</v>
      </c>
      <c r="O270" s="26"/>
    </row>
    <row r="271" spans="8:15" x14ac:dyDescent="0.3">
      <c r="H271" s="25" t="s">
        <v>278</v>
      </c>
      <c r="I271" s="26">
        <v>4.8000000000000001E-2</v>
      </c>
      <c r="J271" s="26">
        <v>-6.0000000000000019E-3</v>
      </c>
      <c r="K271" s="26">
        <v>5.3000000000000005E-2</v>
      </c>
      <c r="L271" s="26">
        <v>-1.0000000000000009E-3</v>
      </c>
      <c r="M271" s="26">
        <v>5.4163472771842698E-2</v>
      </c>
      <c r="N271" s="26">
        <v>6.3328149405301293E-2</v>
      </c>
      <c r="O271" s="26"/>
    </row>
    <row r="272" spans="8:15" x14ac:dyDescent="0.3">
      <c r="H272" s="25" t="s">
        <v>297</v>
      </c>
      <c r="I272" s="26">
        <v>2.3E-2</v>
      </c>
      <c r="J272" s="26">
        <v>1.9999999999999997E-2</v>
      </c>
      <c r="K272" s="26">
        <v>2.3E-2</v>
      </c>
      <c r="L272" s="26">
        <v>1.9999999999999997E-2</v>
      </c>
      <c r="M272" s="26">
        <v>3.4869992728888202E-2</v>
      </c>
      <c r="N272" s="26">
        <v>4.1340082886607288E-2</v>
      </c>
      <c r="O272" s="26"/>
    </row>
    <row r="273" spans="8:15" x14ac:dyDescent="0.3">
      <c r="H273" s="25" t="s">
        <v>299</v>
      </c>
      <c r="I273" s="26">
        <v>3.7499999999999999E-2</v>
      </c>
      <c r="J273" s="26">
        <v>3.4999999999999957E-3</v>
      </c>
      <c r="K273" s="26">
        <v>0.04</v>
      </c>
      <c r="L273" s="26">
        <v>5.9999999999999984E-3</v>
      </c>
      <c r="M273" s="26">
        <v>5.2951488392103827E-2</v>
      </c>
      <c r="N273" s="26">
        <v>3.5996856389397099E-2</v>
      </c>
      <c r="O273" s="26"/>
    </row>
    <row r="274" spans="8:15" x14ac:dyDescent="0.3">
      <c r="H274" s="25" t="s">
        <v>294</v>
      </c>
      <c r="I274" s="26">
        <v>7.9000000000000015E-2</v>
      </c>
      <c r="J274" s="26">
        <v>7.2000000000000008E-2</v>
      </c>
      <c r="K274" s="26">
        <v>0.08</v>
      </c>
      <c r="L274" s="26">
        <v>7.2999999999999995E-2</v>
      </c>
      <c r="M274" s="26">
        <v>8.1895377607144715E-2</v>
      </c>
      <c r="N274" s="26">
        <v>5.2415908777546524E-2</v>
      </c>
      <c r="O274" s="26"/>
    </row>
    <row r="275" spans="8:15" x14ac:dyDescent="0.3">
      <c r="H275" s="25" t="s">
        <v>291</v>
      </c>
      <c r="I275" s="26">
        <v>4.2999999999999997E-2</v>
      </c>
      <c r="J275" s="26">
        <v>3.5999999999999997E-2</v>
      </c>
      <c r="K275" s="26">
        <v>4.2999999999999997E-2</v>
      </c>
      <c r="L275" s="26">
        <v>3.5999999999999997E-2</v>
      </c>
      <c r="M275" s="26">
        <v>4.6016097418824356E-2</v>
      </c>
      <c r="N275" s="26">
        <v>2.8374565197088281E-2</v>
      </c>
      <c r="O275" s="26"/>
    </row>
    <row r="276" spans="8:15" x14ac:dyDescent="0.3">
      <c r="H276" s="25" t="s">
        <v>285</v>
      </c>
      <c r="I276" s="26">
        <v>5.0000000000000001E-3</v>
      </c>
      <c r="J276" s="26">
        <v>-4.0000000000000001E-3</v>
      </c>
      <c r="K276" s="26">
        <v>5.0000000000000001E-3</v>
      </c>
      <c r="L276" s="26">
        <v>-4.0000000000000001E-3</v>
      </c>
      <c r="M276" s="26">
        <v>8.0837607896149903E-3</v>
      </c>
      <c r="N276" s="26">
        <v>6.2173201624620804E-3</v>
      </c>
      <c r="O276" s="26"/>
    </row>
    <row r="277" spans="8:15" x14ac:dyDescent="0.3">
      <c r="H277" s="24" t="s">
        <v>602</v>
      </c>
      <c r="I277" s="26"/>
      <c r="J277" s="26"/>
      <c r="K277" s="26"/>
      <c r="L277" s="26"/>
      <c r="M277" s="26"/>
      <c r="N277" s="26"/>
      <c r="O277" s="26"/>
    </row>
    <row r="278" spans="8:15" x14ac:dyDescent="0.3">
      <c r="H278" s="25" t="s">
        <v>602</v>
      </c>
      <c r="I278" s="26"/>
      <c r="J278" s="26"/>
      <c r="K278" s="26"/>
      <c r="L278" s="26"/>
      <c r="M278" s="26"/>
      <c r="N278" s="26"/>
    </row>
    <row r="279" spans="8:15" x14ac:dyDescent="0.3">
      <c r="H279" s="24" t="s">
        <v>309</v>
      </c>
      <c r="I279" s="26">
        <v>1.0055000000000001</v>
      </c>
      <c r="J279" s="26">
        <v>6.4999999999999607E-3</v>
      </c>
      <c r="K279" s="26">
        <v>1.0010000000000001</v>
      </c>
      <c r="L279" s="26">
        <v>2.0000000000000122E-3</v>
      </c>
      <c r="M279" s="26">
        <v>1</v>
      </c>
      <c r="N279" s="26">
        <v>1</v>
      </c>
    </row>
  </sheetData>
  <autoFilter ref="A8:BK226" xr:uid="{00000000-0001-0000-0000-000000000000}">
    <sortState xmlns:xlrd2="http://schemas.microsoft.com/office/spreadsheetml/2017/richdata2" ref="A9:BK226">
      <sortCondition descending="1" ref="F8:F226"/>
    </sortState>
  </autoFilter>
  <mergeCells count="3">
    <mergeCell ref="R1:AD3"/>
    <mergeCell ref="AE1:AJ3"/>
    <mergeCell ref="AK1:BK3"/>
  </mergeCells>
  <conditionalFormatting sqref="F9:F60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2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6:G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22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Q22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:R60">
    <cfRule type="colorScale" priority="1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9:R222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7:BK7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">
    <cfRule type="colorScale" priority="1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60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2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2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2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2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2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2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2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2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2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2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2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2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2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2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2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2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2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2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2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2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2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2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2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2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2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2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2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2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2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2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2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2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2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2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2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2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2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2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2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2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2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2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2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2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2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10:BL60 BM9:BM222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10:BL222 BM9:BM222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10:BM60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10:BM222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250:L253 L249 L254 L255:L257 L258 L259:L262 L263 L264:L266 L267 L268:L2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L249:L279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4:R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BK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222 C223:C2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J249:J279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5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BK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:BM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759A-463B-4552-8112-D01FBA942D97}">
  <sheetPr>
    <tabColor theme="3" tint="0.499984740745262"/>
  </sheetPr>
  <dimension ref="A1:BM272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K19" sqref="K19"/>
    </sheetView>
  </sheetViews>
  <sheetFormatPr defaultRowHeight="14.4" x14ac:dyDescent="0.3"/>
  <cols>
    <col min="5" max="5" width="15" bestFit="1" customWidth="1"/>
    <col min="8" max="8" width="22.33203125" bestFit="1" customWidth="1"/>
    <col min="9" max="9" width="11.33203125" bestFit="1" customWidth="1"/>
    <col min="10" max="10" width="16.88671875" bestFit="1" customWidth="1"/>
    <col min="11" max="11" width="13.77734375" bestFit="1" customWidth="1"/>
    <col min="12" max="12" width="19.33203125" bestFit="1" customWidth="1"/>
    <col min="13" max="13" width="16.5546875" bestFit="1" customWidth="1"/>
    <col min="14" max="14" width="18.5546875" bestFit="1" customWidth="1"/>
    <col min="15" max="16" width="15.5546875" customWidth="1"/>
    <col min="17" max="17" width="11.44140625" customWidth="1"/>
    <col min="18" max="18" width="15" bestFit="1" customWidth="1"/>
    <col min="32" max="32" width="8.88671875" style="10"/>
    <col min="37" max="37" width="8.88671875" style="11"/>
    <col min="38" max="38" width="14.88671875" customWidth="1"/>
    <col min="39" max="39" width="15.88671875" customWidth="1"/>
    <col min="40" max="40" width="19.33203125" bestFit="1" customWidth="1"/>
    <col min="42" max="42" width="8.88671875" customWidth="1"/>
    <col min="44" max="44" width="23.33203125" bestFit="1" customWidth="1"/>
    <col min="45" max="45" width="21.33203125" customWidth="1"/>
    <col min="46" max="46" width="15.77734375" bestFit="1" customWidth="1"/>
    <col min="47" max="47" width="24" customWidth="1"/>
    <col min="48" max="48" width="21.77734375" bestFit="1" customWidth="1"/>
    <col min="49" max="49" width="14.88671875" bestFit="1" customWidth="1"/>
    <col min="50" max="50" width="14.6640625" customWidth="1"/>
    <col min="51" max="51" width="16.33203125" bestFit="1" customWidth="1"/>
    <col min="54" max="54" width="21.33203125" bestFit="1" customWidth="1"/>
    <col min="55" max="55" width="18.88671875" bestFit="1" customWidth="1"/>
    <col min="56" max="56" width="15.77734375" bestFit="1" customWidth="1"/>
  </cols>
  <sheetData>
    <row r="1" spans="1:65" ht="14.4" customHeight="1" x14ac:dyDescent="0.3">
      <c r="B1" s="30">
        <f>COUNTIF(B9:B222,"&gt;0")</f>
        <v>64</v>
      </c>
      <c r="E1" s="30">
        <f>COUNTIF(E9:E222,"&gt;0")</f>
        <v>107</v>
      </c>
      <c r="K1" s="51" t="s">
        <v>320</v>
      </c>
      <c r="L1" s="52" t="s">
        <v>321</v>
      </c>
      <c r="M1" s="52" t="s">
        <v>312</v>
      </c>
      <c r="N1" s="52" t="s">
        <v>313</v>
      </c>
      <c r="O1" s="52" t="s">
        <v>322</v>
      </c>
      <c r="S1" s="102" t="s">
        <v>269</v>
      </c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13" t="s">
        <v>270</v>
      </c>
      <c r="AG1" s="114"/>
      <c r="AH1" s="114"/>
      <c r="AI1" s="114"/>
      <c r="AJ1" s="114"/>
      <c r="AK1" s="115"/>
      <c r="AL1" s="104" t="s">
        <v>271</v>
      </c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</row>
    <row r="2" spans="1:65" ht="14.4" customHeight="1" x14ac:dyDescent="0.3">
      <c r="K2" s="28" t="s">
        <v>322</v>
      </c>
      <c r="L2" s="2">
        <f>SQRT(SUMSQ(L9:L222)^2)</f>
        <v>2.5911000000000021E-2</v>
      </c>
      <c r="M2" s="2">
        <f>SQRT(SUMSQ(O9:O222)^2)</f>
        <v>5.6573173760830122E-3</v>
      </c>
      <c r="N2" s="2">
        <f>SQRT(SUMSQ(R9:R222)^2)</f>
        <v>1.658034567757595E-2</v>
      </c>
      <c r="O2" s="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16"/>
      <c r="AG2" s="103"/>
      <c r="AH2" s="103"/>
      <c r="AI2" s="103"/>
      <c r="AJ2" s="103"/>
      <c r="AK2" s="117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</row>
    <row r="3" spans="1:65" ht="14.4" customHeight="1" x14ac:dyDescent="0.3">
      <c r="E3" s="30" t="s">
        <v>331</v>
      </c>
      <c r="F3" s="5">
        <f>SUMPRODUCT($D$9:$D$222,F9:F222)</f>
        <v>1.9440000000000006E-2</v>
      </c>
      <c r="K3" s="28" t="s">
        <v>325</v>
      </c>
      <c r="L3" s="2">
        <f>SQRT(SUMSQ(C9:C222)^2)</f>
        <v>2.4666250000000018E-2</v>
      </c>
      <c r="M3" s="2">
        <f>SQRT(SUMSQ(P9:P222)^2)</f>
        <v>3.230954988425766E-3</v>
      </c>
      <c r="O3" s="2">
        <f>SQRT(SUMSQ(D9:D222)^2)</f>
        <v>2.8042499999999995E-3</v>
      </c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16"/>
      <c r="AG3" s="103"/>
      <c r="AH3" s="103"/>
      <c r="AI3" s="103"/>
      <c r="AJ3" s="103"/>
      <c r="AK3" s="117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</row>
    <row r="4" spans="1:65" ht="14.4" customHeight="1" x14ac:dyDescent="0.3">
      <c r="E4" s="32" t="s">
        <v>317</v>
      </c>
      <c r="F4" s="5">
        <f>SUMPRODUCT($R$9:$R$222,F9:F222)</f>
        <v>0.28664574249368974</v>
      </c>
      <c r="R4" s="32" t="s">
        <v>331</v>
      </c>
      <c r="S4" s="4">
        <f>SUMPRODUCT($D$9:$D$226,S9:S226)</f>
        <v>9.6684999999999827E-3</v>
      </c>
      <c r="T4" s="4">
        <f t="shared" ref="T4:BL4" si="0">SUMPRODUCT($D$9:$D$226,T9:T226)</f>
        <v>2.9331999999999997E-2</v>
      </c>
      <c r="U4" s="4">
        <f t="shared" si="0"/>
        <v>8.371999999999994E-3</v>
      </c>
      <c r="V4" s="4">
        <f t="shared" si="0"/>
        <v>9.269499999999993E-3</v>
      </c>
      <c r="W4" s="4">
        <f t="shared" si="0"/>
        <v>2.1330500000000002E-2</v>
      </c>
      <c r="X4" s="4">
        <f t="shared" si="0"/>
        <v>8.8979999999999927E-3</v>
      </c>
      <c r="Y4" s="4">
        <f t="shared" si="0"/>
        <v>8.3799999999999706E-4</v>
      </c>
      <c r="Z4" s="4">
        <f t="shared" si="0"/>
        <v>9.8169999999999976E-3</v>
      </c>
      <c r="AA4" s="4">
        <f t="shared" si="0"/>
        <v>3.1654999999999964E-3</v>
      </c>
      <c r="AB4" s="4">
        <f t="shared" si="0"/>
        <v>3.173500000000001E-3</v>
      </c>
      <c r="AC4" s="4">
        <f t="shared" si="0"/>
        <v>-5.1450000000001234E-4</v>
      </c>
      <c r="AD4" s="4">
        <f t="shared" si="0"/>
        <v>-2.429500000000002E-3</v>
      </c>
      <c r="AE4" s="4">
        <f t="shared" si="0"/>
        <v>3.0979999999999983E-3</v>
      </c>
      <c r="AF4" s="4">
        <f t="shared" si="0"/>
        <v>2.0335999999999996E-2</v>
      </c>
      <c r="AG4" s="4">
        <f t="shared" si="0"/>
        <v>-7.8270000000000058E-3</v>
      </c>
      <c r="AH4" s="4">
        <f t="shared" si="0"/>
        <v>2.6000500000000003E-2</v>
      </c>
      <c r="AI4" s="4">
        <f t="shared" si="0"/>
        <v>2.9578999999999994E-2</v>
      </c>
      <c r="AJ4" s="4">
        <f t="shared" si="0"/>
        <v>4.7882000000000008E-2</v>
      </c>
      <c r="AK4" s="4">
        <f t="shared" si="0"/>
        <v>1.9688999999999998E-2</v>
      </c>
      <c r="AL4" s="4">
        <f t="shared" si="0"/>
        <v>1.7467999999999994E-2</v>
      </c>
      <c r="AM4" s="4">
        <f t="shared" si="0"/>
        <v>6.2019999999999983E-3</v>
      </c>
      <c r="AN4" s="4">
        <f t="shared" si="0"/>
        <v>2.794000000000001E-2</v>
      </c>
      <c r="AO4" s="4">
        <f t="shared" si="0"/>
        <v>-5.5355000000000057E-3</v>
      </c>
      <c r="AP4" s="4">
        <f t="shared" si="0"/>
        <v>-4.2709999999999962E-3</v>
      </c>
      <c r="AQ4" s="4">
        <f t="shared" si="0"/>
        <v>1.7142000000000001E-2</v>
      </c>
      <c r="AR4" s="4">
        <f t="shared" si="0"/>
        <v>-2.5888000000000005E-2</v>
      </c>
      <c r="AS4" s="4">
        <f t="shared" si="0"/>
        <v>-9.9550000000000003E-3</v>
      </c>
      <c r="AT4" s="4">
        <f t="shared" si="0"/>
        <v>-9.4484999999999951E-3</v>
      </c>
      <c r="AU4" s="4">
        <f t="shared" si="0"/>
        <v>1.3966499999999996E-2</v>
      </c>
      <c r="AV4" s="4">
        <f t="shared" si="0"/>
        <v>-6.421000000000004E-3</v>
      </c>
      <c r="AW4" s="4">
        <f t="shared" si="0"/>
        <v>6.046499999999992E-3</v>
      </c>
      <c r="AX4" s="4">
        <f t="shared" si="0"/>
        <v>-1.8150000000000457E-4</v>
      </c>
      <c r="AY4" s="4">
        <f t="shared" si="0"/>
        <v>2.2511E-2</v>
      </c>
      <c r="AZ4" s="4">
        <f t="shared" si="0"/>
        <v>1.3570000000000049E-3</v>
      </c>
      <c r="BA4" s="4">
        <f t="shared" si="0"/>
        <v>-2.0981000000000003E-2</v>
      </c>
      <c r="BB4" s="4">
        <f t="shared" si="0"/>
        <v>-3.2563500000000002E-2</v>
      </c>
      <c r="BC4" s="4">
        <f t="shared" si="0"/>
        <v>1.7583999999999999E-2</v>
      </c>
      <c r="BD4" s="4">
        <f t="shared" si="0"/>
        <v>1.3800999999999996E-2</v>
      </c>
      <c r="BE4" s="4">
        <f t="shared" si="0"/>
        <v>1.8860999999999996E-2</v>
      </c>
      <c r="BF4" s="4">
        <f t="shared" si="0"/>
        <v>-2.5487500000000003E-2</v>
      </c>
      <c r="BG4" s="4">
        <f t="shared" si="0"/>
        <v>-9.4050000000000019E-3</v>
      </c>
      <c r="BH4" s="4">
        <f t="shared" si="0"/>
        <v>-8.6419999999999969E-3</v>
      </c>
      <c r="BI4" s="4">
        <f t="shared" si="0"/>
        <v>6.5025000000000074E-3</v>
      </c>
      <c r="BJ4" s="4">
        <f t="shared" si="0"/>
        <v>1.1114999999999964E-3</v>
      </c>
      <c r="BK4" s="4">
        <f t="shared" si="0"/>
        <v>-7.2379999999999986E-2</v>
      </c>
      <c r="BL4" s="4">
        <f t="shared" si="0"/>
        <v>5.0514499999999997E-2</v>
      </c>
    </row>
    <row r="5" spans="1:65" ht="14.4" customHeight="1" x14ac:dyDescent="0.3">
      <c r="E5" s="32" t="s">
        <v>318</v>
      </c>
      <c r="F5" s="5">
        <f>SUMPRODUCT($O$9:$O$222,F9:F222)</f>
        <v>-0.16852386910562725</v>
      </c>
      <c r="R5" s="32" t="s">
        <v>317</v>
      </c>
      <c r="S5" s="5">
        <f t="shared" ref="S5:BL5" si="1">SUMPRODUCT($R$9:$R$226,S9:S226)</f>
        <v>0.22174160765494907</v>
      </c>
      <c r="T5" s="5">
        <f t="shared" si="1"/>
        <v>0.10194262943113168</v>
      </c>
      <c r="U5" s="5">
        <f t="shared" si="1"/>
        <v>0.29679100678856624</v>
      </c>
      <c r="V5" s="5">
        <f t="shared" si="1"/>
        <v>0.16921709844852251</v>
      </c>
      <c r="W5" s="5">
        <f t="shared" si="1"/>
        <v>0.19721737567601838</v>
      </c>
      <c r="X5" s="5">
        <f t="shared" si="1"/>
        <v>0.16364992082179217</v>
      </c>
      <c r="Y5" s="5">
        <f t="shared" si="1"/>
        <v>0.13382343359978383</v>
      </c>
      <c r="Z5" s="5">
        <f t="shared" si="1"/>
        <v>7.2871613435268129E-2</v>
      </c>
      <c r="AA5" s="5">
        <f t="shared" si="1"/>
        <v>-2.5088190258322002E-2</v>
      </c>
      <c r="AB5" s="5">
        <f t="shared" si="1"/>
        <v>-2.5322700910054965E-2</v>
      </c>
      <c r="AC5" s="5">
        <f t="shared" si="1"/>
        <v>3.0687890864117801E-2</v>
      </c>
      <c r="AD5" s="5">
        <f t="shared" si="1"/>
        <v>2.1845267659480555E-2</v>
      </c>
      <c r="AE5" s="5">
        <f t="shared" si="1"/>
        <v>2.5600078351840083E-2</v>
      </c>
      <c r="AF5" s="39">
        <f t="shared" si="1"/>
        <v>0.22063732474899761</v>
      </c>
      <c r="AG5" s="6">
        <f t="shared" si="1"/>
        <v>0.25241668713086352</v>
      </c>
      <c r="AH5" s="6">
        <f t="shared" si="1"/>
        <v>-9.2418167041568924E-2</v>
      </c>
      <c r="AI5" s="6">
        <f t="shared" si="1"/>
        <v>0.27126809100516541</v>
      </c>
      <c r="AJ5" s="6">
        <f t="shared" si="1"/>
        <v>1.5520948639651359E-3</v>
      </c>
      <c r="AK5" s="7">
        <f t="shared" si="1"/>
        <v>0.20091319516645917</v>
      </c>
      <c r="AL5" s="5">
        <f t="shared" si="1"/>
        <v>0.1016991818404147</v>
      </c>
      <c r="AM5" s="5">
        <f t="shared" si="1"/>
        <v>0.11965999374916121</v>
      </c>
      <c r="AN5" s="5">
        <f t="shared" si="1"/>
        <v>7.3654787746659386E-2</v>
      </c>
      <c r="AO5" s="5">
        <f t="shared" si="1"/>
        <v>0.19499024714382665</v>
      </c>
      <c r="AP5" s="5">
        <f t="shared" si="1"/>
        <v>-0.16641296597484556</v>
      </c>
      <c r="AQ5" s="5">
        <f t="shared" si="1"/>
        <v>-0.19067518099452943</v>
      </c>
      <c r="AR5" s="5">
        <f t="shared" si="1"/>
        <v>5.6994617540446178E-2</v>
      </c>
      <c r="AS5" s="5">
        <f t="shared" si="1"/>
        <v>-3.370954638094438E-2</v>
      </c>
      <c r="AT5" s="5">
        <f t="shared" si="1"/>
        <v>-2.7656651221599524E-2</v>
      </c>
      <c r="AU5" s="5">
        <f t="shared" si="1"/>
        <v>-1.5705865548299846E-4</v>
      </c>
      <c r="AV5" s="5">
        <f t="shared" si="1"/>
        <v>1.4812709364335687E-2</v>
      </c>
      <c r="AW5" s="5">
        <f t="shared" si="1"/>
        <v>5.8965738757343469E-2</v>
      </c>
      <c r="AX5" s="5">
        <f t="shared" si="1"/>
        <v>-7.8766404198588769E-2</v>
      </c>
      <c r="AY5" s="5">
        <f t="shared" si="1"/>
        <v>6.7995092398943927E-2</v>
      </c>
      <c r="AZ5" s="5">
        <f t="shared" si="1"/>
        <v>-2.7408266164727295E-2</v>
      </c>
      <c r="BA5" s="5">
        <f t="shared" si="1"/>
        <v>8.8047379551004709E-2</v>
      </c>
      <c r="BB5" s="5">
        <f t="shared" si="1"/>
        <v>0.1347173715690651</v>
      </c>
      <c r="BC5" s="5">
        <f t="shared" si="1"/>
        <v>2.8263094775688339E-2</v>
      </c>
      <c r="BD5" s="5">
        <f t="shared" si="1"/>
        <v>0.10109906321626576</v>
      </c>
      <c r="BE5" s="5">
        <f t="shared" si="1"/>
        <v>-4.0792204431505504E-2</v>
      </c>
      <c r="BF5" s="5">
        <f t="shared" si="1"/>
        <v>0.13132797755774697</v>
      </c>
      <c r="BG5" s="5">
        <f t="shared" si="1"/>
        <v>0.11862848413243707</v>
      </c>
      <c r="BH5" s="5">
        <f t="shared" si="1"/>
        <v>-9.972302322775321E-3</v>
      </c>
      <c r="BI5" s="5">
        <f t="shared" si="1"/>
        <v>6.4904499532822138E-2</v>
      </c>
      <c r="BJ5" s="5">
        <f t="shared" si="1"/>
        <v>8.5244862463761381E-2</v>
      </c>
      <c r="BK5" s="5">
        <f t="shared" si="1"/>
        <v>0.223853607790614</v>
      </c>
      <c r="BL5" s="5">
        <f t="shared" si="1"/>
        <v>9.1722540163708399E-2</v>
      </c>
    </row>
    <row r="6" spans="1:65" x14ac:dyDescent="0.3">
      <c r="E6" s="32" t="s">
        <v>319</v>
      </c>
      <c r="F6" s="5">
        <f>SUMPRODUCT($L$9:$L$222,F9:F222)</f>
        <v>1.1682899999999998</v>
      </c>
      <c r="G6" s="5">
        <f>SUMPRODUCT($L$9:$L$222,G9:G222)</f>
        <v>0.98529799999999956</v>
      </c>
      <c r="M6" s="5"/>
      <c r="N6" s="5"/>
      <c r="O6" s="5"/>
      <c r="P6" s="5"/>
      <c r="Q6" s="5"/>
      <c r="R6" s="32" t="s">
        <v>318</v>
      </c>
      <c r="S6" s="5">
        <f t="shared" ref="S6:BL6" si="2">SUMPRODUCT($O$9:$O$226,S8:S225)</f>
        <v>-8.3684055686849501E-2</v>
      </c>
      <c r="T6" s="5">
        <f t="shared" si="2"/>
        <v>-9.3971220909423961E-2</v>
      </c>
      <c r="U6" s="5">
        <f t="shared" si="2"/>
        <v>-0.10467822270787037</v>
      </c>
      <c r="V6" s="5">
        <f t="shared" si="2"/>
        <v>-5.7609762141449167E-2</v>
      </c>
      <c r="W6" s="5">
        <f t="shared" si="2"/>
        <v>-9.1990102541094937E-2</v>
      </c>
      <c r="X6" s="5">
        <f t="shared" si="2"/>
        <v>-3.7293003501126569E-2</v>
      </c>
      <c r="Y6" s="5">
        <f t="shared" si="2"/>
        <v>3.6994201377760507E-3</v>
      </c>
      <c r="Z6" s="5">
        <f t="shared" si="2"/>
        <v>-3.3053559504332801E-2</v>
      </c>
      <c r="AA6" s="5">
        <f t="shared" si="2"/>
        <v>-1.803422802344859E-2</v>
      </c>
      <c r="AB6" s="5">
        <f t="shared" si="2"/>
        <v>-1.7891014139107202E-2</v>
      </c>
      <c r="AC6" s="5">
        <f t="shared" si="2"/>
        <v>3.7181744811204099E-3</v>
      </c>
      <c r="AD6" s="5">
        <f t="shared" si="2"/>
        <v>-6.6764367269017862E-3</v>
      </c>
      <c r="AE6" s="5">
        <f t="shared" si="2"/>
        <v>-1.3498708840099134E-2</v>
      </c>
      <c r="AF6" s="39">
        <f t="shared" si="2"/>
        <v>-1.4648731187486719E-2</v>
      </c>
      <c r="AG6" s="6">
        <f t="shared" si="2"/>
        <v>-3.6269826554722197E-2</v>
      </c>
      <c r="AH6" s="6">
        <f t="shared" si="2"/>
        <v>-7.0802769877167257E-2</v>
      </c>
      <c r="AI6" s="6">
        <f t="shared" si="2"/>
        <v>-0.103354272801223</v>
      </c>
      <c r="AJ6" s="6">
        <f t="shared" si="2"/>
        <v>-0.10494772670820159</v>
      </c>
      <c r="AK6" s="7">
        <f t="shared" si="2"/>
        <v>-7.5004198814930464E-2</v>
      </c>
      <c r="AL6" s="5">
        <f t="shared" si="2"/>
        <v>-6.2255997714352911E-2</v>
      </c>
      <c r="AM6" s="5">
        <f t="shared" si="2"/>
        <v>9.006301373235549E-4</v>
      </c>
      <c r="AN6" s="5">
        <f t="shared" si="2"/>
        <v>-8.9356370143167302E-2</v>
      </c>
      <c r="AO6" s="5">
        <f t="shared" si="2"/>
        <v>1.5757643879093449E-2</v>
      </c>
      <c r="AP6" s="5">
        <f t="shared" si="2"/>
        <v>-1.2357878331924E-3</v>
      </c>
      <c r="AQ6" s="5">
        <f t="shared" si="2"/>
        <v>-3.110550897789123E-2</v>
      </c>
      <c r="AR6" s="5">
        <f t="shared" si="2"/>
        <v>-2.6559380657603354E-2</v>
      </c>
      <c r="AS6" s="5">
        <f t="shared" si="2"/>
        <v>8.5542621598587252E-3</v>
      </c>
      <c r="AT6" s="5">
        <f t="shared" si="2"/>
        <v>3.5708808047066609E-3</v>
      </c>
      <c r="AU6" s="5">
        <f t="shared" si="2"/>
        <v>2.6298344665314454E-2</v>
      </c>
      <c r="AV6" s="5">
        <f t="shared" si="2"/>
        <v>1.0244863353458696E-2</v>
      </c>
      <c r="AW6" s="5">
        <f t="shared" si="2"/>
        <v>-2.9442844613354335E-3</v>
      </c>
      <c r="AX6" s="5">
        <f t="shared" si="2"/>
        <v>2.5054981632016381E-2</v>
      </c>
      <c r="AY6" s="5">
        <f t="shared" si="2"/>
        <v>2.0104091117129165E-2</v>
      </c>
      <c r="AZ6" s="5">
        <f t="shared" si="2"/>
        <v>5.686808960181923E-2</v>
      </c>
      <c r="BA6" s="5">
        <f t="shared" si="2"/>
        <v>1.4796059043397531E-2</v>
      </c>
      <c r="BB6" s="5">
        <f t="shared" si="2"/>
        <v>1.2960485112381091E-2</v>
      </c>
      <c r="BC6" s="5">
        <f t="shared" si="2"/>
        <v>-5.2264968850031356E-3</v>
      </c>
      <c r="BD6" s="5">
        <f t="shared" si="2"/>
        <v>-4.7195618386480356E-2</v>
      </c>
      <c r="BE6" s="5">
        <f t="shared" si="2"/>
        <v>1.0642579264907767E-2</v>
      </c>
      <c r="BF6" s="5">
        <f t="shared" si="2"/>
        <v>-7.0377615938876606E-2</v>
      </c>
      <c r="BG6" s="5">
        <f t="shared" si="2"/>
        <v>3.6879417831503614E-2</v>
      </c>
      <c r="BH6" s="5">
        <f t="shared" si="2"/>
        <v>4.7459564110205313E-2</v>
      </c>
      <c r="BI6" s="5">
        <f t="shared" si="2"/>
        <v>2.8905681830655106E-2</v>
      </c>
      <c r="BJ6" s="5">
        <f t="shared" si="2"/>
        <v>-3.2562797142143211E-2</v>
      </c>
      <c r="BK6" s="5">
        <f t="shared" si="2"/>
        <v>-6.0106718617006318E-2</v>
      </c>
      <c r="BL6" s="5">
        <f t="shared" si="2"/>
        <v>-9.4285100856827703E-2</v>
      </c>
    </row>
    <row r="7" spans="1:65" ht="15" thickBot="1" x14ac:dyDescent="0.35">
      <c r="B7" s="96">
        <f>SUM(B9:B222)</f>
        <v>0.99950000000000061</v>
      </c>
      <c r="C7" s="90"/>
      <c r="D7" s="90"/>
      <c r="E7" s="96">
        <f>SUM(E9:E222)</f>
        <v>1.0050000000000006</v>
      </c>
      <c r="F7" s="97"/>
      <c r="G7" s="97"/>
      <c r="H7" s="90"/>
      <c r="I7" s="90"/>
      <c r="J7" s="90"/>
      <c r="K7" s="96">
        <f>SUM(K9:K222)</f>
        <v>1.0000000000000007</v>
      </c>
      <c r="L7" s="90"/>
      <c r="M7" s="97"/>
      <c r="N7" s="96">
        <f>SUM(N9:N222)</f>
        <v>1</v>
      </c>
      <c r="O7" s="97"/>
      <c r="P7" s="97"/>
      <c r="Q7" s="96">
        <f>SUM(Q9:Q222)</f>
        <v>0.99999999999999978</v>
      </c>
      <c r="R7" s="32" t="s">
        <v>319</v>
      </c>
      <c r="S7" s="5">
        <f t="shared" ref="S7:BL7" si="3">SUMPRODUCT($L$9:$L$226,S9:S226)</f>
        <v>0.66916100000000012</v>
      </c>
      <c r="T7" s="5">
        <f t="shared" si="3"/>
        <v>0.61190500000000003</v>
      </c>
      <c r="U7" s="5">
        <f t="shared" si="3"/>
        <v>0.63462400000000008</v>
      </c>
      <c r="V7" s="5">
        <f t="shared" si="3"/>
        <v>0.67922699999999969</v>
      </c>
      <c r="W7" s="5">
        <f t="shared" si="3"/>
        <v>0.67094700000000018</v>
      </c>
      <c r="X7" s="5">
        <f t="shared" si="3"/>
        <v>0.66300800000000037</v>
      </c>
      <c r="Y7" s="5">
        <f t="shared" si="3"/>
        <v>0.59210800000000041</v>
      </c>
      <c r="Z7" s="5">
        <f t="shared" si="3"/>
        <v>0.68279600000000007</v>
      </c>
      <c r="AA7" s="5">
        <f t="shared" si="3"/>
        <v>0.39129300000000011</v>
      </c>
      <c r="AB7" s="5">
        <f t="shared" si="3"/>
        <v>0.39074099999999989</v>
      </c>
      <c r="AC7" s="5">
        <f t="shared" si="3"/>
        <v>0.24493900000000021</v>
      </c>
      <c r="AD7" s="6">
        <f t="shared" si="3"/>
        <v>0.24754100000000018</v>
      </c>
      <c r="AE7" s="13">
        <f t="shared" si="3"/>
        <v>0.36119800000000035</v>
      </c>
      <c r="AF7" s="36">
        <f t="shared" si="3"/>
        <v>0.41492000000000007</v>
      </c>
      <c r="AG7" s="37">
        <f t="shared" si="3"/>
        <v>0.41928600000000016</v>
      </c>
      <c r="AH7" s="37">
        <f t="shared" si="3"/>
        <v>0.45437600000000006</v>
      </c>
      <c r="AI7" s="37">
        <f t="shared" si="3"/>
        <v>0.33481999999999995</v>
      </c>
      <c r="AJ7" s="37">
        <f t="shared" si="3"/>
        <v>0.40601600000000004</v>
      </c>
      <c r="AK7" s="40">
        <f t="shared" si="3"/>
        <v>0.39413199999999993</v>
      </c>
      <c r="AL7" s="6">
        <f t="shared" si="3"/>
        <v>0.12378500000000002</v>
      </c>
      <c r="AM7" s="5">
        <f t="shared" si="3"/>
        <v>0.36926900000000007</v>
      </c>
      <c r="AN7" s="5">
        <f t="shared" si="3"/>
        <v>3.6666000000000067E-2</v>
      </c>
      <c r="AO7" s="5">
        <f t="shared" si="3"/>
        <v>4.1832000000000036E-2</v>
      </c>
      <c r="AP7" s="5">
        <f t="shared" si="3"/>
        <v>0.29581600000000002</v>
      </c>
      <c r="AQ7" s="5">
        <f t="shared" si="3"/>
        <v>9.5837000000000075E-2</v>
      </c>
      <c r="AR7" s="5">
        <f t="shared" si="3"/>
        <v>0.17525700000000002</v>
      </c>
      <c r="AS7" s="5">
        <f t="shared" si="3"/>
        <v>0.16291999999999973</v>
      </c>
      <c r="AT7" s="5">
        <f t="shared" si="3"/>
        <v>0.12757500000000005</v>
      </c>
      <c r="AU7" s="5">
        <f t="shared" si="3"/>
        <v>0.14287599999999998</v>
      </c>
      <c r="AV7" s="5">
        <f t="shared" si="3"/>
        <v>5.7602999999999974E-2</v>
      </c>
      <c r="AW7" s="5">
        <f t="shared" si="3"/>
        <v>0.23352999999999999</v>
      </c>
      <c r="AX7" s="5">
        <f t="shared" si="3"/>
        <v>0.14505799999999996</v>
      </c>
      <c r="AY7" s="5">
        <f t="shared" si="3"/>
        <v>0.12618299999999999</v>
      </c>
      <c r="AZ7" s="5">
        <f t="shared" si="3"/>
        <v>-4.9700999999999926E-2</v>
      </c>
      <c r="BA7" s="5">
        <f t="shared" si="3"/>
        <v>0.15362499999999993</v>
      </c>
      <c r="BB7" s="5">
        <f t="shared" si="3"/>
        <v>0.27628099999999989</v>
      </c>
      <c r="BC7" s="5">
        <f t="shared" si="3"/>
        <v>4.8015000000000044E-2</v>
      </c>
      <c r="BD7" s="5">
        <f t="shared" si="3"/>
        <v>0.11227699999999999</v>
      </c>
      <c r="BE7" s="5">
        <f t="shared" si="3"/>
        <v>3.3352000000000055E-2</v>
      </c>
      <c r="BF7" s="5">
        <f t="shared" si="3"/>
        <v>3.0717000000000022E-2</v>
      </c>
      <c r="BG7" s="5">
        <f t="shared" si="3"/>
        <v>0.12595200000000004</v>
      </c>
      <c r="BH7" s="5">
        <f t="shared" si="3"/>
        <v>0.15659400000000007</v>
      </c>
      <c r="BI7" s="5">
        <f t="shared" si="3"/>
        <v>-0.2757679999999999</v>
      </c>
      <c r="BJ7" s="5">
        <f t="shared" si="3"/>
        <v>-5.0138000000000016E-2</v>
      </c>
      <c r="BK7" s="5">
        <f t="shared" si="3"/>
        <v>0.53439200000000009</v>
      </c>
      <c r="BL7" s="5">
        <f t="shared" si="3"/>
        <v>0.15120800000000006</v>
      </c>
    </row>
    <row r="8" spans="1:65" ht="15" thickBot="1" x14ac:dyDescent="0.35">
      <c r="A8" s="18" t="s">
        <v>0</v>
      </c>
      <c r="B8" s="55" t="s">
        <v>325</v>
      </c>
      <c r="C8" s="56" t="s">
        <v>332</v>
      </c>
      <c r="D8" s="56" t="s">
        <v>330</v>
      </c>
      <c r="E8" s="57" t="s">
        <v>321</v>
      </c>
      <c r="F8" s="18" t="s">
        <v>1</v>
      </c>
      <c r="G8" s="18" t="s">
        <v>2</v>
      </c>
      <c r="H8" s="65" t="s">
        <v>3</v>
      </c>
      <c r="I8" s="22" t="s">
        <v>305</v>
      </c>
      <c r="J8" s="22" t="s">
        <v>307</v>
      </c>
      <c r="K8" s="30" t="s">
        <v>334</v>
      </c>
      <c r="L8" s="18" t="s">
        <v>5</v>
      </c>
      <c r="M8" s="3" t="s">
        <v>272</v>
      </c>
      <c r="N8" s="45" t="s">
        <v>314</v>
      </c>
      <c r="O8" s="60" t="s">
        <v>318</v>
      </c>
      <c r="P8" s="46" t="s">
        <v>329</v>
      </c>
      <c r="Q8" s="45" t="s">
        <v>315</v>
      </c>
      <c r="R8" s="60" t="s">
        <v>317</v>
      </c>
      <c r="S8" s="3" t="s">
        <v>6</v>
      </c>
      <c r="T8" s="3" t="s">
        <v>7</v>
      </c>
      <c r="U8" s="3" t="s">
        <v>8</v>
      </c>
      <c r="V8" s="3" t="s">
        <v>9</v>
      </c>
      <c r="W8" s="3" t="s">
        <v>10</v>
      </c>
      <c r="X8" s="3" t="s">
        <v>11</v>
      </c>
      <c r="Y8" s="3" t="s">
        <v>12</v>
      </c>
      <c r="Z8" s="3" t="s">
        <v>13</v>
      </c>
      <c r="AA8" s="3" t="s">
        <v>14</v>
      </c>
      <c r="AB8" s="3" t="s">
        <v>15</v>
      </c>
      <c r="AC8" s="3" t="s">
        <v>16</v>
      </c>
      <c r="AD8" s="3" t="s">
        <v>17</v>
      </c>
      <c r="AE8" s="15" t="s">
        <v>18</v>
      </c>
      <c r="AF8" s="14" t="s">
        <v>19</v>
      </c>
      <c r="AG8" s="15" t="s">
        <v>20</v>
      </c>
      <c r="AH8" s="15" t="s">
        <v>21</v>
      </c>
      <c r="AI8" s="15" t="s">
        <v>22</v>
      </c>
      <c r="AJ8" s="15" t="s">
        <v>23</v>
      </c>
      <c r="AK8" s="8" t="s">
        <v>24</v>
      </c>
      <c r="AL8" s="3" t="s">
        <v>25</v>
      </c>
      <c r="AM8" s="3" t="s">
        <v>26</v>
      </c>
      <c r="AN8" s="3" t="s">
        <v>27</v>
      </c>
      <c r="AO8" s="3" t="s">
        <v>28</v>
      </c>
      <c r="AP8" s="3" t="s">
        <v>29</v>
      </c>
      <c r="AQ8" s="3" t="s">
        <v>30</v>
      </c>
      <c r="AR8" s="3" t="s">
        <v>31</v>
      </c>
      <c r="AS8" s="3" t="s">
        <v>32</v>
      </c>
      <c r="AT8" s="3" t="s">
        <v>33</v>
      </c>
      <c r="AU8" s="3" t="s">
        <v>34</v>
      </c>
      <c r="AV8" s="3" t="s">
        <v>35</v>
      </c>
      <c r="AW8" s="85" t="s">
        <v>36</v>
      </c>
      <c r="AX8" s="3" t="s">
        <v>37</v>
      </c>
      <c r="AY8" s="3" t="s">
        <v>38</v>
      </c>
      <c r="AZ8" s="3" t="s">
        <v>39</v>
      </c>
      <c r="BA8" s="3" t="s">
        <v>40</v>
      </c>
      <c r="BB8" s="3" t="s">
        <v>41</v>
      </c>
      <c r="BC8" s="3" t="s">
        <v>42</v>
      </c>
      <c r="BD8" s="3" t="s">
        <v>43</v>
      </c>
      <c r="BE8" s="3" t="s">
        <v>44</v>
      </c>
      <c r="BF8" s="3" t="s">
        <v>45</v>
      </c>
      <c r="BG8" s="3" t="s">
        <v>46</v>
      </c>
      <c r="BH8" s="3" t="s">
        <v>47</v>
      </c>
      <c r="BI8" s="3" t="s">
        <v>48</v>
      </c>
      <c r="BJ8" s="3" t="s">
        <v>49</v>
      </c>
      <c r="BK8" s="3" t="s">
        <v>50</v>
      </c>
      <c r="BL8" s="19" t="s">
        <v>51</v>
      </c>
    </row>
    <row r="9" spans="1:65" x14ac:dyDescent="0.3">
      <c r="A9" s="19" t="s">
        <v>91</v>
      </c>
      <c r="B9" s="53">
        <v>2.5999999999999999E-2</v>
      </c>
      <c r="C9" s="53">
        <f>B9-E9</f>
        <v>1.7999999999999999E-2</v>
      </c>
      <c r="D9" s="53">
        <f>B9-K9</f>
        <v>9.9999999999999985E-3</v>
      </c>
      <c r="E9" s="53">
        <f>K9-L9</f>
        <v>8.0000000000000002E-3</v>
      </c>
      <c r="F9" s="15">
        <v>3.6120000000000001</v>
      </c>
      <c r="G9" s="19">
        <v>4.6829999999999998</v>
      </c>
      <c r="H9" s="24" t="s">
        <v>57</v>
      </c>
      <c r="I9" t="str">
        <f>VLOOKUP(A9,Setores!$A$2:$C$215,2,0)</f>
        <v>homebuilders</v>
      </c>
      <c r="J9" t="str">
        <f>VLOOKUP(A9,Setores!$A$2:$C$215,3,0)</f>
        <v>very_high_beta</v>
      </c>
      <c r="K9" s="2">
        <v>1.6E-2</v>
      </c>
      <c r="L9" s="2">
        <v>8.0000000000000002E-3</v>
      </c>
      <c r="M9" s="71">
        <v>80</v>
      </c>
      <c r="N9" s="41">
        <f>VLOOKUP(A9,'Mandato Smll'!$A$2:$C$215,2,0)</f>
        <v>3.6202387538346703E-2</v>
      </c>
      <c r="O9" s="58">
        <f>K9-N9</f>
        <v>-2.0202387538346703E-2</v>
      </c>
      <c r="P9" s="42">
        <f>B9-N9</f>
        <v>-1.0202387538346704E-2</v>
      </c>
      <c r="Q9" s="41">
        <f>VLOOKUP(A9,'Mandato Smll'!$A$2:$C$215,3,0)</f>
        <v>3.26808525613944E-2</v>
      </c>
      <c r="R9" s="58">
        <f>K9-Q9</f>
        <v>-1.6680852561394399E-2</v>
      </c>
      <c r="S9" s="15">
        <v>1</v>
      </c>
      <c r="T9" s="15">
        <v>1</v>
      </c>
      <c r="U9" s="15">
        <v>0.60599999999999998</v>
      </c>
      <c r="V9" s="15">
        <v>1</v>
      </c>
      <c r="W9" s="15">
        <v>1</v>
      </c>
      <c r="X9" s="15">
        <v>1</v>
      </c>
      <c r="Y9" s="15">
        <v>0.97299999999999998</v>
      </c>
      <c r="Z9" s="15">
        <v>1</v>
      </c>
      <c r="AA9" s="15">
        <v>0.69499999999999995</v>
      </c>
      <c r="AB9" s="15">
        <v>0.69099999999999995</v>
      </c>
      <c r="AC9" s="15">
        <v>0.92900000000000005</v>
      </c>
      <c r="AD9" s="15">
        <v>0.85899999999999999</v>
      </c>
      <c r="AE9" s="15">
        <v>1</v>
      </c>
      <c r="AF9" s="14">
        <v>1</v>
      </c>
      <c r="AG9" s="15">
        <v>0.93799999999999994</v>
      </c>
      <c r="AH9" s="15">
        <v>1</v>
      </c>
      <c r="AI9" s="15">
        <v>-0.41499999999999998</v>
      </c>
      <c r="AJ9" s="15">
        <v>0.72799999999999998</v>
      </c>
      <c r="AK9" s="9">
        <v>0.253</v>
      </c>
      <c r="AL9" s="4">
        <v>0.29599999999999999</v>
      </c>
      <c r="AM9" s="4">
        <v>-5.2999999999999999E-2</v>
      </c>
      <c r="AN9" s="4">
        <v>-0.41099999999999998</v>
      </c>
      <c r="AO9" s="4">
        <v>0.313</v>
      </c>
      <c r="AP9" s="4">
        <v>0.63200000000000001</v>
      </c>
      <c r="AQ9" s="4">
        <v>0.92700000000000005</v>
      </c>
      <c r="AR9" s="4">
        <v>0.53200000000000003</v>
      </c>
      <c r="AS9" s="4">
        <v>0.182</v>
      </c>
      <c r="AT9" s="4">
        <v>0.309</v>
      </c>
      <c r="AU9" s="4">
        <v>0.33</v>
      </c>
      <c r="AV9" s="4">
        <v>0.41399999999999998</v>
      </c>
      <c r="AW9" s="4">
        <v>0.90800000000000003</v>
      </c>
      <c r="AX9" s="4">
        <v>-4.4999999999999998E-2</v>
      </c>
      <c r="AY9" s="4">
        <v>0.13600000000000001</v>
      </c>
      <c r="AZ9" s="4">
        <v>-0.17599999999999999</v>
      </c>
      <c r="BA9" s="4">
        <v>0.53700000000000003</v>
      </c>
      <c r="BB9" s="4">
        <v>-0.253</v>
      </c>
      <c r="BC9" s="4">
        <v>8.0000000000000002E-3</v>
      </c>
      <c r="BD9" s="4">
        <v>0.54100000000000004</v>
      </c>
      <c r="BE9" s="4">
        <v>0.64700000000000002</v>
      </c>
      <c r="BF9" s="4">
        <v>0.217</v>
      </c>
      <c r="BG9" s="4">
        <v>0.151</v>
      </c>
      <c r="BH9" s="4">
        <v>0.14199999999999999</v>
      </c>
      <c r="BI9" s="4">
        <v>-0.85699999999999998</v>
      </c>
      <c r="BJ9" s="4">
        <v>0.70399999999999996</v>
      </c>
      <c r="BK9" s="4">
        <v>-5.0999999999999997E-2</v>
      </c>
      <c r="BL9" s="4">
        <v>-0.25800000000000001</v>
      </c>
      <c r="BM9" s="4"/>
    </row>
    <row r="10" spans="1:65" x14ac:dyDescent="0.3">
      <c r="A10" s="19" t="s">
        <v>52</v>
      </c>
      <c r="B10" s="53">
        <v>1.4999999999999999E-2</v>
      </c>
      <c r="C10" s="53">
        <f t="shared" ref="C10:C73" si="4">B10-E10</f>
        <v>1.4999999999999999E-2</v>
      </c>
      <c r="D10" s="53">
        <f t="shared" ref="D10:D73" si="5">B10-K10</f>
        <v>0</v>
      </c>
      <c r="E10" s="53">
        <f t="shared" ref="E10:E73" si="6">K10-L10</f>
        <v>0</v>
      </c>
      <c r="F10" s="15">
        <v>3.6120000000000001</v>
      </c>
      <c r="G10" s="19">
        <v>3.5110000000000001</v>
      </c>
      <c r="H10" s="24" t="s">
        <v>53</v>
      </c>
      <c r="I10" t="str">
        <f>VLOOKUP(A10,Setores!$A$2:$C$215,2,0)</f>
        <v>financial_services</v>
      </c>
      <c r="J10" t="str">
        <f>VLOOKUP(A10,Setores!$A$2:$C$215,3,0)</f>
        <v>very_low_beta</v>
      </c>
      <c r="K10" s="2">
        <v>1.4999999999999999E-2</v>
      </c>
      <c r="L10" s="2">
        <v>1.4999999999999999E-2</v>
      </c>
      <c r="M10" s="71">
        <v>80</v>
      </c>
      <c r="N10" s="41">
        <f>VLOOKUP(A10,'Mandato Smll'!$A$2:$C$215,2,0)</f>
        <v>1.60682340853559E-2</v>
      </c>
      <c r="O10" s="58">
        <f t="shared" ref="O10:O73" si="7">K10-N10</f>
        <v>-1.0682340853559007E-3</v>
      </c>
      <c r="P10" s="42">
        <f t="shared" ref="P10:P73" si="8">B10-N10</f>
        <v>-1.0682340853559007E-3</v>
      </c>
      <c r="Q10" s="41">
        <f>VLOOKUP(A10,'Mandato Smll'!$A$2:$C$215,3,0)</f>
        <v>9.6893832985556292E-3</v>
      </c>
      <c r="R10" s="58">
        <f t="shared" ref="R10:R73" si="9">K10-Q10</f>
        <v>5.3106167014443702E-3</v>
      </c>
      <c r="S10" s="15">
        <v>1</v>
      </c>
      <c r="T10" s="15">
        <v>0.96599999999999997</v>
      </c>
      <c r="U10" s="15">
        <v>1</v>
      </c>
      <c r="V10" s="15">
        <v>1</v>
      </c>
      <c r="W10" s="15">
        <v>1</v>
      </c>
      <c r="X10" s="15">
        <v>1</v>
      </c>
      <c r="Y10" s="15">
        <v>1</v>
      </c>
      <c r="Z10" s="15">
        <v>0.63100000000000001</v>
      </c>
      <c r="AA10" s="15">
        <v>0.72399999999999998</v>
      </c>
      <c r="AB10" s="15">
        <v>0.72299999999999998</v>
      </c>
      <c r="AC10" s="15">
        <v>1</v>
      </c>
      <c r="AD10" s="15">
        <v>1</v>
      </c>
      <c r="AE10" s="15">
        <v>0.99</v>
      </c>
      <c r="AF10" s="14">
        <v>1</v>
      </c>
      <c r="AG10" s="15">
        <v>0.20499999999999999</v>
      </c>
      <c r="AH10" s="15">
        <v>0.42099999999999999</v>
      </c>
      <c r="AI10" s="15">
        <v>0.54600000000000004</v>
      </c>
      <c r="AJ10" s="15">
        <v>0.997</v>
      </c>
      <c r="AK10" s="9">
        <v>1</v>
      </c>
      <c r="AL10" s="4">
        <v>0.55100000000000005</v>
      </c>
      <c r="AM10" s="4">
        <v>-0.187</v>
      </c>
      <c r="AN10" s="4">
        <v>-0.26300000000000001</v>
      </c>
      <c r="AO10" s="4">
        <v>5.5E-2</v>
      </c>
      <c r="AP10" s="4">
        <v>3.5999999999999997E-2</v>
      </c>
      <c r="AQ10" s="4">
        <v>0.11799999999999999</v>
      </c>
      <c r="AR10" s="4">
        <v>0.27100000000000002</v>
      </c>
      <c r="AS10" s="4">
        <v>0.157</v>
      </c>
      <c r="AT10" s="4">
        <v>-0.34599999999999997</v>
      </c>
      <c r="AU10" s="4">
        <v>0.72399999999999998</v>
      </c>
      <c r="AV10" s="4">
        <v>0.40300000000000002</v>
      </c>
      <c r="AW10" s="4">
        <v>1</v>
      </c>
      <c r="AX10" s="4">
        <v>0.36299999999999999</v>
      </c>
      <c r="AY10" s="4">
        <v>-6.2E-2</v>
      </c>
      <c r="AZ10" s="4">
        <v>0.80400000000000005</v>
      </c>
      <c r="BA10" s="4">
        <v>0.496</v>
      </c>
      <c r="BB10" s="4">
        <v>-4.2999999999999997E-2</v>
      </c>
      <c r="BC10" s="4">
        <v>0.05</v>
      </c>
      <c r="BD10" s="4">
        <v>0.06</v>
      </c>
      <c r="BE10" s="4">
        <v>0.53500000000000003</v>
      </c>
      <c r="BF10" s="4">
        <v>-2.1000000000000001E-2</v>
      </c>
      <c r="BG10" s="4">
        <v>1</v>
      </c>
      <c r="BH10" s="4">
        <v>0.64100000000000001</v>
      </c>
      <c r="BI10" s="4">
        <v>-0.36099999999999999</v>
      </c>
      <c r="BJ10" s="4">
        <v>-0.36699999999999999</v>
      </c>
      <c r="BK10" s="4">
        <v>0.61399999999999999</v>
      </c>
      <c r="BL10" s="4">
        <v>0.69299999999999995</v>
      </c>
      <c r="BM10" s="4"/>
    </row>
    <row r="11" spans="1:65" x14ac:dyDescent="0.3">
      <c r="A11" s="19" t="s">
        <v>87</v>
      </c>
      <c r="B11" s="53">
        <v>1.7999999999999999E-2</v>
      </c>
      <c r="C11" s="53">
        <f t="shared" si="4"/>
        <v>1.3999999999999999E-2</v>
      </c>
      <c r="D11" s="53">
        <f t="shared" si="5"/>
        <v>2.9999999999999992E-3</v>
      </c>
      <c r="E11" s="53">
        <f t="shared" si="6"/>
        <v>4.0000000000000001E-3</v>
      </c>
      <c r="F11" s="15">
        <v>3.6120000000000001</v>
      </c>
      <c r="G11" s="19">
        <v>4.5510000000000002</v>
      </c>
      <c r="H11" s="24" t="s">
        <v>55</v>
      </c>
      <c r="I11" t="str">
        <f>VLOOKUP(A11,Setores!$A$2:$C$215,2,0)</f>
        <v>real_estate</v>
      </c>
      <c r="J11" t="str">
        <f>VLOOKUP(A11,Setores!$A$2:$C$215,3,0)</f>
        <v>neutral_beta</v>
      </c>
      <c r="K11" s="2">
        <v>1.4999999999999999E-2</v>
      </c>
      <c r="L11" s="2">
        <v>1.0999999999999999E-2</v>
      </c>
      <c r="M11" s="71">
        <v>80</v>
      </c>
      <c r="N11" s="41">
        <f>VLOOKUP(A11,'Mandato Smll'!$A$2:$C$215,2,0)</f>
        <v>2.22523931213204E-2</v>
      </c>
      <c r="O11" s="58">
        <f t="shared" si="7"/>
        <v>-7.252393121320401E-3</v>
      </c>
      <c r="P11" s="42">
        <f t="shared" si="8"/>
        <v>-4.2523931213204018E-3</v>
      </c>
      <c r="Q11" s="41">
        <f>VLOOKUP(A11,'Mandato Smll'!$A$2:$C$215,3,0)</f>
        <v>1.17048473755197E-2</v>
      </c>
      <c r="R11" s="58">
        <f t="shared" si="9"/>
        <v>3.2951526244802999E-3</v>
      </c>
      <c r="S11" s="15">
        <v>0.753</v>
      </c>
      <c r="T11" s="15">
        <v>1</v>
      </c>
      <c r="U11" s="15">
        <v>0.51100000000000001</v>
      </c>
      <c r="V11" s="15">
        <v>0.89600000000000002</v>
      </c>
      <c r="W11" s="15">
        <v>0.88200000000000001</v>
      </c>
      <c r="X11" s="15">
        <v>0.996</v>
      </c>
      <c r="Y11" s="15">
        <v>1</v>
      </c>
      <c r="Z11" s="15">
        <v>1</v>
      </c>
      <c r="AA11" s="15">
        <v>0.53500000000000003</v>
      </c>
      <c r="AB11" s="15">
        <v>0.54</v>
      </c>
      <c r="AC11" s="15">
        <v>1</v>
      </c>
      <c r="AD11" s="15">
        <v>0.99099999999999999</v>
      </c>
      <c r="AE11" s="15">
        <v>1</v>
      </c>
      <c r="AF11" s="14">
        <v>1</v>
      </c>
      <c r="AG11" s="15">
        <v>9.1999999999999998E-2</v>
      </c>
      <c r="AH11" s="15">
        <v>0.79700000000000004</v>
      </c>
      <c r="AI11" s="15">
        <v>0.29799999999999999</v>
      </c>
      <c r="AJ11" s="15">
        <v>0.91800000000000004</v>
      </c>
      <c r="AK11" s="9">
        <v>-0.122</v>
      </c>
      <c r="AL11" s="4">
        <v>-0.20399999999999999</v>
      </c>
      <c r="AM11" s="4">
        <v>0.32700000000000001</v>
      </c>
      <c r="AN11" s="4">
        <v>-0.17</v>
      </c>
      <c r="AO11" s="4">
        <v>3.3000000000000002E-2</v>
      </c>
      <c r="AP11" s="4">
        <v>0.439</v>
      </c>
      <c r="AQ11" s="4">
        <v>2.3E-2</v>
      </c>
      <c r="AR11" s="4">
        <v>-7.1999999999999995E-2</v>
      </c>
      <c r="AS11" s="4">
        <v>0.52700000000000002</v>
      </c>
      <c r="AT11" s="4">
        <v>0.52</v>
      </c>
      <c r="AU11" s="4">
        <v>-0.109</v>
      </c>
      <c r="AV11" s="4">
        <v>0.75900000000000001</v>
      </c>
      <c r="AW11" s="4">
        <v>0.41899999999999998</v>
      </c>
      <c r="AX11" s="4">
        <v>0.34399999999999997</v>
      </c>
      <c r="AY11" s="4">
        <v>-0.73499999999999999</v>
      </c>
      <c r="AZ11" s="4">
        <v>0.03</v>
      </c>
      <c r="BA11" s="4">
        <v>-0.26200000000000001</v>
      </c>
      <c r="BB11" s="4">
        <v>-0.245</v>
      </c>
      <c r="BC11" s="4">
        <v>0.13500000000000001</v>
      </c>
      <c r="BD11" s="4">
        <v>0.59299999999999997</v>
      </c>
      <c r="BE11" s="4">
        <v>0.51</v>
      </c>
      <c r="BF11" s="4">
        <v>-0.35099999999999998</v>
      </c>
      <c r="BG11" s="4">
        <v>-0.122</v>
      </c>
      <c r="BH11" s="4">
        <v>0.72799999999999998</v>
      </c>
      <c r="BI11" s="4">
        <v>-0.41599999999999998</v>
      </c>
      <c r="BJ11" s="4">
        <v>0.223</v>
      </c>
      <c r="BK11" s="4">
        <v>0.36899999999999999</v>
      </c>
      <c r="BL11" s="4">
        <v>0.29699999999999999</v>
      </c>
      <c r="BM11" s="4"/>
    </row>
    <row r="12" spans="1:65" ht="15" thickBot="1" x14ac:dyDescent="0.35">
      <c r="A12" s="19" t="s">
        <v>54</v>
      </c>
      <c r="B12" s="53">
        <v>1.4999999999999999E-2</v>
      </c>
      <c r="C12" s="53">
        <f t="shared" si="4"/>
        <v>1.4999999999999999E-2</v>
      </c>
      <c r="D12" s="53">
        <f t="shared" si="5"/>
        <v>0</v>
      </c>
      <c r="E12" s="53">
        <f t="shared" si="6"/>
        <v>0</v>
      </c>
      <c r="F12" s="15">
        <v>3.6120000000000001</v>
      </c>
      <c r="G12" s="19">
        <v>3.585</v>
      </c>
      <c r="H12" s="24" t="s">
        <v>55</v>
      </c>
      <c r="I12" t="str">
        <f>VLOOKUP(A12,Setores!$A$2:$C$215,2,0)</f>
        <v>telecom</v>
      </c>
      <c r="J12" t="str">
        <f>VLOOKUP(A12,Setores!$A$2:$C$215,3,0)</f>
        <v>low_beta</v>
      </c>
      <c r="K12" s="2">
        <v>1.4999999999999999E-2</v>
      </c>
      <c r="L12" s="2">
        <v>1.4999999999999999E-2</v>
      </c>
      <c r="M12" s="71">
        <v>80</v>
      </c>
      <c r="N12" s="41">
        <f>VLOOKUP(A12,'Mandato Smll'!$A$2:$C$215,2,0)</f>
        <v>1.60682340853559E-2</v>
      </c>
      <c r="O12" s="58">
        <f t="shared" si="7"/>
        <v>-1.0682340853559007E-3</v>
      </c>
      <c r="P12" s="42">
        <f t="shared" si="8"/>
        <v>-1.0682340853559007E-3</v>
      </c>
      <c r="Q12" s="41">
        <f>VLOOKUP(A12,'Mandato Smll'!$A$2:$C$215,3,0)</f>
        <v>1.41902281757988E-2</v>
      </c>
      <c r="R12" s="58">
        <f t="shared" si="9"/>
        <v>8.0977182420119941E-4</v>
      </c>
      <c r="S12" s="15">
        <v>1</v>
      </c>
      <c r="T12" s="15">
        <v>1</v>
      </c>
      <c r="U12" s="15">
        <v>0.64200000000000002</v>
      </c>
      <c r="V12" s="15">
        <v>1</v>
      </c>
      <c r="W12" s="15">
        <v>0.93799999999999994</v>
      </c>
      <c r="X12" s="15">
        <v>1</v>
      </c>
      <c r="Y12" s="15">
        <v>1</v>
      </c>
      <c r="Z12" s="15">
        <v>1</v>
      </c>
      <c r="AA12" s="15">
        <v>0.68700000000000006</v>
      </c>
      <c r="AB12" s="15">
        <v>0.68899999999999995</v>
      </c>
      <c r="AC12" s="15">
        <v>1</v>
      </c>
      <c r="AD12" s="15">
        <v>1</v>
      </c>
      <c r="AE12" s="15">
        <v>1</v>
      </c>
      <c r="AF12" s="14">
        <v>0.55700000000000005</v>
      </c>
      <c r="AG12" s="15">
        <v>2E-3</v>
      </c>
      <c r="AH12" s="15">
        <v>0.80500000000000005</v>
      </c>
      <c r="AI12" s="15">
        <v>-0.26100000000000001</v>
      </c>
      <c r="AJ12" s="15">
        <v>1</v>
      </c>
      <c r="AK12" s="9">
        <v>0.752</v>
      </c>
      <c r="AL12" s="4">
        <v>-0.20499999999999999</v>
      </c>
      <c r="AM12" s="4">
        <v>0.13300000000000001</v>
      </c>
      <c r="AN12" s="4">
        <v>-0.80500000000000005</v>
      </c>
      <c r="AO12" s="4">
        <v>6.4000000000000001E-2</v>
      </c>
      <c r="AP12" s="4">
        <v>0.751</v>
      </c>
      <c r="AQ12" s="4">
        <v>1</v>
      </c>
      <c r="AR12" s="4">
        <v>0.29299999999999998</v>
      </c>
      <c r="AS12" s="4">
        <v>0.40500000000000003</v>
      </c>
      <c r="AT12" s="4">
        <v>0.47499999999999998</v>
      </c>
      <c r="AU12" s="4">
        <v>0.41699999999999998</v>
      </c>
      <c r="AV12" s="4">
        <v>0.26</v>
      </c>
      <c r="AW12" s="4">
        <v>0.76700000000000002</v>
      </c>
      <c r="AX12" s="4">
        <v>0.42599999999999999</v>
      </c>
      <c r="AY12" s="4">
        <v>0.17899999999999999</v>
      </c>
      <c r="AZ12" s="4">
        <v>0.88500000000000001</v>
      </c>
      <c r="BA12" s="4">
        <v>0.104</v>
      </c>
      <c r="BB12" s="4">
        <v>0.58299999999999996</v>
      </c>
      <c r="BC12" s="4">
        <v>-0.29899999999999999</v>
      </c>
      <c r="BD12" s="4">
        <v>-0.20100000000000001</v>
      </c>
      <c r="BE12" s="4">
        <v>0.29299999999999998</v>
      </c>
      <c r="BF12" s="4">
        <v>-0.371</v>
      </c>
      <c r="BG12" s="4">
        <v>0.371</v>
      </c>
      <c r="BH12" s="4">
        <v>0.68200000000000005</v>
      </c>
      <c r="BI12" s="4">
        <v>-0.52700000000000002</v>
      </c>
      <c r="BJ12" s="4">
        <v>-0.40100000000000002</v>
      </c>
      <c r="BK12" s="4">
        <v>0.71699999999999997</v>
      </c>
      <c r="BL12" s="4">
        <v>0.495</v>
      </c>
      <c r="BM12" s="4"/>
    </row>
    <row r="13" spans="1:65" s="76" customFormat="1" x14ac:dyDescent="0.3">
      <c r="A13" s="72" t="s">
        <v>69</v>
      </c>
      <c r="B13" s="73">
        <v>1.4E-2</v>
      </c>
      <c r="C13" s="73">
        <f t="shared" si="4"/>
        <v>1.4E-2</v>
      </c>
      <c r="D13" s="73">
        <f t="shared" si="5"/>
        <v>0</v>
      </c>
      <c r="E13" s="53">
        <f t="shared" si="6"/>
        <v>0</v>
      </c>
      <c r="F13" s="74">
        <v>3.6120000000000001</v>
      </c>
      <c r="G13" s="72">
        <v>3.556</v>
      </c>
      <c r="H13" s="75" t="s">
        <v>57</v>
      </c>
      <c r="I13" s="76" t="str">
        <f>VLOOKUP(A13,Setores!$A$2:$C$215,2,0)</f>
        <v>banks</v>
      </c>
      <c r="J13" s="76" t="str">
        <f>VLOOKUP(A13,Setores!$A$2:$C$215,3,0)</f>
        <v>high_beta</v>
      </c>
      <c r="K13" s="77">
        <v>1.4E-2</v>
      </c>
      <c r="L13" s="77">
        <v>1.4E-2</v>
      </c>
      <c r="M13" s="78">
        <v>80</v>
      </c>
      <c r="N13" s="79">
        <f>VLOOKUP(A13,'Mandato Smll'!$A$2:$C$215,2,0)</f>
        <v>1.60682340853559E-2</v>
      </c>
      <c r="O13" s="80">
        <f t="shared" si="7"/>
        <v>-2.0682340853558998E-3</v>
      </c>
      <c r="P13" s="81">
        <f t="shared" si="8"/>
        <v>-2.0682340853558998E-3</v>
      </c>
      <c r="Q13" s="79">
        <f>VLOOKUP(A13,'Mandato Smll'!$A$2:$C$215,3,0)</f>
        <v>1.4505219814832999E-2</v>
      </c>
      <c r="R13" s="80">
        <f t="shared" si="9"/>
        <v>-5.0521981483299915E-4</v>
      </c>
      <c r="S13" s="74">
        <v>0.90200000000000002</v>
      </c>
      <c r="T13" s="74">
        <v>1</v>
      </c>
      <c r="U13" s="74">
        <v>0.81699999999999995</v>
      </c>
      <c r="V13" s="74">
        <v>0.91100000000000003</v>
      </c>
      <c r="W13" s="74">
        <v>1</v>
      </c>
      <c r="X13" s="74">
        <v>1</v>
      </c>
      <c r="Y13" s="74">
        <v>1</v>
      </c>
      <c r="Z13" s="74">
        <v>1</v>
      </c>
      <c r="AA13" s="74">
        <v>1</v>
      </c>
      <c r="AB13" s="74">
        <v>1</v>
      </c>
      <c r="AC13" s="74">
        <v>1</v>
      </c>
      <c r="AD13" s="74">
        <v>1</v>
      </c>
      <c r="AE13" s="74">
        <v>1</v>
      </c>
      <c r="AF13" s="82">
        <v>0.19400000000000001</v>
      </c>
      <c r="AG13" s="74">
        <v>1</v>
      </c>
      <c r="AH13" s="74">
        <v>1</v>
      </c>
      <c r="AI13" s="74">
        <v>0.251</v>
      </c>
      <c r="AJ13" s="74">
        <v>1</v>
      </c>
      <c r="AK13" s="83">
        <v>0.23</v>
      </c>
      <c r="AL13" s="84">
        <v>7.2999999999999995E-2</v>
      </c>
      <c r="AM13" s="84">
        <v>0.54</v>
      </c>
      <c r="AN13" s="84">
        <v>0.42</v>
      </c>
      <c r="AO13" s="84">
        <v>0.223</v>
      </c>
      <c r="AP13" s="84">
        <v>0.56100000000000005</v>
      </c>
      <c r="AQ13" s="84">
        <v>0.81299999999999994</v>
      </c>
      <c r="AR13" s="84">
        <v>0.55700000000000005</v>
      </c>
      <c r="AS13" s="84">
        <v>0.25</v>
      </c>
      <c r="AT13" s="84">
        <v>-0.13900000000000001</v>
      </c>
      <c r="AU13" s="84">
        <v>2E-3</v>
      </c>
      <c r="AV13" s="84">
        <v>-0.26700000000000002</v>
      </c>
      <c r="AW13" s="86">
        <v>-0.13100000000000001</v>
      </c>
      <c r="AX13" s="84">
        <v>0.51500000000000001</v>
      </c>
      <c r="AY13" s="84">
        <v>-0.09</v>
      </c>
      <c r="AZ13" s="84">
        <v>0.65500000000000003</v>
      </c>
      <c r="BA13" s="84">
        <v>0.249</v>
      </c>
      <c r="BB13" s="84">
        <v>-3.0000000000000001E-3</v>
      </c>
      <c r="BC13" s="84">
        <v>0.126</v>
      </c>
      <c r="BD13" s="84">
        <v>0.215</v>
      </c>
      <c r="BE13" s="84">
        <v>-0.73199999999999998</v>
      </c>
      <c r="BF13" s="84">
        <v>-0.36299999999999999</v>
      </c>
      <c r="BG13" s="84">
        <v>0.186</v>
      </c>
      <c r="BH13" s="84">
        <v>0.93600000000000005</v>
      </c>
      <c r="BI13" s="84">
        <v>-0.81</v>
      </c>
      <c r="BJ13" s="84">
        <v>8.2000000000000003E-2</v>
      </c>
      <c r="BK13" s="84">
        <v>0.64</v>
      </c>
      <c r="BL13" s="84">
        <v>0.67900000000000005</v>
      </c>
      <c r="BM13" s="84"/>
    </row>
    <row r="14" spans="1:65" ht="15" thickBot="1" x14ac:dyDescent="0.35">
      <c r="A14" s="19" t="s">
        <v>59</v>
      </c>
      <c r="B14" s="53">
        <v>1.0999999999999999E-2</v>
      </c>
      <c r="C14" s="53">
        <f t="shared" si="4"/>
        <v>1.0999999999999999E-2</v>
      </c>
      <c r="D14" s="53">
        <f t="shared" si="5"/>
        <v>2.9999999999999992E-3</v>
      </c>
      <c r="E14" s="53">
        <f t="shared" si="6"/>
        <v>0</v>
      </c>
      <c r="F14" s="15">
        <v>3.6120000000000001</v>
      </c>
      <c r="G14" s="19">
        <v>2.69</v>
      </c>
      <c r="H14" s="24" t="s">
        <v>57</v>
      </c>
      <c r="I14" t="str">
        <f>VLOOKUP(A14,Setores!$A$2:$C$215,2,0)</f>
        <v>consumer_durables</v>
      </c>
      <c r="J14" t="str">
        <f>VLOOKUP(A14,Setores!$A$2:$C$215,3,0)</f>
        <v>very_low_beta</v>
      </c>
      <c r="K14" s="2">
        <v>8.0000000000000002E-3</v>
      </c>
      <c r="L14" s="2">
        <v>8.0000000000000002E-3</v>
      </c>
      <c r="M14" s="71">
        <v>80</v>
      </c>
      <c r="N14" s="41">
        <f>VLOOKUP(A14,'Mandato Smll'!$A$2:$C$215,2,0)</f>
        <v>1.60682340853559E-2</v>
      </c>
      <c r="O14" s="58">
        <f t="shared" si="7"/>
        <v>-8.0682340853558999E-3</v>
      </c>
      <c r="P14" s="42">
        <f t="shared" si="8"/>
        <v>-5.0682340853559008E-3</v>
      </c>
      <c r="Q14" s="41">
        <f>VLOOKUP(A14,'Mandato Smll'!$A$2:$C$215,3,0)</f>
        <v>9.2479760918021993E-3</v>
      </c>
      <c r="R14" s="58">
        <f t="shared" si="9"/>
        <v>-1.2479760918021991E-3</v>
      </c>
      <c r="S14" s="15">
        <v>1</v>
      </c>
      <c r="T14" s="15">
        <v>0.64600000000000002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0.73699999999999999</v>
      </c>
      <c r="AA14" s="15">
        <v>1</v>
      </c>
      <c r="AB14" s="15">
        <v>1</v>
      </c>
      <c r="AC14" s="15">
        <v>0.73499999999999999</v>
      </c>
      <c r="AD14" s="15">
        <v>0.749</v>
      </c>
      <c r="AE14" s="15">
        <v>0.92800000000000005</v>
      </c>
      <c r="AF14" s="14">
        <v>1</v>
      </c>
      <c r="AG14" s="15">
        <v>1</v>
      </c>
      <c r="AH14" s="15">
        <v>-0.13800000000000001</v>
      </c>
      <c r="AI14" s="15">
        <v>1</v>
      </c>
      <c r="AJ14" s="15">
        <v>-0.315</v>
      </c>
      <c r="AK14" s="9">
        <v>1</v>
      </c>
      <c r="AL14" s="4">
        <v>0.88200000000000001</v>
      </c>
      <c r="AM14" s="4">
        <v>1</v>
      </c>
      <c r="AN14" s="4">
        <v>0.45100000000000001</v>
      </c>
      <c r="AO14" s="4">
        <v>0.65200000000000002</v>
      </c>
      <c r="AP14" s="4">
        <v>-0.80800000000000005</v>
      </c>
      <c r="AQ14" s="4">
        <v>-0.66500000000000004</v>
      </c>
      <c r="AR14" s="4">
        <v>0.30299999999999999</v>
      </c>
      <c r="AS14" s="4">
        <v>0.59399999999999997</v>
      </c>
      <c r="AT14" s="4">
        <v>9.7000000000000003E-2</v>
      </c>
      <c r="AU14" s="4">
        <v>0.69699999999999995</v>
      </c>
      <c r="AV14" s="4">
        <v>-0.54800000000000004</v>
      </c>
      <c r="AW14" s="87">
        <v>0.90800000000000003</v>
      </c>
      <c r="AX14" s="4">
        <v>0.32600000000000001</v>
      </c>
      <c r="AY14" s="4">
        <v>5.3999999999999999E-2</v>
      </c>
      <c r="AZ14" s="4">
        <v>0.47</v>
      </c>
      <c r="BA14" s="4">
        <v>0.60399999999999998</v>
      </c>
      <c r="BB14" s="4">
        <v>0.25</v>
      </c>
      <c r="BC14" s="4">
        <v>0.29199999999999998</v>
      </c>
      <c r="BD14" s="4">
        <v>0.30299999999999999</v>
      </c>
      <c r="BE14" s="4">
        <v>0.59399999999999997</v>
      </c>
      <c r="BF14" s="4">
        <v>4.2999999999999997E-2</v>
      </c>
      <c r="BG14" s="4">
        <v>9.7000000000000003E-2</v>
      </c>
      <c r="BH14" s="4">
        <v>0.90700000000000003</v>
      </c>
      <c r="BI14" s="4">
        <v>-0.34499999999999997</v>
      </c>
      <c r="BJ14" s="4">
        <v>-0.437</v>
      </c>
      <c r="BK14" s="4">
        <v>0.52100000000000002</v>
      </c>
      <c r="BL14" s="4">
        <v>0.80200000000000005</v>
      </c>
      <c r="BM14" s="4"/>
    </row>
    <row r="15" spans="1:65" x14ac:dyDescent="0.3">
      <c r="A15" s="19" t="s">
        <v>60</v>
      </c>
      <c r="B15" s="53">
        <v>1.4999999999999999E-2</v>
      </c>
      <c r="C15" s="53">
        <f t="shared" si="4"/>
        <v>1.2999999999999999E-2</v>
      </c>
      <c r="D15" s="53">
        <f t="shared" si="5"/>
        <v>0</v>
      </c>
      <c r="E15" s="53">
        <f t="shared" si="6"/>
        <v>2E-3</v>
      </c>
      <c r="F15" s="15">
        <v>3.5289999999999999</v>
      </c>
      <c r="G15" s="19">
        <v>2.7080000000000002</v>
      </c>
      <c r="H15" s="24" t="s">
        <v>57</v>
      </c>
      <c r="I15" t="str">
        <f>VLOOKUP(A15,Setores!$A$2:$C$215,2,0)</f>
        <v>apparel</v>
      </c>
      <c r="J15" t="str">
        <f>VLOOKUP(A15,Setores!$A$2:$C$215,3,0)</f>
        <v>very_high_beta</v>
      </c>
      <c r="K15" s="2">
        <v>1.4999999999999999E-2</v>
      </c>
      <c r="L15" s="2">
        <v>1.2999999999999999E-2</v>
      </c>
      <c r="M15" s="71">
        <v>80</v>
      </c>
      <c r="N15" s="41">
        <f>VLOOKUP(A15,'Mandato Smll'!$A$2:$C$215,2,0)</f>
        <v>1.7842948571419201E-2</v>
      </c>
      <c r="O15" s="58">
        <f t="shared" si="7"/>
        <v>-2.8429485714192015E-3</v>
      </c>
      <c r="P15" s="42">
        <f t="shared" si="8"/>
        <v>-2.8429485714192015E-3</v>
      </c>
      <c r="Q15" s="41">
        <f>VLOOKUP(A15,'Mandato Smll'!$A$2:$C$215,3,0)</f>
        <v>1.0739004319166599E-2</v>
      </c>
      <c r="R15" s="58">
        <f t="shared" si="9"/>
        <v>4.2609956808334001E-3</v>
      </c>
      <c r="S15" s="15">
        <v>0.99299999999999999</v>
      </c>
      <c r="T15" s="15">
        <v>0.84899999999999998</v>
      </c>
      <c r="U15" s="15">
        <v>0.79700000000000004</v>
      </c>
      <c r="V15" s="15">
        <v>1</v>
      </c>
      <c r="W15" s="15">
        <v>0.96899999999999997</v>
      </c>
      <c r="X15" s="15">
        <v>0.78600000000000003</v>
      </c>
      <c r="Y15" s="15">
        <v>0.51400000000000001</v>
      </c>
      <c r="Z15" s="15">
        <v>0.755</v>
      </c>
      <c r="AA15" s="15">
        <v>0.75700000000000001</v>
      </c>
      <c r="AB15" s="15">
        <v>0.752</v>
      </c>
      <c r="AC15" s="15">
        <v>0.77800000000000002</v>
      </c>
      <c r="AD15" s="15">
        <v>0.79800000000000004</v>
      </c>
      <c r="AE15" s="15">
        <v>0.95599999999999996</v>
      </c>
      <c r="AF15" s="14">
        <v>1</v>
      </c>
      <c r="AG15" s="15">
        <v>1</v>
      </c>
      <c r="AH15" s="15">
        <v>0.41799999999999998</v>
      </c>
      <c r="AI15" s="15">
        <v>0.13700000000000001</v>
      </c>
      <c r="AJ15" s="15">
        <v>0.13300000000000001</v>
      </c>
      <c r="AK15" s="9">
        <v>0.61</v>
      </c>
      <c r="AL15" s="4">
        <v>0.55600000000000005</v>
      </c>
      <c r="AM15" s="4">
        <v>9.0999999999999998E-2</v>
      </c>
      <c r="AN15" s="4">
        <v>-0.11799999999999999</v>
      </c>
      <c r="AO15" s="4">
        <v>0.47799999999999998</v>
      </c>
      <c r="AP15" s="4">
        <v>0.22700000000000001</v>
      </c>
      <c r="AQ15" s="4">
        <v>-8.1000000000000003E-2</v>
      </c>
      <c r="AR15" s="4">
        <v>0.58399999999999996</v>
      </c>
      <c r="AS15" s="4">
        <v>0.76800000000000002</v>
      </c>
      <c r="AT15" s="4">
        <v>0.38400000000000001</v>
      </c>
      <c r="AU15" s="4">
        <v>0.42799999999999999</v>
      </c>
      <c r="AV15" s="4">
        <v>-0.1</v>
      </c>
      <c r="AW15" s="4">
        <v>0.95799999999999996</v>
      </c>
      <c r="AX15" s="4">
        <v>-0.59099999999999997</v>
      </c>
      <c r="AY15" s="4">
        <v>7.6999999999999999E-2</v>
      </c>
      <c r="AZ15" s="4">
        <v>0.42299999999999999</v>
      </c>
      <c r="BA15" s="4">
        <v>0.629</v>
      </c>
      <c r="BB15" s="4">
        <v>-0.314</v>
      </c>
      <c r="BC15" s="4">
        <v>0.21099999999999999</v>
      </c>
      <c r="BD15" s="4">
        <v>1.9E-2</v>
      </c>
      <c r="BE15" s="4">
        <v>0.625</v>
      </c>
      <c r="BF15" s="4">
        <v>0.23400000000000001</v>
      </c>
      <c r="BG15" s="4">
        <v>-0.28799999999999998</v>
      </c>
      <c r="BH15" s="4">
        <v>0.20399999999999999</v>
      </c>
      <c r="BI15" s="4">
        <v>-0.48799999999999999</v>
      </c>
      <c r="BJ15" s="4">
        <v>0.29199999999999998</v>
      </c>
      <c r="BK15" s="4">
        <v>0.253</v>
      </c>
      <c r="BL15" s="4">
        <v>0.20599999999999999</v>
      </c>
      <c r="BM15" s="4"/>
    </row>
    <row r="16" spans="1:65" x14ac:dyDescent="0.3">
      <c r="A16" s="19" t="s">
        <v>58</v>
      </c>
      <c r="B16" s="53">
        <v>1.4999999999999999E-2</v>
      </c>
      <c r="C16" s="53">
        <f t="shared" si="4"/>
        <v>1.2999999999999999E-2</v>
      </c>
      <c r="D16" s="53">
        <f t="shared" si="5"/>
        <v>0</v>
      </c>
      <c r="E16" s="53">
        <f t="shared" si="6"/>
        <v>2E-3</v>
      </c>
      <c r="F16" s="15">
        <v>3.4969999999999999</v>
      </c>
      <c r="G16" s="19">
        <v>4.141</v>
      </c>
      <c r="H16" s="24" t="s">
        <v>57</v>
      </c>
      <c r="I16" t="str">
        <f>VLOOKUP(A16,Setores!$A$2:$C$215,2,0)</f>
        <v>apparel</v>
      </c>
      <c r="J16" t="str">
        <f>VLOOKUP(A16,Setores!$A$2:$C$215,3,0)</f>
        <v>very_low_beta</v>
      </c>
      <c r="K16" s="2">
        <v>1.4999999999999999E-2</v>
      </c>
      <c r="L16" s="2">
        <v>1.2999999999999999E-2</v>
      </c>
      <c r="M16" s="71">
        <v>80</v>
      </c>
      <c r="N16" s="41">
        <f>VLOOKUP(A16,'Mandato Smll'!$A$2:$C$215,2,0)</f>
        <v>1.88887601055743E-2</v>
      </c>
      <c r="O16" s="58">
        <f t="shared" si="7"/>
        <v>-3.8887601055743008E-3</v>
      </c>
      <c r="P16" s="42">
        <f t="shared" si="8"/>
        <v>-3.8887601055743008E-3</v>
      </c>
      <c r="Q16" s="41">
        <f>VLOOKUP(A16,'Mandato Smll'!$A$2:$C$215,3,0)</f>
        <v>9.5426164802232295E-3</v>
      </c>
      <c r="R16" s="58">
        <f t="shared" si="9"/>
        <v>5.4573835197767699E-3</v>
      </c>
      <c r="S16" s="15">
        <v>0.73699999999999999</v>
      </c>
      <c r="T16" s="15">
        <v>0.61</v>
      </c>
      <c r="U16" s="15">
        <v>0.67800000000000005</v>
      </c>
      <c r="V16" s="15">
        <v>0.68700000000000006</v>
      </c>
      <c r="W16" s="15">
        <v>0.67500000000000004</v>
      </c>
      <c r="X16" s="15">
        <v>1</v>
      </c>
      <c r="Y16" s="15">
        <v>1</v>
      </c>
      <c r="Z16" s="15">
        <v>0.97799999999999998</v>
      </c>
      <c r="AA16" s="15">
        <v>0.55600000000000005</v>
      </c>
      <c r="AB16" s="15">
        <v>0.55900000000000005</v>
      </c>
      <c r="AC16" s="15">
        <v>0.89400000000000002</v>
      </c>
      <c r="AD16" s="15">
        <v>0.83899999999999997</v>
      </c>
      <c r="AE16" s="15">
        <v>0.89100000000000001</v>
      </c>
      <c r="AF16" s="14">
        <v>0.84699999999999998</v>
      </c>
      <c r="AG16" s="15">
        <v>6.3E-2</v>
      </c>
      <c r="AH16" s="15">
        <v>-0.123</v>
      </c>
      <c r="AI16" s="15">
        <v>2.7E-2</v>
      </c>
      <c r="AJ16" s="15">
        <v>0.129</v>
      </c>
      <c r="AK16" s="9">
        <v>0.84699999999999998</v>
      </c>
      <c r="AL16" s="4">
        <v>0.13500000000000001</v>
      </c>
      <c r="AM16" s="4">
        <v>0.94799999999999995</v>
      </c>
      <c r="AN16" s="4">
        <v>-0.47699999999999998</v>
      </c>
      <c r="AO16" s="4">
        <v>0.54</v>
      </c>
      <c r="AP16" s="4">
        <v>0.16900000000000001</v>
      </c>
      <c r="AQ16" s="4">
        <v>-0.25800000000000001</v>
      </c>
      <c r="AR16" s="4">
        <v>-2.3E-2</v>
      </c>
      <c r="AS16" s="4">
        <v>0.29899999999999999</v>
      </c>
      <c r="AT16" s="4">
        <v>-0.16800000000000001</v>
      </c>
      <c r="AU16" s="4">
        <v>0.20499999999999999</v>
      </c>
      <c r="AV16" s="4">
        <v>0.159</v>
      </c>
      <c r="AW16" s="4">
        <v>0.17</v>
      </c>
      <c r="AX16" s="4">
        <v>0.51800000000000002</v>
      </c>
      <c r="AY16" s="4">
        <v>0.77400000000000002</v>
      </c>
      <c r="AZ16" s="4">
        <v>0.495</v>
      </c>
      <c r="BA16" s="4">
        <v>-4.9000000000000002E-2</v>
      </c>
      <c r="BB16" s="4">
        <v>0.10199999999999999</v>
      </c>
      <c r="BC16" s="4">
        <v>0.55300000000000005</v>
      </c>
      <c r="BD16" s="4">
        <v>0.50700000000000001</v>
      </c>
      <c r="BE16" s="4">
        <v>0.54600000000000004</v>
      </c>
      <c r="BF16" s="4">
        <v>0.21099999999999999</v>
      </c>
      <c r="BG16" s="4">
        <v>4.8000000000000001E-2</v>
      </c>
      <c r="BH16" s="4">
        <v>0.82899999999999996</v>
      </c>
      <c r="BI16" s="4">
        <v>-7.4999999999999997E-2</v>
      </c>
      <c r="BJ16" s="4">
        <v>-0.35799999999999998</v>
      </c>
      <c r="BK16" s="4">
        <v>0.19700000000000001</v>
      </c>
      <c r="BL16" s="4">
        <v>0.34699999999999998</v>
      </c>
      <c r="BM16" s="4"/>
    </row>
    <row r="17" spans="1:65" x14ac:dyDescent="0.3">
      <c r="A17" s="19" t="s">
        <v>75</v>
      </c>
      <c r="B17" s="53">
        <v>1.4E-2</v>
      </c>
      <c r="C17" s="53">
        <f t="shared" si="4"/>
        <v>1.4E-2</v>
      </c>
      <c r="D17" s="53">
        <f t="shared" si="5"/>
        <v>0</v>
      </c>
      <c r="E17" s="53">
        <f t="shared" si="6"/>
        <v>0</v>
      </c>
      <c r="F17" s="15">
        <v>3.3780000000000001</v>
      </c>
      <c r="G17" s="19">
        <v>2.5099999999999998</v>
      </c>
      <c r="H17" s="24" t="s">
        <v>55</v>
      </c>
      <c r="I17" t="str">
        <f>VLOOKUP(A17,Setores!$A$2:$C$215,2,0)</f>
        <v>real_estate</v>
      </c>
      <c r="J17" t="str">
        <f>VLOOKUP(A17,Setores!$A$2:$C$215,3,0)</f>
        <v>very_high_beta</v>
      </c>
      <c r="K17" s="2">
        <v>1.4E-2</v>
      </c>
      <c r="L17" s="2">
        <v>1.4E-2</v>
      </c>
      <c r="M17" s="71">
        <v>80</v>
      </c>
      <c r="N17" s="41">
        <f>VLOOKUP(A17,'Mandato Smll'!$A$2:$C$215,2,0)</f>
        <v>1.50274580685575E-2</v>
      </c>
      <c r="O17" s="58">
        <f t="shared" si="7"/>
        <v>-1.0274580685575001E-3</v>
      </c>
      <c r="P17" s="42">
        <f t="shared" si="8"/>
        <v>-1.0274580685575001E-3</v>
      </c>
      <c r="Q17" s="41">
        <f>VLOOKUP(A17,'Mandato Smll'!$A$2:$C$215,3,0)</f>
        <v>0</v>
      </c>
      <c r="R17" s="58">
        <f t="shared" si="9"/>
        <v>1.4E-2</v>
      </c>
      <c r="S17" s="15">
        <v>1</v>
      </c>
      <c r="T17" s="15">
        <v>1</v>
      </c>
      <c r="U17" s="15">
        <v>1</v>
      </c>
      <c r="V17" s="15">
        <v>0.70199999999999996</v>
      </c>
      <c r="W17" s="15">
        <v>1</v>
      </c>
      <c r="X17" s="15">
        <v>0.86</v>
      </c>
      <c r="Y17" s="15">
        <v>0.81</v>
      </c>
      <c r="Z17" s="15">
        <v>0.47</v>
      </c>
      <c r="AA17" s="15">
        <v>0.55700000000000005</v>
      </c>
      <c r="AB17" s="15">
        <v>0.55600000000000005</v>
      </c>
      <c r="AC17" s="15">
        <v>0.64400000000000002</v>
      </c>
      <c r="AD17" s="15">
        <v>0.81</v>
      </c>
      <c r="AE17" s="15">
        <v>0.97799999999999998</v>
      </c>
      <c r="AF17" s="14">
        <v>0.23699999999999999</v>
      </c>
      <c r="AG17" s="15">
        <v>1</v>
      </c>
      <c r="AH17" s="15">
        <v>1</v>
      </c>
      <c r="AI17" s="15">
        <v>1</v>
      </c>
      <c r="AJ17" s="15">
        <v>0.38400000000000001</v>
      </c>
      <c r="AK17" s="9">
        <v>-0.22500000000000001</v>
      </c>
      <c r="AL17" s="4">
        <v>0.75</v>
      </c>
      <c r="AM17" s="4">
        <v>-0.02</v>
      </c>
      <c r="AN17" s="4">
        <v>1</v>
      </c>
      <c r="AO17" s="4">
        <v>0.77500000000000002</v>
      </c>
      <c r="AP17" s="4">
        <v>-9.7000000000000003E-2</v>
      </c>
      <c r="AQ17" s="4">
        <v>-0.185</v>
      </c>
      <c r="AR17" s="4">
        <v>-0.221</v>
      </c>
      <c r="AS17" s="4">
        <v>0.34300000000000003</v>
      </c>
      <c r="AT17" s="4">
        <v>0.114</v>
      </c>
      <c r="AU17" s="4">
        <v>-0.22800000000000001</v>
      </c>
      <c r="AV17" s="4">
        <v>0.47</v>
      </c>
      <c r="AW17" s="4">
        <v>-0.33600000000000002</v>
      </c>
      <c r="AX17" s="4">
        <v>-4.8000000000000001E-2</v>
      </c>
      <c r="AY17" s="4">
        <v>-0.71399999999999997</v>
      </c>
      <c r="AZ17" s="4">
        <v>-0.34399999999999997</v>
      </c>
      <c r="BA17" s="4">
        <v>0.126</v>
      </c>
      <c r="BB17" s="4">
        <v>0.84699999999999998</v>
      </c>
      <c r="BC17" s="4">
        <v>0.16600000000000001</v>
      </c>
      <c r="BD17" s="4">
        <v>0.73899999999999999</v>
      </c>
      <c r="BE17" s="4">
        <v>0.32600000000000001</v>
      </c>
      <c r="BF17" s="4">
        <v>-1E-3</v>
      </c>
      <c r="BG17" s="4">
        <v>0.315</v>
      </c>
      <c r="BH17" s="4">
        <v>0.28299999999999997</v>
      </c>
      <c r="BI17" s="4">
        <v>0.154</v>
      </c>
      <c r="BJ17" s="4">
        <v>0.81899999999999995</v>
      </c>
      <c r="BK17" s="4">
        <v>0.621</v>
      </c>
      <c r="BL17" s="4">
        <v>0.97399999999999998</v>
      </c>
      <c r="BM17" s="4"/>
    </row>
    <row r="18" spans="1:65" x14ac:dyDescent="0.3">
      <c r="A18" s="19" t="s">
        <v>67</v>
      </c>
      <c r="B18" s="53">
        <v>1.4999999999999999E-2</v>
      </c>
      <c r="C18" s="53">
        <f t="shared" si="4"/>
        <v>1.0999999999999999E-2</v>
      </c>
      <c r="D18" s="53">
        <f t="shared" si="5"/>
        <v>9.9999999999999915E-4</v>
      </c>
      <c r="E18" s="53">
        <f t="shared" si="6"/>
        <v>4.0000000000000001E-3</v>
      </c>
      <c r="F18" s="15">
        <v>3.3239999999999998</v>
      </c>
      <c r="G18" s="19">
        <v>3.2320000000000002</v>
      </c>
      <c r="H18" s="24" t="s">
        <v>68</v>
      </c>
      <c r="I18" t="str">
        <f>VLOOKUP(A18,Setores!$A$2:$C$215,2,0)</f>
        <v>capital_goods</v>
      </c>
      <c r="J18" t="str">
        <f>VLOOKUP(A18,Setores!$A$2:$C$215,3,0)</f>
        <v>neutral_beta</v>
      </c>
      <c r="K18" s="2">
        <v>1.4E-2</v>
      </c>
      <c r="L18" s="2">
        <v>0.01</v>
      </c>
      <c r="M18" s="71">
        <v>80</v>
      </c>
      <c r="N18" s="41">
        <f>VLOOKUP(A18,'Mandato Smll'!$A$2:$C$215,2,0)</f>
        <v>1.9521104236099301E-2</v>
      </c>
      <c r="O18" s="58">
        <f t="shared" si="7"/>
        <v>-5.5211042360993005E-3</v>
      </c>
      <c r="P18" s="42">
        <f t="shared" si="8"/>
        <v>-4.5211042360993013E-3</v>
      </c>
      <c r="Q18" s="41">
        <f>VLOOKUP(A18,'Mandato Smll'!$A$2:$C$215,3,0)</f>
        <v>1.4164190378759999E-2</v>
      </c>
      <c r="R18" s="58">
        <f t="shared" si="9"/>
        <v>-1.6419037875999888E-4</v>
      </c>
      <c r="S18" s="15">
        <v>0.621</v>
      </c>
      <c r="T18" s="15">
        <v>0.14000000000000001</v>
      </c>
      <c r="U18" s="15">
        <v>0.39700000000000002</v>
      </c>
      <c r="V18" s="15">
        <v>0.92300000000000004</v>
      </c>
      <c r="W18" s="15">
        <v>0.53900000000000003</v>
      </c>
      <c r="X18" s="15">
        <v>0.84799999999999998</v>
      </c>
      <c r="Y18" s="15">
        <v>0.81599999999999995</v>
      </c>
      <c r="Z18" s="15">
        <v>1</v>
      </c>
      <c r="AA18" s="15">
        <v>0.63200000000000001</v>
      </c>
      <c r="AB18" s="15">
        <v>0.63300000000000001</v>
      </c>
      <c r="AC18" s="15">
        <v>0.94599999999999995</v>
      </c>
      <c r="AD18" s="15">
        <v>0.86</v>
      </c>
      <c r="AE18" s="15">
        <v>0.85399999999999998</v>
      </c>
      <c r="AF18" s="14">
        <v>1</v>
      </c>
      <c r="AG18" s="15">
        <v>0.59</v>
      </c>
      <c r="AH18" s="15">
        <v>0.154</v>
      </c>
      <c r="AI18" s="15">
        <v>-0.45400000000000001</v>
      </c>
      <c r="AJ18" s="15">
        <v>-0.03</v>
      </c>
      <c r="AK18" s="9">
        <v>9.6000000000000002E-2</v>
      </c>
      <c r="AL18" s="4">
        <v>-3.5000000000000003E-2</v>
      </c>
      <c r="AM18" s="4">
        <v>0.628</v>
      </c>
      <c r="AN18" s="4">
        <v>-0.68500000000000005</v>
      </c>
      <c r="AO18" s="4">
        <v>0.375</v>
      </c>
      <c r="AP18" s="4">
        <v>0.28699999999999998</v>
      </c>
      <c r="AQ18" s="4">
        <v>0.44800000000000001</v>
      </c>
      <c r="AR18" s="4">
        <v>0.59899999999999998</v>
      </c>
      <c r="AS18" s="4">
        <v>0.28299999999999997</v>
      </c>
      <c r="AT18" s="4">
        <v>-0.498</v>
      </c>
      <c r="AU18" s="4">
        <v>0.61399999999999999</v>
      </c>
      <c r="AV18" s="4">
        <v>-0.33700000000000002</v>
      </c>
      <c r="AW18" s="4">
        <v>0.64400000000000002</v>
      </c>
      <c r="AX18" s="4">
        <v>0.41</v>
      </c>
      <c r="AY18" s="4">
        <v>0.114</v>
      </c>
      <c r="AZ18" s="4">
        <v>0.84299999999999997</v>
      </c>
      <c r="BA18" s="4">
        <v>0.74099999999999999</v>
      </c>
      <c r="BB18" s="4">
        <v>0.22600000000000001</v>
      </c>
      <c r="BC18" s="4">
        <v>-0.159</v>
      </c>
      <c r="BD18" s="4">
        <v>-0.188</v>
      </c>
      <c r="BE18" s="4">
        <v>0.438</v>
      </c>
      <c r="BF18" s="4">
        <v>-0.41699999999999998</v>
      </c>
      <c r="BG18" s="4">
        <v>0.14599999999999999</v>
      </c>
      <c r="BH18" s="4">
        <v>0.34599999999999997</v>
      </c>
      <c r="BI18" s="4">
        <v>-0.96099999999999997</v>
      </c>
      <c r="BJ18" s="4">
        <v>0.17199999999999999</v>
      </c>
      <c r="BK18" s="4">
        <v>0.73</v>
      </c>
      <c r="BL18" s="4">
        <v>-0.151</v>
      </c>
      <c r="BM18" s="4"/>
    </row>
    <row r="19" spans="1:65" ht="15" thickBot="1" x14ac:dyDescent="0.35">
      <c r="A19" s="19" t="s">
        <v>86</v>
      </c>
      <c r="B19" s="53">
        <v>2.1000000000000001E-2</v>
      </c>
      <c r="C19" s="53">
        <f t="shared" si="4"/>
        <v>2.1000000000000001E-2</v>
      </c>
      <c r="D19" s="53">
        <f t="shared" si="5"/>
        <v>0</v>
      </c>
      <c r="E19" s="53">
        <f t="shared" si="6"/>
        <v>0</v>
      </c>
      <c r="F19" s="15">
        <v>3.23</v>
      </c>
      <c r="G19" s="19">
        <v>3.4990000000000001</v>
      </c>
      <c r="H19" s="24" t="s">
        <v>57</v>
      </c>
      <c r="I19" t="str">
        <f>VLOOKUP(A19,Setores!$A$2:$C$215,2,0)</f>
        <v>homebuilders</v>
      </c>
      <c r="J19" t="str">
        <f>VLOOKUP(A19,Setores!$A$2:$C$215,3,0)</f>
        <v>low_beta</v>
      </c>
      <c r="K19" s="2">
        <v>2.1000000000000001E-2</v>
      </c>
      <c r="L19" s="2">
        <v>2.1000000000000001E-2</v>
      </c>
      <c r="M19" s="71">
        <v>80</v>
      </c>
      <c r="N19" s="41">
        <f>VLOOKUP(A19,'Mandato Smll'!$A$2:$C$215,2,0)</f>
        <v>1.4370628746769599E-2</v>
      </c>
      <c r="O19" s="58">
        <f t="shared" si="7"/>
        <v>6.6293712532304021E-3</v>
      </c>
      <c r="P19" s="42">
        <f t="shared" si="8"/>
        <v>6.6293712532304021E-3</v>
      </c>
      <c r="Q19" s="41">
        <f>VLOOKUP(A19,'Mandato Smll'!$A$2:$C$215,3,0)</f>
        <v>9.0573424251795195E-3</v>
      </c>
      <c r="R19" s="58">
        <f t="shared" si="9"/>
        <v>1.1942657574820482E-2</v>
      </c>
      <c r="S19" s="15">
        <v>0.68799999999999994</v>
      </c>
      <c r="T19" s="15">
        <v>0.79400000000000004</v>
      </c>
      <c r="U19" s="15">
        <v>0.80100000000000005</v>
      </c>
      <c r="V19" s="15">
        <v>0.52</v>
      </c>
      <c r="W19" s="15">
        <v>0.76700000000000002</v>
      </c>
      <c r="X19" s="15">
        <v>0.68799999999999994</v>
      </c>
      <c r="Y19" s="15">
        <v>0.66700000000000004</v>
      </c>
      <c r="Z19" s="15">
        <v>0.60199999999999998</v>
      </c>
      <c r="AA19" s="15">
        <v>0.67600000000000005</v>
      </c>
      <c r="AB19" s="15">
        <v>0.67200000000000004</v>
      </c>
      <c r="AC19" s="15">
        <v>1</v>
      </c>
      <c r="AD19" s="15">
        <v>0.93400000000000005</v>
      </c>
      <c r="AE19" s="15">
        <v>0.93700000000000006</v>
      </c>
      <c r="AF19" s="14">
        <v>-2.5999999999999999E-2</v>
      </c>
      <c r="AG19" s="15">
        <v>1</v>
      </c>
      <c r="AH19" s="15">
        <v>0.53500000000000003</v>
      </c>
      <c r="AI19" s="15">
        <v>1</v>
      </c>
      <c r="AJ19" s="15">
        <v>0.45600000000000002</v>
      </c>
      <c r="AK19" s="9">
        <v>1.6E-2</v>
      </c>
      <c r="AL19" s="4">
        <v>0.14699999999999999</v>
      </c>
      <c r="AM19" s="4">
        <v>0.69899999999999995</v>
      </c>
      <c r="AN19" s="4">
        <v>0.31900000000000001</v>
      </c>
      <c r="AO19" s="4">
        <v>0.41599999999999998</v>
      </c>
      <c r="AP19" s="4">
        <v>-0.13100000000000001</v>
      </c>
      <c r="AQ19" s="4">
        <v>-0.245</v>
      </c>
      <c r="AR19" s="4">
        <v>0.252</v>
      </c>
      <c r="AS19" s="4">
        <v>0.54600000000000004</v>
      </c>
      <c r="AT19" s="4">
        <v>0.17100000000000001</v>
      </c>
      <c r="AU19" s="4">
        <v>-3.1E-2</v>
      </c>
      <c r="AV19" s="4">
        <v>-0.32700000000000001</v>
      </c>
      <c r="AW19" s="4">
        <v>-0.23899999999999999</v>
      </c>
      <c r="AX19" s="4">
        <v>-1.4999999999999999E-2</v>
      </c>
      <c r="AY19" s="4">
        <v>-0.32600000000000001</v>
      </c>
      <c r="AZ19" s="4">
        <v>0.67800000000000005</v>
      </c>
      <c r="BA19" s="4">
        <v>0.185</v>
      </c>
      <c r="BB19" s="4">
        <v>5.8000000000000003E-2</v>
      </c>
      <c r="BC19" s="4">
        <v>-0.186</v>
      </c>
      <c r="BD19" s="4">
        <v>-7.0000000000000007E-2</v>
      </c>
      <c r="BE19" s="4">
        <v>0.24399999999999999</v>
      </c>
      <c r="BF19" s="4">
        <v>-0.151</v>
      </c>
      <c r="BG19" s="4">
        <v>0.36699999999999999</v>
      </c>
      <c r="BH19" s="4">
        <v>0.85299999999999998</v>
      </c>
      <c r="BI19" s="4">
        <v>-6.0999999999999999E-2</v>
      </c>
      <c r="BJ19" s="4">
        <v>0.12</v>
      </c>
      <c r="BK19" s="4">
        <v>0.60899999999999999</v>
      </c>
      <c r="BL19" s="4">
        <v>0.875</v>
      </c>
      <c r="BM19" s="4"/>
    </row>
    <row r="20" spans="1:65" s="76" customFormat="1" ht="15" thickBot="1" x14ac:dyDescent="0.35">
      <c r="A20" s="72" t="s">
        <v>126</v>
      </c>
      <c r="B20" s="73">
        <v>1.0999999999999999E-2</v>
      </c>
      <c r="C20" s="73">
        <f t="shared" si="4"/>
        <v>1.0999999999999999E-2</v>
      </c>
      <c r="D20" s="73">
        <f t="shared" si="5"/>
        <v>0</v>
      </c>
      <c r="E20" s="53">
        <f t="shared" si="6"/>
        <v>0</v>
      </c>
      <c r="F20" s="74">
        <v>2.9369999999999998</v>
      </c>
      <c r="G20" s="72">
        <v>2.1110000000000002</v>
      </c>
      <c r="H20" s="75" t="s">
        <v>57</v>
      </c>
      <c r="I20" s="76" t="str">
        <f>VLOOKUP(A20,Setores!$A$2:$C$215,2,0)</f>
        <v>tech</v>
      </c>
      <c r="J20" s="76" t="str">
        <f>VLOOKUP(A20,Setores!$A$2:$C$215,3,0)</f>
        <v>high_beta</v>
      </c>
      <c r="K20" s="77">
        <v>1.0999999999999999E-2</v>
      </c>
      <c r="L20" s="77">
        <v>1.0999999999999999E-2</v>
      </c>
      <c r="M20" s="78">
        <v>80</v>
      </c>
      <c r="N20" s="79">
        <f>VLOOKUP(A20,'Mandato Smll'!$A$2:$C$215,2,0)</f>
        <v>1.30666123910051E-2</v>
      </c>
      <c r="O20" s="80">
        <f t="shared" si="7"/>
        <v>-2.0666123910051005E-3</v>
      </c>
      <c r="P20" s="81">
        <f t="shared" si="8"/>
        <v>-2.0666123910051005E-3</v>
      </c>
      <c r="Q20" s="79">
        <f>VLOOKUP(A20,'Mandato Smll'!$A$2:$C$215,3,0)</f>
        <v>9.9104639769963098E-3</v>
      </c>
      <c r="R20" s="80">
        <f t="shared" si="9"/>
        <v>1.0895360230036896E-3</v>
      </c>
      <c r="S20" s="74">
        <v>1</v>
      </c>
      <c r="T20" s="74">
        <v>1</v>
      </c>
      <c r="U20" s="74">
        <v>1</v>
      </c>
      <c r="V20" s="74">
        <v>1</v>
      </c>
      <c r="W20" s="74">
        <v>1</v>
      </c>
      <c r="X20" s="74">
        <v>0.184</v>
      </c>
      <c r="Y20" s="74">
        <v>-0.57499999999999996</v>
      </c>
      <c r="Z20" s="74">
        <v>0.38900000000000001</v>
      </c>
      <c r="AA20" s="74">
        <v>0.34799999999999998</v>
      </c>
      <c r="AB20" s="74">
        <v>0.34699999999999998</v>
      </c>
      <c r="AC20" s="74">
        <v>0.76600000000000001</v>
      </c>
      <c r="AD20" s="74">
        <v>0.79300000000000004</v>
      </c>
      <c r="AE20" s="74">
        <v>1</v>
      </c>
      <c r="AF20" s="82">
        <v>1</v>
      </c>
      <c r="AG20" s="74">
        <v>1</v>
      </c>
      <c r="AH20" s="74">
        <v>1</v>
      </c>
      <c r="AI20" s="74">
        <v>0.58799999999999997</v>
      </c>
      <c r="AJ20" s="74">
        <v>0.89800000000000002</v>
      </c>
      <c r="AK20" s="83">
        <v>1</v>
      </c>
      <c r="AL20" s="84">
        <v>0.42399999999999999</v>
      </c>
      <c r="AM20" s="84">
        <v>-0.80900000000000005</v>
      </c>
      <c r="AN20" s="84">
        <v>0.44500000000000001</v>
      </c>
      <c r="AO20" s="84">
        <v>0.34100000000000003</v>
      </c>
      <c r="AP20" s="84">
        <v>0.35499999999999998</v>
      </c>
      <c r="AQ20" s="84">
        <v>0.38200000000000001</v>
      </c>
      <c r="AR20" s="84">
        <v>0.7</v>
      </c>
      <c r="AS20" s="84">
        <v>0.66400000000000003</v>
      </c>
      <c r="AT20" s="84">
        <v>0.36599999999999999</v>
      </c>
      <c r="AU20" s="84">
        <v>0.13700000000000001</v>
      </c>
      <c r="AV20" s="84">
        <v>-0.44500000000000001</v>
      </c>
      <c r="AW20" s="88">
        <v>0.85799999999999998</v>
      </c>
      <c r="AX20" s="84">
        <v>-0.52800000000000002</v>
      </c>
      <c r="AY20" s="84">
        <v>0.35799999999999998</v>
      </c>
      <c r="AZ20" s="84">
        <v>0.41299999999999998</v>
      </c>
      <c r="BA20" s="84">
        <v>-0.318</v>
      </c>
      <c r="BB20" s="84">
        <v>0.93200000000000005</v>
      </c>
      <c r="BC20" s="84">
        <v>0.33600000000000002</v>
      </c>
      <c r="BD20" s="84">
        <v>0.23400000000000001</v>
      </c>
      <c r="BE20" s="84">
        <v>0.79900000000000004</v>
      </c>
      <c r="BF20" s="84">
        <v>-1</v>
      </c>
      <c r="BG20" s="84">
        <v>-0.38200000000000001</v>
      </c>
      <c r="BH20" s="84">
        <v>-1</v>
      </c>
      <c r="BI20" s="84">
        <v>0.53300000000000003</v>
      </c>
      <c r="BJ20" s="84">
        <v>-0.127</v>
      </c>
      <c r="BK20" s="84">
        <v>0.91700000000000004</v>
      </c>
      <c r="BL20" s="84">
        <v>0.46400000000000002</v>
      </c>
      <c r="BM20" s="84"/>
    </row>
    <row r="21" spans="1:65" x14ac:dyDescent="0.3">
      <c r="A21" s="19" t="s">
        <v>70</v>
      </c>
      <c r="B21" s="53">
        <v>0</v>
      </c>
      <c r="C21" s="53">
        <f t="shared" si="4"/>
        <v>0</v>
      </c>
      <c r="D21" s="53">
        <f t="shared" si="5"/>
        <v>-1.6E-2</v>
      </c>
      <c r="E21" s="53">
        <f t="shared" si="6"/>
        <v>0</v>
      </c>
      <c r="F21" s="15">
        <v>2.92</v>
      </c>
      <c r="G21" s="19">
        <v>3.7519999999999998</v>
      </c>
      <c r="H21" s="24" t="s">
        <v>71</v>
      </c>
      <c r="I21" t="str">
        <f>VLOOKUP(A21,Setores!$A$2:$C$215,2,0)</f>
        <v>basic_materials</v>
      </c>
      <c r="J21" t="str">
        <f>VLOOKUP(A21,Setores!$A$2:$C$215,3,0)</f>
        <v>low_beta</v>
      </c>
      <c r="K21" s="2">
        <v>1.6E-2</v>
      </c>
      <c r="L21" s="2">
        <v>1.6E-2</v>
      </c>
      <c r="M21" s="71">
        <v>80</v>
      </c>
      <c r="N21" s="41">
        <f>VLOOKUP(A21,'Mandato Smll'!$A$2:$C$215,2,0)</f>
        <v>1.2990933572681501E-2</v>
      </c>
      <c r="O21" s="58">
        <f t="shared" si="7"/>
        <v>3.0090664273184995E-3</v>
      </c>
      <c r="P21" s="42">
        <f t="shared" si="8"/>
        <v>-1.2990933572681501E-2</v>
      </c>
      <c r="Q21" s="41">
        <f>VLOOKUP(A21,'Mandato Smll'!$A$2:$C$215,3,0)</f>
        <v>9.8427471128918302E-3</v>
      </c>
      <c r="R21" s="58">
        <f t="shared" si="9"/>
        <v>6.1572528871081701E-3</v>
      </c>
      <c r="S21" s="15">
        <v>8.6999999999999994E-2</v>
      </c>
      <c r="T21" s="15">
        <v>0.432</v>
      </c>
      <c r="U21" s="15">
        <v>-0.19</v>
      </c>
      <c r="V21" s="15">
        <v>0.2</v>
      </c>
      <c r="W21" s="15">
        <v>0.191</v>
      </c>
      <c r="X21" s="15">
        <v>0.58199999999999996</v>
      </c>
      <c r="Y21" s="15">
        <v>0.73</v>
      </c>
      <c r="Z21" s="15">
        <v>0.879</v>
      </c>
      <c r="AA21" s="15">
        <v>0.97299999999999998</v>
      </c>
      <c r="AB21" s="15">
        <v>0.96799999999999997</v>
      </c>
      <c r="AC21" s="15">
        <v>0.78900000000000003</v>
      </c>
      <c r="AD21" s="15">
        <v>0.78700000000000003</v>
      </c>
      <c r="AE21" s="15">
        <v>1</v>
      </c>
      <c r="AF21" s="14">
        <v>-0.129</v>
      </c>
      <c r="AG21" s="15">
        <v>-0.58699999999999997</v>
      </c>
      <c r="AH21" s="15">
        <v>0.44400000000000001</v>
      </c>
      <c r="AI21" s="15">
        <v>-0.63800000000000001</v>
      </c>
      <c r="AJ21" s="15">
        <v>0.17100000000000001</v>
      </c>
      <c r="AK21" s="9">
        <v>-0.49099999999999999</v>
      </c>
      <c r="AL21" s="4">
        <v>-0.30599999999999999</v>
      </c>
      <c r="AM21" s="4">
        <v>0.66</v>
      </c>
      <c r="AN21" s="4">
        <v>-0.439</v>
      </c>
      <c r="AO21" s="4">
        <v>-0.48899999999999999</v>
      </c>
      <c r="AP21" s="4">
        <v>0.79900000000000004</v>
      </c>
      <c r="AQ21" s="4">
        <v>0.125</v>
      </c>
      <c r="AR21" s="4">
        <v>-0.77600000000000002</v>
      </c>
      <c r="AS21" s="4">
        <v>0.68600000000000005</v>
      </c>
      <c r="AT21" s="4">
        <v>0.40699999999999997</v>
      </c>
      <c r="AU21" s="4">
        <v>4.3999999999999997E-2</v>
      </c>
      <c r="AV21" s="4">
        <v>7.1999999999999995E-2</v>
      </c>
      <c r="AW21" s="4">
        <v>0.11899999999999999</v>
      </c>
      <c r="AX21" s="4">
        <v>0.67600000000000005</v>
      </c>
      <c r="AY21" s="4">
        <v>8.5999999999999993E-2</v>
      </c>
      <c r="AZ21" s="4">
        <v>0.61399999999999999</v>
      </c>
      <c r="BA21" s="4">
        <v>-0.94099999999999995</v>
      </c>
      <c r="BB21" s="4">
        <v>0.86699999999999999</v>
      </c>
      <c r="BC21" s="4">
        <v>-9.0999999999999998E-2</v>
      </c>
      <c r="BD21" s="4">
        <v>0.377</v>
      </c>
      <c r="BE21" s="4">
        <v>0.58299999999999996</v>
      </c>
      <c r="BF21" s="4">
        <v>-0.45700000000000002</v>
      </c>
      <c r="BG21" s="4">
        <v>-4.0000000000000001E-3</v>
      </c>
      <c r="BH21" s="4">
        <v>0.71799999999999997</v>
      </c>
      <c r="BI21" s="4">
        <v>-0.34899999999999998</v>
      </c>
      <c r="BJ21" s="4">
        <v>-0.53200000000000003</v>
      </c>
      <c r="BK21" s="4">
        <v>1</v>
      </c>
      <c r="BL21" s="4">
        <v>9.6000000000000002E-2</v>
      </c>
      <c r="BM21" s="4"/>
    </row>
    <row r="22" spans="1:65" x14ac:dyDescent="0.3">
      <c r="A22" s="19" t="s">
        <v>66</v>
      </c>
      <c r="B22" s="53">
        <v>1.4E-2</v>
      </c>
      <c r="C22" s="53">
        <f t="shared" si="4"/>
        <v>1.4E-2</v>
      </c>
      <c r="D22" s="53">
        <f t="shared" si="5"/>
        <v>0</v>
      </c>
      <c r="E22" s="53">
        <f t="shared" si="6"/>
        <v>0</v>
      </c>
      <c r="F22" s="15">
        <v>2.9009999999999998</v>
      </c>
      <c r="G22" s="19">
        <v>2.21</v>
      </c>
      <c r="H22" s="24" t="s">
        <v>55</v>
      </c>
      <c r="I22" t="str">
        <f>VLOOKUP(A22,Setores!$A$2:$C$215,2,0)</f>
        <v>real_estate</v>
      </c>
      <c r="J22" t="str">
        <f>VLOOKUP(A22,Setores!$A$2:$C$215,3,0)</f>
        <v>low_beta</v>
      </c>
      <c r="K22" s="2">
        <v>1.4E-2</v>
      </c>
      <c r="L22" s="2">
        <v>1.4E-2</v>
      </c>
      <c r="M22" s="71">
        <v>80</v>
      </c>
      <c r="N22" s="41">
        <f>VLOOKUP(A22,'Mandato Smll'!$A$2:$C$215,2,0)</f>
        <v>1.3278455008008999E-2</v>
      </c>
      <c r="O22" s="58">
        <f t="shared" si="7"/>
        <v>7.2154499199100081E-4</v>
      </c>
      <c r="P22" s="42">
        <f t="shared" si="8"/>
        <v>7.2154499199100081E-4</v>
      </c>
      <c r="Q22" s="41">
        <f>VLOOKUP(A22,'Mandato Smll'!$A$2:$C$215,3,0)</f>
        <v>0</v>
      </c>
      <c r="R22" s="58">
        <f t="shared" si="9"/>
        <v>1.4E-2</v>
      </c>
      <c r="S22" s="15">
        <v>0.61099999999999999</v>
      </c>
      <c r="T22" s="15">
        <v>-4.0000000000000001E-3</v>
      </c>
      <c r="U22" s="15">
        <v>1</v>
      </c>
      <c r="V22" s="15">
        <v>0.67100000000000004</v>
      </c>
      <c r="W22" s="15">
        <v>0.65800000000000003</v>
      </c>
      <c r="X22" s="15">
        <v>0.82</v>
      </c>
      <c r="Y22" s="15">
        <v>0.98299999999999998</v>
      </c>
      <c r="Z22" s="15">
        <v>0.42399999999999999</v>
      </c>
      <c r="AA22" s="15">
        <v>0.42</v>
      </c>
      <c r="AB22" s="15">
        <v>0.41899999999999998</v>
      </c>
      <c r="AC22" s="15">
        <v>0.89400000000000002</v>
      </c>
      <c r="AD22" s="15">
        <v>0.81499999999999995</v>
      </c>
      <c r="AE22" s="15">
        <v>0.751</v>
      </c>
      <c r="AF22" s="14">
        <v>1</v>
      </c>
      <c r="AG22" s="15">
        <v>1</v>
      </c>
      <c r="AH22" s="15">
        <v>-0.63500000000000001</v>
      </c>
      <c r="AI22" s="15">
        <v>1</v>
      </c>
      <c r="AJ22" s="15">
        <v>-0.185</v>
      </c>
      <c r="AK22" s="9">
        <v>1</v>
      </c>
      <c r="AL22" s="4">
        <v>0.377</v>
      </c>
      <c r="AM22" s="4">
        <v>1</v>
      </c>
      <c r="AN22" s="4">
        <v>0.215</v>
      </c>
      <c r="AO22" s="4">
        <v>-0.28199999999999997</v>
      </c>
      <c r="AP22" s="4">
        <v>-0.56499999999999995</v>
      </c>
      <c r="AQ22" s="4">
        <v>-0.497</v>
      </c>
      <c r="AR22" s="4">
        <v>0.69499999999999995</v>
      </c>
      <c r="AS22" s="4">
        <v>-0.375</v>
      </c>
      <c r="AT22" s="4">
        <v>-2.7E-2</v>
      </c>
      <c r="AU22" s="4">
        <v>-0.11899999999999999</v>
      </c>
      <c r="AV22" s="4">
        <v>0.14599999999999999</v>
      </c>
      <c r="AW22" s="4">
        <v>0.379</v>
      </c>
      <c r="AX22" s="4">
        <v>0.23799999999999999</v>
      </c>
      <c r="AY22" s="4">
        <v>-0.35799999999999998</v>
      </c>
      <c r="AZ22" s="4">
        <v>5.2999999999999999E-2</v>
      </c>
      <c r="BA22" s="4">
        <v>-0.182</v>
      </c>
      <c r="BB22" s="4">
        <v>7.0000000000000001E-3</v>
      </c>
      <c r="BC22" s="4">
        <v>0.60199999999999998</v>
      </c>
      <c r="BD22" s="4">
        <v>0.73</v>
      </c>
      <c r="BE22" s="4">
        <v>0.622</v>
      </c>
      <c r="BF22" s="4">
        <v>-0.114</v>
      </c>
      <c r="BG22" s="4">
        <v>-0.53700000000000003</v>
      </c>
      <c r="BH22" s="4">
        <v>0.54200000000000004</v>
      </c>
      <c r="BI22" s="4">
        <v>-0.85199999999999998</v>
      </c>
      <c r="BJ22" s="4">
        <v>9.9000000000000005E-2</v>
      </c>
      <c r="BK22" s="4">
        <v>0.66900000000000004</v>
      </c>
      <c r="BL22" s="4">
        <v>0.82199999999999995</v>
      </c>
      <c r="BM22" s="4"/>
    </row>
    <row r="23" spans="1:65" x14ac:dyDescent="0.3">
      <c r="A23" s="19" t="s">
        <v>73</v>
      </c>
      <c r="B23" s="53">
        <v>0.02</v>
      </c>
      <c r="C23" s="53">
        <f t="shared" si="4"/>
        <v>1.0999999999999999E-2</v>
      </c>
      <c r="D23" s="53">
        <f t="shared" si="5"/>
        <v>6.0000000000000001E-3</v>
      </c>
      <c r="E23" s="53">
        <f t="shared" si="6"/>
        <v>9.0000000000000011E-3</v>
      </c>
      <c r="F23" s="15">
        <v>2.8340000000000001</v>
      </c>
      <c r="G23" s="19">
        <v>4.2439999999999998</v>
      </c>
      <c r="H23" s="24" t="s">
        <v>57</v>
      </c>
      <c r="I23" t="str">
        <f>VLOOKUP(A23,Setores!$A$2:$C$215,2,0)</f>
        <v>banks</v>
      </c>
      <c r="J23" t="str">
        <f>VLOOKUP(A23,Setores!$A$2:$C$215,3,0)</f>
        <v>neutral_beta</v>
      </c>
      <c r="K23" s="2">
        <v>1.4E-2</v>
      </c>
      <c r="L23" s="2">
        <v>5.0000000000000001E-3</v>
      </c>
      <c r="M23" s="71">
        <v>80</v>
      </c>
      <c r="N23" s="41">
        <f>VLOOKUP(A23,'Mandato Smll'!$A$2:$C$215,2,0)</f>
        <v>2.9463943015452802E-2</v>
      </c>
      <c r="O23" s="58">
        <f t="shared" si="7"/>
        <v>-1.5463943015452801E-2</v>
      </c>
      <c r="P23" s="42">
        <f t="shared" si="8"/>
        <v>-9.4639430154528012E-3</v>
      </c>
      <c r="Q23" s="41">
        <f>VLOOKUP(A23,'Mandato Smll'!$A$2:$C$215,3,0)</f>
        <v>1.89524778439795E-2</v>
      </c>
      <c r="R23" s="58">
        <f t="shared" si="9"/>
        <v>-4.9524778439794994E-3</v>
      </c>
      <c r="S23" s="15">
        <v>0.249</v>
      </c>
      <c r="T23" s="15">
        <v>0.52800000000000002</v>
      </c>
      <c r="U23" s="15">
        <v>-3.1E-2</v>
      </c>
      <c r="V23" s="15">
        <v>0.371</v>
      </c>
      <c r="W23" s="15">
        <v>0.36099999999999999</v>
      </c>
      <c r="X23" s="15">
        <v>0.53400000000000003</v>
      </c>
      <c r="Y23" s="15">
        <v>0.67200000000000004</v>
      </c>
      <c r="Z23" s="15">
        <v>0.57099999999999995</v>
      </c>
      <c r="AA23" s="15">
        <v>0.91200000000000003</v>
      </c>
      <c r="AB23" s="15">
        <v>0.91100000000000003</v>
      </c>
      <c r="AC23" s="15">
        <v>0.86299999999999999</v>
      </c>
      <c r="AD23" s="15">
        <v>0.91400000000000003</v>
      </c>
      <c r="AE23" s="15">
        <v>0.94499999999999995</v>
      </c>
      <c r="AF23" s="14">
        <v>-7.6999999999999999E-2</v>
      </c>
      <c r="AG23" s="15">
        <v>0.65100000000000002</v>
      </c>
      <c r="AH23" s="15">
        <v>0.92400000000000004</v>
      </c>
      <c r="AI23" s="15">
        <v>-3.7999999999999999E-2</v>
      </c>
      <c r="AJ23" s="15">
        <v>-0.27300000000000002</v>
      </c>
      <c r="AK23" s="9">
        <v>-0.625</v>
      </c>
      <c r="AL23" s="4">
        <v>-5.8000000000000003E-2</v>
      </c>
      <c r="AM23" s="4">
        <v>0.32</v>
      </c>
      <c r="AN23" s="4">
        <v>0.58299999999999996</v>
      </c>
      <c r="AO23" s="4">
        <v>0.34200000000000003</v>
      </c>
      <c r="AP23" s="4">
        <v>0.114</v>
      </c>
      <c r="AQ23" s="4">
        <v>-0.51400000000000001</v>
      </c>
      <c r="AR23" s="4">
        <v>0.13800000000000001</v>
      </c>
      <c r="AS23" s="4">
        <v>0.32100000000000001</v>
      </c>
      <c r="AT23" s="4">
        <v>0.24099999999999999</v>
      </c>
      <c r="AU23" s="4">
        <v>-0.16200000000000001</v>
      </c>
      <c r="AV23" s="4">
        <v>-0.23799999999999999</v>
      </c>
      <c r="AW23" s="4">
        <v>-0.21199999999999999</v>
      </c>
      <c r="AX23" s="4">
        <v>0.442</v>
      </c>
      <c r="AY23" s="4">
        <v>-0.39300000000000002</v>
      </c>
      <c r="AZ23" s="4">
        <v>0.67</v>
      </c>
      <c r="BA23" s="4">
        <v>0.39300000000000002</v>
      </c>
      <c r="BB23" s="4">
        <v>0.65700000000000003</v>
      </c>
      <c r="BC23" s="4">
        <v>-0.40899999999999997</v>
      </c>
      <c r="BD23" s="4">
        <v>-0.23400000000000001</v>
      </c>
      <c r="BE23" s="4">
        <v>0.34</v>
      </c>
      <c r="BF23" s="4">
        <v>-4.3999999999999997E-2</v>
      </c>
      <c r="BG23" s="4">
        <v>0.29099999999999998</v>
      </c>
      <c r="BH23" s="4">
        <v>0.95799999999999996</v>
      </c>
      <c r="BI23" s="4">
        <v>-0.47799999999999998</v>
      </c>
      <c r="BJ23" s="4">
        <v>-8.8999999999999996E-2</v>
      </c>
      <c r="BK23" s="4">
        <v>0.20300000000000001</v>
      </c>
      <c r="BL23" s="4">
        <v>0.42599999999999999</v>
      </c>
      <c r="BM23" s="4"/>
    </row>
    <row r="24" spans="1:65" x14ac:dyDescent="0.3">
      <c r="A24" s="19" t="s">
        <v>163</v>
      </c>
      <c r="B24" s="53">
        <v>0.02</v>
      </c>
      <c r="C24" s="53">
        <f t="shared" si="4"/>
        <v>1.6E-2</v>
      </c>
      <c r="D24" s="53">
        <f t="shared" si="5"/>
        <v>0</v>
      </c>
      <c r="E24" s="53">
        <f t="shared" si="6"/>
        <v>4.0000000000000001E-3</v>
      </c>
      <c r="F24" s="15">
        <v>2.64</v>
      </c>
      <c r="G24" s="19">
        <v>3.94</v>
      </c>
      <c r="H24" s="24" t="s">
        <v>68</v>
      </c>
      <c r="I24" t="str">
        <f>VLOOKUP(A24,Setores!$A$2:$C$215,2,0)</f>
        <v>building_materials</v>
      </c>
      <c r="J24" t="str">
        <f>VLOOKUP(A24,Setores!$A$2:$C$215,3,0)</f>
        <v>neutral_beta</v>
      </c>
      <c r="K24" s="2">
        <v>0.02</v>
      </c>
      <c r="L24" s="2">
        <v>1.6E-2</v>
      </c>
      <c r="M24" s="71">
        <v>80</v>
      </c>
      <c r="N24" s="41">
        <f>VLOOKUP(A24,'Mandato Smll'!$A$2:$C$215,2,0)</f>
        <v>1.66010155323837E-2</v>
      </c>
      <c r="O24" s="58">
        <f t="shared" si="7"/>
        <v>3.3989844676163006E-3</v>
      </c>
      <c r="P24" s="42">
        <f t="shared" si="8"/>
        <v>3.3989844676163006E-3</v>
      </c>
      <c r="Q24" s="41">
        <f>VLOOKUP(A24,'Mandato Smll'!$A$2:$C$215,3,0)</f>
        <v>9.3089355249402206E-3</v>
      </c>
      <c r="R24" s="58">
        <f t="shared" si="9"/>
        <v>1.069106447505978E-2</v>
      </c>
      <c r="S24" s="15">
        <v>0.499</v>
      </c>
      <c r="T24" s="15">
        <v>0.28100000000000003</v>
      </c>
      <c r="U24" s="15">
        <v>0.11</v>
      </c>
      <c r="V24" s="15">
        <v>0.375</v>
      </c>
      <c r="W24" s="15">
        <v>0.126</v>
      </c>
      <c r="X24" s="15">
        <v>0.67300000000000004</v>
      </c>
      <c r="Y24" s="15">
        <v>0.95299999999999996</v>
      </c>
      <c r="Z24" s="15">
        <v>0.191</v>
      </c>
      <c r="AA24" s="15">
        <v>0.70199999999999996</v>
      </c>
      <c r="AB24" s="15">
        <v>0.69699999999999995</v>
      </c>
      <c r="AC24" s="15">
        <v>0.90400000000000003</v>
      </c>
      <c r="AD24" s="15">
        <v>0.88800000000000001</v>
      </c>
      <c r="AE24" s="15">
        <v>0.84499999999999997</v>
      </c>
      <c r="AF24" s="14">
        <v>2.1999999999999999E-2</v>
      </c>
      <c r="AG24" s="15">
        <v>0.11600000000000001</v>
      </c>
      <c r="AH24" s="15">
        <v>-0.16500000000000001</v>
      </c>
      <c r="AI24" s="15">
        <v>-0.34100000000000003</v>
      </c>
      <c r="AJ24" s="15">
        <v>0.34599999999999997</v>
      </c>
      <c r="AK24" s="9">
        <v>6.0000000000000001E-3</v>
      </c>
      <c r="AL24" s="4">
        <v>-5.6000000000000001E-2</v>
      </c>
      <c r="AM24" s="4">
        <v>-0.23599999999999999</v>
      </c>
      <c r="AN24" s="4">
        <v>-0.61699999999999999</v>
      </c>
      <c r="AO24" s="4">
        <v>0.82499999999999996</v>
      </c>
      <c r="AP24" s="4">
        <v>0.20899999999999999</v>
      </c>
      <c r="AQ24" s="4">
        <v>-0.249</v>
      </c>
      <c r="AR24" s="4">
        <v>0.34</v>
      </c>
      <c r="AS24" s="4">
        <v>0.86399999999999999</v>
      </c>
      <c r="AT24" s="4">
        <v>0.25800000000000001</v>
      </c>
      <c r="AU24" s="4">
        <v>0.436</v>
      </c>
      <c r="AV24" s="4">
        <v>0.442</v>
      </c>
      <c r="AW24" s="4">
        <v>0.32500000000000001</v>
      </c>
      <c r="AX24" s="4">
        <v>0.39700000000000002</v>
      </c>
      <c r="AY24" s="4">
        <v>4.3999999999999997E-2</v>
      </c>
      <c r="AZ24" s="4">
        <v>0.38400000000000001</v>
      </c>
      <c r="BA24" s="4">
        <v>0.60699999999999998</v>
      </c>
      <c r="BB24" s="4">
        <v>0.46600000000000003</v>
      </c>
      <c r="BC24" s="4">
        <v>-0.29299999999999998</v>
      </c>
      <c r="BD24" s="4">
        <v>-0.375</v>
      </c>
      <c r="BE24" s="4">
        <v>0.39900000000000002</v>
      </c>
      <c r="BF24" s="4">
        <v>-0.373</v>
      </c>
      <c r="BG24" s="4">
        <v>-0.309</v>
      </c>
      <c r="BH24" s="4">
        <v>0.80800000000000005</v>
      </c>
      <c r="BI24" s="4">
        <v>-0.48299999999999998</v>
      </c>
      <c r="BJ24" s="4">
        <v>0.215</v>
      </c>
      <c r="BK24" s="4">
        <v>0.29499999999999998</v>
      </c>
      <c r="BL24" s="4">
        <v>4.7E-2</v>
      </c>
      <c r="BM24" s="4"/>
    </row>
    <row r="25" spans="1:65" x14ac:dyDescent="0.3">
      <c r="A25" s="19" t="s">
        <v>130</v>
      </c>
      <c r="B25" s="53">
        <v>8.0000000000000002E-3</v>
      </c>
      <c r="C25" s="53">
        <f t="shared" si="4"/>
        <v>8.0000000000000002E-3</v>
      </c>
      <c r="D25" s="53">
        <f t="shared" si="5"/>
        <v>0</v>
      </c>
      <c r="E25" s="53">
        <f t="shared" si="6"/>
        <v>0</v>
      </c>
      <c r="F25" s="15">
        <v>2.6240000000000001</v>
      </c>
      <c r="G25" s="19">
        <v>1.821</v>
      </c>
      <c r="H25" s="24" t="s">
        <v>71</v>
      </c>
      <c r="I25" t="str">
        <f>VLOOKUP(A25,Setores!$A$2:$C$215,2,0)</f>
        <v>basic_materials</v>
      </c>
      <c r="J25" t="str">
        <f>VLOOKUP(A25,Setores!$A$2:$C$215,3,0)</f>
        <v>very_high_beta</v>
      </c>
      <c r="K25" s="2">
        <v>8.0000000000000002E-3</v>
      </c>
      <c r="L25" s="2">
        <v>8.0000000000000002E-3</v>
      </c>
      <c r="M25" s="71">
        <v>80</v>
      </c>
      <c r="N25" s="41">
        <f>VLOOKUP(A25,'Mandato Smll'!$A$2:$C$215,2,0)</f>
        <v>1.1675067933945399E-2</v>
      </c>
      <c r="O25" s="58">
        <f t="shared" si="7"/>
        <v>-3.6750679339453991E-3</v>
      </c>
      <c r="P25" s="42">
        <f t="shared" si="8"/>
        <v>-3.6750679339453991E-3</v>
      </c>
      <c r="Q25" s="41">
        <f>VLOOKUP(A25,'Mandato Smll'!$A$2:$C$215,3,0)</f>
        <v>1.4505219814832999E-2</v>
      </c>
      <c r="R25" s="58">
        <f t="shared" si="9"/>
        <v>-6.5052198148329993E-3</v>
      </c>
      <c r="S25" s="15">
        <v>0.33</v>
      </c>
      <c r="T25" s="15">
        <v>0.65800000000000003</v>
      </c>
      <c r="U25" s="15">
        <v>-0.46700000000000003</v>
      </c>
      <c r="V25" s="15">
        <v>0.58899999999999997</v>
      </c>
      <c r="W25" s="15">
        <v>0.20300000000000001</v>
      </c>
      <c r="X25" s="15">
        <v>0.22700000000000001</v>
      </c>
      <c r="Y25" s="15">
        <v>-0.08</v>
      </c>
      <c r="Z25" s="15">
        <v>0.47</v>
      </c>
      <c r="AA25" s="15">
        <v>1</v>
      </c>
      <c r="AB25" s="15">
        <v>1</v>
      </c>
      <c r="AC25" s="15">
        <v>0.871</v>
      </c>
      <c r="AD25" s="15">
        <v>0.996</v>
      </c>
      <c r="AE25" s="15">
        <v>0.96599999999999997</v>
      </c>
      <c r="AF25" s="14">
        <v>-0.26500000000000001</v>
      </c>
      <c r="AG25" s="15">
        <v>-0.50800000000000001</v>
      </c>
      <c r="AH25" s="15">
        <v>1</v>
      </c>
      <c r="AI25" s="15">
        <v>-0.754</v>
      </c>
      <c r="AJ25" s="15">
        <v>4.1000000000000002E-2</v>
      </c>
      <c r="AK25" s="9">
        <v>-0.67800000000000005</v>
      </c>
      <c r="AL25" s="4">
        <v>0.10100000000000001</v>
      </c>
      <c r="AM25" s="4">
        <v>-0.54600000000000004</v>
      </c>
      <c r="AN25" s="4">
        <v>-0.20200000000000001</v>
      </c>
      <c r="AO25" s="4">
        <v>-0.54300000000000004</v>
      </c>
      <c r="AP25" s="4">
        <v>0.83399999999999996</v>
      </c>
      <c r="AQ25" s="4">
        <v>0.81100000000000005</v>
      </c>
      <c r="AR25" s="4">
        <v>0.495</v>
      </c>
      <c r="AS25" s="4">
        <v>0.92200000000000004</v>
      </c>
      <c r="AT25" s="4">
        <v>0.36299999999999999</v>
      </c>
      <c r="AU25" s="4">
        <v>0.95599999999999996</v>
      </c>
      <c r="AV25" s="4">
        <v>0.373</v>
      </c>
      <c r="AW25" s="4">
        <v>0.83499999999999996</v>
      </c>
      <c r="AX25" s="4">
        <v>4.5999999999999999E-2</v>
      </c>
      <c r="AY25" s="4">
        <v>0.16700000000000001</v>
      </c>
      <c r="AZ25" s="4">
        <v>-0.35299999999999998</v>
      </c>
      <c r="BA25" s="4">
        <v>0.14099999999999999</v>
      </c>
      <c r="BB25" s="4">
        <v>0.65700000000000003</v>
      </c>
      <c r="BC25" s="4">
        <v>-0.28199999999999997</v>
      </c>
      <c r="BD25" s="4">
        <v>0.33</v>
      </c>
      <c r="BE25" s="4">
        <v>0.64600000000000002</v>
      </c>
      <c r="BF25" s="4">
        <v>1</v>
      </c>
      <c r="BG25" s="4">
        <v>-0.36399999999999999</v>
      </c>
      <c r="BH25" s="4">
        <v>-0.78600000000000003</v>
      </c>
      <c r="BI25" s="4">
        <v>-1</v>
      </c>
      <c r="BJ25" s="4">
        <v>0.36099999999999999</v>
      </c>
      <c r="BK25" s="4">
        <v>-1.9E-2</v>
      </c>
      <c r="BL25" s="4">
        <v>-0.45500000000000002</v>
      </c>
      <c r="BM25" s="4"/>
    </row>
    <row r="26" spans="1:65" x14ac:dyDescent="0.3">
      <c r="A26" s="19" t="s">
        <v>82</v>
      </c>
      <c r="B26" s="53">
        <v>3.3000000000000002E-2</v>
      </c>
      <c r="C26" s="53">
        <f t="shared" si="4"/>
        <v>1.6E-2</v>
      </c>
      <c r="D26" s="53">
        <f t="shared" si="5"/>
        <v>1.6E-2</v>
      </c>
      <c r="E26" s="53">
        <f t="shared" si="6"/>
        <v>1.7000000000000001E-2</v>
      </c>
      <c r="F26" s="15">
        <v>2.61</v>
      </c>
      <c r="G26" s="19">
        <v>5.508</v>
      </c>
      <c r="H26" s="24" t="s">
        <v>71</v>
      </c>
      <c r="I26" t="str">
        <f>VLOOKUP(A26,Setores!$A$2:$C$215,2,0)</f>
        <v>basic_materials</v>
      </c>
      <c r="J26" t="str">
        <f>VLOOKUP(A26,Setores!$A$2:$C$215,3,0)</f>
        <v>neutral_beta</v>
      </c>
      <c r="K26" s="2">
        <v>1.7000000000000001E-2</v>
      </c>
      <c r="L26" s="2">
        <v>0</v>
      </c>
      <c r="M26" s="71">
        <v>59</v>
      </c>
      <c r="N26" s="41">
        <f>VLOOKUP(A26,'Mandato Smll'!$A$2:$C$215,2,0)</f>
        <v>4.68234171223278E-2</v>
      </c>
      <c r="O26" s="58">
        <f t="shared" si="7"/>
        <v>-2.9823417122327799E-2</v>
      </c>
      <c r="P26" s="42">
        <f t="shared" si="8"/>
        <v>-1.3823417122327798E-2</v>
      </c>
      <c r="Q26" s="41">
        <f>VLOOKUP(A26,'Mandato Smll'!$A$2:$C$215,3,0)</f>
        <v>4.0834445815344803E-2</v>
      </c>
      <c r="R26" s="58">
        <f t="shared" si="9"/>
        <v>-2.3834445815344801E-2</v>
      </c>
      <c r="S26" s="15">
        <v>-0.11700000000000001</v>
      </c>
      <c r="T26" s="15">
        <v>0.40799999999999997</v>
      </c>
      <c r="U26" s="15">
        <v>-0.56599999999999995</v>
      </c>
      <c r="V26" s="15">
        <v>0.127</v>
      </c>
      <c r="W26" s="15">
        <v>5.5E-2</v>
      </c>
      <c r="X26" s="15">
        <v>0.433</v>
      </c>
      <c r="Y26" s="15">
        <v>0.59299999999999997</v>
      </c>
      <c r="Z26" s="15">
        <v>0.84799999999999998</v>
      </c>
      <c r="AA26" s="15">
        <v>0.81299999999999994</v>
      </c>
      <c r="AB26" s="15">
        <v>0.80900000000000005</v>
      </c>
      <c r="AC26" s="15">
        <v>0.86499999999999999</v>
      </c>
      <c r="AD26" s="15">
        <v>0.76700000000000002</v>
      </c>
      <c r="AE26" s="15">
        <v>0.93899999999999995</v>
      </c>
      <c r="AF26" s="14">
        <v>-0.158</v>
      </c>
      <c r="AG26" s="15">
        <v>-0.60499999999999998</v>
      </c>
      <c r="AH26" s="15">
        <v>0.57399999999999995</v>
      </c>
      <c r="AI26" s="15">
        <v>-0.65</v>
      </c>
      <c r="AJ26" s="15">
        <v>0.29799999999999999</v>
      </c>
      <c r="AK26" s="9">
        <v>-0.49099999999999999</v>
      </c>
      <c r="AL26" s="4">
        <v>-0.30599999999999999</v>
      </c>
      <c r="AM26" s="4">
        <v>0.621</v>
      </c>
      <c r="AN26" s="4">
        <v>-0.439</v>
      </c>
      <c r="AO26" s="4">
        <v>-0.49099999999999999</v>
      </c>
      <c r="AP26" s="4">
        <v>0.871</v>
      </c>
      <c r="AQ26" s="4">
        <v>0.22500000000000001</v>
      </c>
      <c r="AR26" s="4">
        <v>-0.77200000000000002</v>
      </c>
      <c r="AS26" s="4">
        <v>0.68600000000000005</v>
      </c>
      <c r="AT26" s="4">
        <v>0.40300000000000002</v>
      </c>
      <c r="AU26" s="4">
        <v>4.3999999999999997E-2</v>
      </c>
      <c r="AV26" s="4">
        <v>0.12</v>
      </c>
      <c r="AW26" s="4">
        <v>0.11899999999999999</v>
      </c>
      <c r="AX26" s="4">
        <v>0.56299999999999994</v>
      </c>
      <c r="AY26" s="4">
        <v>0.02</v>
      </c>
      <c r="AZ26" s="4">
        <v>0.55300000000000005</v>
      </c>
      <c r="BA26" s="4">
        <v>-0.78700000000000003</v>
      </c>
      <c r="BB26" s="4">
        <v>0.34100000000000003</v>
      </c>
      <c r="BC26" s="4">
        <v>-9.0999999999999998E-2</v>
      </c>
      <c r="BD26" s="4">
        <v>0.377</v>
      </c>
      <c r="BE26" s="4">
        <v>0.60199999999999998</v>
      </c>
      <c r="BF26" s="4">
        <v>-0.32700000000000001</v>
      </c>
      <c r="BG26" s="4">
        <v>0.33500000000000002</v>
      </c>
      <c r="BH26" s="4">
        <v>0.67300000000000004</v>
      </c>
      <c r="BI26" s="4">
        <v>-0.40300000000000002</v>
      </c>
      <c r="BJ26" s="4">
        <v>-0.36</v>
      </c>
      <c r="BK26" s="4">
        <v>-0.27700000000000002</v>
      </c>
      <c r="BL26" s="4">
        <v>9.6000000000000002E-2</v>
      </c>
      <c r="BM26" s="4"/>
    </row>
    <row r="27" spans="1:65" x14ac:dyDescent="0.3">
      <c r="A27" s="19" t="s">
        <v>167</v>
      </c>
      <c r="B27" s="53">
        <v>0.02</v>
      </c>
      <c r="C27" s="53">
        <f t="shared" si="4"/>
        <v>1.4999999999999999E-2</v>
      </c>
      <c r="D27" s="53">
        <f t="shared" si="5"/>
        <v>0</v>
      </c>
      <c r="E27" s="53">
        <f t="shared" si="6"/>
        <v>5.000000000000001E-3</v>
      </c>
      <c r="F27" s="15">
        <v>2.6019999999999999</v>
      </c>
      <c r="G27" s="19">
        <v>2.5619999999999998</v>
      </c>
      <c r="H27" s="24" t="s">
        <v>57</v>
      </c>
      <c r="I27" t="str">
        <f>VLOOKUP(A27,Setores!$A$2:$C$215,2,0)</f>
        <v>tech</v>
      </c>
      <c r="J27" t="str">
        <f>VLOOKUP(A27,Setores!$A$2:$C$215,3,0)</f>
        <v>high_beta</v>
      </c>
      <c r="K27" s="2">
        <v>0.02</v>
      </c>
      <c r="L27" s="2">
        <v>1.4999999999999999E-2</v>
      </c>
      <c r="M27" s="71">
        <v>80</v>
      </c>
      <c r="N27" s="41">
        <f>VLOOKUP(A27,'Mandato Smll'!$A$2:$C$215,2,0)</f>
        <v>1.83628101920753E-2</v>
      </c>
      <c r="O27" s="58">
        <f t="shared" si="7"/>
        <v>1.6371898079247001E-3</v>
      </c>
      <c r="P27" s="42">
        <f t="shared" si="8"/>
        <v>1.6371898079247001E-3</v>
      </c>
      <c r="Q27" s="41">
        <f>VLOOKUP(A27,'Mandato Smll'!$A$2:$C$215,3,0)</f>
        <v>1.6102797812179999E-2</v>
      </c>
      <c r="R27" s="58">
        <f t="shared" si="9"/>
        <v>3.8972021878200015E-3</v>
      </c>
      <c r="S27" s="15">
        <v>0.71299999999999997</v>
      </c>
      <c r="T27" s="15">
        <v>0.61099999999999999</v>
      </c>
      <c r="U27" s="15">
        <v>0.23200000000000001</v>
      </c>
      <c r="V27" s="15">
        <v>0.68300000000000005</v>
      </c>
      <c r="W27" s="15">
        <v>0.433</v>
      </c>
      <c r="X27" s="15">
        <v>0.27500000000000002</v>
      </c>
      <c r="Y27" s="15">
        <v>-7.0000000000000001E-3</v>
      </c>
      <c r="Z27" s="15">
        <v>0.34300000000000003</v>
      </c>
      <c r="AA27" s="15">
        <v>0.23300000000000001</v>
      </c>
      <c r="AB27" s="15">
        <v>0.23599999999999999</v>
      </c>
      <c r="AC27" s="15">
        <v>0.99399999999999999</v>
      </c>
      <c r="AD27" s="15">
        <v>0.89</v>
      </c>
      <c r="AE27" s="15">
        <v>0.877</v>
      </c>
      <c r="AF27" s="14">
        <v>0.83399999999999996</v>
      </c>
      <c r="AG27" s="15">
        <v>-0.13900000000000001</v>
      </c>
      <c r="AH27" s="15">
        <v>0.11600000000000001</v>
      </c>
      <c r="AI27" s="15">
        <v>-0.40100000000000002</v>
      </c>
      <c r="AJ27" s="15">
        <v>0.13900000000000001</v>
      </c>
      <c r="AK27" s="9">
        <v>0.27800000000000002</v>
      </c>
      <c r="AL27" s="4">
        <v>0.113</v>
      </c>
      <c r="AM27" s="4">
        <v>-0.28799999999999998</v>
      </c>
      <c r="AN27" s="4">
        <v>-0.69799999999999995</v>
      </c>
      <c r="AO27" s="4">
        <v>0.72099999999999997</v>
      </c>
      <c r="AP27" s="4">
        <v>0.29199999999999998</v>
      </c>
      <c r="AQ27" s="4">
        <v>0.79100000000000004</v>
      </c>
      <c r="AR27" s="4">
        <v>7.5999999999999998E-2</v>
      </c>
      <c r="AS27" s="4">
        <v>0.81499999999999995</v>
      </c>
      <c r="AT27" s="4">
        <v>0.80400000000000005</v>
      </c>
      <c r="AU27" s="4">
        <v>0.59399999999999997</v>
      </c>
      <c r="AV27" s="4">
        <v>-0.22900000000000001</v>
      </c>
      <c r="AW27" s="4">
        <v>0.84199999999999997</v>
      </c>
      <c r="AX27" s="4">
        <v>0.182</v>
      </c>
      <c r="AY27" s="4">
        <v>0.495</v>
      </c>
      <c r="AZ27" s="4">
        <v>0.755</v>
      </c>
      <c r="BA27" s="4">
        <v>-0.27100000000000002</v>
      </c>
      <c r="BB27" s="4">
        <v>0.61799999999999999</v>
      </c>
      <c r="BC27" s="4">
        <v>8.6999999999999994E-2</v>
      </c>
      <c r="BD27" s="4">
        <v>0.41299999999999998</v>
      </c>
      <c r="BE27" s="4">
        <v>0.44400000000000001</v>
      </c>
      <c r="BF27" s="4">
        <v>-0.99399999999999999</v>
      </c>
      <c r="BG27" s="4">
        <v>-1</v>
      </c>
      <c r="BH27" s="4">
        <v>-0.44700000000000001</v>
      </c>
      <c r="BI27" s="4">
        <v>0.16500000000000001</v>
      </c>
      <c r="BJ27" s="4">
        <v>3.7999999999999999E-2</v>
      </c>
      <c r="BK27" s="4">
        <v>2.5000000000000001E-2</v>
      </c>
      <c r="BL27" s="4">
        <v>-0.151</v>
      </c>
      <c r="BM27" s="4"/>
    </row>
    <row r="28" spans="1:65" x14ac:dyDescent="0.3">
      <c r="A28" s="19" t="s">
        <v>137</v>
      </c>
      <c r="B28" s="53">
        <v>1.2E-2</v>
      </c>
      <c r="C28" s="53">
        <f t="shared" si="4"/>
        <v>0.01</v>
      </c>
      <c r="D28" s="53">
        <f t="shared" si="5"/>
        <v>0</v>
      </c>
      <c r="E28" s="53">
        <f t="shared" si="6"/>
        <v>2E-3</v>
      </c>
      <c r="F28" s="15">
        <v>2.593</v>
      </c>
      <c r="G28" s="19">
        <v>1.83</v>
      </c>
      <c r="H28" s="24" t="s">
        <v>57</v>
      </c>
      <c r="I28" t="str">
        <f>VLOOKUP(A28,Setores!$A$2:$C$215,2,0)</f>
        <v>education</v>
      </c>
      <c r="J28" t="str">
        <f>VLOOKUP(A28,Setores!$A$2:$C$215,3,0)</f>
        <v>high_beta</v>
      </c>
      <c r="K28" s="2">
        <v>1.2E-2</v>
      </c>
      <c r="L28" s="2">
        <v>0.01</v>
      </c>
      <c r="M28" s="71">
        <v>80</v>
      </c>
      <c r="N28" s="41">
        <f>VLOOKUP(A28,'Mandato Smll'!$A$2:$C$215,2,0)</f>
        <v>1.28322554180008E-2</v>
      </c>
      <c r="O28" s="58">
        <f t="shared" si="7"/>
        <v>-8.322554180007994E-4</v>
      </c>
      <c r="P28" s="42">
        <f t="shared" si="8"/>
        <v>-8.322554180007994E-4</v>
      </c>
      <c r="Q28" s="41">
        <f>VLOOKUP(A28,'Mandato Smll'!$A$2:$C$215,3,0)</f>
        <v>9.0157250375472106E-3</v>
      </c>
      <c r="R28" s="58">
        <f t="shared" si="9"/>
        <v>2.9842749624527896E-3</v>
      </c>
      <c r="S28" s="15">
        <v>0.79900000000000004</v>
      </c>
      <c r="T28" s="15">
        <v>0.628</v>
      </c>
      <c r="U28" s="15">
        <v>0.58799999999999997</v>
      </c>
      <c r="V28" s="15">
        <v>0.72499999999999998</v>
      </c>
      <c r="W28" s="15">
        <v>0.60099999999999998</v>
      </c>
      <c r="X28" s="15">
        <v>0.41299999999999998</v>
      </c>
      <c r="Y28" s="15">
        <v>0.161</v>
      </c>
      <c r="Z28" s="15">
        <v>0.16400000000000001</v>
      </c>
      <c r="AA28" s="15">
        <v>0.2</v>
      </c>
      <c r="AB28" s="15">
        <v>0.2</v>
      </c>
      <c r="AC28" s="15">
        <v>0.82199999999999995</v>
      </c>
      <c r="AD28" s="15">
        <v>0.58299999999999996</v>
      </c>
      <c r="AE28" s="15">
        <v>0.88800000000000001</v>
      </c>
      <c r="AF28" s="14">
        <v>0.877</v>
      </c>
      <c r="AG28" s="15">
        <v>0.45700000000000002</v>
      </c>
      <c r="AH28" s="15">
        <v>0.33700000000000002</v>
      </c>
      <c r="AI28" s="15">
        <v>-3.4000000000000002E-2</v>
      </c>
      <c r="AJ28" s="15">
        <v>1</v>
      </c>
      <c r="AK28" s="9">
        <v>1</v>
      </c>
      <c r="AL28" s="4">
        <v>0.184</v>
      </c>
      <c r="AM28" s="4">
        <v>-0.76</v>
      </c>
      <c r="AN28" s="4">
        <v>-0.52800000000000002</v>
      </c>
      <c r="AO28" s="4">
        <v>0.45700000000000002</v>
      </c>
      <c r="AP28" s="4">
        <v>0.25</v>
      </c>
      <c r="AQ28" s="4">
        <v>0.47199999999999998</v>
      </c>
      <c r="AR28" s="4">
        <v>0.47199999999999998</v>
      </c>
      <c r="AS28" s="4">
        <v>0.55900000000000005</v>
      </c>
      <c r="AT28" s="4">
        <v>3.7999999999999999E-2</v>
      </c>
      <c r="AU28" s="4">
        <v>0.45900000000000002</v>
      </c>
      <c r="AV28" s="4">
        <v>0.08</v>
      </c>
      <c r="AW28" s="4">
        <v>0.998</v>
      </c>
      <c r="AX28" s="4">
        <v>-0.629</v>
      </c>
      <c r="AY28" s="4">
        <v>2E-3</v>
      </c>
      <c r="AZ28" s="4">
        <v>0.747</v>
      </c>
      <c r="BA28" s="4">
        <v>0.52500000000000002</v>
      </c>
      <c r="BB28" s="4">
        <v>0.27300000000000002</v>
      </c>
      <c r="BC28" s="4">
        <v>-8.0000000000000002E-3</v>
      </c>
      <c r="BD28" s="4">
        <v>4.9000000000000002E-2</v>
      </c>
      <c r="BE28" s="4">
        <v>0.52600000000000002</v>
      </c>
      <c r="BF28" s="4">
        <v>-0.13500000000000001</v>
      </c>
      <c r="BG28" s="4">
        <v>0.54400000000000004</v>
      </c>
      <c r="BH28" s="4">
        <v>0.223</v>
      </c>
      <c r="BI28" s="4">
        <v>-0.623</v>
      </c>
      <c r="BJ28" s="4">
        <v>0.27300000000000002</v>
      </c>
      <c r="BK28" s="4">
        <v>-4.9000000000000002E-2</v>
      </c>
      <c r="BL28" s="4">
        <v>0.54700000000000004</v>
      </c>
      <c r="BM28" s="4"/>
    </row>
    <row r="29" spans="1:65" x14ac:dyDescent="0.3">
      <c r="A29" s="19" t="s">
        <v>136</v>
      </c>
      <c r="B29" s="53">
        <v>0</v>
      </c>
      <c r="C29" s="53">
        <f t="shared" si="4"/>
        <v>0</v>
      </c>
      <c r="D29" s="53">
        <f t="shared" si="5"/>
        <v>0</v>
      </c>
      <c r="E29" s="53">
        <f t="shared" si="6"/>
        <v>0</v>
      </c>
      <c r="F29" s="15">
        <v>2.5590000000000002</v>
      </c>
      <c r="G29" s="19">
        <v>2.8370000000000002</v>
      </c>
      <c r="H29" s="24" t="s">
        <v>71</v>
      </c>
      <c r="I29" t="str">
        <f>VLOOKUP(A29,Setores!$A$2:$C$215,2,0)</f>
        <v>crude_oil</v>
      </c>
      <c r="J29" t="str">
        <f>VLOOKUP(A29,Setores!$A$2:$C$215,3,0)</f>
        <v>very_low_beta</v>
      </c>
      <c r="K29" s="2">
        <v>0</v>
      </c>
      <c r="L29" s="2">
        <v>0</v>
      </c>
      <c r="M29" s="71">
        <v>3</v>
      </c>
      <c r="N29" s="41">
        <f>VLOOKUP(A29,'Mandato Smll'!$A$2:$C$215,2,0)</f>
        <v>0</v>
      </c>
      <c r="O29" s="58">
        <f t="shared" si="7"/>
        <v>0</v>
      </c>
      <c r="P29" s="42">
        <f t="shared" si="8"/>
        <v>0</v>
      </c>
      <c r="Q29" s="41">
        <f>VLOOKUP(A29,'Mandato Smll'!$A$2:$C$215,3,0)</f>
        <v>0</v>
      </c>
      <c r="R29" s="58">
        <f t="shared" si="9"/>
        <v>0</v>
      </c>
      <c r="S29" s="15">
        <v>-0.29399999999999998</v>
      </c>
      <c r="T29" s="15">
        <v>0.28000000000000003</v>
      </c>
      <c r="U29" s="15">
        <v>-0.85299999999999998</v>
      </c>
      <c r="V29" s="15">
        <v>0.315</v>
      </c>
      <c r="W29" s="15">
        <v>-0.04</v>
      </c>
      <c r="X29" s="15">
        <v>0.44700000000000001</v>
      </c>
      <c r="Y29" s="15">
        <v>0.53100000000000003</v>
      </c>
      <c r="Z29" s="15">
        <v>1</v>
      </c>
      <c r="AA29" s="15">
        <v>1</v>
      </c>
      <c r="AB29" s="15">
        <v>1</v>
      </c>
      <c r="AC29" s="15">
        <v>0.56100000000000005</v>
      </c>
      <c r="AD29" s="15">
        <v>0.73</v>
      </c>
      <c r="AE29" s="15">
        <v>0.88900000000000001</v>
      </c>
      <c r="AF29" s="14">
        <v>-1.7999999999999999E-2</v>
      </c>
      <c r="AG29" s="15">
        <v>-0.745</v>
      </c>
      <c r="AH29" s="15">
        <v>1</v>
      </c>
      <c r="AI29" s="15">
        <v>-0.93500000000000005</v>
      </c>
      <c r="AJ29" s="15">
        <v>-0.54400000000000004</v>
      </c>
      <c r="AK29" s="9">
        <v>-0.92200000000000004</v>
      </c>
      <c r="AL29" s="4">
        <v>0.151</v>
      </c>
      <c r="AM29" s="4">
        <v>0.432</v>
      </c>
      <c r="AN29" s="4">
        <v>-0.54200000000000004</v>
      </c>
      <c r="AO29" s="4">
        <v>-0.64700000000000002</v>
      </c>
      <c r="AP29" s="4">
        <v>0.94399999999999995</v>
      </c>
      <c r="AQ29" s="4">
        <v>1</v>
      </c>
      <c r="AR29" s="4">
        <v>-0.33500000000000002</v>
      </c>
      <c r="AS29" s="4">
        <v>0.14499999999999999</v>
      </c>
      <c r="AT29" s="4">
        <v>3.5000000000000003E-2</v>
      </c>
      <c r="AU29" s="4">
        <v>0.41199999999999998</v>
      </c>
      <c r="AV29" s="4">
        <v>0.26900000000000002</v>
      </c>
      <c r="AW29" s="4">
        <v>0.23</v>
      </c>
      <c r="AX29" s="4">
        <v>0.503</v>
      </c>
      <c r="AY29" s="4">
        <v>-0.21199999999999999</v>
      </c>
      <c r="AZ29" s="4">
        <v>0.74299999999999999</v>
      </c>
      <c r="BA29" s="4">
        <v>0.38900000000000001</v>
      </c>
      <c r="BB29" s="4">
        <v>0.39100000000000001</v>
      </c>
      <c r="BC29" s="4">
        <v>-0.151</v>
      </c>
      <c r="BD29" s="4">
        <v>-0.21299999999999999</v>
      </c>
      <c r="BE29" s="4">
        <v>0.60099999999999998</v>
      </c>
      <c r="BF29" s="4">
        <v>-0.67900000000000005</v>
      </c>
      <c r="BG29" s="4">
        <v>0.29299999999999998</v>
      </c>
      <c r="BH29" s="4">
        <v>0.39200000000000002</v>
      </c>
      <c r="BI29" s="4">
        <v>-0.90700000000000003</v>
      </c>
      <c r="BJ29" s="4">
        <v>-1</v>
      </c>
      <c r="BK29" s="4">
        <v>-0.247</v>
      </c>
      <c r="BL29" s="4">
        <v>-0.89800000000000002</v>
      </c>
      <c r="BM29" s="4"/>
    </row>
    <row r="30" spans="1:65" s="76" customFormat="1" x14ac:dyDescent="0.3">
      <c r="A30" s="72" t="s">
        <v>84</v>
      </c>
      <c r="B30" s="73">
        <v>1.0999999999999999E-2</v>
      </c>
      <c r="C30" s="73">
        <f t="shared" si="4"/>
        <v>1.0999999999999999E-2</v>
      </c>
      <c r="D30" s="73">
        <f t="shared" si="5"/>
        <v>0</v>
      </c>
      <c r="E30" s="53">
        <f t="shared" si="6"/>
        <v>0</v>
      </c>
      <c r="F30" s="74">
        <v>2.5230000000000001</v>
      </c>
      <c r="G30" s="72">
        <v>1.881</v>
      </c>
      <c r="H30" s="75" t="s">
        <v>57</v>
      </c>
      <c r="I30" s="76" t="str">
        <f>VLOOKUP(A30,Setores!$A$2:$C$215,2,0)</f>
        <v>banks</v>
      </c>
      <c r="J30" s="76" t="str">
        <f>VLOOKUP(A30,Setores!$A$2:$C$215,3,0)</f>
        <v>neutral_beta</v>
      </c>
      <c r="K30" s="77">
        <v>1.0999999999999999E-2</v>
      </c>
      <c r="L30" s="77">
        <v>1.0999999999999999E-2</v>
      </c>
      <c r="M30" s="78">
        <v>80</v>
      </c>
      <c r="N30" s="79">
        <f>VLOOKUP(A30,'Mandato Smll'!$A$2:$C$215,2,0)</f>
        <v>1.12231082572282E-2</v>
      </c>
      <c r="O30" s="80">
        <f t="shared" si="7"/>
        <v>-2.2310825722820019E-4</v>
      </c>
      <c r="P30" s="81">
        <f t="shared" si="8"/>
        <v>-2.2310825722820019E-4</v>
      </c>
      <c r="Q30" s="79">
        <f>VLOOKUP(A30,'Mandato Smll'!$A$2:$C$215,3,0)</f>
        <v>1.4505219814832999E-2</v>
      </c>
      <c r="R30" s="80">
        <f t="shared" si="9"/>
        <v>-3.5052198148330001E-3</v>
      </c>
      <c r="S30" s="74">
        <v>0.32600000000000001</v>
      </c>
      <c r="T30" s="74">
        <v>0.39200000000000002</v>
      </c>
      <c r="U30" s="74">
        <v>0.23499999999999999</v>
      </c>
      <c r="V30" s="74">
        <v>0.47599999999999998</v>
      </c>
      <c r="W30" s="74">
        <v>0.39900000000000002</v>
      </c>
      <c r="X30" s="74">
        <v>0.13800000000000001</v>
      </c>
      <c r="Y30" s="74">
        <v>-4.8000000000000001E-2</v>
      </c>
      <c r="Z30" s="74">
        <v>0.49299999999999999</v>
      </c>
      <c r="AA30" s="74">
        <v>0.47299999999999998</v>
      </c>
      <c r="AB30" s="74">
        <v>0.47</v>
      </c>
      <c r="AC30" s="74">
        <v>0.88400000000000001</v>
      </c>
      <c r="AD30" s="74">
        <v>0.92400000000000004</v>
      </c>
      <c r="AE30" s="74">
        <v>0.94599999999999995</v>
      </c>
      <c r="AF30" s="82">
        <v>-0.17499999999999999</v>
      </c>
      <c r="AG30" s="74">
        <v>0.65700000000000003</v>
      </c>
      <c r="AH30" s="74">
        <v>0.65500000000000003</v>
      </c>
      <c r="AI30" s="74">
        <v>-0.40300000000000002</v>
      </c>
      <c r="AJ30" s="74">
        <v>1</v>
      </c>
      <c r="AK30" s="83">
        <v>0.65300000000000002</v>
      </c>
      <c r="AL30" s="84">
        <v>-0.112</v>
      </c>
      <c r="AM30" s="84">
        <v>-7.0000000000000007E-2</v>
      </c>
      <c r="AN30" s="84">
        <v>-0.40699999999999997</v>
      </c>
      <c r="AO30" s="84">
        <v>5.8000000000000003E-2</v>
      </c>
      <c r="AP30" s="84">
        <v>0.54300000000000004</v>
      </c>
      <c r="AQ30" s="84">
        <v>0.46600000000000003</v>
      </c>
      <c r="AR30" s="84">
        <v>0.99199999999999999</v>
      </c>
      <c r="AS30" s="84">
        <v>0.51200000000000001</v>
      </c>
      <c r="AT30" s="84">
        <v>-0.16300000000000001</v>
      </c>
      <c r="AU30" s="84">
        <v>0.192</v>
      </c>
      <c r="AV30" s="84">
        <v>-0.23200000000000001</v>
      </c>
      <c r="AW30" s="84">
        <v>8.5000000000000006E-2</v>
      </c>
      <c r="AX30" s="84">
        <v>0.36399999999999999</v>
      </c>
      <c r="AY30" s="84">
        <v>-0.14099999999999999</v>
      </c>
      <c r="AZ30" s="84">
        <v>0.47599999999999998</v>
      </c>
      <c r="BA30" s="84">
        <v>0.44400000000000001</v>
      </c>
      <c r="BB30" s="84">
        <v>0.33300000000000002</v>
      </c>
      <c r="BC30" s="84">
        <v>-0.502</v>
      </c>
      <c r="BD30" s="84">
        <v>-2.3E-2</v>
      </c>
      <c r="BE30" s="84">
        <v>-0.60299999999999998</v>
      </c>
      <c r="BF30" s="84">
        <v>-0.496</v>
      </c>
      <c r="BG30" s="84">
        <v>0.188</v>
      </c>
      <c r="BH30" s="84">
        <v>-0.108</v>
      </c>
      <c r="BI30" s="84">
        <v>-1</v>
      </c>
      <c r="BJ30" s="84">
        <v>-0.20399999999999999</v>
      </c>
      <c r="BK30" s="84">
        <v>0.437</v>
      </c>
      <c r="BL30" s="84">
        <v>0.63800000000000001</v>
      </c>
      <c r="BM30" s="84"/>
    </row>
    <row r="31" spans="1:65" x14ac:dyDescent="0.3">
      <c r="A31" s="19" t="s">
        <v>90</v>
      </c>
      <c r="B31" s="53">
        <v>1.7999999999999999E-2</v>
      </c>
      <c r="C31" s="53">
        <f t="shared" si="4"/>
        <v>4.9999999999999975E-3</v>
      </c>
      <c r="D31" s="53">
        <f t="shared" si="5"/>
        <v>9.9999999999999742E-4</v>
      </c>
      <c r="E31" s="53">
        <f t="shared" si="6"/>
        <v>1.3000000000000001E-2</v>
      </c>
      <c r="F31" s="15">
        <v>2.5179999999999998</v>
      </c>
      <c r="G31" s="19">
        <v>3.669</v>
      </c>
      <c r="H31" s="24" t="s">
        <v>68</v>
      </c>
      <c r="I31" t="str">
        <f>VLOOKUP(A31,Setores!$A$2:$C$215,2,0)</f>
        <v>capital_goods</v>
      </c>
      <c r="J31" t="str">
        <f>VLOOKUP(A31,Setores!$A$2:$C$215,3,0)</f>
        <v>high_beta</v>
      </c>
      <c r="K31" s="2">
        <v>1.7000000000000001E-2</v>
      </c>
      <c r="L31" s="2">
        <v>4.0000000000000001E-3</v>
      </c>
      <c r="M31" s="71">
        <v>65</v>
      </c>
      <c r="N31" s="41">
        <f>VLOOKUP(A31,'Mandato Smll'!$A$2:$C$215,2,0)</f>
        <v>3.6453377663411897E-2</v>
      </c>
      <c r="O31" s="58">
        <f t="shared" si="7"/>
        <v>-1.9453377663411896E-2</v>
      </c>
      <c r="P31" s="42">
        <f t="shared" si="8"/>
        <v>-1.8453377663411898E-2</v>
      </c>
      <c r="Q31" s="41">
        <f>VLOOKUP(A31,'Mandato Smll'!$A$2:$C$215,3,0)</f>
        <v>2.5658454004482401E-2</v>
      </c>
      <c r="R31" s="58">
        <f t="shared" si="9"/>
        <v>-8.6584540044824E-3</v>
      </c>
      <c r="S31" s="15">
        <v>0.34</v>
      </c>
      <c r="T31" s="15">
        <v>-0.216</v>
      </c>
      <c r="U31" s="15">
        <v>-7.0000000000000001E-3</v>
      </c>
      <c r="V31" s="15">
        <v>0.64300000000000002</v>
      </c>
      <c r="W31" s="15">
        <v>0.16800000000000001</v>
      </c>
      <c r="X31" s="15">
        <v>0.67900000000000005</v>
      </c>
      <c r="Y31" s="15">
        <v>0.75700000000000001</v>
      </c>
      <c r="Z31" s="15">
        <v>0.58099999999999996</v>
      </c>
      <c r="AA31" s="15">
        <v>0.311</v>
      </c>
      <c r="AB31" s="15">
        <v>0.313</v>
      </c>
      <c r="AC31" s="15">
        <v>0.79800000000000004</v>
      </c>
      <c r="AD31" s="15">
        <v>0.77900000000000003</v>
      </c>
      <c r="AE31" s="15">
        <v>0.69299999999999995</v>
      </c>
      <c r="AF31" s="14">
        <v>1</v>
      </c>
      <c r="AG31" s="15">
        <v>0.57499999999999996</v>
      </c>
      <c r="AH31" s="15">
        <v>-0.214</v>
      </c>
      <c r="AI31" s="15">
        <v>-0.45900000000000002</v>
      </c>
      <c r="AJ31" s="15">
        <v>-0.30599999999999999</v>
      </c>
      <c r="AK31" s="9">
        <v>8.7999999999999995E-2</v>
      </c>
      <c r="AL31" s="4">
        <v>-3.5000000000000003E-2</v>
      </c>
      <c r="AM31" s="4">
        <v>0.433</v>
      </c>
      <c r="AN31" s="4">
        <v>-0.68500000000000005</v>
      </c>
      <c r="AO31" s="4">
        <v>0.42799999999999999</v>
      </c>
      <c r="AP31" s="4">
        <v>5.7000000000000002E-2</v>
      </c>
      <c r="AQ31" s="4">
        <v>0.312</v>
      </c>
      <c r="AR31" s="4">
        <v>0.59899999999999998</v>
      </c>
      <c r="AS31" s="4">
        <v>0.28299999999999997</v>
      </c>
      <c r="AT31" s="4">
        <v>-0.498</v>
      </c>
      <c r="AU31" s="4">
        <v>0.61399999999999999</v>
      </c>
      <c r="AV31" s="4">
        <v>-0.33700000000000002</v>
      </c>
      <c r="AW31" s="4">
        <v>0.63900000000000001</v>
      </c>
      <c r="AX31" s="4">
        <v>0.41399999999999998</v>
      </c>
      <c r="AY31" s="4">
        <v>0.114</v>
      </c>
      <c r="AZ31" s="4">
        <v>0.84299999999999997</v>
      </c>
      <c r="BA31" s="4">
        <v>0.56100000000000005</v>
      </c>
      <c r="BB31" s="4">
        <v>0.44800000000000001</v>
      </c>
      <c r="BC31" s="4">
        <v>-0.159</v>
      </c>
      <c r="BD31" s="4">
        <v>-0.188</v>
      </c>
      <c r="BE31" s="4">
        <v>0.3</v>
      </c>
      <c r="BF31" s="4">
        <v>-0.187</v>
      </c>
      <c r="BG31" s="4">
        <v>2.7E-2</v>
      </c>
      <c r="BH31" s="4">
        <v>0.58799999999999997</v>
      </c>
      <c r="BI31" s="4">
        <v>-0.85399999999999998</v>
      </c>
      <c r="BJ31" s="4">
        <v>0.34599999999999997</v>
      </c>
      <c r="BK31" s="4">
        <v>-0.38200000000000001</v>
      </c>
      <c r="BL31" s="4">
        <v>-0.151</v>
      </c>
      <c r="BM31" s="4"/>
    </row>
    <row r="32" spans="1:65" x14ac:dyDescent="0.3">
      <c r="A32" s="19" t="s">
        <v>146</v>
      </c>
      <c r="B32" s="53">
        <v>0</v>
      </c>
      <c r="C32" s="53">
        <f t="shared" si="4"/>
        <v>0</v>
      </c>
      <c r="D32" s="53">
        <f t="shared" si="5"/>
        <v>0</v>
      </c>
      <c r="E32" s="53">
        <f t="shared" si="6"/>
        <v>0</v>
      </c>
      <c r="F32" s="15">
        <v>2.4710000000000001</v>
      </c>
      <c r="G32" s="19">
        <v>2.4460000000000002</v>
      </c>
      <c r="H32" s="24" t="s">
        <v>71</v>
      </c>
      <c r="I32" t="str">
        <f>VLOOKUP(A32,Setores!$A$2:$C$215,2,0)</f>
        <v>crude_oil</v>
      </c>
      <c r="J32" t="str">
        <f>VLOOKUP(A32,Setores!$A$2:$C$215,3,0)</f>
        <v>very_low_beta</v>
      </c>
      <c r="K32" s="2">
        <v>0</v>
      </c>
      <c r="L32" s="2">
        <v>0</v>
      </c>
      <c r="M32" s="71">
        <v>4</v>
      </c>
      <c r="N32" s="41">
        <f>VLOOKUP(A32,'Mandato Smll'!$A$2:$C$215,2,0)</f>
        <v>0</v>
      </c>
      <c r="O32" s="58">
        <f t="shared" si="7"/>
        <v>0</v>
      </c>
      <c r="P32" s="42">
        <f t="shared" si="8"/>
        <v>0</v>
      </c>
      <c r="Q32" s="41">
        <f>VLOOKUP(A32,'Mandato Smll'!$A$2:$C$215,3,0)</f>
        <v>0</v>
      </c>
      <c r="R32" s="58">
        <f t="shared" si="9"/>
        <v>0</v>
      </c>
      <c r="S32" s="15">
        <v>-0.308</v>
      </c>
      <c r="T32" s="15">
        <v>0.26300000000000001</v>
      </c>
      <c r="U32" s="15">
        <v>-0.84799999999999998</v>
      </c>
      <c r="V32" s="15">
        <v>0.26500000000000001</v>
      </c>
      <c r="W32" s="15">
        <v>-6.7000000000000004E-2</v>
      </c>
      <c r="X32" s="15">
        <v>0.35799999999999998</v>
      </c>
      <c r="Y32" s="15">
        <v>0.39600000000000002</v>
      </c>
      <c r="Z32" s="15">
        <v>0.94599999999999995</v>
      </c>
      <c r="AA32" s="15">
        <v>1</v>
      </c>
      <c r="AB32" s="15">
        <v>1</v>
      </c>
      <c r="AC32" s="15">
        <v>0.59599999999999997</v>
      </c>
      <c r="AD32" s="15">
        <v>0.75600000000000001</v>
      </c>
      <c r="AE32" s="15">
        <v>0.88500000000000001</v>
      </c>
      <c r="AF32" s="14">
        <v>-8.8999999999999996E-2</v>
      </c>
      <c r="AG32" s="15">
        <v>-0.77100000000000002</v>
      </c>
      <c r="AH32" s="15">
        <v>1</v>
      </c>
      <c r="AI32" s="15">
        <v>-0.94399999999999995</v>
      </c>
      <c r="AJ32" s="15">
        <v>-0.56799999999999995</v>
      </c>
      <c r="AK32" s="9">
        <v>-0.92600000000000005</v>
      </c>
      <c r="AL32" s="4">
        <v>0.151</v>
      </c>
      <c r="AM32" s="4">
        <v>0.35699999999999998</v>
      </c>
      <c r="AN32" s="4">
        <v>-0.54200000000000004</v>
      </c>
      <c r="AO32" s="4">
        <v>-0.65800000000000003</v>
      </c>
      <c r="AP32" s="4">
        <v>0.93500000000000005</v>
      </c>
      <c r="AQ32" s="4">
        <v>1</v>
      </c>
      <c r="AR32" s="4">
        <v>-0.33500000000000002</v>
      </c>
      <c r="AS32" s="4">
        <v>0.14499999999999999</v>
      </c>
      <c r="AT32" s="4">
        <v>3.5000000000000003E-2</v>
      </c>
      <c r="AU32" s="4">
        <v>0.41199999999999998</v>
      </c>
      <c r="AV32" s="4">
        <v>0.26900000000000002</v>
      </c>
      <c r="AW32" s="4">
        <v>0.223</v>
      </c>
      <c r="AX32" s="4">
        <v>0.40899999999999997</v>
      </c>
      <c r="AY32" s="4">
        <v>-0.21199999999999999</v>
      </c>
      <c r="AZ32" s="4">
        <v>0.74299999999999999</v>
      </c>
      <c r="BA32" s="4">
        <v>0.438</v>
      </c>
      <c r="BB32" s="4">
        <v>0.498</v>
      </c>
      <c r="BC32" s="4">
        <v>-0.151</v>
      </c>
      <c r="BD32" s="4">
        <v>-0.21299999999999999</v>
      </c>
      <c r="BE32" s="4">
        <v>0.624</v>
      </c>
      <c r="BF32" s="4">
        <v>-0.70499999999999996</v>
      </c>
      <c r="BG32" s="4">
        <v>0.311</v>
      </c>
      <c r="BH32" s="4">
        <v>0.27</v>
      </c>
      <c r="BI32" s="4">
        <v>-0.89300000000000002</v>
      </c>
      <c r="BJ32" s="4">
        <v>-1</v>
      </c>
      <c r="BK32" s="4">
        <v>-8.5000000000000006E-2</v>
      </c>
      <c r="BL32" s="4">
        <v>-0.89800000000000002</v>
      </c>
      <c r="BM32" s="4"/>
    </row>
    <row r="33" spans="1:65" x14ac:dyDescent="0.3">
      <c r="A33" s="19" t="s">
        <v>77</v>
      </c>
      <c r="B33" s="53">
        <v>1.2999999999999999E-2</v>
      </c>
      <c r="C33" s="53">
        <f t="shared" si="4"/>
        <v>1.2999999999999999E-2</v>
      </c>
      <c r="D33" s="53">
        <f t="shared" si="5"/>
        <v>0</v>
      </c>
      <c r="E33" s="53">
        <f t="shared" si="6"/>
        <v>0</v>
      </c>
      <c r="F33" s="15">
        <v>2.4249999999999998</v>
      </c>
      <c r="G33" s="19">
        <v>1.792</v>
      </c>
      <c r="H33" s="24" t="s">
        <v>57</v>
      </c>
      <c r="I33" t="str">
        <f>VLOOKUP(A33,Setores!$A$2:$C$215,2,0)</f>
        <v>education</v>
      </c>
      <c r="J33" t="str">
        <f>VLOOKUP(A33,Setores!$A$2:$C$215,3,0)</f>
        <v>very_high_beta</v>
      </c>
      <c r="K33" s="2">
        <v>1.2999999999999999E-2</v>
      </c>
      <c r="L33" s="2">
        <v>1.2999999999999999E-2</v>
      </c>
      <c r="M33" s="71">
        <v>80</v>
      </c>
      <c r="N33" s="41">
        <f>VLOOKUP(A33,'Mandato Smll'!$A$2:$C$215,2,0)</f>
        <v>1.0789095745976701E-2</v>
      </c>
      <c r="O33" s="58">
        <f t="shared" si="7"/>
        <v>2.2109042540232986E-3</v>
      </c>
      <c r="P33" s="42">
        <f t="shared" si="8"/>
        <v>2.2109042540232986E-3</v>
      </c>
      <c r="Q33" s="41">
        <f>VLOOKUP(A33,'Mandato Smll'!$A$2:$C$215,3,0)</f>
        <v>0</v>
      </c>
      <c r="R33" s="58">
        <f t="shared" si="9"/>
        <v>1.2999999999999999E-2</v>
      </c>
      <c r="S33" s="15">
        <v>0.69099999999999995</v>
      </c>
      <c r="T33" s="15">
        <v>-1.4E-2</v>
      </c>
      <c r="U33" s="15">
        <v>0.99</v>
      </c>
      <c r="V33" s="15">
        <v>0.68799999999999994</v>
      </c>
      <c r="W33" s="15">
        <v>0.60299999999999998</v>
      </c>
      <c r="X33" s="15">
        <v>0.48699999999999999</v>
      </c>
      <c r="Y33" s="15">
        <v>0.433</v>
      </c>
      <c r="Z33" s="15">
        <v>0.112</v>
      </c>
      <c r="AA33" s="15">
        <v>0.14899999999999999</v>
      </c>
      <c r="AB33" s="15">
        <v>0.14799999999999999</v>
      </c>
      <c r="AC33" s="15">
        <v>0.90500000000000003</v>
      </c>
      <c r="AD33" s="15">
        <v>0.70099999999999996</v>
      </c>
      <c r="AE33" s="15">
        <v>0.64300000000000002</v>
      </c>
      <c r="AF33" s="14">
        <v>1</v>
      </c>
      <c r="AG33" s="15">
        <v>1</v>
      </c>
      <c r="AH33" s="15">
        <v>-0.46100000000000002</v>
      </c>
      <c r="AI33" s="15">
        <v>0.72799999999999998</v>
      </c>
      <c r="AJ33" s="15">
        <v>-0.22800000000000001</v>
      </c>
      <c r="AK33" s="9">
        <v>1</v>
      </c>
      <c r="AL33" s="4">
        <v>0.63300000000000001</v>
      </c>
      <c r="AM33" s="4">
        <v>0.309</v>
      </c>
      <c r="AN33" s="4">
        <v>-0.39200000000000002</v>
      </c>
      <c r="AO33" s="4">
        <v>0.60899999999999999</v>
      </c>
      <c r="AP33" s="4">
        <v>-0.624</v>
      </c>
      <c r="AQ33" s="4">
        <v>-0.60399999999999998</v>
      </c>
      <c r="AR33" s="4">
        <v>0.73399999999999999</v>
      </c>
      <c r="AS33" s="4">
        <v>2.1000000000000001E-2</v>
      </c>
      <c r="AT33" s="4">
        <v>-0.56699999999999995</v>
      </c>
      <c r="AU33" s="4">
        <v>0.41</v>
      </c>
      <c r="AV33" s="4">
        <v>0.08</v>
      </c>
      <c r="AW33" s="4">
        <v>0.89700000000000002</v>
      </c>
      <c r="AX33" s="4">
        <v>-0.28599999999999998</v>
      </c>
      <c r="AY33" s="4">
        <v>0.03</v>
      </c>
      <c r="AZ33" s="4">
        <v>0.74399999999999999</v>
      </c>
      <c r="BA33" s="4">
        <v>0.218</v>
      </c>
      <c r="BB33" s="4">
        <v>0.45</v>
      </c>
      <c r="BC33" s="4">
        <v>9.8000000000000004E-2</v>
      </c>
      <c r="BD33" s="4">
        <v>0.17100000000000001</v>
      </c>
      <c r="BE33" s="4">
        <v>0.26800000000000002</v>
      </c>
      <c r="BF33" s="4">
        <v>1</v>
      </c>
      <c r="BG33" s="4">
        <v>1</v>
      </c>
      <c r="BH33" s="4">
        <v>5.6000000000000001E-2</v>
      </c>
      <c r="BI33" s="4">
        <v>-0.29499999999999998</v>
      </c>
      <c r="BJ33" s="4">
        <v>0.28499999999999998</v>
      </c>
      <c r="BK33" s="4">
        <v>0.73399999999999999</v>
      </c>
      <c r="BL33" s="4">
        <v>0.55700000000000005</v>
      </c>
      <c r="BM33" s="4"/>
    </row>
    <row r="34" spans="1:65" x14ac:dyDescent="0.3">
      <c r="A34" s="19" t="s">
        <v>101</v>
      </c>
      <c r="B34" s="53">
        <v>1.2E-2</v>
      </c>
      <c r="C34" s="53">
        <f t="shared" si="4"/>
        <v>1.2E-2</v>
      </c>
      <c r="D34" s="53">
        <f t="shared" si="5"/>
        <v>0</v>
      </c>
      <c r="E34" s="53">
        <f t="shared" si="6"/>
        <v>0</v>
      </c>
      <c r="F34" s="15">
        <v>2.3660000000000001</v>
      </c>
      <c r="G34" s="19">
        <v>2.5529999999999999</v>
      </c>
      <c r="H34" s="24" t="s">
        <v>71</v>
      </c>
      <c r="I34" t="str">
        <f>VLOOKUP(A34,Setores!$A$2:$C$215,2,0)</f>
        <v>crude_oil</v>
      </c>
      <c r="J34" t="str">
        <f>VLOOKUP(A34,Setores!$A$2:$C$215,3,0)</f>
        <v>very_low_beta</v>
      </c>
      <c r="K34" s="2">
        <v>1.2E-2</v>
      </c>
      <c r="L34" s="2">
        <v>1.2E-2</v>
      </c>
      <c r="M34" s="71">
        <v>80</v>
      </c>
      <c r="N34" s="41">
        <f>VLOOKUP(A34,'Mandato Smll'!$A$2:$C$215,2,0)</f>
        <v>1.0526962187403901E-2</v>
      </c>
      <c r="O34" s="58">
        <f t="shared" si="7"/>
        <v>1.4730378125960997E-3</v>
      </c>
      <c r="P34" s="42">
        <f t="shared" si="8"/>
        <v>1.4730378125960997E-3</v>
      </c>
      <c r="Q34" s="41">
        <f>VLOOKUP(A34,'Mandato Smll'!$A$2:$C$215,3,0)</f>
        <v>1.2349793341604401E-2</v>
      </c>
      <c r="R34" s="58">
        <f t="shared" si="9"/>
        <v>-3.497933416044003E-4</v>
      </c>
      <c r="S34" s="15">
        <v>0.33100000000000002</v>
      </c>
      <c r="T34" s="15">
        <v>0.40899999999999997</v>
      </c>
      <c r="U34" s="15">
        <v>-0.13100000000000001</v>
      </c>
      <c r="V34" s="15">
        <v>0.32400000000000001</v>
      </c>
      <c r="W34" s="15">
        <v>0.11899999999999999</v>
      </c>
      <c r="X34" s="15">
        <v>0.48399999999999999</v>
      </c>
      <c r="Y34" s="15">
        <v>0.35</v>
      </c>
      <c r="Z34" s="15">
        <v>6.2E-2</v>
      </c>
      <c r="AA34" s="15">
        <v>0.72299999999999998</v>
      </c>
      <c r="AB34" s="15">
        <v>0.71799999999999997</v>
      </c>
      <c r="AC34" s="15">
        <v>0.75</v>
      </c>
      <c r="AD34" s="15">
        <v>0.86</v>
      </c>
      <c r="AE34" s="15">
        <v>0.99099999999999999</v>
      </c>
      <c r="AF34" s="14">
        <v>-0.318</v>
      </c>
      <c r="AG34" s="15">
        <v>-8.4000000000000005E-2</v>
      </c>
      <c r="AH34" s="15">
        <v>0.57399999999999995</v>
      </c>
      <c r="AI34" s="15">
        <v>-0.499</v>
      </c>
      <c r="AJ34" s="15">
        <v>1</v>
      </c>
      <c r="AK34" s="9">
        <v>0.28999999999999998</v>
      </c>
      <c r="AL34" s="4">
        <v>-0.30499999999999999</v>
      </c>
      <c r="AM34" s="4">
        <v>-0.94299999999999995</v>
      </c>
      <c r="AN34" s="4">
        <v>-0.72199999999999998</v>
      </c>
      <c r="AO34" s="4">
        <v>0.55600000000000005</v>
      </c>
      <c r="AP34" s="4">
        <v>0.76500000000000001</v>
      </c>
      <c r="AQ34" s="4">
        <v>0.74</v>
      </c>
      <c r="AR34" s="4">
        <v>0.81299999999999994</v>
      </c>
      <c r="AS34" s="4">
        <v>0.69599999999999995</v>
      </c>
      <c r="AT34" s="4">
        <v>0.12</v>
      </c>
      <c r="AU34" s="4">
        <v>0.191</v>
      </c>
      <c r="AV34" s="4">
        <v>-0.28899999999999998</v>
      </c>
      <c r="AW34" s="4">
        <v>0.54600000000000004</v>
      </c>
      <c r="AX34" s="4">
        <v>0.503</v>
      </c>
      <c r="AY34" s="4">
        <v>-0.16300000000000001</v>
      </c>
      <c r="AZ34" s="4">
        <v>0.67100000000000004</v>
      </c>
      <c r="BA34" s="4">
        <v>-0.49</v>
      </c>
      <c r="BB34" s="4">
        <v>0.96599999999999997</v>
      </c>
      <c r="BC34" s="4">
        <v>-0.371</v>
      </c>
      <c r="BD34" s="4">
        <v>-0.73</v>
      </c>
      <c r="BE34" s="4">
        <v>0.54600000000000004</v>
      </c>
      <c r="BF34" s="4">
        <v>-0.59299999999999997</v>
      </c>
      <c r="BG34" s="4">
        <v>0.24099999999999999</v>
      </c>
      <c r="BH34" s="4">
        <v>0.80900000000000005</v>
      </c>
      <c r="BI34" s="4">
        <v>-0.61499999999999999</v>
      </c>
      <c r="BJ34" s="4">
        <v>-0.83799999999999997</v>
      </c>
      <c r="BK34" s="4">
        <v>0.66</v>
      </c>
      <c r="BL34" s="4">
        <v>0.64500000000000002</v>
      </c>
      <c r="BM34" s="4"/>
    </row>
    <row r="35" spans="1:65" x14ac:dyDescent="0.3">
      <c r="A35" s="19" t="s">
        <v>599</v>
      </c>
      <c r="B35" s="53">
        <v>6.0000000000000001E-3</v>
      </c>
      <c r="C35" s="53">
        <f t="shared" si="4"/>
        <v>6.0000000000000001E-3</v>
      </c>
      <c r="D35" s="53">
        <f t="shared" si="5"/>
        <v>-2E-3</v>
      </c>
      <c r="E35" s="53">
        <f t="shared" si="6"/>
        <v>0</v>
      </c>
      <c r="F35" s="15">
        <v>2.359</v>
      </c>
      <c r="G35" s="19">
        <v>1.7</v>
      </c>
      <c r="H35" s="24" t="s">
        <v>57</v>
      </c>
      <c r="I35" t="str">
        <f>VLOOKUP(A35,Setores!$A$2:$C$215,2,0)</f>
        <v>consumer_services</v>
      </c>
      <c r="J35" t="str">
        <f>VLOOKUP(A35,Setores!$A$2:$C$215,3,0)</f>
        <v>very_low_beta</v>
      </c>
      <c r="K35" s="2">
        <v>8.0000000000000002E-3</v>
      </c>
      <c r="L35" s="2">
        <v>8.0000000000000002E-3</v>
      </c>
      <c r="M35" s="71">
        <v>80</v>
      </c>
      <c r="N35" s="41">
        <f>VLOOKUP(A35,'Mandato Smll'!$A$2:$C$215,2,0)</f>
        <v>1.0492712380451101E-2</v>
      </c>
      <c r="O35" s="58">
        <f t="shared" si="7"/>
        <v>-2.4927123804511005E-3</v>
      </c>
      <c r="P35" s="42">
        <f t="shared" si="8"/>
        <v>-4.4927123804511006E-3</v>
      </c>
      <c r="Q35" s="41">
        <f>VLOOKUP(A35,'Mandato Smll'!$A$2:$C$215,3,0)</f>
        <v>0</v>
      </c>
      <c r="R35" s="58">
        <f t="shared" si="9"/>
        <v>8.0000000000000002E-3</v>
      </c>
      <c r="S35" s="15">
        <v>0.84699999999999998</v>
      </c>
      <c r="T35" s="15">
        <v>0.872</v>
      </c>
      <c r="U35" s="15">
        <v>1</v>
      </c>
      <c r="V35" s="15">
        <v>0.53700000000000003</v>
      </c>
      <c r="W35" s="15">
        <v>0.86299999999999999</v>
      </c>
      <c r="X35" s="15">
        <v>0.23100000000000001</v>
      </c>
      <c r="Y35" s="15">
        <v>-0.08</v>
      </c>
      <c r="Z35" s="15">
        <v>-0.224</v>
      </c>
      <c r="AA35" s="15">
        <v>0.215</v>
      </c>
      <c r="AB35" s="15">
        <v>0.214</v>
      </c>
      <c r="AC35" s="15">
        <v>0.80700000000000005</v>
      </c>
      <c r="AD35" s="15">
        <v>0.76600000000000001</v>
      </c>
      <c r="AE35" s="15">
        <v>0.79200000000000004</v>
      </c>
      <c r="AF35" s="14">
        <v>0.96399999999999997</v>
      </c>
      <c r="AG35" s="15">
        <v>1</v>
      </c>
      <c r="AH35" s="15">
        <v>0.189</v>
      </c>
      <c r="AI35" s="15">
        <v>1</v>
      </c>
      <c r="AJ35" s="15">
        <v>0.64900000000000002</v>
      </c>
      <c r="AK35" s="9">
        <v>0.61699999999999999</v>
      </c>
      <c r="AL35" s="4">
        <v>0.17599999999999999</v>
      </c>
      <c r="AM35" s="4">
        <v>-0.72299999999999998</v>
      </c>
      <c r="AN35" s="4">
        <v>0.64100000000000001</v>
      </c>
      <c r="AO35" s="4">
        <v>0.60099999999999998</v>
      </c>
      <c r="AP35" s="4">
        <v>-0.32200000000000001</v>
      </c>
      <c r="AQ35" s="4">
        <v>0.13600000000000001</v>
      </c>
      <c r="AR35" s="4">
        <v>0.47099999999999997</v>
      </c>
      <c r="AS35" s="4">
        <v>0.252</v>
      </c>
      <c r="AT35" s="4">
        <v>-0.14299999999999999</v>
      </c>
      <c r="AU35" s="4">
        <v>-4.1000000000000002E-2</v>
      </c>
      <c r="AV35" s="4">
        <v>-0.28199999999999997</v>
      </c>
      <c r="AW35" s="4">
        <v>0.46200000000000002</v>
      </c>
      <c r="AX35" s="4">
        <v>-0.19400000000000001</v>
      </c>
      <c r="AY35" s="4">
        <v>-0.33</v>
      </c>
      <c r="AZ35" s="4">
        <v>0.94299999999999995</v>
      </c>
      <c r="BA35" s="4">
        <v>-0.35899999999999999</v>
      </c>
      <c r="BB35" s="4">
        <v>0.98499999999999999</v>
      </c>
      <c r="BC35" s="4">
        <v>0.14799999999999999</v>
      </c>
      <c r="BD35" s="4">
        <v>3.5000000000000003E-2</v>
      </c>
      <c r="BE35" s="4">
        <v>0.35</v>
      </c>
      <c r="BF35" s="4">
        <v>1</v>
      </c>
      <c r="BG35" s="4">
        <v>0.46800000000000003</v>
      </c>
      <c r="BH35" s="4">
        <v>0.3</v>
      </c>
      <c r="BI35" s="4">
        <v>0.64500000000000002</v>
      </c>
      <c r="BJ35" s="4">
        <v>-0.68</v>
      </c>
      <c r="BK35" s="4">
        <v>0.81499999999999995</v>
      </c>
      <c r="BL35" s="4">
        <v>1</v>
      </c>
      <c r="BM35" s="4"/>
    </row>
    <row r="36" spans="1:65" x14ac:dyDescent="0.3">
      <c r="A36" s="19" t="s">
        <v>85</v>
      </c>
      <c r="B36" s="53">
        <v>1.4E-2</v>
      </c>
      <c r="C36" s="53">
        <f t="shared" si="4"/>
        <v>8.0000000000000002E-3</v>
      </c>
      <c r="D36" s="53">
        <f t="shared" si="5"/>
        <v>0</v>
      </c>
      <c r="E36" s="53">
        <f t="shared" si="6"/>
        <v>6.0000000000000001E-3</v>
      </c>
      <c r="F36" s="15">
        <v>2.3580000000000001</v>
      </c>
      <c r="G36" s="19">
        <v>1.9419999999999999</v>
      </c>
      <c r="H36" s="24" t="s">
        <v>57</v>
      </c>
      <c r="I36" t="str">
        <f>VLOOKUP(A36,Setores!$A$2:$C$215,2,0)</f>
        <v>education</v>
      </c>
      <c r="J36" t="str">
        <f>VLOOKUP(A36,Setores!$A$2:$C$215,3,0)</f>
        <v>neutral_beta</v>
      </c>
      <c r="K36" s="2">
        <v>1.4E-2</v>
      </c>
      <c r="L36" s="2">
        <v>8.0000000000000002E-3</v>
      </c>
      <c r="M36" s="71">
        <v>80</v>
      </c>
      <c r="N36" s="41">
        <f>VLOOKUP(A36,'Mandato Smll'!$A$2:$C$215,2,0)</f>
        <v>1.7907707251904499E-2</v>
      </c>
      <c r="O36" s="58">
        <f t="shared" si="7"/>
        <v>-3.9077072519044988E-3</v>
      </c>
      <c r="P36" s="42">
        <f t="shared" si="8"/>
        <v>-3.9077072519044988E-3</v>
      </c>
      <c r="Q36" s="41">
        <f>VLOOKUP(A36,'Mandato Smll'!$A$2:$C$215,3,0)</f>
        <v>1.8026514398718201E-2</v>
      </c>
      <c r="R36" s="58">
        <f t="shared" si="9"/>
        <v>-4.026514398718201E-3</v>
      </c>
      <c r="S36" s="15">
        <v>0.55000000000000004</v>
      </c>
      <c r="T36" s="15">
        <v>0.58799999999999997</v>
      </c>
      <c r="U36" s="15">
        <v>0.40200000000000002</v>
      </c>
      <c r="V36" s="15">
        <v>0.60199999999999998</v>
      </c>
      <c r="W36" s="15">
        <v>0.54700000000000004</v>
      </c>
      <c r="X36" s="15">
        <v>0.17</v>
      </c>
      <c r="Y36" s="15">
        <v>0.128</v>
      </c>
      <c r="Z36" s="15">
        <v>-0.11700000000000001</v>
      </c>
      <c r="AA36" s="15">
        <v>0.56399999999999995</v>
      </c>
      <c r="AB36" s="15">
        <v>0.56499999999999995</v>
      </c>
      <c r="AC36" s="15">
        <v>0.92600000000000005</v>
      </c>
      <c r="AD36" s="15">
        <v>0.91100000000000003</v>
      </c>
      <c r="AE36" s="15">
        <v>0.88200000000000001</v>
      </c>
      <c r="AF36" s="14">
        <v>0.504</v>
      </c>
      <c r="AG36" s="15">
        <v>1</v>
      </c>
      <c r="AH36" s="15">
        <v>0.47199999999999998</v>
      </c>
      <c r="AI36" s="15">
        <v>0.10199999999999999</v>
      </c>
      <c r="AJ36" s="15">
        <v>0.19500000000000001</v>
      </c>
      <c r="AK36" s="9">
        <v>0.47899999999999998</v>
      </c>
      <c r="AL36" s="4">
        <v>-0.04</v>
      </c>
      <c r="AM36" s="4">
        <v>-0.91200000000000003</v>
      </c>
      <c r="AN36" s="4">
        <v>0.17199999999999999</v>
      </c>
      <c r="AO36" s="4">
        <v>0.36699999999999999</v>
      </c>
      <c r="AP36" s="4">
        <v>-5.6000000000000001E-2</v>
      </c>
      <c r="AQ36" s="4">
        <v>-0.22500000000000001</v>
      </c>
      <c r="AR36" s="4">
        <v>0.61699999999999999</v>
      </c>
      <c r="AS36" s="4">
        <v>1</v>
      </c>
      <c r="AT36" s="4">
        <v>0.251</v>
      </c>
      <c r="AU36" s="4">
        <v>0.432</v>
      </c>
      <c r="AV36" s="4">
        <v>0.65900000000000003</v>
      </c>
      <c r="AW36" s="4">
        <v>0.51800000000000002</v>
      </c>
      <c r="AX36" s="4">
        <v>-0.34</v>
      </c>
      <c r="AY36" s="4">
        <v>-0.29799999999999999</v>
      </c>
      <c r="AZ36" s="4">
        <v>0.58299999999999996</v>
      </c>
      <c r="BA36" s="4">
        <v>0.23799999999999999</v>
      </c>
      <c r="BB36" s="4">
        <v>0.65</v>
      </c>
      <c r="BC36" s="4">
        <v>-0.21</v>
      </c>
      <c r="BD36" s="4">
        <v>-0.64600000000000002</v>
      </c>
      <c r="BE36" s="4">
        <v>0.42399999999999999</v>
      </c>
      <c r="BF36" s="4">
        <v>-0.81299999999999994</v>
      </c>
      <c r="BG36" s="4">
        <v>0.372</v>
      </c>
      <c r="BH36" s="4">
        <v>-7.4999999999999997E-2</v>
      </c>
      <c r="BI36" s="4">
        <v>-0.44</v>
      </c>
      <c r="BJ36" s="4">
        <v>-0.157</v>
      </c>
      <c r="BK36" s="4">
        <v>0.34699999999999998</v>
      </c>
      <c r="BL36" s="4">
        <v>0.38700000000000001</v>
      </c>
      <c r="BM36" s="4"/>
    </row>
    <row r="37" spans="1:65" x14ac:dyDescent="0.3">
      <c r="A37" s="19" t="s">
        <v>109</v>
      </c>
      <c r="B37" s="53">
        <v>0</v>
      </c>
      <c r="C37" s="53">
        <f t="shared" si="4"/>
        <v>0</v>
      </c>
      <c r="D37" s="53">
        <f t="shared" si="5"/>
        <v>-2.1999999999999999E-2</v>
      </c>
      <c r="E37" s="53">
        <f t="shared" si="6"/>
        <v>0</v>
      </c>
      <c r="F37" s="15">
        <v>2.34</v>
      </c>
      <c r="G37" s="19">
        <v>3.2330000000000001</v>
      </c>
      <c r="H37" s="24" t="s">
        <v>57</v>
      </c>
      <c r="I37" t="str">
        <f>VLOOKUP(A37,Setores!$A$2:$C$215,2,0)</f>
        <v>banks</v>
      </c>
      <c r="J37" t="str">
        <f>VLOOKUP(A37,Setores!$A$2:$C$215,3,0)</f>
        <v>neutral_beta</v>
      </c>
      <c r="K37" s="2">
        <v>2.1999999999999999E-2</v>
      </c>
      <c r="L37" s="2">
        <v>2.1999999999999999E-2</v>
      </c>
      <c r="M37" s="71">
        <v>80</v>
      </c>
      <c r="N37" s="41">
        <f>VLOOKUP(A37,'Mandato Smll'!$A$2:$C$215,2,0)</f>
        <v>1.04081971824598E-2</v>
      </c>
      <c r="O37" s="58">
        <f t="shared" si="7"/>
        <v>1.1591802817540199E-2</v>
      </c>
      <c r="P37" s="42">
        <f t="shared" si="8"/>
        <v>-1.04081971824598E-2</v>
      </c>
      <c r="Q37" s="41">
        <f>VLOOKUP(A37,'Mandato Smll'!$A$2:$C$215,3,0)</f>
        <v>9.2554060811686507E-3</v>
      </c>
      <c r="R37" s="58">
        <f t="shared" si="9"/>
        <v>1.2744593918831348E-2</v>
      </c>
      <c r="S37" s="15">
        <v>-0.02</v>
      </c>
      <c r="T37" s="15">
        <v>-0.124</v>
      </c>
      <c r="U37" s="15">
        <v>-0.47699999999999998</v>
      </c>
      <c r="V37" s="15">
        <v>0.216</v>
      </c>
      <c r="W37" s="15">
        <v>-0.156</v>
      </c>
      <c r="X37" s="15">
        <v>0.42499999999999999</v>
      </c>
      <c r="Y37" s="15">
        <v>0.67</v>
      </c>
      <c r="Z37" s="15">
        <v>0.54</v>
      </c>
      <c r="AA37" s="15">
        <v>0.67600000000000005</v>
      </c>
      <c r="AB37" s="15">
        <v>0.67500000000000004</v>
      </c>
      <c r="AC37" s="15">
        <v>0.872</v>
      </c>
      <c r="AD37" s="15">
        <v>0.84499999999999997</v>
      </c>
      <c r="AE37" s="15">
        <v>0.86399999999999999</v>
      </c>
      <c r="AF37" s="14">
        <v>0.14699999999999999</v>
      </c>
      <c r="AG37" s="15">
        <v>-0.222</v>
      </c>
      <c r="AH37" s="15">
        <v>0.09</v>
      </c>
      <c r="AI37" s="15">
        <v>-0.96399999999999997</v>
      </c>
      <c r="AJ37" s="15">
        <v>-0.75800000000000001</v>
      </c>
      <c r="AK37" s="9">
        <v>-0.81599999999999995</v>
      </c>
      <c r="AL37" s="4">
        <v>-0.17399999999999999</v>
      </c>
      <c r="AM37" s="4">
        <v>0.21099999999999999</v>
      </c>
      <c r="AN37" s="4">
        <v>-0.67900000000000005</v>
      </c>
      <c r="AO37" s="4">
        <v>-0.20799999999999999</v>
      </c>
      <c r="AP37" s="4">
        <v>0.498</v>
      </c>
      <c r="AQ37" s="4">
        <v>-5.6000000000000001E-2</v>
      </c>
      <c r="AR37" s="4">
        <v>8.9999999999999993E-3</v>
      </c>
      <c r="AS37" s="4">
        <v>0.30599999999999999</v>
      </c>
      <c r="AT37" s="4">
        <v>0.41299999999999998</v>
      </c>
      <c r="AU37" s="4">
        <v>-1E-3</v>
      </c>
      <c r="AV37" s="4">
        <v>-2E-3</v>
      </c>
      <c r="AW37" s="4">
        <v>0.40300000000000002</v>
      </c>
      <c r="AX37" s="4">
        <v>0.499</v>
      </c>
      <c r="AY37" s="4">
        <v>-0.40100000000000002</v>
      </c>
      <c r="AZ37" s="4">
        <v>0.91</v>
      </c>
      <c r="BA37" s="4">
        <v>0.66800000000000004</v>
      </c>
      <c r="BB37" s="4">
        <v>0.96699999999999997</v>
      </c>
      <c r="BC37" s="4">
        <v>-0.20699999999999999</v>
      </c>
      <c r="BD37" s="4">
        <v>1.4E-2</v>
      </c>
      <c r="BE37" s="4">
        <v>0.55700000000000005</v>
      </c>
      <c r="BF37" s="4">
        <v>-0.215</v>
      </c>
      <c r="BG37" s="4">
        <v>-0.33900000000000002</v>
      </c>
      <c r="BH37" s="4">
        <v>0.84099999999999997</v>
      </c>
      <c r="BI37" s="4">
        <v>-0.65600000000000003</v>
      </c>
      <c r="BJ37" s="4">
        <v>-0.14599999999999999</v>
      </c>
      <c r="BK37" s="4">
        <v>0.90300000000000002</v>
      </c>
      <c r="BL37" s="4">
        <v>-0.70899999999999996</v>
      </c>
      <c r="BM37" s="4"/>
    </row>
    <row r="38" spans="1:65" x14ac:dyDescent="0.3">
      <c r="A38" s="19" t="s">
        <v>97</v>
      </c>
      <c r="B38" s="53">
        <v>1.6E-2</v>
      </c>
      <c r="C38" s="53">
        <f t="shared" si="4"/>
        <v>0.01</v>
      </c>
      <c r="D38" s="53">
        <f t="shared" si="5"/>
        <v>0</v>
      </c>
      <c r="E38" s="53">
        <f t="shared" si="6"/>
        <v>6.0000000000000001E-3</v>
      </c>
      <c r="F38" s="15">
        <v>2.2639999999999998</v>
      </c>
      <c r="G38" s="19">
        <v>3.7440000000000002</v>
      </c>
      <c r="H38" s="24" t="s">
        <v>57</v>
      </c>
      <c r="I38" t="str">
        <f>VLOOKUP(A38,Setores!$A$2:$C$215,2,0)</f>
        <v>banks</v>
      </c>
      <c r="J38" t="str">
        <f>VLOOKUP(A38,Setores!$A$2:$C$215,3,0)</f>
        <v>low_beta</v>
      </c>
      <c r="K38" s="2">
        <v>1.6E-2</v>
      </c>
      <c r="L38" s="2">
        <v>0.01</v>
      </c>
      <c r="M38" s="71">
        <v>80</v>
      </c>
      <c r="N38" s="41">
        <f>VLOOKUP(A38,'Mandato Smll'!$A$2:$C$215,2,0)</f>
        <v>1.6750623798259499E-2</v>
      </c>
      <c r="O38" s="58">
        <f t="shared" si="7"/>
        <v>-7.5062379825949904E-4</v>
      </c>
      <c r="P38" s="42">
        <f t="shared" si="8"/>
        <v>-7.5062379825949904E-4</v>
      </c>
      <c r="Q38" s="41">
        <f>VLOOKUP(A38,'Mandato Smll'!$A$2:$C$215,3,0)</f>
        <v>0</v>
      </c>
      <c r="R38" s="58">
        <f t="shared" si="9"/>
        <v>1.6E-2</v>
      </c>
      <c r="S38" s="15">
        <v>-0.02</v>
      </c>
      <c r="T38" s="15">
        <v>0.153</v>
      </c>
      <c r="U38" s="15">
        <v>-0.27700000000000002</v>
      </c>
      <c r="V38" s="15">
        <v>-1.7000000000000001E-2</v>
      </c>
      <c r="W38" s="15">
        <v>-4.9000000000000002E-2</v>
      </c>
      <c r="X38" s="15">
        <v>0.30599999999999999</v>
      </c>
      <c r="Y38" s="15">
        <v>0.439</v>
      </c>
      <c r="Z38" s="15">
        <v>0.38400000000000001</v>
      </c>
      <c r="AA38" s="15">
        <v>0.75700000000000001</v>
      </c>
      <c r="AB38" s="15">
        <v>0.753</v>
      </c>
      <c r="AC38" s="15">
        <v>0.84799999999999998</v>
      </c>
      <c r="AD38" s="15">
        <v>0.874</v>
      </c>
      <c r="AE38" s="15">
        <v>0.90300000000000002</v>
      </c>
      <c r="AF38" s="14">
        <v>-0.61099999999999999</v>
      </c>
      <c r="AG38" s="15">
        <v>0.41199999999999998</v>
      </c>
      <c r="AH38" s="15">
        <v>0.61799999999999999</v>
      </c>
      <c r="AI38" s="15">
        <v>-0.28499999999999998</v>
      </c>
      <c r="AJ38" s="15">
        <v>5.2999999999999999E-2</v>
      </c>
      <c r="AK38" s="9">
        <v>-0.77900000000000003</v>
      </c>
      <c r="AL38" s="4">
        <v>-0.11899999999999999</v>
      </c>
      <c r="AM38" s="4">
        <v>0.26100000000000001</v>
      </c>
      <c r="AN38" s="4">
        <v>-9.1999999999999998E-2</v>
      </c>
      <c r="AO38" s="4">
        <v>0.16900000000000001</v>
      </c>
      <c r="AP38" s="4">
        <v>0.27700000000000002</v>
      </c>
      <c r="AQ38" s="4">
        <v>-0.112</v>
      </c>
      <c r="AR38" s="4">
        <v>4.2999999999999997E-2</v>
      </c>
      <c r="AS38" s="4">
        <v>0.20799999999999999</v>
      </c>
      <c r="AT38" s="4">
        <v>-0.34</v>
      </c>
      <c r="AU38" s="4">
        <v>-0.13500000000000001</v>
      </c>
      <c r="AV38" s="4">
        <v>-0.27700000000000002</v>
      </c>
      <c r="AW38" s="4">
        <v>-0.55100000000000005</v>
      </c>
      <c r="AX38" s="4">
        <v>0.64800000000000002</v>
      </c>
      <c r="AY38" s="4">
        <v>9.7000000000000003E-2</v>
      </c>
      <c r="AZ38" s="4">
        <v>0.80700000000000005</v>
      </c>
      <c r="BA38" s="4">
        <v>0.58399999999999996</v>
      </c>
      <c r="BB38" s="4">
        <v>0.52</v>
      </c>
      <c r="BC38" s="4">
        <v>-0.33700000000000002</v>
      </c>
      <c r="BD38" s="4">
        <v>-0.107</v>
      </c>
      <c r="BE38" s="4">
        <v>0.47199999999999998</v>
      </c>
      <c r="BF38" s="4">
        <v>-0.17599999999999999</v>
      </c>
      <c r="BG38" s="4">
        <v>0.84799999999999998</v>
      </c>
      <c r="BH38" s="4">
        <v>0.92100000000000004</v>
      </c>
      <c r="BI38" s="4">
        <v>-0.59399999999999997</v>
      </c>
      <c r="BJ38" s="4">
        <v>-0.251</v>
      </c>
      <c r="BK38" s="4">
        <v>0.41899999999999998</v>
      </c>
      <c r="BL38" s="4">
        <v>0.433</v>
      </c>
      <c r="BM38" s="4"/>
    </row>
    <row r="39" spans="1:65" x14ac:dyDescent="0.3">
      <c r="A39" s="19" t="s">
        <v>65</v>
      </c>
      <c r="B39" s="53">
        <v>1.4999999999999999E-2</v>
      </c>
      <c r="C39" s="53">
        <f t="shared" si="4"/>
        <v>1.4999999999999999E-2</v>
      </c>
      <c r="D39" s="53">
        <f t="shared" si="5"/>
        <v>0</v>
      </c>
      <c r="E39" s="53">
        <f t="shared" si="6"/>
        <v>0</v>
      </c>
      <c r="F39" s="15">
        <v>2.2480000000000002</v>
      </c>
      <c r="G39" s="19">
        <v>2.4319999999999999</v>
      </c>
      <c r="H39" s="24" t="s">
        <v>57</v>
      </c>
      <c r="I39" t="str">
        <f>VLOOKUP(A39,Setores!$A$2:$C$215,2,0)</f>
        <v>homebuilders</v>
      </c>
      <c r="J39" t="str">
        <f>VLOOKUP(A39,Setores!$A$2:$C$215,3,0)</f>
        <v>low_beta</v>
      </c>
      <c r="K39" s="2">
        <v>1.4999999999999999E-2</v>
      </c>
      <c r="L39" s="2">
        <v>1.4999999999999999E-2</v>
      </c>
      <c r="M39" s="71">
        <v>80</v>
      </c>
      <c r="N39" s="41">
        <f>VLOOKUP(A39,'Mandato Smll'!$A$2:$C$215,2,0)</f>
        <v>1.00001685240489E-2</v>
      </c>
      <c r="O39" s="58">
        <f t="shared" si="7"/>
        <v>4.9998314759510994E-3</v>
      </c>
      <c r="P39" s="42">
        <f t="shared" si="8"/>
        <v>4.9998314759510994E-3</v>
      </c>
      <c r="Q39" s="41">
        <f>VLOOKUP(A39,'Mandato Smll'!$A$2:$C$215,3,0)</f>
        <v>0</v>
      </c>
      <c r="R39" s="58">
        <f t="shared" si="9"/>
        <v>1.4999999999999999E-2</v>
      </c>
      <c r="S39" s="15">
        <v>5.8999999999999997E-2</v>
      </c>
      <c r="T39" s="15">
        <v>-7.4999999999999997E-2</v>
      </c>
      <c r="U39" s="15">
        <v>0.40300000000000002</v>
      </c>
      <c r="V39" s="15">
        <v>2.9000000000000001E-2</v>
      </c>
      <c r="W39" s="15">
        <v>0.16800000000000001</v>
      </c>
      <c r="X39" s="15">
        <v>0.28799999999999998</v>
      </c>
      <c r="Y39" s="15">
        <v>0.45600000000000002</v>
      </c>
      <c r="Z39" s="15">
        <v>0.35</v>
      </c>
      <c r="AA39" s="15">
        <v>0.56799999999999995</v>
      </c>
      <c r="AB39" s="15">
        <v>0.56599999999999995</v>
      </c>
      <c r="AC39" s="15">
        <v>0.85399999999999998</v>
      </c>
      <c r="AD39" s="15">
        <v>0.90800000000000003</v>
      </c>
      <c r="AE39" s="15">
        <v>0.77100000000000002</v>
      </c>
      <c r="AF39" s="14">
        <v>0.13700000000000001</v>
      </c>
      <c r="AG39" s="15">
        <v>0.11700000000000001</v>
      </c>
      <c r="AH39" s="15">
        <v>-0.40699999999999997</v>
      </c>
      <c r="AI39" s="15">
        <v>0.85299999999999998</v>
      </c>
      <c r="AJ39" s="15">
        <v>6.8000000000000005E-2</v>
      </c>
      <c r="AK39" s="9">
        <v>-2.1999999999999999E-2</v>
      </c>
      <c r="AL39" s="4">
        <v>-0.36099999999999999</v>
      </c>
      <c r="AM39" s="4">
        <v>0.97799999999999998</v>
      </c>
      <c r="AN39" s="4">
        <v>-3.5999999999999997E-2</v>
      </c>
      <c r="AO39" s="4">
        <v>-0.10299999999999999</v>
      </c>
      <c r="AP39" s="4">
        <v>-0.28199999999999997</v>
      </c>
      <c r="AQ39" s="4">
        <v>-0.55100000000000005</v>
      </c>
      <c r="AR39" s="4">
        <v>6.0000000000000001E-3</v>
      </c>
      <c r="AS39" s="4">
        <v>0.55400000000000005</v>
      </c>
      <c r="AT39" s="4">
        <v>0.47599999999999998</v>
      </c>
      <c r="AU39" s="4">
        <v>-0.105</v>
      </c>
      <c r="AV39" s="4">
        <v>-0.44600000000000001</v>
      </c>
      <c r="AW39" s="4">
        <v>-0.04</v>
      </c>
      <c r="AX39" s="4">
        <v>0.59099999999999997</v>
      </c>
      <c r="AY39" s="4">
        <v>-0.29299999999999998</v>
      </c>
      <c r="AZ39" s="4">
        <v>0.53400000000000003</v>
      </c>
      <c r="BA39" s="4">
        <v>0.36599999999999999</v>
      </c>
      <c r="BB39" s="4">
        <v>-3.4000000000000002E-2</v>
      </c>
      <c r="BC39" s="4">
        <v>-0.38300000000000001</v>
      </c>
      <c r="BD39" s="4">
        <v>-0.69199999999999995</v>
      </c>
      <c r="BE39" s="4">
        <v>-0.154</v>
      </c>
      <c r="BF39" s="4">
        <v>-0.43</v>
      </c>
      <c r="BG39" s="4">
        <v>-0.33600000000000002</v>
      </c>
      <c r="BH39" s="4">
        <v>0.78800000000000003</v>
      </c>
      <c r="BI39" s="4">
        <v>-0.27800000000000002</v>
      </c>
      <c r="BJ39" s="4">
        <v>0.104</v>
      </c>
      <c r="BK39" s="4">
        <v>0.73699999999999999</v>
      </c>
      <c r="BL39" s="4">
        <v>0.69299999999999995</v>
      </c>
      <c r="BM39" s="4"/>
    </row>
    <row r="40" spans="1:65" x14ac:dyDescent="0.3">
      <c r="A40" s="19" t="s">
        <v>92</v>
      </c>
      <c r="B40" s="53">
        <v>1.7000000000000001E-2</v>
      </c>
      <c r="C40" s="53">
        <f t="shared" si="4"/>
        <v>1.2E-2</v>
      </c>
      <c r="D40" s="53">
        <f t="shared" si="5"/>
        <v>0</v>
      </c>
      <c r="E40" s="53">
        <f t="shared" si="6"/>
        <v>5.000000000000001E-3</v>
      </c>
      <c r="F40" s="15">
        <v>2.2050000000000001</v>
      </c>
      <c r="G40" s="19">
        <v>2.7309999999999999</v>
      </c>
      <c r="H40" s="24" t="s">
        <v>57</v>
      </c>
      <c r="I40" t="str">
        <f>VLOOKUP(A40,Setores!$A$2:$C$215,2,0)</f>
        <v>tech</v>
      </c>
      <c r="J40" t="str">
        <f>VLOOKUP(A40,Setores!$A$2:$C$215,3,0)</f>
        <v>neutral_beta</v>
      </c>
      <c r="K40" s="2">
        <v>1.7000000000000001E-2</v>
      </c>
      <c r="L40" s="2">
        <v>1.2E-2</v>
      </c>
      <c r="M40" s="71">
        <v>80</v>
      </c>
      <c r="N40" s="41">
        <f>VLOOKUP(A40,'Mandato Smll'!$A$2:$C$215,2,0)</f>
        <v>1.7359751273077699E-2</v>
      </c>
      <c r="O40" s="58">
        <f t="shared" si="7"/>
        <v>-3.5975127307769778E-4</v>
      </c>
      <c r="P40" s="42">
        <f t="shared" si="8"/>
        <v>-3.5975127307769778E-4</v>
      </c>
      <c r="Q40" s="41">
        <f>VLOOKUP(A40,'Mandato Smll'!$A$2:$C$215,3,0)</f>
        <v>1.43775423515462E-2</v>
      </c>
      <c r="R40" s="58">
        <f t="shared" si="9"/>
        <v>2.622457648453801E-3</v>
      </c>
      <c r="S40" s="15">
        <v>0.41599999999999998</v>
      </c>
      <c r="T40" s="15">
        <v>0.14599999999999999</v>
      </c>
      <c r="U40" s="15">
        <v>0.371</v>
      </c>
      <c r="V40" s="15">
        <v>0.23599999999999999</v>
      </c>
      <c r="W40" s="15">
        <v>0.13500000000000001</v>
      </c>
      <c r="X40" s="15">
        <v>0.38100000000000001</v>
      </c>
      <c r="Y40" s="15">
        <v>0.26</v>
      </c>
      <c r="Z40" s="15">
        <v>0.126</v>
      </c>
      <c r="AA40" s="15">
        <v>0.14399999999999999</v>
      </c>
      <c r="AB40" s="15">
        <v>0.14099999999999999</v>
      </c>
      <c r="AC40" s="15">
        <v>0.77700000000000002</v>
      </c>
      <c r="AD40" s="15">
        <v>0.93799999999999994</v>
      </c>
      <c r="AE40" s="15">
        <v>0.84399999999999997</v>
      </c>
      <c r="AF40" s="14">
        <v>0.222</v>
      </c>
      <c r="AG40" s="15">
        <v>-0.113</v>
      </c>
      <c r="AH40" s="15">
        <v>-0.27400000000000002</v>
      </c>
      <c r="AI40" s="15">
        <v>-0.377</v>
      </c>
      <c r="AJ40" s="15">
        <v>0.998</v>
      </c>
      <c r="AK40" s="9">
        <v>1</v>
      </c>
      <c r="AL40" s="4">
        <v>-0.34200000000000003</v>
      </c>
      <c r="AM40" s="4">
        <v>-0.16300000000000001</v>
      </c>
      <c r="AN40" s="4">
        <v>-0.86599999999999999</v>
      </c>
      <c r="AO40" s="4">
        <v>-7.4999999999999997E-2</v>
      </c>
      <c r="AP40" s="4">
        <v>0.182</v>
      </c>
      <c r="AQ40" s="4">
        <v>0.68300000000000005</v>
      </c>
      <c r="AR40" s="4">
        <v>0.432</v>
      </c>
      <c r="AS40" s="4">
        <v>0.36699999999999999</v>
      </c>
      <c r="AT40" s="4">
        <v>0.39100000000000001</v>
      </c>
      <c r="AU40" s="4">
        <v>0.38100000000000001</v>
      </c>
      <c r="AV40" s="4">
        <v>-0.434</v>
      </c>
      <c r="AW40" s="4">
        <v>0.66300000000000003</v>
      </c>
      <c r="AX40" s="4">
        <v>0.22</v>
      </c>
      <c r="AY40" s="4">
        <v>0.51700000000000002</v>
      </c>
      <c r="AZ40" s="4">
        <v>0.92800000000000005</v>
      </c>
      <c r="BA40" s="4">
        <v>0.55100000000000005</v>
      </c>
      <c r="BB40" s="4">
        <v>0.90200000000000002</v>
      </c>
      <c r="BC40" s="4">
        <v>-3.2000000000000001E-2</v>
      </c>
      <c r="BD40" s="4">
        <v>-5.1999999999999998E-2</v>
      </c>
      <c r="BE40" s="4">
        <v>-0.78200000000000003</v>
      </c>
      <c r="BF40" s="4">
        <v>-0.45</v>
      </c>
      <c r="BG40" s="4">
        <v>0.56799999999999995</v>
      </c>
      <c r="BH40" s="4">
        <v>0.69</v>
      </c>
      <c r="BI40" s="4">
        <v>-0.58299999999999996</v>
      </c>
      <c r="BJ40" s="4">
        <v>-9.8000000000000004E-2</v>
      </c>
      <c r="BK40" s="4">
        <v>0.30399999999999999</v>
      </c>
      <c r="BL40" s="4">
        <v>0.20799999999999999</v>
      </c>
      <c r="BM40" s="4"/>
    </row>
    <row r="41" spans="1:65" x14ac:dyDescent="0.3">
      <c r="A41" s="19" t="s">
        <v>79</v>
      </c>
      <c r="B41" s="53">
        <v>1.2999999999999999E-2</v>
      </c>
      <c r="C41" s="53">
        <f t="shared" si="4"/>
        <v>8.0000000000000002E-3</v>
      </c>
      <c r="D41" s="53">
        <f t="shared" si="5"/>
        <v>0</v>
      </c>
      <c r="E41" s="53">
        <f t="shared" si="6"/>
        <v>4.9999999999999992E-3</v>
      </c>
      <c r="F41" s="15">
        <v>2.1789999999999998</v>
      </c>
      <c r="G41" s="19">
        <v>3.2050000000000001</v>
      </c>
      <c r="H41" s="24" t="s">
        <v>68</v>
      </c>
      <c r="I41" t="str">
        <f>VLOOKUP(A41,Setores!$A$2:$C$215,2,0)</f>
        <v>capital_goods</v>
      </c>
      <c r="J41" t="str">
        <f>VLOOKUP(A41,Setores!$A$2:$C$215,3,0)</f>
        <v>very_low_beta</v>
      </c>
      <c r="K41" s="2">
        <v>1.2999999999999999E-2</v>
      </c>
      <c r="L41" s="2">
        <v>8.0000000000000002E-3</v>
      </c>
      <c r="M41" s="71">
        <v>80</v>
      </c>
      <c r="N41" s="41">
        <f>VLOOKUP(A41,'Mandato Smll'!$A$2:$C$215,2,0)</f>
        <v>1.5947647465804501E-2</v>
      </c>
      <c r="O41" s="58">
        <f t="shared" si="7"/>
        <v>-2.947647465804502E-3</v>
      </c>
      <c r="P41" s="42">
        <f t="shared" si="8"/>
        <v>-2.947647465804502E-3</v>
      </c>
      <c r="Q41" s="41">
        <f>VLOOKUP(A41,'Mandato Smll'!$A$2:$C$215,3,0)</f>
        <v>1.8934569334372001E-2</v>
      </c>
      <c r="R41" s="58">
        <f t="shared" si="9"/>
        <v>-5.9345693343720012E-3</v>
      </c>
      <c r="S41" s="15">
        <v>0.03</v>
      </c>
      <c r="T41" s="15">
        <v>-0.222</v>
      </c>
      <c r="U41" s="15">
        <v>-3.6999999999999998E-2</v>
      </c>
      <c r="V41" s="15">
        <v>0.252</v>
      </c>
      <c r="W41" s="15">
        <v>-2.3E-2</v>
      </c>
      <c r="X41" s="15">
        <v>0.34</v>
      </c>
      <c r="Y41" s="15">
        <v>0.51</v>
      </c>
      <c r="Z41" s="15">
        <v>0.33300000000000002</v>
      </c>
      <c r="AA41" s="15">
        <v>0.71499999999999997</v>
      </c>
      <c r="AB41" s="15">
        <v>0.71399999999999997</v>
      </c>
      <c r="AC41" s="15">
        <v>0.83599999999999997</v>
      </c>
      <c r="AD41" s="15">
        <v>0.76500000000000001</v>
      </c>
      <c r="AE41" s="15">
        <v>0.73599999999999999</v>
      </c>
      <c r="AF41" s="14">
        <v>0.22800000000000001</v>
      </c>
      <c r="AG41" s="15">
        <v>-0.32900000000000001</v>
      </c>
      <c r="AH41" s="15">
        <v>-0.27500000000000002</v>
      </c>
      <c r="AI41" s="15">
        <v>-0.49</v>
      </c>
      <c r="AJ41" s="15">
        <v>6.3E-2</v>
      </c>
      <c r="AK41" s="9">
        <v>0.27300000000000002</v>
      </c>
      <c r="AL41" s="4">
        <v>-0.14599999999999999</v>
      </c>
      <c r="AM41" s="4">
        <v>0.28000000000000003</v>
      </c>
      <c r="AN41" s="4">
        <v>-0.88600000000000001</v>
      </c>
      <c r="AO41" s="4">
        <v>1.9E-2</v>
      </c>
      <c r="AP41" s="4">
        <v>8.7999999999999995E-2</v>
      </c>
      <c r="AQ41" s="4">
        <v>0.33100000000000002</v>
      </c>
      <c r="AR41" s="4">
        <v>0.23699999999999999</v>
      </c>
      <c r="AS41" s="4">
        <v>0.377</v>
      </c>
      <c r="AT41" s="4">
        <v>-7.6999999999999999E-2</v>
      </c>
      <c r="AU41" s="4">
        <v>0.995</v>
      </c>
      <c r="AV41" s="4">
        <v>-0.30599999999999999</v>
      </c>
      <c r="AW41" s="4">
        <v>0.54200000000000004</v>
      </c>
      <c r="AX41" s="4">
        <v>0.65400000000000003</v>
      </c>
      <c r="AY41" s="4">
        <v>-4.8000000000000001E-2</v>
      </c>
      <c r="AZ41" s="4">
        <v>0.71</v>
      </c>
      <c r="BA41" s="4">
        <v>0.69599999999999995</v>
      </c>
      <c r="BB41" s="4">
        <v>-0.58399999999999996</v>
      </c>
      <c r="BC41" s="4">
        <v>-0.23799999999999999</v>
      </c>
      <c r="BD41" s="4">
        <v>-0.55800000000000005</v>
      </c>
      <c r="BE41" s="4">
        <v>7.5999999999999998E-2</v>
      </c>
      <c r="BF41" s="4">
        <v>-0.56899999999999995</v>
      </c>
      <c r="BG41" s="4">
        <v>8.5999999999999993E-2</v>
      </c>
      <c r="BH41" s="4">
        <v>0.66400000000000003</v>
      </c>
      <c r="BI41" s="4">
        <v>-0.47199999999999998</v>
      </c>
      <c r="BJ41" s="4">
        <v>-0.04</v>
      </c>
      <c r="BK41" s="4">
        <v>0.47199999999999998</v>
      </c>
      <c r="BL41" s="4">
        <v>3.4000000000000002E-2</v>
      </c>
      <c r="BM41" s="4"/>
    </row>
    <row r="42" spans="1:65" x14ac:dyDescent="0.3">
      <c r="A42" s="19" t="s">
        <v>600</v>
      </c>
      <c r="B42" s="53">
        <v>1.4E-2</v>
      </c>
      <c r="C42" s="53">
        <f t="shared" si="4"/>
        <v>1.4E-2</v>
      </c>
      <c r="D42" s="53">
        <f t="shared" si="5"/>
        <v>0</v>
      </c>
      <c r="E42" s="53">
        <f t="shared" si="6"/>
        <v>0</v>
      </c>
      <c r="F42" s="15">
        <v>2.1739999999999999</v>
      </c>
      <c r="G42" s="19">
        <v>2.31</v>
      </c>
      <c r="H42" s="24" t="s">
        <v>68</v>
      </c>
      <c r="I42" t="str">
        <f>VLOOKUP(A42,Setores!$A$2:$C$215,2,0)</f>
        <v>building_materials</v>
      </c>
      <c r="J42" t="str">
        <f>VLOOKUP(A42,Setores!$A$2:$C$215,3,0)</f>
        <v>very_low_beta</v>
      </c>
      <c r="K42" s="2">
        <v>1.4E-2</v>
      </c>
      <c r="L42" s="2">
        <v>1.4E-2</v>
      </c>
      <c r="M42" s="71">
        <v>80</v>
      </c>
      <c r="N42" s="41">
        <f>VLOOKUP(A42,'Mandato Smll'!$A$2:$C$215,2,0)</f>
        <v>9.6706709976041704E-3</v>
      </c>
      <c r="O42" s="58">
        <f t="shared" si="7"/>
        <v>4.3293290023958299E-3</v>
      </c>
      <c r="P42" s="42">
        <f t="shared" si="8"/>
        <v>4.3293290023958299E-3</v>
      </c>
      <c r="Q42" s="41">
        <f>VLOOKUP(A42,'Mandato Smll'!$A$2:$C$215,3,0)</f>
        <v>7.92144947270528E-3</v>
      </c>
      <c r="R42" s="58">
        <f t="shared" si="9"/>
        <v>6.0785505272947203E-3</v>
      </c>
      <c r="S42" s="15">
        <v>0.28499999999999998</v>
      </c>
      <c r="T42" s="15">
        <v>9.8000000000000004E-2</v>
      </c>
      <c r="U42" s="15">
        <v>0.184</v>
      </c>
      <c r="V42" s="15">
        <v>0.26900000000000002</v>
      </c>
      <c r="W42" s="15">
        <v>0.104</v>
      </c>
      <c r="X42" s="15">
        <v>7.3999999999999996E-2</v>
      </c>
      <c r="Y42" s="15">
        <v>-1.4E-2</v>
      </c>
      <c r="Z42" s="15">
        <v>2.3E-2</v>
      </c>
      <c r="AA42" s="15">
        <v>0.77200000000000002</v>
      </c>
      <c r="AB42" s="15">
        <v>0.76800000000000002</v>
      </c>
      <c r="AC42" s="15">
        <v>1</v>
      </c>
      <c r="AD42" s="15">
        <v>0.91200000000000003</v>
      </c>
      <c r="AE42" s="15">
        <v>0.89700000000000002</v>
      </c>
      <c r="AF42" s="14">
        <v>7.0000000000000007E-2</v>
      </c>
      <c r="AG42" s="15">
        <v>-5.1999999999999998E-2</v>
      </c>
      <c r="AH42" s="15">
        <v>-0.122</v>
      </c>
      <c r="AI42" s="15">
        <v>-0.22800000000000001</v>
      </c>
      <c r="AJ42" s="15">
        <v>-2.5999999999999999E-2</v>
      </c>
      <c r="AK42" s="9">
        <v>0.157</v>
      </c>
      <c r="AL42" s="4">
        <v>0.14399999999999999</v>
      </c>
      <c r="AM42" s="4">
        <v>-0.28000000000000003</v>
      </c>
      <c r="AN42" s="4">
        <v>-0.20100000000000001</v>
      </c>
      <c r="AO42" s="4">
        <v>-0.51100000000000001</v>
      </c>
      <c r="AP42" s="4">
        <v>0.13900000000000001</v>
      </c>
      <c r="AQ42" s="4">
        <v>3.5000000000000003E-2</v>
      </c>
      <c r="AR42" s="4">
        <v>0.33400000000000002</v>
      </c>
      <c r="AS42" s="4">
        <v>0.63600000000000001</v>
      </c>
      <c r="AT42" s="4">
        <v>0.34200000000000003</v>
      </c>
      <c r="AU42" s="4">
        <v>0.36099999999999999</v>
      </c>
      <c r="AV42" s="4">
        <v>-0.13300000000000001</v>
      </c>
      <c r="AW42" s="4">
        <v>0.34599999999999997</v>
      </c>
      <c r="AX42" s="4">
        <v>0.61</v>
      </c>
      <c r="AY42" s="4">
        <v>0.124</v>
      </c>
      <c r="AZ42" s="4">
        <v>0.76200000000000001</v>
      </c>
      <c r="BA42" s="4">
        <v>0.51100000000000001</v>
      </c>
      <c r="BB42" s="4">
        <v>0.66300000000000003</v>
      </c>
      <c r="BC42" s="4">
        <v>-0.26700000000000002</v>
      </c>
      <c r="BD42" s="4">
        <v>-0.32200000000000001</v>
      </c>
      <c r="BE42" s="4">
        <v>0.68200000000000005</v>
      </c>
      <c r="BF42" s="4">
        <v>-1</v>
      </c>
      <c r="BG42" s="4">
        <v>-2.4E-2</v>
      </c>
      <c r="BH42" s="4">
        <v>-6.9000000000000006E-2</v>
      </c>
      <c r="BI42" s="4">
        <v>-0.69299999999999995</v>
      </c>
      <c r="BJ42" s="4">
        <v>-2.5000000000000001E-2</v>
      </c>
      <c r="BK42" s="4">
        <v>0.97899999999999998</v>
      </c>
      <c r="BL42" s="4">
        <v>0.14000000000000001</v>
      </c>
      <c r="BM42" s="4"/>
    </row>
    <row r="43" spans="1:65" x14ac:dyDescent="0.3">
      <c r="A43" s="19" t="s">
        <v>597</v>
      </c>
      <c r="B43" s="53">
        <v>0.01</v>
      </c>
      <c r="C43" s="53">
        <f t="shared" si="4"/>
        <v>0.01</v>
      </c>
      <c r="D43" s="53">
        <f t="shared" si="5"/>
        <v>0</v>
      </c>
      <c r="E43" s="53">
        <f t="shared" si="6"/>
        <v>0</v>
      </c>
      <c r="F43" s="15">
        <v>2.1589999999999998</v>
      </c>
      <c r="G43" s="19">
        <v>2.2669999999999999</v>
      </c>
      <c r="H43" s="24" t="s">
        <v>57</v>
      </c>
      <c r="I43" t="str">
        <f>VLOOKUP(A43,Setores!$A$2:$C$215,2,0)</f>
        <v>financial_services</v>
      </c>
      <c r="J43" t="str">
        <f>VLOOKUP(A43,Setores!$A$2:$C$215,3,0)</f>
        <v>very_low_beta</v>
      </c>
      <c r="K43" s="2">
        <v>0.01</v>
      </c>
      <c r="L43" s="2">
        <v>0.01</v>
      </c>
      <c r="M43" s="71">
        <v>80</v>
      </c>
      <c r="N43" s="41">
        <f>VLOOKUP(A43,'Mandato Smll'!$A$2:$C$215,2,0)</f>
        <v>9.6037182535170205E-3</v>
      </c>
      <c r="O43" s="58">
        <f t="shared" si="7"/>
        <v>3.9628174648297966E-4</v>
      </c>
      <c r="P43" s="42">
        <f t="shared" si="8"/>
        <v>3.9628174648297966E-4</v>
      </c>
      <c r="Q43" s="41">
        <f>VLOOKUP(A43,'Mandato Smll'!$A$2:$C$215,3,0)</f>
        <v>0</v>
      </c>
      <c r="R43" s="58">
        <f t="shared" si="9"/>
        <v>0.01</v>
      </c>
      <c r="S43" s="15">
        <v>0.23</v>
      </c>
      <c r="T43" s="15">
        <v>-0.16900000000000001</v>
      </c>
      <c r="U43" s="15">
        <v>0.54100000000000004</v>
      </c>
      <c r="V43" s="15">
        <v>0.184</v>
      </c>
      <c r="W43" s="15">
        <v>0.20599999999999999</v>
      </c>
      <c r="X43" s="15">
        <v>0.29799999999999999</v>
      </c>
      <c r="Y43" s="15">
        <v>0.46700000000000003</v>
      </c>
      <c r="Z43" s="15">
        <v>0.17</v>
      </c>
      <c r="AA43" s="15">
        <v>0.41</v>
      </c>
      <c r="AB43" s="15">
        <v>0.41099999999999998</v>
      </c>
      <c r="AC43" s="15">
        <v>0.78500000000000003</v>
      </c>
      <c r="AD43" s="15">
        <v>0.70899999999999996</v>
      </c>
      <c r="AE43" s="15">
        <v>0.752</v>
      </c>
      <c r="AF43" s="14">
        <v>0.52700000000000002</v>
      </c>
      <c r="AG43" s="15">
        <v>-0.121</v>
      </c>
      <c r="AH43" s="15">
        <v>-0.72199999999999998</v>
      </c>
      <c r="AI43" s="15">
        <v>0.47599999999999998</v>
      </c>
      <c r="AJ43" s="15">
        <v>2.8000000000000001E-2</v>
      </c>
      <c r="AK43" s="9">
        <v>1</v>
      </c>
      <c r="AL43" s="4">
        <v>-7.1999999999999995E-2</v>
      </c>
      <c r="AM43" s="4">
        <v>0.32500000000000001</v>
      </c>
      <c r="AN43" s="4">
        <v>-0.60399999999999998</v>
      </c>
      <c r="AO43" s="4">
        <v>0.36399999999999999</v>
      </c>
      <c r="AP43" s="4">
        <v>-0.13100000000000001</v>
      </c>
      <c r="AQ43" s="4">
        <v>-0.33700000000000002</v>
      </c>
      <c r="AR43" s="4">
        <v>6.0000000000000001E-3</v>
      </c>
      <c r="AS43" s="4">
        <v>9.6000000000000002E-2</v>
      </c>
      <c r="AT43" s="4">
        <v>-0.35</v>
      </c>
      <c r="AU43" s="4">
        <v>0.57199999999999995</v>
      </c>
      <c r="AV43" s="4">
        <v>2.3E-2</v>
      </c>
      <c r="AW43" s="4">
        <v>0.43</v>
      </c>
      <c r="AX43" s="4">
        <v>0.64600000000000002</v>
      </c>
      <c r="AY43" s="4">
        <v>-7.8E-2</v>
      </c>
      <c r="AZ43" s="4">
        <v>0.88900000000000001</v>
      </c>
      <c r="BA43" s="4">
        <v>0.36699999999999999</v>
      </c>
      <c r="BB43" s="4">
        <v>0.90700000000000003</v>
      </c>
      <c r="BC43" s="4">
        <v>-0.3</v>
      </c>
      <c r="BD43" s="4">
        <v>-0.32</v>
      </c>
      <c r="BE43" s="4">
        <v>-9.6000000000000002E-2</v>
      </c>
      <c r="BF43" s="4">
        <v>-0.63200000000000001</v>
      </c>
      <c r="BG43" s="4">
        <v>4.3999999999999997E-2</v>
      </c>
      <c r="BH43" s="4">
        <v>0.376</v>
      </c>
      <c r="BI43" s="4">
        <v>-0.39400000000000002</v>
      </c>
      <c r="BJ43" s="4">
        <v>-0.68</v>
      </c>
      <c r="BK43" s="4">
        <v>0.874</v>
      </c>
      <c r="BL43" s="4">
        <v>0.90300000000000002</v>
      </c>
      <c r="BM43" s="4"/>
    </row>
    <row r="44" spans="1:65" x14ac:dyDescent="0.3">
      <c r="A44" s="19" t="s">
        <v>116</v>
      </c>
      <c r="B44" s="53">
        <v>1.7000000000000001E-2</v>
      </c>
      <c r="C44" s="53">
        <f t="shared" si="4"/>
        <v>1.4E-2</v>
      </c>
      <c r="D44" s="53">
        <f t="shared" si="5"/>
        <v>0</v>
      </c>
      <c r="E44" s="53">
        <f t="shared" si="6"/>
        <v>3.0000000000000009E-3</v>
      </c>
      <c r="F44" s="15">
        <v>2.105</v>
      </c>
      <c r="G44" s="19">
        <v>2.4540000000000002</v>
      </c>
      <c r="H44" s="24" t="s">
        <v>53</v>
      </c>
      <c r="I44" t="str">
        <f>VLOOKUP(A44,Setores!$A$2:$C$215,2,0)</f>
        <v>healthcare</v>
      </c>
      <c r="J44" t="str">
        <f>VLOOKUP(A44,Setores!$A$2:$C$215,3,0)</f>
        <v>high_beta</v>
      </c>
      <c r="K44" s="2">
        <v>1.7000000000000001E-2</v>
      </c>
      <c r="L44" s="2">
        <v>1.4E-2</v>
      </c>
      <c r="M44" s="71">
        <v>80</v>
      </c>
      <c r="N44" s="41">
        <f>VLOOKUP(A44,'Mandato Smll'!$A$2:$C$215,2,0)</f>
        <v>1.1657131200931099E-2</v>
      </c>
      <c r="O44" s="58">
        <f t="shared" si="7"/>
        <v>5.3428687990689019E-3</v>
      </c>
      <c r="P44" s="42">
        <f t="shared" si="8"/>
        <v>5.3428687990689019E-3</v>
      </c>
      <c r="Q44" s="41">
        <f>VLOOKUP(A44,'Mandato Smll'!$A$2:$C$215,3,0)</f>
        <v>9.9552673895462202E-3</v>
      </c>
      <c r="R44" s="58">
        <f t="shared" si="9"/>
        <v>7.044732610453781E-3</v>
      </c>
      <c r="S44" s="15">
        <v>0.29699999999999999</v>
      </c>
      <c r="T44" s="15">
        <v>0.32900000000000001</v>
      </c>
      <c r="U44" s="15">
        <v>6.6000000000000003E-2</v>
      </c>
      <c r="V44" s="15">
        <v>0.16700000000000001</v>
      </c>
      <c r="W44" s="15">
        <v>8.5000000000000006E-2</v>
      </c>
      <c r="X44" s="15">
        <v>0.188</v>
      </c>
      <c r="Y44" s="15">
        <v>0.156</v>
      </c>
      <c r="Z44" s="15">
        <v>2.1999999999999999E-2</v>
      </c>
      <c r="AA44" s="15">
        <v>0.41499999999999998</v>
      </c>
      <c r="AB44" s="15">
        <v>0.40899999999999997</v>
      </c>
      <c r="AC44" s="15">
        <v>0.85299999999999998</v>
      </c>
      <c r="AD44" s="15">
        <v>0.91300000000000003</v>
      </c>
      <c r="AE44" s="15">
        <v>0.88200000000000001</v>
      </c>
      <c r="AF44" s="14">
        <v>-0.127</v>
      </c>
      <c r="AG44" s="15">
        <v>-0.36899999999999999</v>
      </c>
      <c r="AH44" s="15">
        <v>0.111</v>
      </c>
      <c r="AI44" s="15">
        <v>-0.34499999999999997</v>
      </c>
      <c r="AJ44" s="15">
        <v>1</v>
      </c>
      <c r="AK44" s="9">
        <v>0.24199999999999999</v>
      </c>
      <c r="AL44" s="4">
        <v>-6.8000000000000005E-2</v>
      </c>
      <c r="AM44" s="4">
        <v>-0.58099999999999996</v>
      </c>
      <c r="AN44" s="4">
        <v>-0.56899999999999995</v>
      </c>
      <c r="AO44" s="4">
        <v>0.23100000000000001</v>
      </c>
      <c r="AP44" s="4">
        <v>0.47199999999999998</v>
      </c>
      <c r="AQ44" s="4">
        <v>-0.38600000000000001</v>
      </c>
      <c r="AR44" s="4">
        <v>0.245</v>
      </c>
      <c r="AS44" s="4">
        <v>0.36699999999999999</v>
      </c>
      <c r="AT44" s="4">
        <v>0.42299999999999999</v>
      </c>
      <c r="AU44" s="4">
        <v>0.436</v>
      </c>
      <c r="AV44" s="4">
        <v>-0.443</v>
      </c>
      <c r="AW44" s="4">
        <v>0.51400000000000001</v>
      </c>
      <c r="AX44" s="4">
        <v>0.33400000000000002</v>
      </c>
      <c r="AY44" s="4">
        <v>-0.16800000000000001</v>
      </c>
      <c r="AZ44" s="4">
        <v>0.997</v>
      </c>
      <c r="BA44" s="4">
        <v>0.65200000000000002</v>
      </c>
      <c r="BB44" s="4">
        <v>0.69699999999999995</v>
      </c>
      <c r="BC44" s="4">
        <v>-0.255</v>
      </c>
      <c r="BD44" s="4">
        <v>-0.24399999999999999</v>
      </c>
      <c r="BE44" s="4">
        <v>0.46300000000000002</v>
      </c>
      <c r="BF44" s="4">
        <v>0.33200000000000002</v>
      </c>
      <c r="BG44" s="4">
        <v>0.45800000000000002</v>
      </c>
      <c r="BH44" s="4">
        <v>0.55800000000000005</v>
      </c>
      <c r="BI44" s="4">
        <v>-0.17199999999999999</v>
      </c>
      <c r="BJ44" s="4">
        <v>4.3999999999999997E-2</v>
      </c>
      <c r="BK44" s="4">
        <v>0.23599999999999999</v>
      </c>
      <c r="BL44" s="4">
        <v>0.44600000000000001</v>
      </c>
      <c r="BM44" s="4"/>
    </row>
    <row r="45" spans="1:65" s="76" customFormat="1" ht="15" thickBot="1" x14ac:dyDescent="0.35">
      <c r="A45" s="72" t="s">
        <v>64</v>
      </c>
      <c r="B45" s="73">
        <v>0</v>
      </c>
      <c r="C45" s="73">
        <f t="shared" si="4"/>
        <v>0</v>
      </c>
      <c r="D45" s="73">
        <f t="shared" si="5"/>
        <v>-1.2E-2</v>
      </c>
      <c r="E45" s="53">
        <f t="shared" si="6"/>
        <v>0</v>
      </c>
      <c r="F45" s="74">
        <v>2.0529999999999999</v>
      </c>
      <c r="G45" s="72">
        <v>1.6619999999999999</v>
      </c>
      <c r="H45" s="75" t="s">
        <v>55</v>
      </c>
      <c r="I45" s="76" t="str">
        <f>VLOOKUP(A45,Setores!$A$2:$C$215,2,0)</f>
        <v>utilities</v>
      </c>
      <c r="J45" s="76" t="str">
        <f>VLOOKUP(A45,Setores!$A$2:$C$215,3,0)</f>
        <v>high_beta</v>
      </c>
      <c r="K45" s="77">
        <v>1.2E-2</v>
      </c>
      <c r="L45" s="77">
        <v>1.2E-2</v>
      </c>
      <c r="M45" s="78">
        <v>80</v>
      </c>
      <c r="N45" s="79">
        <f>VLOOKUP(A45,'Mandato Smll'!$A$2:$C$215,2,0)</f>
        <v>9.1309271102165603E-3</v>
      </c>
      <c r="O45" s="80">
        <f t="shared" si="7"/>
        <v>2.8690728897834399E-3</v>
      </c>
      <c r="P45" s="81">
        <f t="shared" si="8"/>
        <v>-9.1309271102165603E-3</v>
      </c>
      <c r="Q45" s="79">
        <f>VLOOKUP(A45,'Mandato Smll'!$A$2:$C$215,3,0)</f>
        <v>6.2456631390070102E-3</v>
      </c>
      <c r="R45" s="80">
        <f t="shared" si="9"/>
        <v>5.7543368609929901E-3</v>
      </c>
      <c r="S45" s="74">
        <v>-2.4E-2</v>
      </c>
      <c r="T45" s="74">
        <v>-4.5999999999999999E-2</v>
      </c>
      <c r="U45" s="74">
        <v>-0.154</v>
      </c>
      <c r="V45" s="74">
        <v>0.249</v>
      </c>
      <c r="W45" s="74">
        <v>0.06</v>
      </c>
      <c r="X45" s="74">
        <v>0.17</v>
      </c>
      <c r="Y45" s="74">
        <v>0.28699999999999998</v>
      </c>
      <c r="Z45" s="74">
        <v>0.30399999999999999</v>
      </c>
      <c r="AA45" s="74">
        <v>0.505</v>
      </c>
      <c r="AB45" s="74">
        <v>0.50800000000000001</v>
      </c>
      <c r="AC45" s="74">
        <v>0.85599999999999998</v>
      </c>
      <c r="AD45" s="74">
        <v>0.78700000000000003</v>
      </c>
      <c r="AE45" s="74">
        <v>0.78800000000000003</v>
      </c>
      <c r="AF45" s="82">
        <v>0.36299999999999999</v>
      </c>
      <c r="AG45" s="74">
        <v>-0.16</v>
      </c>
      <c r="AH45" s="74">
        <v>0.621</v>
      </c>
      <c r="AI45" s="74">
        <v>-0.56100000000000005</v>
      </c>
      <c r="AJ45" s="74">
        <v>-0.47599999999999998</v>
      </c>
      <c r="AK45" s="83">
        <v>-0.40699999999999997</v>
      </c>
      <c r="AL45" s="84">
        <v>0.40799999999999997</v>
      </c>
      <c r="AM45" s="84">
        <v>-0.32500000000000001</v>
      </c>
      <c r="AN45" s="84">
        <v>-0.34300000000000003</v>
      </c>
      <c r="AO45" s="84">
        <v>-0.32</v>
      </c>
      <c r="AP45" s="84">
        <v>0.28999999999999998</v>
      </c>
      <c r="AQ45" s="84">
        <v>-0.624</v>
      </c>
      <c r="AR45" s="84">
        <v>-1.4E-2</v>
      </c>
      <c r="AS45" s="84">
        <v>-0.52400000000000002</v>
      </c>
      <c r="AT45" s="84">
        <v>-0.79100000000000004</v>
      </c>
      <c r="AU45" s="84">
        <v>0.17199999999999999</v>
      </c>
      <c r="AV45" s="84">
        <v>0.26400000000000001</v>
      </c>
      <c r="AW45" s="84">
        <v>0.44</v>
      </c>
      <c r="AX45" s="84">
        <v>0.60899999999999999</v>
      </c>
      <c r="AY45" s="84">
        <v>-9.5000000000000001E-2</v>
      </c>
      <c r="AZ45" s="84">
        <v>-0.214</v>
      </c>
      <c r="BA45" s="84">
        <v>0.70199999999999996</v>
      </c>
      <c r="BB45" s="84">
        <v>0.76</v>
      </c>
      <c r="BC45" s="84">
        <v>1.7999999999999999E-2</v>
      </c>
      <c r="BD45" s="84">
        <v>0.47699999999999998</v>
      </c>
      <c r="BE45" s="84">
        <v>0.502</v>
      </c>
      <c r="BF45" s="84">
        <v>-0.107</v>
      </c>
      <c r="BG45" s="84">
        <v>0.72</v>
      </c>
      <c r="BH45" s="84">
        <v>9.8000000000000004E-2</v>
      </c>
      <c r="BI45" s="84">
        <v>-0.79100000000000004</v>
      </c>
      <c r="BJ45" s="84">
        <v>0.16400000000000001</v>
      </c>
      <c r="BK45" s="84">
        <v>0.98099999999999998</v>
      </c>
      <c r="BL45" s="84">
        <v>0.109</v>
      </c>
      <c r="BM45" s="84"/>
    </row>
    <row r="46" spans="1:65" ht="15" thickBot="1" x14ac:dyDescent="0.35">
      <c r="A46" s="19" t="s">
        <v>118</v>
      </c>
      <c r="B46" s="53">
        <v>1.4999999999999999E-2</v>
      </c>
      <c r="C46" s="53">
        <f t="shared" si="4"/>
        <v>0.01</v>
      </c>
      <c r="D46" s="53">
        <f t="shared" si="5"/>
        <v>0</v>
      </c>
      <c r="E46" s="53">
        <f t="shared" si="6"/>
        <v>4.9999999999999992E-3</v>
      </c>
      <c r="F46" s="15">
        <v>2.016</v>
      </c>
      <c r="G46" s="19">
        <v>1.627</v>
      </c>
      <c r="H46" s="24" t="s">
        <v>57</v>
      </c>
      <c r="I46" t="str">
        <f>VLOOKUP(A46,Setores!$A$2:$C$215,2,0)</f>
        <v>homebuilders</v>
      </c>
      <c r="J46" t="str">
        <f>VLOOKUP(A46,Setores!$A$2:$C$215,3,0)</f>
        <v>very_high_beta</v>
      </c>
      <c r="K46" s="2">
        <v>1.4999999999999999E-2</v>
      </c>
      <c r="L46" s="2">
        <v>0.01</v>
      </c>
      <c r="M46" s="71">
        <v>80</v>
      </c>
      <c r="N46" s="41">
        <f>VLOOKUP(A46,'Mandato Smll'!$A$2:$C$215,2,0)</f>
        <v>1.44829760035248E-2</v>
      </c>
      <c r="O46" s="58">
        <f t="shared" si="7"/>
        <v>5.1702399647519937E-4</v>
      </c>
      <c r="P46" s="42">
        <f t="shared" si="8"/>
        <v>5.1702399647519937E-4</v>
      </c>
      <c r="Q46" s="41">
        <f>VLOOKUP(A46,'Mandato Smll'!$A$2:$C$215,3,0)</f>
        <v>1.17462960802964E-2</v>
      </c>
      <c r="R46" s="58">
        <f t="shared" si="9"/>
        <v>3.2537039197035999E-3</v>
      </c>
      <c r="S46" s="15">
        <v>0.16900000000000001</v>
      </c>
      <c r="T46" s="15">
        <v>-0.09</v>
      </c>
      <c r="U46" s="15">
        <v>-2.7E-2</v>
      </c>
      <c r="V46" s="15">
        <v>0.28699999999999998</v>
      </c>
      <c r="W46" s="15">
        <v>0.05</v>
      </c>
      <c r="X46" s="15">
        <v>0.20799999999999999</v>
      </c>
      <c r="Y46" s="15">
        <v>9.8000000000000004E-2</v>
      </c>
      <c r="Z46" s="15">
        <v>0.30199999999999999</v>
      </c>
      <c r="AA46" s="15">
        <v>0.182</v>
      </c>
      <c r="AB46" s="15">
        <v>0.17699999999999999</v>
      </c>
      <c r="AC46" s="15">
        <v>0.877</v>
      </c>
      <c r="AD46" s="15">
        <v>0.78100000000000003</v>
      </c>
      <c r="AE46" s="15">
        <v>0.755</v>
      </c>
      <c r="AF46" s="14">
        <v>0.35499999999999998</v>
      </c>
      <c r="AG46" s="15">
        <v>0.69499999999999995</v>
      </c>
      <c r="AH46" s="15">
        <v>-4.7E-2</v>
      </c>
      <c r="AI46" s="15">
        <v>-0.11899999999999999</v>
      </c>
      <c r="AJ46" s="15">
        <v>0.69099999999999995</v>
      </c>
      <c r="AK46" s="9">
        <v>-0.13900000000000001</v>
      </c>
      <c r="AL46" s="4">
        <v>-0.27</v>
      </c>
      <c r="AM46" s="4">
        <v>0.255</v>
      </c>
      <c r="AN46" s="4">
        <v>-0.56200000000000006</v>
      </c>
      <c r="AO46" s="4">
        <v>0.21</v>
      </c>
      <c r="AP46" s="4">
        <v>0.114</v>
      </c>
      <c r="AQ46" s="4">
        <v>8.8999999999999996E-2</v>
      </c>
      <c r="AR46" s="4">
        <v>0.48499999999999999</v>
      </c>
      <c r="AS46" s="4">
        <v>0.55700000000000005</v>
      </c>
      <c r="AT46" s="4">
        <v>0.38</v>
      </c>
      <c r="AU46" s="4">
        <v>0.14000000000000001</v>
      </c>
      <c r="AV46" s="4">
        <v>-0.23899999999999999</v>
      </c>
      <c r="AW46" s="89">
        <v>0.26</v>
      </c>
      <c r="AX46" s="4">
        <v>-0.30599999999999999</v>
      </c>
      <c r="AY46" s="4">
        <v>4.4999999999999998E-2</v>
      </c>
      <c r="AZ46" s="4">
        <v>0.80400000000000005</v>
      </c>
      <c r="BA46" s="4">
        <v>0.91800000000000004</v>
      </c>
      <c r="BB46" s="4">
        <v>-7.8E-2</v>
      </c>
      <c r="BC46" s="4">
        <v>-0.78200000000000003</v>
      </c>
      <c r="BD46" s="4">
        <v>-0.47899999999999998</v>
      </c>
      <c r="BE46" s="4">
        <v>0.123</v>
      </c>
      <c r="BF46" s="4">
        <v>0.26600000000000001</v>
      </c>
      <c r="BG46" s="4">
        <v>0.27600000000000002</v>
      </c>
      <c r="BH46" s="4">
        <v>0.27600000000000002</v>
      </c>
      <c r="BI46" s="4">
        <v>-0.98699999999999999</v>
      </c>
      <c r="BJ46" s="4">
        <v>0.90400000000000003</v>
      </c>
      <c r="BK46" s="4">
        <v>-0.56499999999999995</v>
      </c>
      <c r="BL46" s="4">
        <v>0.113</v>
      </c>
      <c r="BM46" s="4"/>
    </row>
    <row r="47" spans="1:65" x14ac:dyDescent="0.3">
      <c r="A47" s="19" t="s">
        <v>100</v>
      </c>
      <c r="B47" s="53">
        <v>1.2E-2</v>
      </c>
      <c r="C47" s="53">
        <f t="shared" si="4"/>
        <v>1.2E-2</v>
      </c>
      <c r="D47" s="53">
        <f t="shared" si="5"/>
        <v>0</v>
      </c>
      <c r="E47" s="53">
        <f t="shared" si="6"/>
        <v>0</v>
      </c>
      <c r="F47" s="15">
        <v>1.992</v>
      </c>
      <c r="G47" s="19">
        <v>2.4359999999999999</v>
      </c>
      <c r="H47" s="24" t="s">
        <v>68</v>
      </c>
      <c r="I47" t="str">
        <f>VLOOKUP(A47,Setores!$A$2:$C$215,2,0)</f>
        <v>capital_goods</v>
      </c>
      <c r="J47" t="str">
        <f>VLOOKUP(A47,Setores!$A$2:$C$215,3,0)</f>
        <v>low_beta</v>
      </c>
      <c r="K47" s="2">
        <v>1.2E-2</v>
      </c>
      <c r="L47" s="2">
        <v>1.2E-2</v>
      </c>
      <c r="M47" s="71">
        <v>80</v>
      </c>
      <c r="N47" s="41">
        <f>VLOOKUP(A47,'Mandato Smll'!$A$2:$C$215,2,0)</f>
        <v>8.8618861192489191E-3</v>
      </c>
      <c r="O47" s="58">
        <f t="shared" si="7"/>
        <v>3.1381138807510811E-3</v>
      </c>
      <c r="P47" s="42">
        <f t="shared" si="8"/>
        <v>3.1381138807510811E-3</v>
      </c>
      <c r="Q47" s="41">
        <f>VLOOKUP(A47,'Mandato Smll'!$A$2:$C$215,3,0)</f>
        <v>6.1499591114760098E-3</v>
      </c>
      <c r="R47" s="58">
        <f t="shared" si="9"/>
        <v>5.8500408885239904E-3</v>
      </c>
      <c r="S47" s="15">
        <v>5.8999999999999997E-2</v>
      </c>
      <c r="T47" s="15">
        <v>4.0000000000000001E-3</v>
      </c>
      <c r="U47" s="15">
        <v>7.9000000000000001E-2</v>
      </c>
      <c r="V47" s="15">
        <v>-0.23499999999999999</v>
      </c>
      <c r="W47" s="15">
        <v>-0.13900000000000001</v>
      </c>
      <c r="X47" s="15">
        <v>0.152</v>
      </c>
      <c r="Y47" s="15">
        <v>0.215</v>
      </c>
      <c r="Z47" s="15">
        <v>0.223</v>
      </c>
      <c r="AA47" s="15">
        <v>0.58899999999999997</v>
      </c>
      <c r="AB47" s="15">
        <v>0.58499999999999996</v>
      </c>
      <c r="AC47" s="15">
        <v>0.79200000000000004</v>
      </c>
      <c r="AD47" s="15">
        <v>0.69799999999999995</v>
      </c>
      <c r="AE47" s="15">
        <v>0.80600000000000005</v>
      </c>
      <c r="AF47" s="14">
        <v>-0.42499999999999999</v>
      </c>
      <c r="AG47" s="15">
        <v>-0.64</v>
      </c>
      <c r="AH47" s="15">
        <v>-0.22800000000000001</v>
      </c>
      <c r="AI47" s="15">
        <v>5.1999999999999998E-2</v>
      </c>
      <c r="AJ47" s="15">
        <v>0.23200000000000001</v>
      </c>
      <c r="AK47" s="9">
        <v>-0.252</v>
      </c>
      <c r="AL47" s="4">
        <v>-6.9000000000000006E-2</v>
      </c>
      <c r="AM47" s="4">
        <v>0.32900000000000001</v>
      </c>
      <c r="AN47" s="4">
        <v>-0.48699999999999999</v>
      </c>
      <c r="AO47" s="4">
        <v>0.34200000000000003</v>
      </c>
      <c r="AP47" s="4">
        <v>0.26200000000000001</v>
      </c>
      <c r="AQ47" s="4">
        <v>-0.161</v>
      </c>
      <c r="AR47" s="4">
        <v>-0.32200000000000001</v>
      </c>
      <c r="AS47" s="4">
        <v>6.4000000000000001E-2</v>
      </c>
      <c r="AT47" s="4">
        <v>-0.52400000000000002</v>
      </c>
      <c r="AU47" s="4">
        <v>0.20699999999999999</v>
      </c>
      <c r="AV47" s="4">
        <v>-0.32900000000000001</v>
      </c>
      <c r="AW47" s="4">
        <v>-0.20899999999999999</v>
      </c>
      <c r="AX47" s="4">
        <v>0.69</v>
      </c>
      <c r="AY47" s="4">
        <v>0.51</v>
      </c>
      <c r="AZ47" s="4">
        <v>0.90800000000000003</v>
      </c>
      <c r="BA47" s="4">
        <v>0.90200000000000002</v>
      </c>
      <c r="BB47" s="4">
        <v>0.61299999999999999</v>
      </c>
      <c r="BC47" s="4">
        <v>-2.5999999999999999E-2</v>
      </c>
      <c r="BD47" s="4">
        <v>-8.8999999999999996E-2</v>
      </c>
      <c r="BE47" s="4">
        <v>0.36599999999999999</v>
      </c>
      <c r="BF47" s="4">
        <v>-0.43099999999999999</v>
      </c>
      <c r="BG47" s="4">
        <v>-9.8000000000000004E-2</v>
      </c>
      <c r="BH47" s="4">
        <v>0.51500000000000001</v>
      </c>
      <c r="BI47" s="4">
        <v>-0.28699999999999998</v>
      </c>
      <c r="BJ47" s="4">
        <v>2.7E-2</v>
      </c>
      <c r="BK47" s="4">
        <v>0.88200000000000001</v>
      </c>
      <c r="BL47" s="4">
        <v>0.371</v>
      </c>
      <c r="BM47" s="4"/>
    </row>
    <row r="48" spans="1:65" x14ac:dyDescent="0.3">
      <c r="A48" s="19" t="s">
        <v>106</v>
      </c>
      <c r="B48" s="53">
        <v>1.6E-2</v>
      </c>
      <c r="C48" s="53">
        <f t="shared" si="4"/>
        <v>1.4999999999999999E-2</v>
      </c>
      <c r="D48" s="53">
        <f t="shared" si="5"/>
        <v>0</v>
      </c>
      <c r="E48" s="53">
        <f t="shared" si="6"/>
        <v>1.0000000000000009E-3</v>
      </c>
      <c r="F48" s="15">
        <v>1.9890000000000001</v>
      </c>
      <c r="G48" s="19">
        <v>1.615</v>
      </c>
      <c r="H48" s="24" t="s">
        <v>57</v>
      </c>
      <c r="I48" t="str">
        <f>VLOOKUP(A48,Setores!$A$2:$C$215,2,0)</f>
        <v>tech</v>
      </c>
      <c r="J48" t="str">
        <f>VLOOKUP(A48,Setores!$A$2:$C$215,3,0)</f>
        <v>neutral_beta</v>
      </c>
      <c r="K48" s="2">
        <v>1.6E-2</v>
      </c>
      <c r="L48" s="2">
        <v>1.4999999999999999E-2</v>
      </c>
      <c r="M48" s="71">
        <v>80</v>
      </c>
      <c r="N48" s="41">
        <f>VLOOKUP(A48,'Mandato Smll'!$A$2:$C$215,2,0)</f>
        <v>9.1995543410352404E-3</v>
      </c>
      <c r="O48" s="58">
        <f t="shared" si="7"/>
        <v>6.8004456589647599E-3</v>
      </c>
      <c r="P48" s="42">
        <f t="shared" si="8"/>
        <v>6.8004456589647599E-3</v>
      </c>
      <c r="Q48" s="41">
        <f>VLOOKUP(A48,'Mandato Smll'!$A$2:$C$215,3,0)</f>
        <v>0</v>
      </c>
      <c r="R48" s="58">
        <f t="shared" si="9"/>
        <v>1.6E-2</v>
      </c>
      <c r="S48" s="15">
        <v>0.35</v>
      </c>
      <c r="T48" s="15">
        <v>0.72399999999999998</v>
      </c>
      <c r="U48" s="15">
        <v>0.42399999999999999</v>
      </c>
      <c r="V48" s="15">
        <v>8.1000000000000003E-2</v>
      </c>
      <c r="W48" s="15">
        <v>0.435</v>
      </c>
      <c r="X48" s="15">
        <v>-0.189</v>
      </c>
      <c r="Y48" s="15">
        <v>-0.51900000000000002</v>
      </c>
      <c r="Z48" s="15">
        <v>-0.14799999999999999</v>
      </c>
      <c r="AA48" s="15">
        <v>0.46600000000000003</v>
      </c>
      <c r="AB48" s="15">
        <v>0.46100000000000002</v>
      </c>
      <c r="AC48" s="15">
        <v>0.81399999999999995</v>
      </c>
      <c r="AD48" s="15">
        <v>0.89900000000000002</v>
      </c>
      <c r="AE48" s="15">
        <v>0.94</v>
      </c>
      <c r="AF48" s="14">
        <v>-0.11899999999999999</v>
      </c>
      <c r="AG48" s="15">
        <v>0.56799999999999995</v>
      </c>
      <c r="AH48" s="15">
        <v>0.60399999999999998</v>
      </c>
      <c r="AI48" s="15">
        <v>1</v>
      </c>
      <c r="AJ48" s="15">
        <v>0.56999999999999995</v>
      </c>
      <c r="AK48" s="9">
        <v>-0.42099999999999999</v>
      </c>
      <c r="AL48" s="4">
        <v>0.75</v>
      </c>
      <c r="AM48" s="4">
        <v>-0.17599999999999999</v>
      </c>
      <c r="AN48" s="4">
        <v>0.68899999999999995</v>
      </c>
      <c r="AO48" s="4">
        <v>-0.20399999999999999</v>
      </c>
      <c r="AP48" s="4">
        <v>-0.21099999999999999</v>
      </c>
      <c r="AQ48" s="4">
        <v>0.38700000000000001</v>
      </c>
      <c r="AR48" s="4">
        <v>-0.48299999999999998</v>
      </c>
      <c r="AS48" s="4">
        <v>0.27100000000000002</v>
      </c>
      <c r="AT48" s="4">
        <v>0.19900000000000001</v>
      </c>
      <c r="AU48" s="4">
        <v>6.0000000000000001E-3</v>
      </c>
      <c r="AV48" s="4">
        <v>-0.434</v>
      </c>
      <c r="AW48" s="4">
        <v>-0.26200000000000001</v>
      </c>
      <c r="AX48" s="4">
        <v>-0.13200000000000001</v>
      </c>
      <c r="AY48" s="4">
        <v>-0.109</v>
      </c>
      <c r="AZ48" s="4">
        <v>0.59599999999999997</v>
      </c>
      <c r="BA48" s="4">
        <v>-0.17699999999999999</v>
      </c>
      <c r="BB48" s="4">
        <v>0.45500000000000002</v>
      </c>
      <c r="BC48" s="4">
        <v>0.17799999999999999</v>
      </c>
      <c r="BD48" s="4">
        <v>0.504</v>
      </c>
      <c r="BE48" s="4">
        <v>0.29599999999999999</v>
      </c>
      <c r="BF48" s="4">
        <v>7.2999999999999995E-2</v>
      </c>
      <c r="BG48" s="4">
        <v>0.41799999999999998</v>
      </c>
      <c r="BH48" s="4">
        <v>-0.05</v>
      </c>
      <c r="BI48" s="4">
        <v>0.17899999999999999</v>
      </c>
      <c r="BJ48" s="4">
        <v>-7.0000000000000001E-3</v>
      </c>
      <c r="BK48" s="4">
        <v>0.21199999999999999</v>
      </c>
      <c r="BL48" s="4">
        <v>0.85099999999999998</v>
      </c>
      <c r="BM48" s="4"/>
    </row>
    <row r="49" spans="1:65" x14ac:dyDescent="0.3">
      <c r="A49" s="19" t="s">
        <v>74</v>
      </c>
      <c r="B49" s="53">
        <v>1.0999999999999999E-2</v>
      </c>
      <c r="C49" s="53">
        <f t="shared" si="4"/>
        <v>1.0999999999999999E-2</v>
      </c>
      <c r="D49" s="53">
        <f t="shared" si="5"/>
        <v>0</v>
      </c>
      <c r="E49" s="53">
        <f t="shared" si="6"/>
        <v>0</v>
      </c>
      <c r="F49" s="15">
        <v>1.97</v>
      </c>
      <c r="G49" s="19">
        <v>1.5049999999999999</v>
      </c>
      <c r="H49" s="24" t="s">
        <v>53</v>
      </c>
      <c r="I49" t="str">
        <f>VLOOKUP(A49,Setores!$A$2:$C$215,2,0)</f>
        <v>healthcare</v>
      </c>
      <c r="J49" t="str">
        <f>VLOOKUP(A49,Setores!$A$2:$C$215,3,0)</f>
        <v>high_beta</v>
      </c>
      <c r="K49" s="2">
        <v>1.0999999999999999E-2</v>
      </c>
      <c r="L49" s="2">
        <v>1.0999999999999999E-2</v>
      </c>
      <c r="M49" s="71">
        <v>80</v>
      </c>
      <c r="N49" s="41">
        <f>VLOOKUP(A49,'Mandato Smll'!$A$2:$C$215,2,0)</f>
        <v>8.7643798142093901E-3</v>
      </c>
      <c r="O49" s="58">
        <f t="shared" si="7"/>
        <v>2.2356201857906093E-3</v>
      </c>
      <c r="P49" s="42">
        <f t="shared" si="8"/>
        <v>2.2356201857906093E-3</v>
      </c>
      <c r="Q49" s="41">
        <f>VLOOKUP(A49,'Mandato Smll'!$A$2:$C$215,3,0)</f>
        <v>0</v>
      </c>
      <c r="R49" s="58">
        <f t="shared" si="9"/>
        <v>1.0999999999999999E-2</v>
      </c>
      <c r="S49" s="15">
        <v>0.23499999999999999</v>
      </c>
      <c r="T49" s="15">
        <v>-9.9000000000000005E-2</v>
      </c>
      <c r="U49" s="15">
        <v>0.58599999999999997</v>
      </c>
      <c r="V49" s="15">
        <v>0.27400000000000002</v>
      </c>
      <c r="W49" s="15">
        <v>0.33300000000000002</v>
      </c>
      <c r="X49" s="15">
        <v>0.125</v>
      </c>
      <c r="Y49" s="15">
        <v>5.0000000000000001E-3</v>
      </c>
      <c r="Z49" s="15">
        <v>1.9E-2</v>
      </c>
      <c r="AA49" s="15">
        <v>0.45300000000000001</v>
      </c>
      <c r="AB49" s="15">
        <v>0.45200000000000001</v>
      </c>
      <c r="AC49" s="15">
        <v>0.64100000000000001</v>
      </c>
      <c r="AD49" s="15">
        <v>0.754</v>
      </c>
      <c r="AE49" s="15">
        <v>0.72299999999999998</v>
      </c>
      <c r="AF49" s="14">
        <v>0.61899999999999999</v>
      </c>
      <c r="AG49" s="15">
        <v>0.497</v>
      </c>
      <c r="AH49" s="15">
        <v>-0.12</v>
      </c>
      <c r="AI49" s="15">
        <v>1</v>
      </c>
      <c r="AJ49" s="15">
        <v>2.5000000000000001E-2</v>
      </c>
      <c r="AK49" s="9">
        <v>0.158</v>
      </c>
      <c r="AL49" s="4">
        <v>0.78600000000000003</v>
      </c>
      <c r="AM49" s="4">
        <v>0.155</v>
      </c>
      <c r="AN49" s="4">
        <v>0.13600000000000001</v>
      </c>
      <c r="AO49" s="4">
        <v>0.14499999999999999</v>
      </c>
      <c r="AP49" s="4">
        <v>-0.30599999999999999</v>
      </c>
      <c r="AQ49" s="4">
        <v>-0.23799999999999999</v>
      </c>
      <c r="AR49" s="4">
        <v>0.186</v>
      </c>
      <c r="AS49" s="4">
        <v>-0.23200000000000001</v>
      </c>
      <c r="AT49" s="4">
        <v>-0.62</v>
      </c>
      <c r="AU49" s="4">
        <v>0.33</v>
      </c>
      <c r="AV49" s="4">
        <v>-0.60699999999999998</v>
      </c>
      <c r="AW49" s="4">
        <v>0.21299999999999999</v>
      </c>
      <c r="AX49" s="4">
        <v>0.23400000000000001</v>
      </c>
      <c r="AY49" s="4">
        <v>-0.128</v>
      </c>
      <c r="AZ49" s="4">
        <v>0.878</v>
      </c>
      <c r="BA49" s="4">
        <v>0.28599999999999998</v>
      </c>
      <c r="BB49" s="4">
        <v>0.16200000000000001</v>
      </c>
      <c r="BC49" s="4">
        <v>-6.7000000000000004E-2</v>
      </c>
      <c r="BD49" s="4">
        <v>4.2999999999999997E-2</v>
      </c>
      <c r="BE49" s="4">
        <v>0.16400000000000001</v>
      </c>
      <c r="BF49" s="4">
        <v>0.34200000000000003</v>
      </c>
      <c r="BG49" s="4">
        <v>-0.14199999999999999</v>
      </c>
      <c r="BH49" s="4">
        <v>0.24099999999999999</v>
      </c>
      <c r="BI49" s="4">
        <v>-0.70199999999999996</v>
      </c>
      <c r="BJ49" s="4">
        <v>-0.11600000000000001</v>
      </c>
      <c r="BK49" s="4">
        <v>0.83199999999999996</v>
      </c>
      <c r="BL49" s="4">
        <v>0.745</v>
      </c>
      <c r="BM49" s="4"/>
    </row>
    <row r="50" spans="1:65" x14ac:dyDescent="0.3">
      <c r="A50" s="19" t="s">
        <v>120</v>
      </c>
      <c r="B50" s="53">
        <v>3.5000000000000003E-2</v>
      </c>
      <c r="C50" s="53">
        <f t="shared" si="4"/>
        <v>1.0000000000000002E-2</v>
      </c>
      <c r="D50" s="53">
        <f t="shared" si="5"/>
        <v>1.5000000000000003E-2</v>
      </c>
      <c r="E50" s="53">
        <f t="shared" si="6"/>
        <v>2.5000000000000001E-2</v>
      </c>
      <c r="F50" s="15">
        <v>1.9690000000000001</v>
      </c>
      <c r="G50" s="19">
        <v>4.22</v>
      </c>
      <c r="H50" s="24" t="s">
        <v>71</v>
      </c>
      <c r="I50" t="str">
        <f>VLOOKUP(A50,Setores!$A$2:$C$215,2,0)</f>
        <v>basic_materials</v>
      </c>
      <c r="J50" t="str">
        <f>VLOOKUP(A50,Setores!$A$2:$C$215,3,0)</f>
        <v>low_beta</v>
      </c>
      <c r="K50" s="2">
        <v>0.02</v>
      </c>
      <c r="L50" s="2">
        <v>-5.0000000000000001E-3</v>
      </c>
      <c r="M50" s="71">
        <v>50</v>
      </c>
      <c r="N50" s="41">
        <f>VLOOKUP(A50,'Mandato Smll'!$A$2:$C$215,2,0)</f>
        <v>4.9025164314406601E-2</v>
      </c>
      <c r="O50" s="58">
        <f t="shared" si="7"/>
        <v>-2.9025164314406601E-2</v>
      </c>
      <c r="P50" s="42">
        <f t="shared" si="8"/>
        <v>-1.4025164314406598E-2</v>
      </c>
      <c r="Q50" s="41">
        <f>VLOOKUP(A50,'Mandato Smll'!$A$2:$C$215,3,0)</f>
        <v>5.7085421677838102E-2</v>
      </c>
      <c r="R50" s="58">
        <f t="shared" si="9"/>
        <v>-3.7085421677838099E-2</v>
      </c>
      <c r="S50" s="15">
        <v>-0.27500000000000002</v>
      </c>
      <c r="T50" s="15">
        <v>0.45600000000000002</v>
      </c>
      <c r="U50" s="15">
        <v>-0.63400000000000001</v>
      </c>
      <c r="V50" s="15">
        <v>-2.1000000000000001E-2</v>
      </c>
      <c r="W50" s="15">
        <v>4.0000000000000001E-3</v>
      </c>
      <c r="X50" s="15">
        <v>-0.05</v>
      </c>
      <c r="Y50" s="15">
        <v>-0.32600000000000001</v>
      </c>
      <c r="Z50" s="15">
        <v>0.25800000000000001</v>
      </c>
      <c r="AA50" s="15">
        <v>1</v>
      </c>
      <c r="AB50" s="15">
        <v>1</v>
      </c>
      <c r="AC50" s="15">
        <v>0.90500000000000003</v>
      </c>
      <c r="AD50" s="15">
        <v>0.97199999999999998</v>
      </c>
      <c r="AE50" s="15">
        <v>0.95699999999999996</v>
      </c>
      <c r="AF50" s="14">
        <v>-0.14399999999999999</v>
      </c>
      <c r="AG50" s="15">
        <v>-0.36399999999999999</v>
      </c>
      <c r="AH50" s="15">
        <v>1</v>
      </c>
      <c r="AI50" s="15">
        <v>-0.45500000000000002</v>
      </c>
      <c r="AJ50" s="15">
        <v>-0.218</v>
      </c>
      <c r="AK50" s="9">
        <v>-0.874</v>
      </c>
      <c r="AL50" s="4">
        <v>0.55200000000000005</v>
      </c>
      <c r="AM50" s="4">
        <v>-0.19800000000000001</v>
      </c>
      <c r="AN50" s="4">
        <v>0.55600000000000005</v>
      </c>
      <c r="AO50" s="4">
        <v>-0.623</v>
      </c>
      <c r="AP50" s="4">
        <v>0.55000000000000004</v>
      </c>
      <c r="AQ50" s="4">
        <v>0.30099999999999999</v>
      </c>
      <c r="AR50" s="4">
        <v>-0.86</v>
      </c>
      <c r="AS50" s="4">
        <v>0.48</v>
      </c>
      <c r="AT50" s="4">
        <v>0.40200000000000002</v>
      </c>
      <c r="AU50" s="4">
        <v>9.7000000000000003E-2</v>
      </c>
      <c r="AV50" s="4">
        <v>-0.53500000000000003</v>
      </c>
      <c r="AW50" s="4">
        <v>-0.152</v>
      </c>
      <c r="AX50" s="4">
        <v>0.41199999999999998</v>
      </c>
      <c r="AY50" s="4">
        <v>-6.0999999999999999E-2</v>
      </c>
      <c r="AZ50" s="4">
        <v>0.8</v>
      </c>
      <c r="BA50" s="4">
        <v>-0.158</v>
      </c>
      <c r="BB50" s="4">
        <v>-9.5000000000000001E-2</v>
      </c>
      <c r="BC50" s="4">
        <v>0.20100000000000001</v>
      </c>
      <c r="BD50" s="4">
        <v>7.2999999999999995E-2</v>
      </c>
      <c r="BE50" s="4">
        <v>0.69299999999999995</v>
      </c>
      <c r="BF50" s="4">
        <v>-1</v>
      </c>
      <c r="BG50" s="4">
        <v>-0.67</v>
      </c>
      <c r="BH50" s="4">
        <v>0.36499999999999999</v>
      </c>
      <c r="BI50" s="4">
        <v>-0.35099999999999998</v>
      </c>
      <c r="BJ50" s="4">
        <v>-0.45900000000000002</v>
      </c>
      <c r="BK50" s="4">
        <v>-0.183</v>
      </c>
      <c r="BL50" s="4">
        <v>-7.9000000000000001E-2</v>
      </c>
      <c r="BM50" s="4"/>
    </row>
    <row r="51" spans="1:65" x14ac:dyDescent="0.3">
      <c r="A51" s="19" t="s">
        <v>121</v>
      </c>
      <c r="B51" s="53">
        <v>0</v>
      </c>
      <c r="C51" s="53">
        <f t="shared" si="4"/>
        <v>0</v>
      </c>
      <c r="D51" s="53">
        <f t="shared" si="5"/>
        <v>0</v>
      </c>
      <c r="E51" s="53">
        <f t="shared" si="6"/>
        <v>0</v>
      </c>
      <c r="F51" s="15">
        <v>1.9079999999999999</v>
      </c>
      <c r="G51" s="19">
        <v>2.637</v>
      </c>
      <c r="H51" s="24" t="s">
        <v>57</v>
      </c>
      <c r="I51" t="str">
        <f>VLOOKUP(A51,Setores!$A$2:$C$215,2,0)</f>
        <v>banks</v>
      </c>
      <c r="J51" t="str">
        <f>VLOOKUP(A51,Setores!$A$2:$C$215,3,0)</f>
        <v>neutral_beta</v>
      </c>
      <c r="K51" s="2">
        <v>0</v>
      </c>
      <c r="L51" s="2">
        <v>0</v>
      </c>
      <c r="M51" s="71">
        <v>9</v>
      </c>
      <c r="N51" s="41">
        <f>VLOOKUP(A51,'Mandato Smll'!$A$2:$C$215,2,0)</f>
        <v>0</v>
      </c>
      <c r="O51" s="58">
        <f t="shared" si="7"/>
        <v>0</v>
      </c>
      <c r="P51" s="42">
        <f t="shared" si="8"/>
        <v>0</v>
      </c>
      <c r="Q51" s="41">
        <f>VLOOKUP(A51,'Mandato Smll'!$A$2:$C$215,3,0)</f>
        <v>0</v>
      </c>
      <c r="R51" s="58">
        <f t="shared" si="9"/>
        <v>0</v>
      </c>
      <c r="S51" s="15">
        <v>-0.25</v>
      </c>
      <c r="T51" s="15">
        <v>-0.26600000000000001</v>
      </c>
      <c r="U51" s="15">
        <v>-0.77200000000000002</v>
      </c>
      <c r="V51" s="15">
        <v>9.1999999999999998E-2</v>
      </c>
      <c r="W51" s="15">
        <v>-0.34300000000000003</v>
      </c>
      <c r="X51" s="15">
        <v>0.26100000000000001</v>
      </c>
      <c r="Y51" s="15">
        <v>0.53300000000000003</v>
      </c>
      <c r="Z51" s="15">
        <v>0.42899999999999999</v>
      </c>
      <c r="AA51" s="15">
        <v>0.50800000000000001</v>
      </c>
      <c r="AB51" s="15">
        <v>0.50800000000000001</v>
      </c>
      <c r="AC51" s="15">
        <v>0.77700000000000002</v>
      </c>
      <c r="AD51" s="15">
        <v>0.83099999999999996</v>
      </c>
      <c r="AE51" s="15">
        <v>0.77100000000000002</v>
      </c>
      <c r="AF51" s="14">
        <v>0.123</v>
      </c>
      <c r="AG51" s="15">
        <v>-0.218</v>
      </c>
      <c r="AH51" s="15">
        <v>6.3E-2</v>
      </c>
      <c r="AI51" s="15">
        <v>-0.96399999999999997</v>
      </c>
      <c r="AJ51" s="15">
        <v>-0.76200000000000001</v>
      </c>
      <c r="AK51" s="9">
        <v>-0.83</v>
      </c>
      <c r="AL51" s="4">
        <v>-0.17399999999999999</v>
      </c>
      <c r="AM51" s="4">
        <v>0.221</v>
      </c>
      <c r="AN51" s="4">
        <v>-0.67900000000000005</v>
      </c>
      <c r="AO51" s="4">
        <v>-0.20599999999999999</v>
      </c>
      <c r="AP51" s="4">
        <v>0.46300000000000002</v>
      </c>
      <c r="AQ51" s="4">
        <v>-4.5999999999999999E-2</v>
      </c>
      <c r="AR51" s="4">
        <v>8.9999999999999993E-3</v>
      </c>
      <c r="AS51" s="4">
        <v>0.30599999999999999</v>
      </c>
      <c r="AT51" s="4">
        <v>0.41299999999999998</v>
      </c>
      <c r="AU51" s="4">
        <v>-1E-3</v>
      </c>
      <c r="AV51" s="4">
        <v>-2E-3</v>
      </c>
      <c r="AW51" s="4">
        <v>0.379</v>
      </c>
      <c r="AX51" s="4">
        <v>0.436</v>
      </c>
      <c r="AY51" s="4">
        <v>-0.40100000000000002</v>
      </c>
      <c r="AZ51" s="4">
        <v>0.91</v>
      </c>
      <c r="BA51" s="4">
        <v>0.68799999999999994</v>
      </c>
      <c r="BB51" s="4">
        <v>0.65300000000000002</v>
      </c>
      <c r="BC51" s="4">
        <v>-0.20699999999999999</v>
      </c>
      <c r="BD51" s="4">
        <v>1.4E-2</v>
      </c>
      <c r="BE51" s="4">
        <v>0.55000000000000004</v>
      </c>
      <c r="BF51" s="4">
        <v>-0.128</v>
      </c>
      <c r="BG51" s="4">
        <v>-0.39500000000000002</v>
      </c>
      <c r="BH51" s="4">
        <v>0.82399999999999995</v>
      </c>
      <c r="BI51" s="4">
        <v>-0.68</v>
      </c>
      <c r="BJ51" s="4">
        <v>-0.08</v>
      </c>
      <c r="BK51" s="4">
        <v>-0.182</v>
      </c>
      <c r="BL51" s="4">
        <v>-0.70899999999999996</v>
      </c>
      <c r="BM51" s="4"/>
    </row>
    <row r="52" spans="1:65" x14ac:dyDescent="0.3">
      <c r="A52" s="19" t="s">
        <v>72</v>
      </c>
      <c r="B52" s="53">
        <v>1.4999999999999999E-2</v>
      </c>
      <c r="C52" s="53">
        <f t="shared" si="4"/>
        <v>0.01</v>
      </c>
      <c r="D52" s="53">
        <f t="shared" si="5"/>
        <v>0</v>
      </c>
      <c r="E52" s="53">
        <f t="shared" si="6"/>
        <v>4.9999999999999992E-3</v>
      </c>
      <c r="F52" s="15">
        <v>1.9039999999999999</v>
      </c>
      <c r="G52" s="19">
        <v>1.65</v>
      </c>
      <c r="H52" s="24" t="s">
        <v>57</v>
      </c>
      <c r="I52" t="str">
        <f>VLOOKUP(A52,Setores!$A$2:$C$215,2,0)</f>
        <v>apparel</v>
      </c>
      <c r="J52" t="str">
        <f>VLOOKUP(A52,Setores!$A$2:$C$215,3,0)</f>
        <v>high_beta</v>
      </c>
      <c r="K52" s="2">
        <v>1.4999999999999999E-2</v>
      </c>
      <c r="L52" s="2">
        <v>0.01</v>
      </c>
      <c r="M52" s="71">
        <v>80</v>
      </c>
      <c r="N52" s="41">
        <f>VLOOKUP(A52,'Mandato Smll'!$A$2:$C$215,2,0)</f>
        <v>1.2246597055507701E-2</v>
      </c>
      <c r="O52" s="58">
        <f t="shared" si="7"/>
        <v>2.7534029444922989E-3</v>
      </c>
      <c r="P52" s="42">
        <f t="shared" si="8"/>
        <v>2.7534029444922989E-3</v>
      </c>
      <c r="Q52" s="41">
        <f>VLOOKUP(A52,'Mandato Smll'!$A$2:$C$215,3,0)</f>
        <v>1.00727362824839E-2</v>
      </c>
      <c r="R52" s="58">
        <f t="shared" si="9"/>
        <v>4.9272637175160998E-3</v>
      </c>
      <c r="S52" s="15">
        <v>0.26600000000000001</v>
      </c>
      <c r="T52" s="15">
        <v>-0.21299999999999999</v>
      </c>
      <c r="U52" s="15">
        <v>0.12</v>
      </c>
      <c r="V52" s="15">
        <v>0.49299999999999999</v>
      </c>
      <c r="W52" s="15">
        <v>0.151</v>
      </c>
      <c r="X52" s="15">
        <v>0.20699999999999999</v>
      </c>
      <c r="Y52" s="15">
        <v>0.20599999999999999</v>
      </c>
      <c r="Z52" s="15">
        <v>9.1999999999999998E-2</v>
      </c>
      <c r="AA52" s="15">
        <v>8.5999999999999993E-2</v>
      </c>
      <c r="AB52" s="15">
        <v>8.5000000000000006E-2</v>
      </c>
      <c r="AC52" s="15">
        <v>0.77600000000000002</v>
      </c>
      <c r="AD52" s="15">
        <v>0.75900000000000001</v>
      </c>
      <c r="AE52" s="15">
        <v>0.67200000000000004</v>
      </c>
      <c r="AF52" s="14">
        <v>0.90800000000000003</v>
      </c>
      <c r="AG52" s="15">
        <v>0.92500000000000004</v>
      </c>
      <c r="AH52" s="15">
        <v>-0.60099999999999998</v>
      </c>
      <c r="AI52" s="15">
        <v>-0.52400000000000002</v>
      </c>
      <c r="AJ52" s="15">
        <v>-0.45600000000000002</v>
      </c>
      <c r="AK52" s="9">
        <v>0.24399999999999999</v>
      </c>
      <c r="AL52" s="4">
        <v>-0.34200000000000003</v>
      </c>
      <c r="AM52" s="4">
        <v>-6.8000000000000005E-2</v>
      </c>
      <c r="AN52" s="4">
        <v>-0.79100000000000004</v>
      </c>
      <c r="AO52" s="4">
        <v>0.497</v>
      </c>
      <c r="AP52" s="4">
        <v>1.7999999999999999E-2</v>
      </c>
      <c r="AQ52" s="4">
        <v>-0.70199999999999996</v>
      </c>
      <c r="AR52" s="4">
        <v>0.82099999999999995</v>
      </c>
      <c r="AS52" s="4">
        <v>0.55200000000000005</v>
      </c>
      <c r="AT52" s="4">
        <v>0.51100000000000001</v>
      </c>
      <c r="AU52" s="4">
        <v>0.30299999999999999</v>
      </c>
      <c r="AV52" s="4">
        <v>-2.1000000000000001E-2</v>
      </c>
      <c r="AW52" s="4">
        <v>0.71399999999999997</v>
      </c>
      <c r="AX52" s="4">
        <v>-1.7000000000000001E-2</v>
      </c>
      <c r="AY52" s="4">
        <v>7.1999999999999995E-2</v>
      </c>
      <c r="AZ52" s="4">
        <v>-5.2999999999999999E-2</v>
      </c>
      <c r="BA52" s="4">
        <v>6.0999999999999999E-2</v>
      </c>
      <c r="BB52" s="4">
        <v>0.35</v>
      </c>
      <c r="BC52" s="4">
        <v>0.33800000000000002</v>
      </c>
      <c r="BD52" s="4">
        <v>-9.0999999999999998E-2</v>
      </c>
      <c r="BE52" s="4">
        <v>0.45600000000000002</v>
      </c>
      <c r="BF52" s="4">
        <v>-0.38400000000000001</v>
      </c>
      <c r="BG52" s="4">
        <v>-1.7999999999999999E-2</v>
      </c>
      <c r="BH52" s="4">
        <v>9.8000000000000004E-2</v>
      </c>
      <c r="BI52" s="4">
        <v>-8.0000000000000002E-3</v>
      </c>
      <c r="BJ52" s="4">
        <v>0.219</v>
      </c>
      <c r="BK52" s="4">
        <v>0.221</v>
      </c>
      <c r="BL52" s="4">
        <v>-0.24099999999999999</v>
      </c>
      <c r="BM52" s="4"/>
    </row>
    <row r="53" spans="1:65" s="76" customFormat="1" x14ac:dyDescent="0.3">
      <c r="A53" s="72" t="s">
        <v>56</v>
      </c>
      <c r="B53" s="73">
        <v>1.4999999999999999E-2</v>
      </c>
      <c r="C53" s="73">
        <f t="shared" si="4"/>
        <v>1.4999999999999999E-2</v>
      </c>
      <c r="D53" s="73">
        <f t="shared" si="5"/>
        <v>0</v>
      </c>
      <c r="E53" s="53">
        <f t="shared" si="6"/>
        <v>0</v>
      </c>
      <c r="F53" s="74">
        <v>1.8919999999999999</v>
      </c>
      <c r="G53" s="72">
        <v>1.976</v>
      </c>
      <c r="H53" s="75" t="s">
        <v>55</v>
      </c>
      <c r="I53" s="76" t="str">
        <f>VLOOKUP(A53,Setores!$A$2:$C$215,2,0)</f>
        <v>utilities</v>
      </c>
      <c r="J53" s="76" t="str">
        <f>VLOOKUP(A53,Setores!$A$2:$C$215,3,0)</f>
        <v>neutral_beta</v>
      </c>
      <c r="K53" s="77">
        <v>1.4999999999999999E-2</v>
      </c>
      <c r="L53" s="77">
        <v>1.4999999999999999E-2</v>
      </c>
      <c r="M53" s="78">
        <v>80</v>
      </c>
      <c r="N53" s="79">
        <f>VLOOKUP(A53,'Mandato Smll'!$A$2:$C$215,2,0)</f>
        <v>8.4169303194631707E-3</v>
      </c>
      <c r="O53" s="80">
        <f t="shared" si="7"/>
        <v>6.5830696805368287E-3</v>
      </c>
      <c r="P53" s="81">
        <f t="shared" si="8"/>
        <v>6.5830696805368287E-3</v>
      </c>
      <c r="Q53" s="79">
        <f>VLOOKUP(A53,'Mandato Smll'!$A$2:$C$215,3,0)</f>
        <v>5.9304222303044702E-3</v>
      </c>
      <c r="R53" s="80">
        <f t="shared" si="9"/>
        <v>9.0695777696955283E-3</v>
      </c>
      <c r="S53" s="74">
        <v>-7.0999999999999994E-2</v>
      </c>
      <c r="T53" s="74">
        <v>-0.20300000000000001</v>
      </c>
      <c r="U53" s="74">
        <v>-0.26700000000000002</v>
      </c>
      <c r="V53" s="74">
        <v>0.17299999999999999</v>
      </c>
      <c r="W53" s="74">
        <v>-7.4999999999999997E-2</v>
      </c>
      <c r="X53" s="74">
        <v>0.26600000000000001</v>
      </c>
      <c r="Y53" s="74">
        <v>0.48599999999999999</v>
      </c>
      <c r="Z53" s="74">
        <v>0.17699999999999999</v>
      </c>
      <c r="AA53" s="74">
        <v>0.436</v>
      </c>
      <c r="AB53" s="74">
        <v>0.438</v>
      </c>
      <c r="AC53" s="74">
        <v>0.88900000000000001</v>
      </c>
      <c r="AD53" s="74">
        <v>0.68200000000000005</v>
      </c>
      <c r="AE53" s="74">
        <v>0.73499999999999999</v>
      </c>
      <c r="AF53" s="82">
        <v>0.41399999999999998</v>
      </c>
      <c r="AG53" s="74">
        <v>-0.13300000000000001</v>
      </c>
      <c r="AH53" s="74">
        <v>0.26500000000000001</v>
      </c>
      <c r="AI53" s="74">
        <v>-0.54800000000000004</v>
      </c>
      <c r="AJ53" s="74">
        <v>-0.58799999999999997</v>
      </c>
      <c r="AK53" s="83">
        <v>-0.40799999999999997</v>
      </c>
      <c r="AL53" s="84">
        <v>0.40799999999999997</v>
      </c>
      <c r="AM53" s="84">
        <v>-0.20300000000000001</v>
      </c>
      <c r="AN53" s="84">
        <v>-0.34300000000000003</v>
      </c>
      <c r="AO53" s="84">
        <v>-0.254</v>
      </c>
      <c r="AP53" s="84">
        <v>0.109</v>
      </c>
      <c r="AQ53" s="84">
        <v>-0.3</v>
      </c>
      <c r="AR53" s="84">
        <v>-1.4E-2</v>
      </c>
      <c r="AS53" s="84">
        <v>-0.52400000000000002</v>
      </c>
      <c r="AT53" s="84">
        <v>-0.79100000000000004</v>
      </c>
      <c r="AU53" s="84">
        <v>0.17199999999999999</v>
      </c>
      <c r="AV53" s="84">
        <v>0.26400000000000001</v>
      </c>
      <c r="AW53" s="84">
        <v>0.44</v>
      </c>
      <c r="AX53" s="84">
        <v>0.73499999999999999</v>
      </c>
      <c r="AY53" s="84">
        <v>-9.5000000000000001E-2</v>
      </c>
      <c r="AZ53" s="84">
        <v>-0.214</v>
      </c>
      <c r="BA53" s="84">
        <v>0.42599999999999999</v>
      </c>
      <c r="BB53" s="84">
        <v>1</v>
      </c>
      <c r="BC53" s="84">
        <v>1.7999999999999999E-2</v>
      </c>
      <c r="BD53" s="84">
        <v>0.47699999999999998</v>
      </c>
      <c r="BE53" s="84">
        <v>0.39500000000000002</v>
      </c>
      <c r="BF53" s="84">
        <v>-0.25700000000000001</v>
      </c>
      <c r="BG53" s="84">
        <v>0.46100000000000002</v>
      </c>
      <c r="BH53" s="84">
        <v>0.374</v>
      </c>
      <c r="BI53" s="84">
        <v>-0.68400000000000005</v>
      </c>
      <c r="BJ53" s="84">
        <v>-0.10299999999999999</v>
      </c>
      <c r="BK53" s="84">
        <v>0.621</v>
      </c>
      <c r="BL53" s="84">
        <v>0.109</v>
      </c>
      <c r="BM53" s="84"/>
    </row>
    <row r="54" spans="1:65" x14ac:dyDescent="0.3">
      <c r="A54" s="19" t="s">
        <v>81</v>
      </c>
      <c r="B54" s="53">
        <v>1.2999999999999999E-2</v>
      </c>
      <c r="C54" s="53">
        <f t="shared" si="4"/>
        <v>1.2999999999999999E-2</v>
      </c>
      <c r="D54" s="53">
        <f t="shared" si="5"/>
        <v>0</v>
      </c>
      <c r="E54" s="53">
        <f t="shared" si="6"/>
        <v>0</v>
      </c>
      <c r="F54" s="15">
        <v>1.88</v>
      </c>
      <c r="G54" s="19">
        <v>2.0870000000000002</v>
      </c>
      <c r="H54" s="24" t="s">
        <v>55</v>
      </c>
      <c r="I54" t="str">
        <f>VLOOKUP(A54,Setores!$A$2:$C$215,2,0)</f>
        <v>telecom</v>
      </c>
      <c r="J54" t="str">
        <f>VLOOKUP(A54,Setores!$A$2:$C$215,3,0)</f>
        <v>very_low_beta</v>
      </c>
      <c r="K54" s="2">
        <v>1.2999999999999999E-2</v>
      </c>
      <c r="L54" s="2">
        <v>1.2999999999999999E-2</v>
      </c>
      <c r="M54" s="71">
        <v>31</v>
      </c>
      <c r="N54" s="41">
        <f>VLOOKUP(A54,'Mandato Smll'!$A$2:$C$215,2,0)</f>
        <v>8.3614714845337609E-3</v>
      </c>
      <c r="O54" s="58">
        <f t="shared" si="7"/>
        <v>4.6385285154662385E-3</v>
      </c>
      <c r="P54" s="42">
        <f t="shared" si="8"/>
        <v>4.6385285154662385E-3</v>
      </c>
      <c r="Q54" s="41">
        <f>VLOOKUP(A54,'Mandato Smll'!$A$2:$C$215,3,0)</f>
        <v>0</v>
      </c>
      <c r="R54" s="58">
        <f t="shared" si="9"/>
        <v>1.2999999999999999E-2</v>
      </c>
      <c r="S54" s="15">
        <v>2.5999999999999999E-2</v>
      </c>
      <c r="T54" s="15">
        <v>-0.56200000000000006</v>
      </c>
      <c r="U54" s="15">
        <v>-0.47899999999999998</v>
      </c>
      <c r="V54" s="15">
        <v>0.40400000000000003</v>
      </c>
      <c r="W54" s="15">
        <v>-0.26100000000000001</v>
      </c>
      <c r="X54" s="15">
        <v>0.49099999999999999</v>
      </c>
      <c r="Y54" s="15">
        <v>0.74</v>
      </c>
      <c r="Z54" s="15">
        <v>0.122</v>
      </c>
      <c r="AA54" s="15">
        <v>0.45</v>
      </c>
      <c r="AB54" s="15">
        <v>0.44700000000000001</v>
      </c>
      <c r="AC54" s="15">
        <v>0.81299999999999994</v>
      </c>
      <c r="AD54" s="15">
        <v>0.78900000000000003</v>
      </c>
      <c r="AE54" s="15">
        <v>0.63300000000000001</v>
      </c>
      <c r="AF54" s="14">
        <v>0.752</v>
      </c>
      <c r="AG54" s="15">
        <v>8.7999999999999995E-2</v>
      </c>
      <c r="AH54" s="15">
        <v>-0.53400000000000003</v>
      </c>
      <c r="AI54" s="15">
        <v>-0.90400000000000003</v>
      </c>
      <c r="AJ54" s="15">
        <v>-0.86</v>
      </c>
      <c r="AK54" s="9">
        <v>-0.49199999999999999</v>
      </c>
      <c r="AL54" s="4">
        <v>0.32500000000000001</v>
      </c>
      <c r="AM54" s="4">
        <v>-2.1000000000000001E-2</v>
      </c>
      <c r="AN54" s="4">
        <v>-0.82699999999999996</v>
      </c>
      <c r="AO54" s="4">
        <v>-0.128</v>
      </c>
      <c r="AP54" s="4">
        <v>-7.0999999999999994E-2</v>
      </c>
      <c r="AQ54" s="4">
        <v>-0.251</v>
      </c>
      <c r="AR54" s="4">
        <v>0.53800000000000003</v>
      </c>
      <c r="AS54" s="4">
        <v>0.26400000000000001</v>
      </c>
      <c r="AT54" s="4">
        <v>-0.314</v>
      </c>
      <c r="AU54" s="4">
        <v>0.433</v>
      </c>
      <c r="AV54" s="4">
        <v>0.246</v>
      </c>
      <c r="AW54" s="4">
        <v>1</v>
      </c>
      <c r="AX54" s="4">
        <v>0.72699999999999998</v>
      </c>
      <c r="AY54" s="4">
        <v>0.17299999999999999</v>
      </c>
      <c r="AZ54" s="4">
        <v>0.77500000000000002</v>
      </c>
      <c r="BA54" s="4">
        <v>0.39300000000000002</v>
      </c>
      <c r="BB54" s="4">
        <v>0.89500000000000002</v>
      </c>
      <c r="BC54" s="4">
        <v>0.28399999999999997</v>
      </c>
      <c r="BD54" s="4">
        <v>0.39700000000000002</v>
      </c>
      <c r="BE54" s="4">
        <v>0.61299999999999999</v>
      </c>
      <c r="BF54" s="4">
        <v>0.27</v>
      </c>
      <c r="BG54" s="4">
        <v>0.66300000000000003</v>
      </c>
      <c r="BH54" s="4">
        <v>0.35399999999999998</v>
      </c>
      <c r="BI54" s="4">
        <v>-0.70299999999999996</v>
      </c>
      <c r="BJ54" s="4">
        <v>-0.36199999999999999</v>
      </c>
      <c r="BK54" s="4">
        <v>2.1000000000000001E-2</v>
      </c>
      <c r="BL54" s="4">
        <v>-0.53600000000000003</v>
      </c>
      <c r="BM54" s="4"/>
    </row>
    <row r="55" spans="1:65" x14ac:dyDescent="0.3">
      <c r="A55" s="19" t="s">
        <v>95</v>
      </c>
      <c r="B55" s="53">
        <v>1.4E-2</v>
      </c>
      <c r="C55" s="53">
        <f t="shared" si="4"/>
        <v>1.4E-2</v>
      </c>
      <c r="D55" s="53">
        <f t="shared" si="5"/>
        <v>0</v>
      </c>
      <c r="E55" s="53">
        <f t="shared" si="6"/>
        <v>0</v>
      </c>
      <c r="F55" s="15">
        <v>1.865</v>
      </c>
      <c r="G55" s="19">
        <v>2.5670000000000002</v>
      </c>
      <c r="H55" s="24" t="s">
        <v>53</v>
      </c>
      <c r="I55" t="str">
        <f>VLOOKUP(A55,Setores!$A$2:$C$215,2,0)</f>
        <v>float_financials</v>
      </c>
      <c r="J55" t="str">
        <f>VLOOKUP(A55,Setores!$A$2:$C$215,3,0)</f>
        <v>very_low_beta</v>
      </c>
      <c r="K55" s="2">
        <v>1.4E-2</v>
      </c>
      <c r="L55" s="2">
        <v>1.4E-2</v>
      </c>
      <c r="M55" s="71">
        <v>29</v>
      </c>
      <c r="N55" s="41">
        <f>VLOOKUP(A55,'Mandato Smll'!$A$2:$C$215,2,0)</f>
        <v>8.2954300849401603E-3</v>
      </c>
      <c r="O55" s="58">
        <f t="shared" si="7"/>
        <v>5.70456991505984E-3</v>
      </c>
      <c r="P55" s="42">
        <f t="shared" si="8"/>
        <v>5.70456991505984E-3</v>
      </c>
      <c r="Q55" s="41">
        <f>VLOOKUP(A55,'Mandato Smll'!$A$2:$C$215,3,0)</f>
        <v>1.1069851937918601E-2</v>
      </c>
      <c r="R55" s="58">
        <f t="shared" si="9"/>
        <v>2.9301480620813995E-3</v>
      </c>
      <c r="S55" s="15">
        <v>-0.41899999999999998</v>
      </c>
      <c r="T55" s="15">
        <v>-0.45200000000000001</v>
      </c>
      <c r="U55" s="15">
        <v>-0.64400000000000002</v>
      </c>
      <c r="V55" s="15">
        <v>0.107</v>
      </c>
      <c r="W55" s="15">
        <v>-0.23699999999999999</v>
      </c>
      <c r="X55" s="15">
        <v>0.377</v>
      </c>
      <c r="Y55" s="15">
        <v>0.89</v>
      </c>
      <c r="Z55" s="15">
        <v>0.46200000000000002</v>
      </c>
      <c r="AA55" s="15">
        <v>0.55200000000000005</v>
      </c>
      <c r="AB55" s="15">
        <v>0.55400000000000005</v>
      </c>
      <c r="AC55" s="15">
        <v>0.75700000000000001</v>
      </c>
      <c r="AD55" s="15">
        <v>0.75</v>
      </c>
      <c r="AE55" s="15">
        <v>0.61</v>
      </c>
      <c r="AF55" s="14">
        <v>8.4000000000000005E-2</v>
      </c>
      <c r="AG55" s="15">
        <v>0.68600000000000005</v>
      </c>
      <c r="AH55" s="15">
        <v>-0.183</v>
      </c>
      <c r="AI55" s="15">
        <v>-0.82499999999999996</v>
      </c>
      <c r="AJ55" s="15">
        <v>-0.84799999999999998</v>
      </c>
      <c r="AK55" s="9">
        <v>-0.64900000000000002</v>
      </c>
      <c r="AL55" s="4">
        <v>-0.27900000000000003</v>
      </c>
      <c r="AM55" s="4">
        <v>0.57599999999999996</v>
      </c>
      <c r="AN55" s="4">
        <v>-0.94199999999999995</v>
      </c>
      <c r="AO55" s="4">
        <v>0.26700000000000002</v>
      </c>
      <c r="AP55" s="4">
        <v>0.23</v>
      </c>
      <c r="AQ55" s="4">
        <v>0.34300000000000003</v>
      </c>
      <c r="AR55" s="4">
        <v>5.0999999999999997E-2</v>
      </c>
      <c r="AS55" s="4">
        <v>0.26600000000000001</v>
      </c>
      <c r="AT55" s="4">
        <v>-0.35399999999999998</v>
      </c>
      <c r="AU55" s="4">
        <v>0.71499999999999997</v>
      </c>
      <c r="AV55" s="4">
        <v>0.21</v>
      </c>
      <c r="AW55" s="4">
        <v>-0.185</v>
      </c>
      <c r="AX55" s="4">
        <v>0.95099999999999996</v>
      </c>
      <c r="AY55" s="4">
        <v>0.71899999999999997</v>
      </c>
      <c r="AZ55" s="4">
        <v>0.71599999999999997</v>
      </c>
      <c r="BA55" s="4">
        <v>-0.23699999999999999</v>
      </c>
      <c r="BB55" s="4">
        <v>-0.64900000000000002</v>
      </c>
      <c r="BC55" s="4">
        <v>-0.10299999999999999</v>
      </c>
      <c r="BD55" s="4">
        <v>0.02</v>
      </c>
      <c r="BE55" s="4">
        <v>-1</v>
      </c>
      <c r="BF55" s="4">
        <v>-0.63200000000000001</v>
      </c>
      <c r="BG55" s="4">
        <v>-7.0999999999999994E-2</v>
      </c>
      <c r="BH55" s="4">
        <v>0.92800000000000005</v>
      </c>
      <c r="BI55" s="4">
        <v>-0.40799999999999997</v>
      </c>
      <c r="BJ55" s="4">
        <v>-0.628</v>
      </c>
      <c r="BK55" s="4">
        <v>-6.7000000000000004E-2</v>
      </c>
      <c r="BL55" s="4">
        <v>-0.60299999999999998</v>
      </c>
      <c r="BM55" s="4"/>
    </row>
    <row r="56" spans="1:65" x14ac:dyDescent="0.3">
      <c r="A56" s="19" t="s">
        <v>119</v>
      </c>
      <c r="B56" s="53">
        <v>2.5000000000000001E-2</v>
      </c>
      <c r="C56" s="53">
        <f t="shared" si="4"/>
        <v>2.1000000000000001E-2</v>
      </c>
      <c r="D56" s="53">
        <f t="shared" si="5"/>
        <v>0</v>
      </c>
      <c r="E56" s="53">
        <f t="shared" si="6"/>
        <v>4.0000000000000001E-3</v>
      </c>
      <c r="F56" s="15">
        <v>1.851</v>
      </c>
      <c r="G56" s="19">
        <v>2.0640000000000001</v>
      </c>
      <c r="H56" s="24" t="s">
        <v>57</v>
      </c>
      <c r="I56" t="str">
        <f>VLOOKUP(A56,Setores!$A$2:$C$215,2,0)</f>
        <v>homebuilders</v>
      </c>
      <c r="J56" t="str">
        <f>VLOOKUP(A56,Setores!$A$2:$C$215,3,0)</f>
        <v>high_beta</v>
      </c>
      <c r="K56" s="2">
        <v>2.5000000000000001E-2</v>
      </c>
      <c r="L56" s="2">
        <v>2.1000000000000001E-2</v>
      </c>
      <c r="M56" s="71">
        <v>80</v>
      </c>
      <c r="N56" s="41">
        <f>VLOOKUP(A56,'Mandato Smll'!$A$2:$C$215,2,0)</f>
        <v>1.26109122436376E-2</v>
      </c>
      <c r="O56" s="58">
        <f t="shared" si="7"/>
        <v>1.2389087756362402E-2</v>
      </c>
      <c r="P56" s="42">
        <f t="shared" si="8"/>
        <v>1.2389087756362402E-2</v>
      </c>
      <c r="Q56" s="41">
        <f>VLOOKUP(A56,'Mandato Smll'!$A$2:$C$215,3,0)</f>
        <v>0</v>
      </c>
      <c r="R56" s="58">
        <f t="shared" si="9"/>
        <v>2.5000000000000001E-2</v>
      </c>
      <c r="S56" s="15">
        <v>0.29699999999999999</v>
      </c>
      <c r="T56" s="15">
        <v>9.5000000000000001E-2</v>
      </c>
      <c r="U56" s="15">
        <v>0.105</v>
      </c>
      <c r="V56" s="15">
        <v>0.20100000000000001</v>
      </c>
      <c r="W56" s="15">
        <v>5.5E-2</v>
      </c>
      <c r="X56" s="15">
        <v>0.22900000000000001</v>
      </c>
      <c r="Y56" s="15">
        <v>0.28100000000000003</v>
      </c>
      <c r="Z56" s="15">
        <v>-0.13900000000000001</v>
      </c>
      <c r="AA56" s="15">
        <v>0.20799999999999999</v>
      </c>
      <c r="AB56" s="15">
        <v>0.20599999999999999</v>
      </c>
      <c r="AC56" s="15">
        <v>0.82199999999999995</v>
      </c>
      <c r="AD56" s="15">
        <v>0.88100000000000001</v>
      </c>
      <c r="AE56" s="15">
        <v>0.69699999999999995</v>
      </c>
      <c r="AF56" s="14">
        <v>0.40799999999999997</v>
      </c>
      <c r="AG56" s="15">
        <v>0.46700000000000003</v>
      </c>
      <c r="AH56" s="15">
        <v>-0.23499999999999999</v>
      </c>
      <c r="AI56" s="15">
        <v>-0.19400000000000001</v>
      </c>
      <c r="AJ56" s="15">
        <v>-0.09</v>
      </c>
      <c r="AK56" s="9">
        <v>-2.1000000000000001E-2</v>
      </c>
      <c r="AL56" s="4">
        <v>-0.10199999999999999</v>
      </c>
      <c r="AM56" s="4">
        <v>-0.21299999999999999</v>
      </c>
      <c r="AN56" s="4">
        <v>-0.186</v>
      </c>
      <c r="AO56" s="4">
        <v>0.74299999999999999</v>
      </c>
      <c r="AP56" s="4">
        <v>-0.309</v>
      </c>
      <c r="AQ56" s="4">
        <v>-1.7000000000000001E-2</v>
      </c>
      <c r="AR56" s="4">
        <v>0.47899999999999998</v>
      </c>
      <c r="AS56" s="4">
        <v>0.39200000000000002</v>
      </c>
      <c r="AT56" s="4">
        <v>0.35299999999999998</v>
      </c>
      <c r="AU56" s="4">
        <v>-5.3999999999999999E-2</v>
      </c>
      <c r="AV56" s="4">
        <v>0.432</v>
      </c>
      <c r="AW56" s="4">
        <v>0.34499999999999997</v>
      </c>
      <c r="AX56" s="4">
        <v>-0.111</v>
      </c>
      <c r="AY56" s="4">
        <v>0.186</v>
      </c>
      <c r="AZ56" s="4">
        <v>0.442</v>
      </c>
      <c r="BA56" s="4">
        <v>0.63100000000000001</v>
      </c>
      <c r="BB56" s="4">
        <v>0</v>
      </c>
      <c r="BC56" s="4">
        <v>-4.9000000000000002E-2</v>
      </c>
      <c r="BD56" s="4">
        <v>-8.5000000000000006E-2</v>
      </c>
      <c r="BE56" s="4">
        <v>0.24399999999999999</v>
      </c>
      <c r="BF56" s="4">
        <v>0.33500000000000002</v>
      </c>
      <c r="BG56" s="4">
        <v>-0.154</v>
      </c>
      <c r="BH56" s="4">
        <v>0.20300000000000001</v>
      </c>
      <c r="BI56" s="4">
        <v>-0.156</v>
      </c>
      <c r="BJ56" s="4">
        <v>0.45700000000000002</v>
      </c>
      <c r="BK56" s="4">
        <v>-1.2E-2</v>
      </c>
      <c r="BL56" s="4">
        <v>0.03</v>
      </c>
      <c r="BM56" s="4"/>
    </row>
    <row r="57" spans="1:65" x14ac:dyDescent="0.3">
      <c r="A57" s="19" t="s">
        <v>94</v>
      </c>
      <c r="B57" s="53">
        <v>3.1E-2</v>
      </c>
      <c r="C57" s="53">
        <f t="shared" si="4"/>
        <v>1.4999999999999999E-2</v>
      </c>
      <c r="D57" s="53">
        <f t="shared" si="5"/>
        <v>0</v>
      </c>
      <c r="E57" s="53">
        <f t="shared" si="6"/>
        <v>1.6E-2</v>
      </c>
      <c r="F57" s="15">
        <v>1.8089999999999999</v>
      </c>
      <c r="G57" s="19">
        <v>3.8759999999999999</v>
      </c>
      <c r="H57" s="24" t="s">
        <v>55</v>
      </c>
      <c r="I57" t="str">
        <f>VLOOKUP(A57,Setores!$A$2:$C$215,2,0)</f>
        <v>real_estate</v>
      </c>
      <c r="J57" t="str">
        <f>VLOOKUP(A57,Setores!$A$2:$C$215,3,0)</f>
        <v>high_beta</v>
      </c>
      <c r="K57" s="2">
        <v>3.1E-2</v>
      </c>
      <c r="L57" s="2">
        <v>1.4999999999999999E-2</v>
      </c>
      <c r="M57" s="71">
        <v>60</v>
      </c>
      <c r="N57" s="41">
        <f>VLOOKUP(A57,'Mandato Smll'!$A$2:$C$215,2,0)</f>
        <v>3.1097463401021701E-2</v>
      </c>
      <c r="O57" s="58">
        <f t="shared" si="7"/>
        <v>-9.7463401021700979E-5</v>
      </c>
      <c r="P57" s="42">
        <f t="shared" si="8"/>
        <v>-9.7463401021700979E-5</v>
      </c>
      <c r="Q57" s="41">
        <f>VLOOKUP(A57,'Mandato Smll'!$A$2:$C$215,3,0)</f>
        <v>3.5493795556052303E-2</v>
      </c>
      <c r="R57" s="58">
        <f t="shared" si="9"/>
        <v>-4.4937955560523032E-3</v>
      </c>
      <c r="S57" s="15">
        <v>0.253</v>
      </c>
      <c r="T57" s="15">
        <v>4.2000000000000003E-2</v>
      </c>
      <c r="U57" s="15">
        <v>-0.32400000000000001</v>
      </c>
      <c r="V57" s="15">
        <v>0.22500000000000001</v>
      </c>
      <c r="W57" s="15">
        <v>-0.19500000000000001</v>
      </c>
      <c r="X57" s="15">
        <v>0.498</v>
      </c>
      <c r="Y57" s="15">
        <v>0.81599999999999995</v>
      </c>
      <c r="Z57" s="15">
        <v>-0.22</v>
      </c>
      <c r="AA57" s="15">
        <v>0.249</v>
      </c>
      <c r="AB57" s="15">
        <v>0.247</v>
      </c>
      <c r="AC57" s="15">
        <v>0.81100000000000005</v>
      </c>
      <c r="AD57" s="15">
        <v>0.78</v>
      </c>
      <c r="AE57" s="15">
        <v>0.63</v>
      </c>
      <c r="AF57" s="14">
        <v>7.6999999999999999E-2</v>
      </c>
      <c r="AG57" s="15">
        <v>-5.1999999999999998E-2</v>
      </c>
      <c r="AH57" s="15">
        <v>-0.32100000000000001</v>
      </c>
      <c r="AI57" s="15">
        <v>-0.79100000000000004</v>
      </c>
      <c r="AJ57" s="15">
        <v>-0.16200000000000001</v>
      </c>
      <c r="AK57" s="9">
        <v>2.8000000000000001E-2</v>
      </c>
      <c r="AL57" s="4">
        <v>-0.31</v>
      </c>
      <c r="AM57" s="4">
        <v>-0.69599999999999995</v>
      </c>
      <c r="AN57" s="4">
        <v>-0.67900000000000005</v>
      </c>
      <c r="AO57" s="4">
        <v>-0.20899999999999999</v>
      </c>
      <c r="AP57" s="4">
        <v>6.2E-2</v>
      </c>
      <c r="AQ57" s="4">
        <v>0.36299999999999999</v>
      </c>
      <c r="AR57" s="4">
        <v>0.80300000000000005</v>
      </c>
      <c r="AS57" s="4">
        <v>0.71599999999999997</v>
      </c>
      <c r="AT57" s="4">
        <v>0.37</v>
      </c>
      <c r="AU57" s="4">
        <v>0.20399999999999999</v>
      </c>
      <c r="AV57" s="4">
        <v>0.92800000000000005</v>
      </c>
      <c r="AW57" s="4">
        <v>0.81100000000000005</v>
      </c>
      <c r="AX57" s="4">
        <v>0.224</v>
      </c>
      <c r="AY57" s="4">
        <v>-0.16300000000000001</v>
      </c>
      <c r="AZ57" s="4">
        <v>0.48399999999999999</v>
      </c>
      <c r="BA57" s="4">
        <v>0.54900000000000004</v>
      </c>
      <c r="BB57" s="4">
        <v>0.51200000000000001</v>
      </c>
      <c r="BC57" s="4">
        <v>0.40600000000000003</v>
      </c>
      <c r="BD57" s="4">
        <v>9.0999999999999998E-2</v>
      </c>
      <c r="BE57" s="4">
        <v>0.52200000000000002</v>
      </c>
      <c r="BF57" s="4">
        <v>-0.29599999999999999</v>
      </c>
      <c r="BG57" s="4">
        <v>-0.23300000000000001</v>
      </c>
      <c r="BH57" s="4">
        <v>0.55300000000000005</v>
      </c>
      <c r="BI57" s="4">
        <v>-0.4</v>
      </c>
      <c r="BJ57" s="4">
        <v>0.46500000000000002</v>
      </c>
      <c r="BK57" s="4">
        <v>-0.23799999999999999</v>
      </c>
      <c r="BL57" s="4">
        <v>-0.17899999999999999</v>
      </c>
      <c r="BM57" s="4"/>
    </row>
    <row r="58" spans="1:65" x14ac:dyDescent="0.3">
      <c r="A58" s="19" t="s">
        <v>127</v>
      </c>
      <c r="B58" s="53">
        <v>1.2999999999999999E-2</v>
      </c>
      <c r="C58" s="53">
        <f t="shared" si="4"/>
        <v>1.2999999999999999E-2</v>
      </c>
      <c r="D58" s="53">
        <f t="shared" si="5"/>
        <v>0</v>
      </c>
      <c r="E58" s="53">
        <f t="shared" si="6"/>
        <v>0</v>
      </c>
      <c r="F58" s="15">
        <v>1.7310000000000001</v>
      </c>
      <c r="G58" s="19">
        <v>1.974</v>
      </c>
      <c r="H58" s="24" t="s">
        <v>53</v>
      </c>
      <c r="I58" t="str">
        <f>VLOOKUP(A58,Setores!$A$2:$C$215,2,0)</f>
        <v>float_financials</v>
      </c>
      <c r="J58" t="str">
        <f>VLOOKUP(A58,Setores!$A$2:$C$215,3,0)</f>
        <v>very_low_beta</v>
      </c>
      <c r="K58" s="2">
        <v>1.2999999999999999E-2</v>
      </c>
      <c r="L58" s="2">
        <v>1.2999999999999999E-2</v>
      </c>
      <c r="M58" s="71">
        <v>49</v>
      </c>
      <c r="N58" s="41">
        <f>VLOOKUP(A58,'Mandato Smll'!$A$2:$C$215,2,0)</f>
        <v>7.6983881156998503E-3</v>
      </c>
      <c r="O58" s="58">
        <f t="shared" si="7"/>
        <v>5.3016118843001491E-3</v>
      </c>
      <c r="P58" s="42">
        <f t="shared" si="8"/>
        <v>5.3016118843001491E-3</v>
      </c>
      <c r="Q58" s="41">
        <f>VLOOKUP(A58,'Mandato Smll'!$A$2:$C$215,3,0)</f>
        <v>1.04060173502255E-2</v>
      </c>
      <c r="R58" s="58">
        <f t="shared" si="9"/>
        <v>2.5939826497744997E-3</v>
      </c>
      <c r="S58" s="15">
        <v>-6.3E-2</v>
      </c>
      <c r="T58" s="15">
        <v>-0.33200000000000002</v>
      </c>
      <c r="U58" s="15">
        <v>-0.53900000000000003</v>
      </c>
      <c r="V58" s="15">
        <v>0.13600000000000001</v>
      </c>
      <c r="W58" s="15">
        <v>-0.34200000000000003</v>
      </c>
      <c r="X58" s="15">
        <v>0.36099999999999999</v>
      </c>
      <c r="Y58" s="15">
        <v>0.59399999999999997</v>
      </c>
      <c r="Z58" s="15">
        <v>2.5000000000000001E-2</v>
      </c>
      <c r="AA58" s="15">
        <v>0.45700000000000002</v>
      </c>
      <c r="AB58" s="15">
        <v>0.45600000000000002</v>
      </c>
      <c r="AC58" s="15">
        <v>0.76900000000000002</v>
      </c>
      <c r="AD58" s="15">
        <v>0.80100000000000005</v>
      </c>
      <c r="AE58" s="15">
        <v>0.68200000000000005</v>
      </c>
      <c r="AF58" s="14">
        <v>-2.4E-2</v>
      </c>
      <c r="AG58" s="15">
        <v>0.21299999999999999</v>
      </c>
      <c r="AH58" s="15">
        <v>-0.29199999999999998</v>
      </c>
      <c r="AI58" s="15">
        <v>-0.874</v>
      </c>
      <c r="AJ58" s="15">
        <v>-0.77400000000000002</v>
      </c>
      <c r="AK58" s="9">
        <v>-0.38400000000000001</v>
      </c>
      <c r="AL58" s="4">
        <v>-5.1999999999999998E-2</v>
      </c>
      <c r="AM58" s="4">
        <v>-0.26200000000000001</v>
      </c>
      <c r="AN58" s="4">
        <v>-0.73699999999999999</v>
      </c>
      <c r="AO58" s="4">
        <v>0.19400000000000001</v>
      </c>
      <c r="AP58" s="4">
        <v>0.16</v>
      </c>
      <c r="AQ58" s="4">
        <v>0.222</v>
      </c>
      <c r="AR58" s="4">
        <v>0.49099999999999999</v>
      </c>
      <c r="AS58" s="4">
        <v>0.36099999999999999</v>
      </c>
      <c r="AT58" s="4">
        <v>0.12</v>
      </c>
      <c r="AU58" s="4">
        <v>0.37</v>
      </c>
      <c r="AV58" s="4">
        <v>0.13600000000000001</v>
      </c>
      <c r="AW58" s="4">
        <v>0.35399999999999998</v>
      </c>
      <c r="AX58" s="4">
        <v>0.78600000000000003</v>
      </c>
      <c r="AY58" s="4">
        <v>0.23799999999999999</v>
      </c>
      <c r="AZ58" s="4">
        <v>0.90800000000000003</v>
      </c>
      <c r="BA58" s="4">
        <v>1</v>
      </c>
      <c r="BB58" s="4">
        <v>0.46700000000000003</v>
      </c>
      <c r="BC58" s="4">
        <v>-0.13</v>
      </c>
      <c r="BD58" s="4">
        <v>9.6000000000000002E-2</v>
      </c>
      <c r="BE58" s="4">
        <v>-0.185</v>
      </c>
      <c r="BF58" s="4">
        <v>-0.39</v>
      </c>
      <c r="BG58" s="4">
        <v>0.441</v>
      </c>
      <c r="BH58" s="4">
        <v>0.58499999999999996</v>
      </c>
      <c r="BI58" s="4">
        <v>-0.73399999999999999</v>
      </c>
      <c r="BJ58" s="4">
        <v>-0.39200000000000002</v>
      </c>
      <c r="BK58" s="4">
        <v>7.9000000000000001E-2</v>
      </c>
      <c r="BL58" s="4">
        <v>-0.26200000000000001</v>
      </c>
      <c r="BM58" s="4"/>
    </row>
    <row r="59" spans="1:65" x14ac:dyDescent="0.3">
      <c r="A59" s="19" t="s">
        <v>105</v>
      </c>
      <c r="B59" s="53">
        <v>1.4E-2</v>
      </c>
      <c r="C59" s="53">
        <f t="shared" si="4"/>
        <v>1.2999999999999999E-2</v>
      </c>
      <c r="D59" s="53">
        <f t="shared" si="5"/>
        <v>0</v>
      </c>
      <c r="E59" s="53">
        <f t="shared" si="6"/>
        <v>1.0000000000000009E-3</v>
      </c>
      <c r="F59" s="15">
        <v>1.71</v>
      </c>
      <c r="G59" s="19">
        <v>1.236</v>
      </c>
      <c r="H59" s="24" t="s">
        <v>57</v>
      </c>
      <c r="I59" t="str">
        <f>VLOOKUP(A59,Setores!$A$2:$C$215,2,0)</f>
        <v>transportation</v>
      </c>
      <c r="J59" t="str">
        <f>VLOOKUP(A59,Setores!$A$2:$C$215,3,0)</f>
        <v>very_high_beta</v>
      </c>
      <c r="K59" s="2">
        <v>1.4E-2</v>
      </c>
      <c r="L59" s="2">
        <v>1.2999999999999999E-2</v>
      </c>
      <c r="M59" s="71">
        <v>80</v>
      </c>
      <c r="N59" s="41">
        <f>VLOOKUP(A59,'Mandato Smll'!$A$2:$C$215,2,0)</f>
        <v>8.3272850504644107E-3</v>
      </c>
      <c r="O59" s="58">
        <f t="shared" si="7"/>
        <v>5.6727149495355896E-3</v>
      </c>
      <c r="P59" s="42">
        <f t="shared" si="8"/>
        <v>5.6727149495355896E-3</v>
      </c>
      <c r="Q59" s="41">
        <f>VLOOKUP(A59,'Mandato Smll'!$A$2:$C$215,3,0)</f>
        <v>0</v>
      </c>
      <c r="R59" s="58">
        <f t="shared" si="9"/>
        <v>1.4E-2</v>
      </c>
      <c r="S59" s="15">
        <v>-0.153</v>
      </c>
      <c r="T59" s="15">
        <v>0.29399999999999998</v>
      </c>
      <c r="U59" s="15">
        <v>7.2999999999999995E-2</v>
      </c>
      <c r="V59" s="15">
        <v>-0.18</v>
      </c>
      <c r="W59" s="15">
        <v>0.22500000000000001</v>
      </c>
      <c r="X59" s="15">
        <v>-0.40799999999999997</v>
      </c>
      <c r="Y59" s="15">
        <v>-0.51600000000000001</v>
      </c>
      <c r="Z59" s="15">
        <v>0.44500000000000001</v>
      </c>
      <c r="AA59" s="15">
        <v>7.0999999999999994E-2</v>
      </c>
      <c r="AB59" s="15">
        <v>7.0000000000000007E-2</v>
      </c>
      <c r="AC59" s="15">
        <v>0.58699999999999997</v>
      </c>
      <c r="AD59" s="15">
        <v>0.79800000000000004</v>
      </c>
      <c r="AE59" s="15">
        <v>0.78600000000000003</v>
      </c>
      <c r="AF59" s="14">
        <v>-0.443</v>
      </c>
      <c r="AG59" s="15">
        <v>-7.4999999999999997E-2</v>
      </c>
      <c r="AH59" s="15">
        <v>1</v>
      </c>
      <c r="AI59" s="15">
        <v>0.95299999999999996</v>
      </c>
      <c r="AJ59" s="15">
        <v>0.97299999999999998</v>
      </c>
      <c r="AK59" s="9">
        <v>-0.73299999999999998</v>
      </c>
      <c r="AL59" s="4">
        <v>0.70499999999999996</v>
      </c>
      <c r="AM59" s="4">
        <v>0.54100000000000004</v>
      </c>
      <c r="AN59" s="4">
        <v>-0.29899999999999999</v>
      </c>
      <c r="AO59" s="4">
        <v>8.6999999999999994E-2</v>
      </c>
      <c r="AP59" s="4">
        <v>0.52700000000000002</v>
      </c>
      <c r="AQ59" s="4">
        <v>8.1000000000000003E-2</v>
      </c>
      <c r="AR59" s="4">
        <v>-0.33</v>
      </c>
      <c r="AS59" s="4">
        <v>-1</v>
      </c>
      <c r="AT59" s="4">
        <v>-1</v>
      </c>
      <c r="AU59" s="4">
        <v>-9.8000000000000004E-2</v>
      </c>
      <c r="AV59" s="4">
        <v>-0.42199999999999999</v>
      </c>
      <c r="AW59" s="4">
        <v>-0.60499999999999998</v>
      </c>
      <c r="AX59" s="4">
        <v>-0.56799999999999995</v>
      </c>
      <c r="AY59" s="4">
        <v>-0.59299999999999997</v>
      </c>
      <c r="AZ59" s="4">
        <v>0.109</v>
      </c>
      <c r="BA59" s="4">
        <v>-0.23499999999999999</v>
      </c>
      <c r="BB59" s="4">
        <v>4.4999999999999998E-2</v>
      </c>
      <c r="BC59" s="4">
        <v>0.27700000000000002</v>
      </c>
      <c r="BD59" s="4">
        <v>0.41199999999999998</v>
      </c>
      <c r="BE59" s="4">
        <v>0.46899999999999997</v>
      </c>
      <c r="BF59" s="4">
        <v>0.56699999999999995</v>
      </c>
      <c r="BG59" s="4">
        <v>0.38600000000000001</v>
      </c>
      <c r="BH59" s="4">
        <v>3.6999999999999998E-2</v>
      </c>
      <c r="BI59" s="4">
        <v>-0.27</v>
      </c>
      <c r="BJ59" s="4">
        <v>1</v>
      </c>
      <c r="BK59" s="4">
        <v>0.40500000000000003</v>
      </c>
      <c r="BL59" s="4">
        <v>0.626</v>
      </c>
      <c r="BM59" s="4"/>
    </row>
    <row r="60" spans="1:65" x14ac:dyDescent="0.3">
      <c r="A60" s="19" t="s">
        <v>145</v>
      </c>
      <c r="B60" s="53">
        <v>7.0000000000000001E-3</v>
      </c>
      <c r="C60" s="53">
        <f t="shared" si="4"/>
        <v>7.0000000000000001E-3</v>
      </c>
      <c r="D60" s="53">
        <f t="shared" si="5"/>
        <v>0</v>
      </c>
      <c r="E60" s="53">
        <f t="shared" si="6"/>
        <v>0</v>
      </c>
      <c r="F60" s="15">
        <v>1.71</v>
      </c>
      <c r="G60" s="19">
        <v>1.2330000000000001</v>
      </c>
      <c r="H60" s="24" t="s">
        <v>57</v>
      </c>
      <c r="I60" t="str">
        <f>VLOOKUP(A60,Setores!$A$2:$C$215,2,0)</f>
        <v>banks</v>
      </c>
      <c r="J60" t="str">
        <f>VLOOKUP(A60,Setores!$A$2:$C$215,3,0)</f>
        <v>high_beta</v>
      </c>
      <c r="K60" s="2">
        <v>7.0000000000000001E-3</v>
      </c>
      <c r="L60" s="2">
        <v>7.0000000000000001E-3</v>
      </c>
      <c r="M60" s="71">
        <v>80</v>
      </c>
      <c r="N60" s="41">
        <f>VLOOKUP(A60,'Mandato Smll'!$A$2:$C$215,2,0)</f>
        <v>7.6073911103334002E-3</v>
      </c>
      <c r="O60" s="58">
        <f t="shared" si="7"/>
        <v>-6.0739111033340006E-4</v>
      </c>
      <c r="P60" s="42">
        <f t="shared" si="8"/>
        <v>-6.0739111033340006E-4</v>
      </c>
      <c r="Q60" s="41">
        <f>VLOOKUP(A60,'Mandato Smll'!$A$2:$C$215,3,0)</f>
        <v>1.0150724563771101E-2</v>
      </c>
      <c r="R60" s="58">
        <f t="shared" si="9"/>
        <v>-3.1507245637711007E-3</v>
      </c>
      <c r="S60" s="15">
        <v>6.0000000000000001E-3</v>
      </c>
      <c r="T60" s="15">
        <v>-9.4E-2</v>
      </c>
      <c r="U60" s="15">
        <v>-0.16</v>
      </c>
      <c r="V60" s="15">
        <v>-3.4000000000000002E-2</v>
      </c>
      <c r="W60" s="15">
        <v>-0.221</v>
      </c>
      <c r="X60" s="15">
        <v>-1.2999999999999999E-2</v>
      </c>
      <c r="Y60" s="15">
        <v>-9.8000000000000004E-2</v>
      </c>
      <c r="Z60" s="15">
        <v>-5.0999999999999997E-2</v>
      </c>
      <c r="AA60" s="15">
        <v>0.50700000000000001</v>
      </c>
      <c r="AB60" s="15">
        <v>0.505</v>
      </c>
      <c r="AC60" s="15">
        <v>0.90200000000000002</v>
      </c>
      <c r="AD60" s="15">
        <v>0.85699999999999998</v>
      </c>
      <c r="AE60" s="15">
        <v>0.85199999999999998</v>
      </c>
      <c r="AF60" s="14">
        <v>-0.41</v>
      </c>
      <c r="AG60" s="15">
        <v>-0.11700000000000001</v>
      </c>
      <c r="AH60" s="15">
        <v>6.0999999999999999E-2</v>
      </c>
      <c r="AI60" s="15">
        <v>-0.72399999999999998</v>
      </c>
      <c r="AJ60" s="15">
        <v>0.127</v>
      </c>
      <c r="AK60" s="9">
        <v>-0.04</v>
      </c>
      <c r="AL60" s="4">
        <v>-0.216</v>
      </c>
      <c r="AM60" s="4">
        <v>-0.40200000000000002</v>
      </c>
      <c r="AN60" s="4">
        <v>-0.58799999999999997</v>
      </c>
      <c r="AO60" s="4">
        <v>-0.48099999999999998</v>
      </c>
      <c r="AP60" s="4">
        <v>0.26300000000000001</v>
      </c>
      <c r="AQ60" s="4">
        <v>0.69199999999999995</v>
      </c>
      <c r="AR60" s="4">
        <v>0.432</v>
      </c>
      <c r="AS60" s="4">
        <v>0.57999999999999996</v>
      </c>
      <c r="AT60" s="4">
        <v>0.41599999999999998</v>
      </c>
      <c r="AU60" s="4">
        <v>0.28999999999999998</v>
      </c>
      <c r="AV60" s="4">
        <v>-0.11</v>
      </c>
      <c r="AW60" s="4">
        <v>0.16600000000000001</v>
      </c>
      <c r="AX60" s="4">
        <v>0.34599999999999997</v>
      </c>
      <c r="AY60" s="4">
        <v>0.185</v>
      </c>
      <c r="AZ60" s="4">
        <v>0.66800000000000004</v>
      </c>
      <c r="BA60" s="4">
        <v>1</v>
      </c>
      <c r="BB60" s="4">
        <v>0.48499999999999999</v>
      </c>
      <c r="BC60" s="4">
        <v>-0.68200000000000005</v>
      </c>
      <c r="BD60" s="4">
        <v>-0.14699999999999999</v>
      </c>
      <c r="BE60" s="4">
        <v>-0.60399999999999998</v>
      </c>
      <c r="BF60" s="4">
        <v>0.25900000000000001</v>
      </c>
      <c r="BG60" s="4">
        <v>-0.67100000000000004</v>
      </c>
      <c r="BH60" s="4">
        <v>0.221</v>
      </c>
      <c r="BI60" s="4">
        <v>-1</v>
      </c>
      <c r="BJ60" s="4">
        <v>0.27400000000000002</v>
      </c>
      <c r="BK60" s="4">
        <v>0.92300000000000004</v>
      </c>
      <c r="BL60" s="4">
        <v>0.38800000000000001</v>
      </c>
      <c r="BM60" s="4"/>
    </row>
    <row r="61" spans="1:65" x14ac:dyDescent="0.3">
      <c r="A61" s="19" t="s">
        <v>62</v>
      </c>
      <c r="B61" s="53">
        <v>0.03</v>
      </c>
      <c r="C61" s="53">
        <f t="shared" si="4"/>
        <v>5.9999999999999984E-3</v>
      </c>
      <c r="D61" s="53">
        <f t="shared" si="5"/>
        <v>1.3999999999999999E-2</v>
      </c>
      <c r="E61" s="53">
        <f t="shared" si="6"/>
        <v>2.4E-2</v>
      </c>
      <c r="F61" s="15">
        <v>1.603</v>
      </c>
      <c r="G61" s="19">
        <v>3.1840000000000002</v>
      </c>
      <c r="H61" s="24" t="s">
        <v>55</v>
      </c>
      <c r="I61" t="str">
        <f>VLOOKUP(A61,Setores!$A$2:$C$215,2,0)</f>
        <v>utilities</v>
      </c>
      <c r="J61" t="str">
        <f>VLOOKUP(A61,Setores!$A$2:$C$215,3,0)</f>
        <v>neutral_beta</v>
      </c>
      <c r="K61" s="2">
        <v>1.6E-2</v>
      </c>
      <c r="L61" s="2">
        <v>-8.0000000000000002E-3</v>
      </c>
      <c r="M61" s="71">
        <v>80</v>
      </c>
      <c r="N61" s="41">
        <f>VLOOKUP(A61,'Mandato Smll'!$A$2:$C$215,2,0)</f>
        <v>3.9065201793042098E-2</v>
      </c>
      <c r="O61" s="58">
        <f t="shared" si="7"/>
        <v>-2.3065201793042098E-2</v>
      </c>
      <c r="P61" s="42">
        <f t="shared" si="8"/>
        <v>-9.0652017930420992E-3</v>
      </c>
      <c r="Q61" s="41">
        <f>VLOOKUP(A61,'Mandato Smll'!$A$2:$C$215,3,0)</f>
        <v>3.2401949084773299E-2</v>
      </c>
      <c r="R61" s="58">
        <f t="shared" si="9"/>
        <v>-1.6401949084773298E-2</v>
      </c>
      <c r="S61" s="15">
        <v>-0.30199999999999999</v>
      </c>
      <c r="T61" s="15">
        <v>-0.313</v>
      </c>
      <c r="U61" s="15">
        <v>-0.52800000000000002</v>
      </c>
      <c r="V61" s="15">
        <v>9.5000000000000001E-2</v>
      </c>
      <c r="W61" s="15">
        <v>-0.189</v>
      </c>
      <c r="X61" s="15">
        <v>9.2999999999999999E-2</v>
      </c>
      <c r="Y61" s="15">
        <v>0.35199999999999998</v>
      </c>
      <c r="Z61" s="15">
        <v>0.125</v>
      </c>
      <c r="AA61" s="15">
        <v>0.42099999999999999</v>
      </c>
      <c r="AB61" s="15">
        <v>0.42299999999999999</v>
      </c>
      <c r="AC61" s="15">
        <v>0.84099999999999997</v>
      </c>
      <c r="AD61" s="15">
        <v>0.78800000000000003</v>
      </c>
      <c r="AE61" s="15">
        <v>0.68</v>
      </c>
      <c r="AF61" s="14">
        <v>0.39800000000000002</v>
      </c>
      <c r="AG61" s="15">
        <v>-0.14000000000000001</v>
      </c>
      <c r="AH61" s="15">
        <v>0.35499999999999998</v>
      </c>
      <c r="AI61" s="15">
        <v>-0.55200000000000005</v>
      </c>
      <c r="AJ61" s="15">
        <v>-0.55400000000000005</v>
      </c>
      <c r="AK61" s="9">
        <v>-0.41099999999999998</v>
      </c>
      <c r="AL61" s="4">
        <v>0.40799999999999997</v>
      </c>
      <c r="AM61" s="4">
        <v>-0.222</v>
      </c>
      <c r="AN61" s="4">
        <v>-0.34300000000000003</v>
      </c>
      <c r="AO61" s="4">
        <v>-0.26900000000000002</v>
      </c>
      <c r="AP61" s="4">
        <v>0.13800000000000001</v>
      </c>
      <c r="AQ61" s="4">
        <v>-0.39800000000000002</v>
      </c>
      <c r="AR61" s="4">
        <v>-1.4E-2</v>
      </c>
      <c r="AS61" s="4">
        <v>-0.52400000000000002</v>
      </c>
      <c r="AT61" s="4">
        <v>-0.79100000000000004</v>
      </c>
      <c r="AU61" s="4">
        <v>0.17199999999999999</v>
      </c>
      <c r="AV61" s="4">
        <v>0.26400000000000001</v>
      </c>
      <c r="AW61" s="4">
        <v>0.438</v>
      </c>
      <c r="AX61" s="4">
        <v>0.71</v>
      </c>
      <c r="AY61" s="4">
        <v>-9.5000000000000001E-2</v>
      </c>
      <c r="AZ61" s="4">
        <v>-0.214</v>
      </c>
      <c r="BA61" s="4">
        <v>0.36299999999999999</v>
      </c>
      <c r="BB61" s="4">
        <v>0.21</v>
      </c>
      <c r="BC61" s="4">
        <v>1.7999999999999999E-2</v>
      </c>
      <c r="BD61" s="4">
        <v>0.47699999999999998</v>
      </c>
      <c r="BE61" s="4">
        <v>0.41099999999999998</v>
      </c>
      <c r="BF61" s="4">
        <v>-0.21</v>
      </c>
      <c r="BG61" s="4">
        <v>0.59099999999999997</v>
      </c>
      <c r="BH61" s="4">
        <v>0.379</v>
      </c>
      <c r="BI61" s="4">
        <v>-0.76700000000000002</v>
      </c>
      <c r="BJ61" s="4">
        <v>-2E-3</v>
      </c>
      <c r="BK61" s="4">
        <v>-7.0000000000000007E-2</v>
      </c>
      <c r="BL61" s="4">
        <v>0.109</v>
      </c>
      <c r="BM61" s="4"/>
    </row>
    <row r="62" spans="1:65" x14ac:dyDescent="0.3">
      <c r="A62" s="19" t="s">
        <v>96</v>
      </c>
      <c r="B62" s="53">
        <v>1.7000000000000001E-2</v>
      </c>
      <c r="C62" s="53">
        <f t="shared" si="4"/>
        <v>2.9999999999999992E-3</v>
      </c>
      <c r="D62" s="53">
        <f t="shared" si="5"/>
        <v>0</v>
      </c>
      <c r="E62" s="53">
        <f t="shared" si="6"/>
        <v>1.4000000000000002E-2</v>
      </c>
      <c r="F62" s="15">
        <v>1.573</v>
      </c>
      <c r="G62" s="19">
        <v>2.3660000000000001</v>
      </c>
      <c r="H62" s="24" t="s">
        <v>57</v>
      </c>
      <c r="I62" t="str">
        <f>VLOOKUP(A62,Setores!$A$2:$C$215,2,0)</f>
        <v>homebuilders</v>
      </c>
      <c r="J62" t="str">
        <f>VLOOKUP(A62,Setores!$A$2:$C$215,3,0)</f>
        <v>neutral_beta</v>
      </c>
      <c r="K62" s="2">
        <v>1.7000000000000001E-2</v>
      </c>
      <c r="L62" s="2">
        <v>3.0000000000000001E-3</v>
      </c>
      <c r="M62" s="71">
        <v>63</v>
      </c>
      <c r="N62" s="41">
        <f>VLOOKUP(A62,'Mandato Smll'!$A$2:$C$215,2,0)</f>
        <v>2.4796652043266199E-2</v>
      </c>
      <c r="O62" s="58">
        <f t="shared" si="7"/>
        <v>-7.7966520432661973E-3</v>
      </c>
      <c r="P62" s="42">
        <f t="shared" si="8"/>
        <v>-7.7966520432661973E-3</v>
      </c>
      <c r="Q62" s="41">
        <f>VLOOKUP(A62,'Mandato Smll'!$A$2:$C$215,3,0)</f>
        <v>0</v>
      </c>
      <c r="R62" s="58">
        <f t="shared" si="9"/>
        <v>1.7000000000000001E-2</v>
      </c>
      <c r="S62" s="15">
        <v>-7.0999999999999994E-2</v>
      </c>
      <c r="T62" s="15">
        <v>-0.74199999999999999</v>
      </c>
      <c r="U62" s="15">
        <v>-0.29099999999999998</v>
      </c>
      <c r="V62" s="15">
        <v>0.33</v>
      </c>
      <c r="W62" s="15">
        <v>-0.255</v>
      </c>
      <c r="X62" s="15">
        <v>0.19700000000000001</v>
      </c>
      <c r="Y62" s="15">
        <v>0.27800000000000002</v>
      </c>
      <c r="Z62" s="15">
        <v>0.13600000000000001</v>
      </c>
      <c r="AA62" s="15">
        <v>0.29599999999999999</v>
      </c>
      <c r="AB62" s="15">
        <v>0.29599999999999999</v>
      </c>
      <c r="AC62" s="15">
        <v>0.76100000000000001</v>
      </c>
      <c r="AD62" s="15">
        <v>0.56399999999999995</v>
      </c>
      <c r="AE62" s="15">
        <v>0.54600000000000004</v>
      </c>
      <c r="AF62" s="14">
        <v>1</v>
      </c>
      <c r="AG62" s="15">
        <v>0.29799999999999999</v>
      </c>
      <c r="AH62" s="15">
        <v>-0.85799999999999998</v>
      </c>
      <c r="AI62" s="15">
        <v>-0.61699999999999999</v>
      </c>
      <c r="AJ62" s="15">
        <v>-0.755</v>
      </c>
      <c r="AK62" s="9">
        <v>-3.0000000000000001E-3</v>
      </c>
      <c r="AL62" s="4">
        <v>-7.3999999999999996E-2</v>
      </c>
      <c r="AM62" s="4">
        <v>0.39100000000000001</v>
      </c>
      <c r="AN62" s="4">
        <v>-0.874</v>
      </c>
      <c r="AO62" s="4">
        <v>0.27</v>
      </c>
      <c r="AP62" s="4">
        <v>-0.32900000000000001</v>
      </c>
      <c r="AQ62" s="4">
        <v>-0.57299999999999995</v>
      </c>
      <c r="AR62" s="4">
        <v>0.38800000000000001</v>
      </c>
      <c r="AS62" s="4">
        <v>0.33400000000000002</v>
      </c>
      <c r="AT62" s="4">
        <v>4.2999999999999997E-2</v>
      </c>
      <c r="AU62" s="4">
        <v>1</v>
      </c>
      <c r="AV62" s="4">
        <v>-5.2999999999999999E-2</v>
      </c>
      <c r="AW62" s="4">
        <v>0.85599999999999998</v>
      </c>
      <c r="AX62" s="4">
        <v>0.111</v>
      </c>
      <c r="AY62" s="4">
        <v>0.34</v>
      </c>
      <c r="AZ62" s="4">
        <v>0.76900000000000002</v>
      </c>
      <c r="BA62" s="4">
        <v>0.98499999999999999</v>
      </c>
      <c r="BB62" s="4">
        <v>0.35499999999999998</v>
      </c>
      <c r="BC62" s="4">
        <v>-0.81399999999999995</v>
      </c>
      <c r="BD62" s="4">
        <v>-0.158</v>
      </c>
      <c r="BE62" s="4">
        <v>0.20200000000000001</v>
      </c>
      <c r="BF62" s="4">
        <v>0.13300000000000001</v>
      </c>
      <c r="BG62" s="4">
        <v>-0.20699999999999999</v>
      </c>
      <c r="BH62" s="4">
        <v>1E-3</v>
      </c>
      <c r="BI62" s="4">
        <v>-0.94399999999999995</v>
      </c>
      <c r="BJ62" s="4">
        <v>0.30399999999999999</v>
      </c>
      <c r="BK62" s="4">
        <v>-0.53100000000000003</v>
      </c>
      <c r="BL62" s="4">
        <v>-0.35799999999999998</v>
      </c>
      <c r="BM62" s="4"/>
    </row>
    <row r="63" spans="1:65" x14ac:dyDescent="0.3">
      <c r="A63" s="19" t="s">
        <v>188</v>
      </c>
      <c r="B63" s="53">
        <v>0</v>
      </c>
      <c r="C63" s="53">
        <f t="shared" si="4"/>
        <v>0</v>
      </c>
      <c r="D63" s="53">
        <f t="shared" si="5"/>
        <v>-0.02</v>
      </c>
      <c r="E63" s="53">
        <f t="shared" si="6"/>
        <v>0</v>
      </c>
      <c r="F63" s="15">
        <v>1.4990000000000001</v>
      </c>
      <c r="G63" s="19">
        <v>1.881</v>
      </c>
      <c r="H63" s="24" t="s">
        <v>55</v>
      </c>
      <c r="I63" t="str">
        <f>VLOOKUP(A63,Setores!$A$2:$C$215,2,0)</f>
        <v>utilities</v>
      </c>
      <c r="J63" t="str">
        <f>VLOOKUP(A63,Setores!$A$2:$C$215,3,0)</f>
        <v>high_beta</v>
      </c>
      <c r="K63" s="2">
        <v>0.02</v>
      </c>
      <c r="L63" s="2">
        <v>0.02</v>
      </c>
      <c r="M63" s="71">
        <v>33</v>
      </c>
      <c r="N63" s="41">
        <f>VLOOKUP(A63,'Mandato Smll'!$A$2:$C$215,2,0)</f>
        <v>6.6701234298108198E-3</v>
      </c>
      <c r="O63" s="58">
        <f t="shared" si="7"/>
        <v>1.3329876570189182E-2</v>
      </c>
      <c r="P63" s="42">
        <f t="shared" si="8"/>
        <v>-6.6701234298108198E-3</v>
      </c>
      <c r="Q63" s="41">
        <f>VLOOKUP(A63,'Mandato Smll'!$A$2:$C$215,3,0)</f>
        <v>1.1843952122430701E-2</v>
      </c>
      <c r="R63" s="58">
        <f t="shared" si="9"/>
        <v>8.1560478775692998E-3</v>
      </c>
      <c r="S63" s="15">
        <v>-0.214</v>
      </c>
      <c r="T63" s="15">
        <v>-0.21</v>
      </c>
      <c r="U63" s="15">
        <v>-0.80400000000000005</v>
      </c>
      <c r="V63" s="15">
        <v>-0.109</v>
      </c>
      <c r="W63" s="15">
        <v>-0.51500000000000001</v>
      </c>
      <c r="X63" s="15">
        <v>0.17399999999999999</v>
      </c>
      <c r="Y63" s="15">
        <v>0.36199999999999999</v>
      </c>
      <c r="Z63" s="15">
        <v>-2.9000000000000001E-2</v>
      </c>
      <c r="AA63" s="15">
        <v>0.40500000000000003</v>
      </c>
      <c r="AB63" s="15">
        <v>0.40699999999999997</v>
      </c>
      <c r="AC63" s="15">
        <v>0.80400000000000005</v>
      </c>
      <c r="AD63" s="15">
        <v>0.81799999999999995</v>
      </c>
      <c r="AE63" s="15">
        <v>0.72799999999999998</v>
      </c>
      <c r="AF63" s="14">
        <v>-0.42899999999999999</v>
      </c>
      <c r="AG63" s="15">
        <v>-0.252</v>
      </c>
      <c r="AH63" s="15">
        <v>0.14899999999999999</v>
      </c>
      <c r="AI63" s="15">
        <v>-1</v>
      </c>
      <c r="AJ63" s="15">
        <v>-0.65</v>
      </c>
      <c r="AK63" s="9">
        <v>-0.84599999999999997</v>
      </c>
      <c r="AL63" s="4">
        <v>-0.378</v>
      </c>
      <c r="AM63" s="4">
        <v>-0.33600000000000002</v>
      </c>
      <c r="AN63" s="4">
        <v>-0.55300000000000005</v>
      </c>
      <c r="AO63" s="4">
        <v>-0.317</v>
      </c>
      <c r="AP63" s="4">
        <v>0.41299999999999998</v>
      </c>
      <c r="AQ63" s="4">
        <v>0.52900000000000003</v>
      </c>
      <c r="AR63" s="4">
        <v>0.46899999999999997</v>
      </c>
      <c r="AS63" s="4">
        <v>1</v>
      </c>
      <c r="AT63" s="4">
        <v>0.65</v>
      </c>
      <c r="AU63" s="4">
        <v>-0.216</v>
      </c>
      <c r="AV63" s="4">
        <v>2E-3</v>
      </c>
      <c r="AW63" s="4">
        <v>0.17899999999999999</v>
      </c>
      <c r="AX63" s="4">
        <v>0.33</v>
      </c>
      <c r="AY63" s="4">
        <v>-0.58199999999999996</v>
      </c>
      <c r="AZ63" s="4">
        <v>0.63900000000000001</v>
      </c>
      <c r="BA63" s="4">
        <v>0.43</v>
      </c>
      <c r="BB63" s="4">
        <v>0.80500000000000005</v>
      </c>
      <c r="BC63" s="4">
        <v>-7.3999999999999996E-2</v>
      </c>
      <c r="BD63" s="4">
        <v>-0.29499999999999998</v>
      </c>
      <c r="BE63" s="4">
        <v>0.70899999999999996</v>
      </c>
      <c r="BF63" s="4">
        <v>0.24199999999999999</v>
      </c>
      <c r="BG63" s="4">
        <v>0.61399999999999999</v>
      </c>
      <c r="BH63" s="4">
        <v>0.753</v>
      </c>
      <c r="BI63" s="4">
        <v>-0.71899999999999997</v>
      </c>
      <c r="BJ63" s="4">
        <v>9.7000000000000003E-2</v>
      </c>
      <c r="BK63" s="4">
        <v>0.21299999999999999</v>
      </c>
      <c r="BL63" s="4">
        <v>-1</v>
      </c>
      <c r="BM63" s="4"/>
    </row>
    <row r="64" spans="1:65" x14ac:dyDescent="0.3">
      <c r="A64" s="19" t="s">
        <v>93</v>
      </c>
      <c r="B64" s="53">
        <v>0.03</v>
      </c>
      <c r="C64" s="53">
        <f t="shared" si="4"/>
        <v>-1.0999999999999996E-2</v>
      </c>
      <c r="D64" s="53">
        <f t="shared" si="5"/>
        <v>4.0000000000000001E-3</v>
      </c>
      <c r="E64" s="53">
        <f t="shared" si="6"/>
        <v>4.0999999999999995E-2</v>
      </c>
      <c r="F64" s="15">
        <v>1.488</v>
      </c>
      <c r="G64" s="19">
        <v>3.1890000000000001</v>
      </c>
      <c r="H64" s="24" t="s">
        <v>55</v>
      </c>
      <c r="I64" t="str">
        <f>VLOOKUP(A64,Setores!$A$2:$C$215,2,0)</f>
        <v>real_estate</v>
      </c>
      <c r="J64" t="str">
        <f>VLOOKUP(A64,Setores!$A$2:$C$215,3,0)</f>
        <v>high_beta</v>
      </c>
      <c r="K64" s="2">
        <v>2.5999999999999999E-2</v>
      </c>
      <c r="L64" s="2">
        <v>-1.4999999999999999E-2</v>
      </c>
      <c r="M64" s="71">
        <v>36</v>
      </c>
      <c r="N64" s="41">
        <f>VLOOKUP(A64,'Mandato Smll'!$A$2:$C$215,2,0)</f>
        <v>3.7046877925402899E-2</v>
      </c>
      <c r="O64" s="58">
        <f t="shared" si="7"/>
        <v>-1.10468779254029E-2</v>
      </c>
      <c r="P64" s="42">
        <f t="shared" si="8"/>
        <v>-7.0468779254029001E-3</v>
      </c>
      <c r="Q64" s="41">
        <f>VLOOKUP(A64,'Mandato Smll'!$A$2:$C$215,3,0)</f>
        <v>0</v>
      </c>
      <c r="R64" s="58">
        <f t="shared" si="9"/>
        <v>2.5999999999999999E-2</v>
      </c>
      <c r="S64" s="15">
        <v>-0.26300000000000001</v>
      </c>
      <c r="T64" s="15">
        <v>-0.16400000000000001</v>
      </c>
      <c r="U64" s="15">
        <v>-0.69699999999999995</v>
      </c>
      <c r="V64" s="15">
        <v>-0.217</v>
      </c>
      <c r="W64" s="15">
        <v>-0.44500000000000001</v>
      </c>
      <c r="X64" s="15">
        <v>0.25700000000000001</v>
      </c>
      <c r="Y64" s="15">
        <v>0.68600000000000005</v>
      </c>
      <c r="Z64" s="15">
        <v>-1.2999999999999999E-2</v>
      </c>
      <c r="AA64" s="15">
        <v>0.314</v>
      </c>
      <c r="AB64" s="15">
        <v>0.313</v>
      </c>
      <c r="AC64" s="15">
        <v>0.77</v>
      </c>
      <c r="AD64" s="15">
        <v>0.76400000000000001</v>
      </c>
      <c r="AE64" s="15">
        <v>0.624</v>
      </c>
      <c r="AF64" s="14">
        <v>-8.5000000000000006E-2</v>
      </c>
      <c r="AG64" s="15">
        <v>-0.38500000000000001</v>
      </c>
      <c r="AH64" s="15">
        <v>-3.6999999999999998E-2</v>
      </c>
      <c r="AI64" s="15">
        <v>-0.76800000000000002</v>
      </c>
      <c r="AJ64" s="15">
        <v>-0.25</v>
      </c>
      <c r="AK64" s="9">
        <v>-0.53100000000000003</v>
      </c>
      <c r="AL64" s="4">
        <v>-0.11700000000000001</v>
      </c>
      <c r="AM64" s="4">
        <v>-0.122</v>
      </c>
      <c r="AN64" s="4">
        <v>-0.53400000000000003</v>
      </c>
      <c r="AO64" s="4">
        <v>0.129</v>
      </c>
      <c r="AP64" s="4">
        <v>0.129</v>
      </c>
      <c r="AQ64" s="4">
        <v>0.32900000000000001</v>
      </c>
      <c r="AR64" s="4">
        <v>-0.251</v>
      </c>
      <c r="AS64" s="4">
        <v>0.27800000000000002</v>
      </c>
      <c r="AT64" s="4">
        <v>-0.41399999999999998</v>
      </c>
      <c r="AU64" s="4">
        <v>-0.10299999999999999</v>
      </c>
      <c r="AV64" s="4">
        <v>0.81200000000000006</v>
      </c>
      <c r="AW64" s="4">
        <v>0.20599999999999999</v>
      </c>
      <c r="AX64" s="4">
        <v>0.316</v>
      </c>
      <c r="AY64" s="4">
        <v>0.29399999999999998</v>
      </c>
      <c r="AZ64" s="4">
        <v>0.51</v>
      </c>
      <c r="BA64" s="4">
        <v>0.45300000000000001</v>
      </c>
      <c r="BB64" s="4">
        <v>-0.314</v>
      </c>
      <c r="BC64" s="4">
        <v>0.216</v>
      </c>
      <c r="BD64" s="4">
        <v>0.216</v>
      </c>
      <c r="BE64" s="4">
        <v>0.503</v>
      </c>
      <c r="BF64" s="4">
        <v>-0.108</v>
      </c>
      <c r="BG64" s="4">
        <v>-0.22600000000000001</v>
      </c>
      <c r="BH64" s="4">
        <v>0.76100000000000001</v>
      </c>
      <c r="BI64" s="4">
        <v>-0.45700000000000002</v>
      </c>
      <c r="BJ64" s="4">
        <v>0.38200000000000001</v>
      </c>
      <c r="BK64" s="4">
        <v>-0.60699999999999998</v>
      </c>
      <c r="BL64" s="4">
        <v>-0.40400000000000003</v>
      </c>
      <c r="BM64" s="4"/>
    </row>
    <row r="65" spans="1:65" x14ac:dyDescent="0.3">
      <c r="A65" s="19" t="s">
        <v>131</v>
      </c>
      <c r="B65" s="53">
        <v>1.4999999999999999E-2</v>
      </c>
      <c r="C65" s="53">
        <f t="shared" si="4"/>
        <v>5.000000000000001E-3</v>
      </c>
      <c r="D65" s="53">
        <f t="shared" si="5"/>
        <v>4.0000000000000001E-3</v>
      </c>
      <c r="E65" s="53">
        <f t="shared" si="6"/>
        <v>9.9999999999999985E-3</v>
      </c>
      <c r="F65" s="15">
        <v>1.4590000000000001</v>
      </c>
      <c r="G65" s="19">
        <v>2.0939999999999999</v>
      </c>
      <c r="H65" s="24" t="s">
        <v>71</v>
      </c>
      <c r="I65" t="str">
        <f>VLOOKUP(A65,Setores!$A$2:$C$215,2,0)</f>
        <v>crude_oil</v>
      </c>
      <c r="J65" t="str">
        <f>VLOOKUP(A65,Setores!$A$2:$C$215,3,0)</f>
        <v>very_low_beta</v>
      </c>
      <c r="K65" s="2">
        <v>1.0999999999999999E-2</v>
      </c>
      <c r="L65" s="2">
        <v>1E-3</v>
      </c>
      <c r="M65" s="71">
        <v>70</v>
      </c>
      <c r="N65" s="41">
        <f>VLOOKUP(A65,'Mandato Smll'!$A$2:$C$215,2,0)</f>
        <v>1.6610321696079001E-2</v>
      </c>
      <c r="O65" s="58">
        <f t="shared" si="7"/>
        <v>-5.6103216960790014E-3</v>
      </c>
      <c r="P65" s="42">
        <f t="shared" si="8"/>
        <v>-1.6103216960790014E-3</v>
      </c>
      <c r="Q65" s="41">
        <f>VLOOKUP(A65,'Mandato Smll'!$A$2:$C$215,3,0)</f>
        <v>2.8655760170652401E-2</v>
      </c>
      <c r="R65" s="58">
        <f t="shared" si="9"/>
        <v>-1.7655760170652401E-2</v>
      </c>
      <c r="S65" s="15">
        <v>-0.62</v>
      </c>
      <c r="T65" s="15">
        <v>0.30199999999999999</v>
      </c>
      <c r="U65" s="15">
        <v>-0.76900000000000002</v>
      </c>
      <c r="V65" s="15">
        <v>-0.52400000000000002</v>
      </c>
      <c r="W65" s="15">
        <v>-0.27400000000000002</v>
      </c>
      <c r="X65" s="15">
        <v>-0.13800000000000001</v>
      </c>
      <c r="Y65" s="15">
        <v>-0.11700000000000001</v>
      </c>
      <c r="Z65" s="15">
        <v>0.36699999999999999</v>
      </c>
      <c r="AA65" s="15">
        <v>0.54200000000000004</v>
      </c>
      <c r="AB65" s="15">
        <v>0.54200000000000004</v>
      </c>
      <c r="AC65" s="15">
        <v>0.503</v>
      </c>
      <c r="AD65" s="15">
        <v>0.63200000000000001</v>
      </c>
      <c r="AE65" s="15">
        <v>0.76700000000000002</v>
      </c>
      <c r="AF65" s="14">
        <v>-0.84599999999999997</v>
      </c>
      <c r="AG65" s="15">
        <v>-0.82899999999999996</v>
      </c>
      <c r="AH65" s="15">
        <v>1</v>
      </c>
      <c r="AI65" s="15">
        <v>-0.27500000000000002</v>
      </c>
      <c r="AJ65" s="15">
        <v>0.75</v>
      </c>
      <c r="AK65" s="9">
        <v>-0.72099999999999997</v>
      </c>
      <c r="AL65" s="4">
        <v>-0.316</v>
      </c>
      <c r="AM65" s="4">
        <v>0.35799999999999998</v>
      </c>
      <c r="AN65" s="4">
        <v>-0.127</v>
      </c>
      <c r="AO65" s="4">
        <v>0.03</v>
      </c>
      <c r="AP65" s="4">
        <v>0.496</v>
      </c>
      <c r="AQ65" s="4">
        <v>0.98299999999999998</v>
      </c>
      <c r="AR65" s="4">
        <v>-0.51100000000000001</v>
      </c>
      <c r="AS65" s="4">
        <v>-0.16</v>
      </c>
      <c r="AT65" s="4">
        <v>-0.52100000000000002</v>
      </c>
      <c r="AU65" s="4">
        <v>2E-3</v>
      </c>
      <c r="AV65" s="4">
        <v>8.7999999999999995E-2</v>
      </c>
      <c r="AW65" s="4">
        <v>-0.79800000000000004</v>
      </c>
      <c r="AX65" s="4">
        <v>0.33800000000000002</v>
      </c>
      <c r="AY65" s="4">
        <v>0.156</v>
      </c>
      <c r="AZ65" s="4">
        <v>0.80400000000000005</v>
      </c>
      <c r="BA65" s="4">
        <v>0.28100000000000003</v>
      </c>
      <c r="BB65" s="4">
        <v>-0.17499999999999999</v>
      </c>
      <c r="BC65" s="4">
        <v>-8.1000000000000003E-2</v>
      </c>
      <c r="BD65" s="4">
        <v>-0.47399999999999998</v>
      </c>
      <c r="BE65" s="4">
        <v>-0.24199999999999999</v>
      </c>
      <c r="BF65" s="4">
        <v>-0.22900000000000001</v>
      </c>
      <c r="BG65" s="4">
        <v>2.8000000000000001E-2</v>
      </c>
      <c r="BH65" s="4">
        <v>0.48299999999999998</v>
      </c>
      <c r="BI65" s="4">
        <v>-0.13600000000000001</v>
      </c>
      <c r="BJ65" s="4">
        <v>-0.95699999999999996</v>
      </c>
      <c r="BK65" s="4">
        <v>-0.49</v>
      </c>
      <c r="BL65" s="4">
        <v>0.46500000000000002</v>
      </c>
      <c r="BM65" s="4"/>
    </row>
    <row r="66" spans="1:65" x14ac:dyDescent="0.3">
      <c r="A66" s="19" t="s">
        <v>201</v>
      </c>
      <c r="B66" s="53">
        <v>0.01</v>
      </c>
      <c r="C66" s="53">
        <f t="shared" si="4"/>
        <v>0.01</v>
      </c>
      <c r="D66" s="53">
        <f t="shared" si="5"/>
        <v>0</v>
      </c>
      <c r="E66" s="53">
        <f t="shared" si="6"/>
        <v>0</v>
      </c>
      <c r="F66" s="15">
        <v>1.44</v>
      </c>
      <c r="G66" s="19">
        <v>1.081</v>
      </c>
      <c r="H66" s="24" t="s">
        <v>71</v>
      </c>
      <c r="I66" t="str">
        <f>VLOOKUP(A66,Setores!$A$2:$C$215,2,0)</f>
        <v>food</v>
      </c>
      <c r="J66" t="str">
        <f>VLOOKUP(A66,Setores!$A$2:$C$215,3,0)</f>
        <v>very_low_beta</v>
      </c>
      <c r="K66" s="2">
        <v>0.01</v>
      </c>
      <c r="L66" s="2">
        <v>0.01</v>
      </c>
      <c r="M66" s="71">
        <v>80</v>
      </c>
      <c r="N66" s="41">
        <f>VLOOKUP(A66,'Mandato Smll'!$A$2:$C$215,2,0)</f>
        <v>6.4069295791555096E-3</v>
      </c>
      <c r="O66" s="58">
        <f t="shared" si="7"/>
        <v>3.5930704208444906E-3</v>
      </c>
      <c r="P66" s="42">
        <f t="shared" si="8"/>
        <v>3.5930704208444906E-3</v>
      </c>
      <c r="Q66" s="41">
        <f>VLOOKUP(A66,'Mandato Smll'!$A$2:$C$215,3,0)</f>
        <v>0</v>
      </c>
      <c r="R66" s="58">
        <f t="shared" si="9"/>
        <v>0.01</v>
      </c>
      <c r="S66" s="15">
        <v>2E-3</v>
      </c>
      <c r="T66" s="15">
        <v>0.64300000000000002</v>
      </c>
      <c r="U66" s="15">
        <v>0.04</v>
      </c>
      <c r="V66" s="15">
        <v>-0.309</v>
      </c>
      <c r="W66" s="15">
        <v>0.13300000000000001</v>
      </c>
      <c r="X66" s="15">
        <v>-0.26200000000000001</v>
      </c>
      <c r="Y66" s="15">
        <v>-0.55800000000000005</v>
      </c>
      <c r="Z66" s="15">
        <v>-0.47699999999999998</v>
      </c>
      <c r="AA66" s="15">
        <v>0.34100000000000003</v>
      </c>
      <c r="AB66" s="15">
        <v>0.34200000000000003</v>
      </c>
      <c r="AC66" s="15">
        <v>0.96299999999999997</v>
      </c>
      <c r="AD66" s="15">
        <v>1</v>
      </c>
      <c r="AE66" s="15">
        <v>0.90600000000000003</v>
      </c>
      <c r="AF66" s="14">
        <v>-0.151</v>
      </c>
      <c r="AG66" s="15">
        <v>-0.185</v>
      </c>
      <c r="AH66" s="15">
        <v>0.86899999999999999</v>
      </c>
      <c r="AI66" s="15">
        <v>0.80900000000000005</v>
      </c>
      <c r="AJ66" s="15">
        <v>0.67</v>
      </c>
      <c r="AK66" s="9">
        <v>-0.65700000000000003</v>
      </c>
      <c r="AL66" s="4">
        <v>0.33100000000000002</v>
      </c>
      <c r="AM66" s="4">
        <v>-0.86399999999999999</v>
      </c>
      <c r="AN66" s="4">
        <v>0.44900000000000001</v>
      </c>
      <c r="AO66" s="4">
        <v>-0.16700000000000001</v>
      </c>
      <c r="AP66" s="4">
        <v>-2.9000000000000001E-2</v>
      </c>
      <c r="AQ66" s="4">
        <v>0.52200000000000002</v>
      </c>
      <c r="AR66" s="4">
        <v>-1</v>
      </c>
      <c r="AS66" s="4">
        <v>0.91700000000000004</v>
      </c>
      <c r="AT66" s="4">
        <v>7.0000000000000007E-2</v>
      </c>
      <c r="AU66" s="4">
        <v>-0.21199999999999999</v>
      </c>
      <c r="AV66" s="4">
        <v>-0.39800000000000002</v>
      </c>
      <c r="AW66" s="4">
        <v>-0.26200000000000001</v>
      </c>
      <c r="AX66" s="4">
        <v>0.22600000000000001</v>
      </c>
      <c r="AY66" s="4">
        <v>-0.13200000000000001</v>
      </c>
      <c r="AZ66" s="4">
        <v>-3.9E-2</v>
      </c>
      <c r="BA66" s="4">
        <v>-0.92500000000000004</v>
      </c>
      <c r="BB66" s="4">
        <v>0.72</v>
      </c>
      <c r="BC66" s="4">
        <v>3.4000000000000002E-2</v>
      </c>
      <c r="BD66" s="4">
        <v>6.4000000000000001E-2</v>
      </c>
      <c r="BE66" s="4">
        <v>2.3E-2</v>
      </c>
      <c r="BF66" s="4">
        <v>1.7000000000000001E-2</v>
      </c>
      <c r="BG66" s="4">
        <v>0.33900000000000002</v>
      </c>
      <c r="BH66" s="4">
        <v>0.39700000000000002</v>
      </c>
      <c r="BI66" s="4">
        <v>0.44400000000000001</v>
      </c>
      <c r="BJ66" s="4">
        <v>-0.56799999999999995</v>
      </c>
      <c r="BK66" s="4">
        <v>0.627</v>
      </c>
      <c r="BL66" s="4">
        <v>0.82799999999999996</v>
      </c>
      <c r="BM66" s="4"/>
    </row>
    <row r="67" spans="1:65" x14ac:dyDescent="0.3">
      <c r="A67" s="19" t="s">
        <v>184</v>
      </c>
      <c r="B67" s="53">
        <v>0</v>
      </c>
      <c r="C67" s="53">
        <f t="shared" si="4"/>
        <v>0</v>
      </c>
      <c r="D67" s="53">
        <f t="shared" si="5"/>
        <v>0</v>
      </c>
      <c r="E67" s="53">
        <f t="shared" si="6"/>
        <v>0</v>
      </c>
      <c r="F67" s="15">
        <v>1.4330000000000001</v>
      </c>
      <c r="G67" s="19">
        <v>1.7310000000000001</v>
      </c>
      <c r="H67" s="24" t="s">
        <v>57</v>
      </c>
      <c r="I67" t="str">
        <f>VLOOKUP(A67,Setores!$A$2:$C$215,2,0)</f>
        <v>financial_services</v>
      </c>
      <c r="J67" t="str">
        <f>VLOOKUP(A67,Setores!$A$2:$C$215,3,0)</f>
        <v>very_high_beta</v>
      </c>
      <c r="K67" s="2">
        <v>0</v>
      </c>
      <c r="L67" s="2">
        <v>0</v>
      </c>
      <c r="M67" s="71">
        <v>8</v>
      </c>
      <c r="N67" s="41">
        <f>VLOOKUP(A67,'Mandato Smll'!$A$2:$C$215,2,0)</f>
        <v>0</v>
      </c>
      <c r="O67" s="58">
        <f t="shared" si="7"/>
        <v>0</v>
      </c>
      <c r="P67" s="42">
        <f t="shared" si="8"/>
        <v>0</v>
      </c>
      <c r="Q67" s="41">
        <f>VLOOKUP(A67,'Mandato Smll'!$A$2:$C$215,3,0)</f>
        <v>0</v>
      </c>
      <c r="R67" s="58">
        <f t="shared" si="9"/>
        <v>0</v>
      </c>
      <c r="S67" s="15">
        <v>-0.18099999999999999</v>
      </c>
      <c r="T67" s="15">
        <v>-0.20100000000000001</v>
      </c>
      <c r="U67" s="15">
        <v>-0.82499999999999996</v>
      </c>
      <c r="V67" s="15">
        <v>-3.6999999999999998E-2</v>
      </c>
      <c r="W67" s="15">
        <v>-0.53400000000000003</v>
      </c>
      <c r="X67" s="15">
        <v>0.22600000000000001</v>
      </c>
      <c r="Y67" s="15">
        <v>0.749</v>
      </c>
      <c r="Z67" s="15">
        <v>-0.17499999999999999</v>
      </c>
      <c r="AA67" s="15">
        <v>0.39500000000000002</v>
      </c>
      <c r="AB67" s="15">
        <v>0.39600000000000002</v>
      </c>
      <c r="AC67" s="15">
        <v>0.70099999999999996</v>
      </c>
      <c r="AD67" s="15">
        <v>0.72399999999999998</v>
      </c>
      <c r="AE67" s="15">
        <v>0.626</v>
      </c>
      <c r="AF67" s="14">
        <v>-3.1E-2</v>
      </c>
      <c r="AG67" s="15">
        <v>-0.59599999999999997</v>
      </c>
      <c r="AH67" s="15">
        <v>-0.32</v>
      </c>
      <c r="AI67" s="15">
        <v>-0.999</v>
      </c>
      <c r="AJ67" s="15">
        <v>-0.751</v>
      </c>
      <c r="AK67" s="9">
        <v>-0.73599999999999999</v>
      </c>
      <c r="AL67" s="4">
        <v>-0.38</v>
      </c>
      <c r="AM67" s="4">
        <v>-0.52900000000000003</v>
      </c>
      <c r="AN67" s="4">
        <v>-0.998</v>
      </c>
      <c r="AO67" s="4">
        <v>-0.20499999999999999</v>
      </c>
      <c r="AP67" s="4">
        <v>0.314</v>
      </c>
      <c r="AQ67" s="4">
        <v>0.40799999999999997</v>
      </c>
      <c r="AR67" s="4">
        <v>0.22500000000000001</v>
      </c>
      <c r="AS67" s="4">
        <v>0.435</v>
      </c>
      <c r="AT67" s="4">
        <v>0.78</v>
      </c>
      <c r="AU67" s="4">
        <v>0.45200000000000001</v>
      </c>
      <c r="AV67" s="4">
        <v>1</v>
      </c>
      <c r="AW67" s="4">
        <v>0.74</v>
      </c>
      <c r="AX67" s="4">
        <v>-2.1000000000000001E-2</v>
      </c>
      <c r="AY67" s="4">
        <v>0.161</v>
      </c>
      <c r="AZ67" s="4">
        <v>0.17699999999999999</v>
      </c>
      <c r="BA67" s="4">
        <v>-6.9000000000000006E-2</v>
      </c>
      <c r="BB67" s="4">
        <v>0.44600000000000001</v>
      </c>
      <c r="BC67" s="4">
        <v>0.23699999999999999</v>
      </c>
      <c r="BD67" s="4">
        <v>0.28000000000000003</v>
      </c>
      <c r="BE67" s="4">
        <v>0.41099999999999998</v>
      </c>
      <c r="BF67" s="4">
        <v>3.9E-2</v>
      </c>
      <c r="BG67" s="4">
        <v>0.23300000000000001</v>
      </c>
      <c r="BH67" s="4">
        <v>0.90600000000000003</v>
      </c>
      <c r="BI67" s="4">
        <v>-0.35799999999999998</v>
      </c>
      <c r="BJ67" s="4">
        <v>0.315</v>
      </c>
      <c r="BK67" s="4">
        <v>-0.504</v>
      </c>
      <c r="BL67" s="4">
        <v>-0.78900000000000003</v>
      </c>
      <c r="BM67" s="4"/>
    </row>
    <row r="68" spans="1:65" x14ac:dyDescent="0.3">
      <c r="A68" s="19" t="s">
        <v>205</v>
      </c>
      <c r="B68" s="53">
        <v>1.9E-2</v>
      </c>
      <c r="C68" s="53">
        <f t="shared" si="4"/>
        <v>1.9E-2</v>
      </c>
      <c r="D68" s="53">
        <f t="shared" si="5"/>
        <v>0</v>
      </c>
      <c r="E68" s="53">
        <f t="shared" si="6"/>
        <v>0</v>
      </c>
      <c r="F68" s="15">
        <v>1.381</v>
      </c>
      <c r="G68" s="19">
        <v>1.661</v>
      </c>
      <c r="H68" s="24" t="s">
        <v>57</v>
      </c>
      <c r="I68" t="str">
        <f>VLOOKUP(A68,Setores!$A$2:$C$215,2,0)</f>
        <v>consumer_services</v>
      </c>
      <c r="J68" t="str">
        <f>VLOOKUP(A68,Setores!$A$2:$C$215,3,0)</f>
        <v>low_beta</v>
      </c>
      <c r="K68" s="2">
        <v>1.9E-2</v>
      </c>
      <c r="L68" s="2">
        <v>1.9E-2</v>
      </c>
      <c r="M68" s="71">
        <v>20</v>
      </c>
      <c r="N68" s="41">
        <f>VLOOKUP(A68,'Mandato Smll'!$A$2:$C$215,2,0)</f>
        <v>6.14568481657709E-3</v>
      </c>
      <c r="O68" s="58">
        <f t="shared" si="7"/>
        <v>1.285431518342291E-2</v>
      </c>
      <c r="P68" s="42">
        <f t="shared" si="8"/>
        <v>1.285431518342291E-2</v>
      </c>
      <c r="Q68" s="41">
        <f>VLOOKUP(A68,'Mandato Smll'!$A$2:$C$215,3,0)</f>
        <v>1.4229128070366101E-2</v>
      </c>
      <c r="R68" s="58">
        <f t="shared" si="9"/>
        <v>4.7708719296338988E-3</v>
      </c>
      <c r="S68" s="15">
        <v>-0.39900000000000002</v>
      </c>
      <c r="T68" s="15">
        <v>-0.157</v>
      </c>
      <c r="U68" s="15">
        <v>-0.88600000000000001</v>
      </c>
      <c r="V68" s="15">
        <v>-8.7999999999999995E-2</v>
      </c>
      <c r="W68" s="15">
        <v>-0.48199999999999998</v>
      </c>
      <c r="X68" s="15">
        <v>-0.26500000000000001</v>
      </c>
      <c r="Y68" s="15">
        <v>-0.34799999999999998</v>
      </c>
      <c r="Z68" s="15">
        <v>0.10299999999999999</v>
      </c>
      <c r="AA68" s="15">
        <v>0.64300000000000002</v>
      </c>
      <c r="AB68" s="15">
        <v>0.64500000000000002</v>
      </c>
      <c r="AC68" s="15">
        <v>0.72599999999999998</v>
      </c>
      <c r="AD68" s="15">
        <v>0.8</v>
      </c>
      <c r="AE68" s="15">
        <v>0.81</v>
      </c>
      <c r="AF68" s="14">
        <v>-0.46899999999999997</v>
      </c>
      <c r="AG68" s="15">
        <v>-0.34799999999999998</v>
      </c>
      <c r="AH68" s="15">
        <v>0.52900000000000003</v>
      </c>
      <c r="AI68" s="15">
        <v>-0.92200000000000004</v>
      </c>
      <c r="AJ68" s="15">
        <v>-0.39800000000000002</v>
      </c>
      <c r="AK68" s="9">
        <v>-0.97</v>
      </c>
      <c r="AL68" s="4">
        <v>-4.8000000000000001E-2</v>
      </c>
      <c r="AM68" s="4">
        <v>-0.378</v>
      </c>
      <c r="AN68" s="4">
        <v>-0.65100000000000002</v>
      </c>
      <c r="AO68" s="4">
        <v>-0.28000000000000003</v>
      </c>
      <c r="AP68" s="4">
        <v>0.70699999999999996</v>
      </c>
      <c r="AQ68" s="4">
        <v>0.44400000000000001</v>
      </c>
      <c r="AR68" s="4">
        <v>0.27800000000000002</v>
      </c>
      <c r="AS68" s="4">
        <v>0.88500000000000001</v>
      </c>
      <c r="AT68" s="4">
        <v>0.39700000000000002</v>
      </c>
      <c r="AU68" s="4">
        <v>0.52900000000000003</v>
      </c>
      <c r="AV68" s="4">
        <v>-0.61599999999999999</v>
      </c>
      <c r="AW68" s="4">
        <v>-7.0000000000000001E-3</v>
      </c>
      <c r="AX68" s="4">
        <v>0.184</v>
      </c>
      <c r="AY68" s="4">
        <v>-0.36699999999999999</v>
      </c>
      <c r="AZ68" s="4">
        <v>0.53200000000000003</v>
      </c>
      <c r="BA68" s="4">
        <v>0.57799999999999996</v>
      </c>
      <c r="BB68" s="4">
        <v>-4.2999999999999997E-2</v>
      </c>
      <c r="BC68" s="4">
        <v>-0.11700000000000001</v>
      </c>
      <c r="BD68" s="4">
        <v>0.11899999999999999</v>
      </c>
      <c r="BE68" s="4">
        <v>0.78100000000000003</v>
      </c>
      <c r="BF68" s="4">
        <v>-0.87</v>
      </c>
      <c r="BG68" s="4">
        <v>-0.64600000000000002</v>
      </c>
      <c r="BH68" s="4">
        <v>0.41699999999999998</v>
      </c>
      <c r="BI68" s="4">
        <v>-0.70099999999999996</v>
      </c>
      <c r="BJ68" s="4">
        <v>-0.314</v>
      </c>
      <c r="BK68" s="4">
        <v>-0.41099999999999998</v>
      </c>
      <c r="BL68" s="4">
        <v>-0.57699999999999996</v>
      </c>
      <c r="BM68" s="4"/>
    </row>
    <row r="69" spans="1:65" x14ac:dyDescent="0.3">
      <c r="A69" s="19" t="s">
        <v>153</v>
      </c>
      <c r="B69" s="53">
        <v>1.7999999999999999E-2</v>
      </c>
      <c r="C69" s="53">
        <f t="shared" si="4"/>
        <v>1.7999999999999999E-2</v>
      </c>
      <c r="D69" s="53">
        <f t="shared" si="5"/>
        <v>0</v>
      </c>
      <c r="E69" s="53">
        <f t="shared" si="6"/>
        <v>0</v>
      </c>
      <c r="F69" s="15">
        <v>1.349</v>
      </c>
      <c r="G69" s="19">
        <v>1.444</v>
      </c>
      <c r="H69" s="24" t="s">
        <v>57</v>
      </c>
      <c r="I69" t="str">
        <f>VLOOKUP(A69,Setores!$A$2:$C$215,2,0)</f>
        <v>consumer_services</v>
      </c>
      <c r="J69" t="str">
        <f>VLOOKUP(A69,Setores!$A$2:$C$215,3,0)</f>
        <v>very_low_beta</v>
      </c>
      <c r="K69" s="2">
        <v>1.7999999999999999E-2</v>
      </c>
      <c r="L69" s="2">
        <v>1.7999999999999999E-2</v>
      </c>
      <c r="M69" s="71">
        <v>22</v>
      </c>
      <c r="N69" s="41">
        <f>VLOOKUP(A69,'Mandato Smll'!$A$2:$C$215,2,0)</f>
        <v>6.00028078699577E-3</v>
      </c>
      <c r="O69" s="58">
        <f t="shared" si="7"/>
        <v>1.1999719213004228E-2</v>
      </c>
      <c r="P69" s="42">
        <f t="shared" si="8"/>
        <v>1.1999719213004228E-2</v>
      </c>
      <c r="Q69" s="41">
        <f>VLOOKUP(A69,'Mandato Smll'!$A$2:$C$215,3,0)</f>
        <v>1.1762547525581301E-2</v>
      </c>
      <c r="R69" s="58">
        <f t="shared" si="9"/>
        <v>6.237452474418698E-3</v>
      </c>
      <c r="S69" s="15">
        <v>-0.41199999999999998</v>
      </c>
      <c r="T69" s="15">
        <v>-8.7999999999999995E-2</v>
      </c>
      <c r="U69" s="15">
        <v>-0.88500000000000001</v>
      </c>
      <c r="V69" s="15">
        <v>-0.13400000000000001</v>
      </c>
      <c r="W69" s="15">
        <v>-0.45200000000000001</v>
      </c>
      <c r="X69" s="15">
        <v>-0.253</v>
      </c>
      <c r="Y69" s="15">
        <v>-0.24299999999999999</v>
      </c>
      <c r="Z69" s="15">
        <v>1.6E-2</v>
      </c>
      <c r="AA69" s="15">
        <v>0.66700000000000004</v>
      </c>
      <c r="AB69" s="15">
        <v>0.66900000000000004</v>
      </c>
      <c r="AC69" s="15">
        <v>0.54100000000000004</v>
      </c>
      <c r="AD69" s="15">
        <v>0.83399999999999996</v>
      </c>
      <c r="AE69" s="15">
        <v>0.82899999999999996</v>
      </c>
      <c r="AF69" s="14">
        <v>-0.63800000000000001</v>
      </c>
      <c r="AG69" s="15">
        <v>-0.309</v>
      </c>
      <c r="AH69" s="15">
        <v>0.70699999999999996</v>
      </c>
      <c r="AI69" s="15">
        <v>-0.91300000000000003</v>
      </c>
      <c r="AJ69" s="15">
        <v>-0.27600000000000002</v>
      </c>
      <c r="AK69" s="9">
        <v>-0.93300000000000005</v>
      </c>
      <c r="AL69" s="4">
        <v>-9.5000000000000001E-2</v>
      </c>
      <c r="AM69" s="4">
        <v>-0.46300000000000002</v>
      </c>
      <c r="AN69" s="4">
        <v>-0.64400000000000002</v>
      </c>
      <c r="AO69" s="4">
        <v>0.10199999999999999</v>
      </c>
      <c r="AP69" s="4">
        <v>0.70599999999999996</v>
      </c>
      <c r="AQ69" s="4">
        <v>0.65</v>
      </c>
      <c r="AR69" s="4">
        <v>0.315</v>
      </c>
      <c r="AS69" s="4">
        <v>0.71699999999999997</v>
      </c>
      <c r="AT69" s="4">
        <v>0.41799999999999998</v>
      </c>
      <c r="AU69" s="4">
        <v>0.54700000000000004</v>
      </c>
      <c r="AV69" s="4">
        <v>-0.61899999999999999</v>
      </c>
      <c r="AW69" s="4">
        <v>-0.122</v>
      </c>
      <c r="AX69" s="4">
        <v>9.7000000000000003E-2</v>
      </c>
      <c r="AY69" s="4">
        <v>-0.154</v>
      </c>
      <c r="AZ69" s="4">
        <v>0.89800000000000002</v>
      </c>
      <c r="BA69" s="4">
        <v>-0.25800000000000001</v>
      </c>
      <c r="BB69" s="4">
        <v>0.57999999999999996</v>
      </c>
      <c r="BC69" s="4">
        <v>-0.51400000000000001</v>
      </c>
      <c r="BD69" s="4">
        <v>-0.501</v>
      </c>
      <c r="BE69" s="4">
        <v>0.52900000000000003</v>
      </c>
      <c r="BF69" s="4">
        <v>-0.70099999999999996</v>
      </c>
      <c r="BG69" s="4">
        <v>-0.16500000000000001</v>
      </c>
      <c r="BH69" s="4">
        <v>0.68600000000000005</v>
      </c>
      <c r="BI69" s="4">
        <v>-0.52900000000000003</v>
      </c>
      <c r="BJ69" s="4">
        <v>-0.57899999999999996</v>
      </c>
      <c r="BK69" s="4">
        <v>-0.17799999999999999</v>
      </c>
      <c r="BL69" s="4">
        <v>-0.502</v>
      </c>
      <c r="BM69" s="4"/>
    </row>
    <row r="70" spans="1:65" x14ac:dyDescent="0.3">
      <c r="A70" s="19" t="s">
        <v>152</v>
      </c>
      <c r="B70" s="53">
        <v>1.7000000000000001E-2</v>
      </c>
      <c r="C70" s="53">
        <f t="shared" si="4"/>
        <v>6.9999999999999993E-3</v>
      </c>
      <c r="D70" s="53">
        <f t="shared" si="5"/>
        <v>0</v>
      </c>
      <c r="E70" s="53">
        <f t="shared" si="6"/>
        <v>1.0000000000000002E-2</v>
      </c>
      <c r="F70" s="15">
        <v>1.3220000000000001</v>
      </c>
      <c r="G70" s="19">
        <v>1.1220000000000001</v>
      </c>
      <c r="H70" s="24" t="s">
        <v>57</v>
      </c>
      <c r="I70" t="str">
        <f>VLOOKUP(A70,Setores!$A$2:$C$215,2,0)</f>
        <v>homebuilders</v>
      </c>
      <c r="J70" t="str">
        <f>VLOOKUP(A70,Setores!$A$2:$C$215,3,0)</f>
        <v>high_beta</v>
      </c>
      <c r="K70" s="2">
        <v>1.7000000000000001E-2</v>
      </c>
      <c r="L70" s="2">
        <v>7.0000000000000001E-3</v>
      </c>
      <c r="M70" s="71">
        <v>80</v>
      </c>
      <c r="N70" s="41">
        <f>VLOOKUP(A70,'Mandato Smll'!$A$2:$C$215,2,0)</f>
        <v>1.54718026977539E-2</v>
      </c>
      <c r="O70" s="58">
        <f t="shared" si="7"/>
        <v>1.5281973022461016E-3</v>
      </c>
      <c r="P70" s="42">
        <f t="shared" si="8"/>
        <v>1.5281973022461016E-3</v>
      </c>
      <c r="Q70" s="41">
        <f>VLOOKUP(A70,'Mandato Smll'!$A$2:$C$215,3,0)</f>
        <v>3.0428073989747902E-2</v>
      </c>
      <c r="R70" s="58">
        <f t="shared" si="9"/>
        <v>-1.34280739897479E-2</v>
      </c>
      <c r="S70" s="15">
        <v>0.19</v>
      </c>
      <c r="T70" s="15">
        <v>-6.0999999999999999E-2</v>
      </c>
      <c r="U70" s="15">
        <v>-0.24199999999999999</v>
      </c>
      <c r="V70" s="15">
        <v>0.26500000000000001</v>
      </c>
      <c r="W70" s="15">
        <v>-9.6000000000000002E-2</v>
      </c>
      <c r="X70" s="15">
        <v>-0.20399999999999999</v>
      </c>
      <c r="Y70" s="15">
        <v>-0.51</v>
      </c>
      <c r="Z70" s="15">
        <v>-0.221</v>
      </c>
      <c r="AA70" s="15">
        <v>2.7E-2</v>
      </c>
      <c r="AB70" s="15">
        <v>2.4E-2</v>
      </c>
      <c r="AC70" s="15">
        <v>0.82799999999999996</v>
      </c>
      <c r="AD70" s="15">
        <v>0.76500000000000001</v>
      </c>
      <c r="AE70" s="15">
        <v>0.57699999999999996</v>
      </c>
      <c r="AF70" s="14">
        <v>0.14399999999999999</v>
      </c>
      <c r="AG70" s="15">
        <v>0.40400000000000003</v>
      </c>
      <c r="AH70" s="15">
        <v>-3.4000000000000002E-2</v>
      </c>
      <c r="AI70" s="15">
        <v>-0.53</v>
      </c>
      <c r="AJ70" s="15">
        <v>0.40400000000000003</v>
      </c>
      <c r="AK70" s="9">
        <v>0.371</v>
      </c>
      <c r="AL70" s="4">
        <v>-0.112</v>
      </c>
      <c r="AM70" s="4">
        <v>-0.752</v>
      </c>
      <c r="AN70" s="4">
        <v>-0.73699999999999999</v>
      </c>
      <c r="AO70" s="4">
        <v>0.377</v>
      </c>
      <c r="AP70" s="4">
        <v>0.26700000000000002</v>
      </c>
      <c r="AQ70" s="4">
        <v>0.214</v>
      </c>
      <c r="AR70" s="4">
        <v>1</v>
      </c>
      <c r="AS70" s="4">
        <v>0.58499999999999996</v>
      </c>
      <c r="AT70" s="4">
        <v>0.29299999999999998</v>
      </c>
      <c r="AU70" s="4">
        <v>0.47199999999999998</v>
      </c>
      <c r="AV70" s="4">
        <v>-0.23499999999999999</v>
      </c>
      <c r="AW70" s="4">
        <v>0.70199999999999996</v>
      </c>
      <c r="AX70" s="4">
        <v>-0.30399999999999999</v>
      </c>
      <c r="AY70" s="4">
        <v>1.9E-2</v>
      </c>
      <c r="AZ70" s="4">
        <v>-0.47599999999999998</v>
      </c>
      <c r="BA70" s="4">
        <v>0.85199999999999998</v>
      </c>
      <c r="BB70" s="4">
        <v>0.51900000000000002</v>
      </c>
      <c r="BC70" s="4">
        <v>-0.496</v>
      </c>
      <c r="BD70" s="4">
        <v>-0.14199999999999999</v>
      </c>
      <c r="BE70" s="4">
        <v>0.47699999999999998</v>
      </c>
      <c r="BF70" s="4">
        <v>0.11</v>
      </c>
      <c r="BG70" s="4">
        <v>-0.52200000000000002</v>
      </c>
      <c r="BH70" s="4">
        <v>-0.433</v>
      </c>
      <c r="BI70" s="4">
        <v>-0.67</v>
      </c>
      <c r="BJ70" s="4">
        <v>0.41799999999999998</v>
      </c>
      <c r="BK70" s="4">
        <v>-0.72899999999999998</v>
      </c>
      <c r="BL70" s="4">
        <v>2.5000000000000001E-2</v>
      </c>
      <c r="BM70" s="4"/>
    </row>
    <row r="71" spans="1:65" x14ac:dyDescent="0.3">
      <c r="A71" s="19" t="s">
        <v>107</v>
      </c>
      <c r="B71" s="53">
        <v>1.4999999999999999E-2</v>
      </c>
      <c r="C71" s="53">
        <f t="shared" si="4"/>
        <v>1.4999999999999999E-2</v>
      </c>
      <c r="D71" s="53">
        <f t="shared" si="5"/>
        <v>0</v>
      </c>
      <c r="E71" s="53">
        <f t="shared" si="6"/>
        <v>0</v>
      </c>
      <c r="F71" s="15">
        <v>1.3080000000000001</v>
      </c>
      <c r="G71" s="19">
        <v>1.7370000000000001</v>
      </c>
      <c r="H71" s="24" t="s">
        <v>53</v>
      </c>
      <c r="I71" t="str">
        <f>VLOOKUP(A71,Setores!$A$2:$C$215,2,0)</f>
        <v>float_financials</v>
      </c>
      <c r="J71" t="str">
        <f>VLOOKUP(A71,Setores!$A$2:$C$215,3,0)</f>
        <v>very_low_beta</v>
      </c>
      <c r="K71" s="2">
        <v>1.4999999999999999E-2</v>
      </c>
      <c r="L71" s="2">
        <v>1.4999999999999999E-2</v>
      </c>
      <c r="M71" s="71">
        <v>43</v>
      </c>
      <c r="N71" s="41">
        <f>VLOOKUP(A71,'Mandato Smll'!$A$2:$C$215,2,0)</f>
        <v>5.8197426604865397E-3</v>
      </c>
      <c r="O71" s="58">
        <f t="shared" si="7"/>
        <v>9.1802573395134597E-3</v>
      </c>
      <c r="P71" s="42">
        <f t="shared" si="8"/>
        <v>9.1802573395134597E-3</v>
      </c>
      <c r="Q71" s="41">
        <f>VLOOKUP(A71,'Mandato Smll'!$A$2:$C$215,3,0)</f>
        <v>1.17280843233109E-2</v>
      </c>
      <c r="R71" s="58">
        <f t="shared" si="9"/>
        <v>3.2719156766890991E-3</v>
      </c>
      <c r="S71" s="15">
        <v>-0.64300000000000002</v>
      </c>
      <c r="T71" s="15">
        <v>-0.5</v>
      </c>
      <c r="U71" s="15">
        <v>-0.81799999999999995</v>
      </c>
      <c r="V71" s="15">
        <v>-0.16900000000000001</v>
      </c>
      <c r="W71" s="15">
        <v>-0.45900000000000002</v>
      </c>
      <c r="X71" s="15">
        <v>-7.4999999999999997E-2</v>
      </c>
      <c r="Y71" s="15">
        <v>0.45</v>
      </c>
      <c r="Z71" s="15">
        <v>0.16500000000000001</v>
      </c>
      <c r="AA71" s="15">
        <v>0.39</v>
      </c>
      <c r="AB71" s="15">
        <v>0.39400000000000002</v>
      </c>
      <c r="AC71" s="15">
        <v>0.755</v>
      </c>
      <c r="AD71" s="15">
        <v>0.77500000000000002</v>
      </c>
      <c r="AE71" s="15">
        <v>0.66100000000000003</v>
      </c>
      <c r="AF71" s="14">
        <v>-0.246</v>
      </c>
      <c r="AG71" s="15">
        <v>-0.112</v>
      </c>
      <c r="AH71" s="15">
        <v>0.11600000000000001</v>
      </c>
      <c r="AI71" s="15">
        <v>-0.91600000000000004</v>
      </c>
      <c r="AJ71" s="15">
        <v>-0.57499999999999996</v>
      </c>
      <c r="AK71" s="9">
        <v>-0.57999999999999996</v>
      </c>
      <c r="AL71" s="4">
        <v>-0.23100000000000001</v>
      </c>
      <c r="AM71" s="4">
        <v>9.4E-2</v>
      </c>
      <c r="AN71" s="4">
        <v>-0.9</v>
      </c>
      <c r="AO71" s="4">
        <v>-0.16500000000000001</v>
      </c>
      <c r="AP71" s="4">
        <v>0.49</v>
      </c>
      <c r="AQ71" s="4">
        <v>0.34300000000000003</v>
      </c>
      <c r="AR71" s="4">
        <v>5.1999999999999998E-2</v>
      </c>
      <c r="AS71" s="4">
        <v>0.30499999999999999</v>
      </c>
      <c r="AT71" s="4">
        <v>9.9000000000000005E-2</v>
      </c>
      <c r="AU71" s="4">
        <v>0.21199999999999999</v>
      </c>
      <c r="AV71" s="4">
        <v>0.156</v>
      </c>
      <c r="AW71" s="4">
        <v>5.0999999999999997E-2</v>
      </c>
      <c r="AX71" s="4">
        <v>0.81699999999999995</v>
      </c>
      <c r="AY71" s="4">
        <v>-0.15</v>
      </c>
      <c r="AZ71" s="4">
        <v>0.85699999999999998</v>
      </c>
      <c r="BA71" s="4">
        <v>-0.66600000000000004</v>
      </c>
      <c r="BB71" s="4">
        <v>-0.157</v>
      </c>
      <c r="BC71" s="4">
        <v>-0.17799999999999999</v>
      </c>
      <c r="BD71" s="4">
        <v>-0.03</v>
      </c>
      <c r="BE71" s="4">
        <v>-0.89400000000000002</v>
      </c>
      <c r="BF71" s="4">
        <v>-0.27200000000000002</v>
      </c>
      <c r="BG71" s="4">
        <v>0.72599999999999998</v>
      </c>
      <c r="BH71" s="4">
        <v>0.84899999999999998</v>
      </c>
      <c r="BI71" s="4">
        <v>-0.63</v>
      </c>
      <c r="BJ71" s="4">
        <v>-0.379</v>
      </c>
      <c r="BK71" s="4">
        <v>0.22700000000000001</v>
      </c>
      <c r="BL71" s="4">
        <v>-0.496</v>
      </c>
      <c r="BM71" s="4"/>
    </row>
    <row r="72" spans="1:65" x14ac:dyDescent="0.3">
      <c r="A72" s="19" t="s">
        <v>123</v>
      </c>
      <c r="B72" s="53">
        <v>1.6E-2</v>
      </c>
      <c r="C72" s="53">
        <f t="shared" si="4"/>
        <v>1.6E-2</v>
      </c>
      <c r="D72" s="53">
        <f t="shared" si="5"/>
        <v>0</v>
      </c>
      <c r="E72" s="53">
        <f t="shared" si="6"/>
        <v>0</v>
      </c>
      <c r="F72" s="15">
        <v>1.306</v>
      </c>
      <c r="G72" s="19">
        <v>1.6240000000000001</v>
      </c>
      <c r="H72" s="24" t="s">
        <v>55</v>
      </c>
      <c r="I72" t="str">
        <f>VLOOKUP(A72,Setores!$A$2:$C$215,2,0)</f>
        <v>telecom</v>
      </c>
      <c r="J72" t="str">
        <f>VLOOKUP(A72,Setores!$A$2:$C$215,3,0)</f>
        <v>very_low_beta</v>
      </c>
      <c r="K72" s="2">
        <v>1.6E-2</v>
      </c>
      <c r="L72" s="2">
        <v>1.6E-2</v>
      </c>
      <c r="M72" s="71">
        <v>26</v>
      </c>
      <c r="N72" s="41">
        <f>VLOOKUP(A72,'Mandato Smll'!$A$2:$C$215,2,0)</f>
        <v>5.80980753775121E-3</v>
      </c>
      <c r="O72" s="58">
        <f t="shared" si="7"/>
        <v>1.019019246224879E-2</v>
      </c>
      <c r="P72" s="42">
        <f t="shared" si="8"/>
        <v>1.019019246224879E-2</v>
      </c>
      <c r="Q72" s="41">
        <f>VLOOKUP(A72,'Mandato Smll'!$A$2:$C$215,3,0)</f>
        <v>6.7487803863418997E-3</v>
      </c>
      <c r="R72" s="58">
        <f t="shared" si="9"/>
        <v>9.2512196136581015E-3</v>
      </c>
      <c r="S72" s="15">
        <v>-0.36099999999999999</v>
      </c>
      <c r="T72" s="15">
        <v>-0.57299999999999995</v>
      </c>
      <c r="U72" s="15">
        <v>-0.79</v>
      </c>
      <c r="V72" s="15">
        <v>-5.5E-2</v>
      </c>
      <c r="W72" s="15">
        <v>-0.57699999999999996</v>
      </c>
      <c r="X72" s="15">
        <v>0.112</v>
      </c>
      <c r="Y72" s="15">
        <v>0.38</v>
      </c>
      <c r="Z72" s="15">
        <v>-0.19400000000000001</v>
      </c>
      <c r="AA72" s="15">
        <v>0.60099999999999998</v>
      </c>
      <c r="AB72" s="15">
        <v>0.59699999999999998</v>
      </c>
      <c r="AC72" s="15">
        <v>0.77</v>
      </c>
      <c r="AD72" s="15">
        <v>0.83499999999999996</v>
      </c>
      <c r="AE72" s="15">
        <v>0.68700000000000006</v>
      </c>
      <c r="AF72" s="14">
        <v>6.0999999999999999E-2</v>
      </c>
      <c r="AG72" s="15">
        <v>-0.311</v>
      </c>
      <c r="AH72" s="15">
        <v>-0.376</v>
      </c>
      <c r="AI72" s="15">
        <v>-0.996</v>
      </c>
      <c r="AJ72" s="15">
        <v>-0.84199999999999997</v>
      </c>
      <c r="AK72" s="9">
        <v>-0.74399999999999999</v>
      </c>
      <c r="AL72" s="4">
        <v>-0.20799999999999999</v>
      </c>
      <c r="AM72" s="4">
        <v>-0.38400000000000001</v>
      </c>
      <c r="AN72" s="4">
        <v>-0.52500000000000002</v>
      </c>
      <c r="AO72" s="4">
        <v>-0.54</v>
      </c>
      <c r="AP72" s="4">
        <v>0.13400000000000001</v>
      </c>
      <c r="AQ72" s="4">
        <v>-0.14699999999999999</v>
      </c>
      <c r="AR72" s="4">
        <v>0.32900000000000001</v>
      </c>
      <c r="AS72" s="4">
        <v>0.34899999999999998</v>
      </c>
      <c r="AT72" s="4">
        <v>0.379</v>
      </c>
      <c r="AU72" s="4">
        <v>0.13500000000000001</v>
      </c>
      <c r="AV72" s="4">
        <v>0.03</v>
      </c>
      <c r="AW72" s="4">
        <v>0.77100000000000002</v>
      </c>
      <c r="AX72" s="4">
        <v>0.83699999999999997</v>
      </c>
      <c r="AY72" s="4">
        <v>-0.11</v>
      </c>
      <c r="AZ72" s="4">
        <v>0.99399999999999999</v>
      </c>
      <c r="BA72" s="4">
        <v>0.40600000000000003</v>
      </c>
      <c r="BB72" s="4">
        <v>0.72399999999999998</v>
      </c>
      <c r="BC72" s="4">
        <v>4.2000000000000003E-2</v>
      </c>
      <c r="BD72" s="4">
        <v>-3.5999999999999997E-2</v>
      </c>
      <c r="BE72" s="4">
        <v>0.54400000000000004</v>
      </c>
      <c r="BF72" s="4">
        <v>-3.5999999999999997E-2</v>
      </c>
      <c r="BG72" s="4">
        <v>0.59299999999999997</v>
      </c>
      <c r="BH72" s="4">
        <v>0.64300000000000002</v>
      </c>
      <c r="BI72" s="4">
        <v>-0.63800000000000001</v>
      </c>
      <c r="BJ72" s="4">
        <v>-0.375</v>
      </c>
      <c r="BK72" s="4">
        <v>6.9000000000000006E-2</v>
      </c>
      <c r="BL72" s="4">
        <v>-0.79800000000000004</v>
      </c>
      <c r="BM72" s="4"/>
    </row>
    <row r="73" spans="1:65" s="76" customFormat="1" x14ac:dyDescent="0.3">
      <c r="A73" s="72" t="s">
        <v>63</v>
      </c>
      <c r="B73" s="73">
        <v>2.3E-2</v>
      </c>
      <c r="C73" s="73">
        <f t="shared" si="4"/>
        <v>1.7999999999999999E-2</v>
      </c>
      <c r="D73" s="73">
        <f t="shared" si="5"/>
        <v>0</v>
      </c>
      <c r="E73" s="53">
        <f t="shared" si="6"/>
        <v>5.000000000000001E-3</v>
      </c>
      <c r="F73" s="74">
        <v>1.2529999999999999</v>
      </c>
      <c r="G73" s="72">
        <v>1.833</v>
      </c>
      <c r="H73" s="75" t="s">
        <v>57</v>
      </c>
      <c r="I73" s="76" t="str">
        <f>VLOOKUP(A73,Setores!$A$2:$C$215,2,0)</f>
        <v>apparel</v>
      </c>
      <c r="J73" s="76" t="str">
        <f>VLOOKUP(A73,Setores!$A$2:$C$215,3,0)</f>
        <v>low_beta</v>
      </c>
      <c r="K73" s="77">
        <v>2.3E-2</v>
      </c>
      <c r="L73" s="77">
        <v>1.7999999999999999E-2</v>
      </c>
      <c r="M73" s="78">
        <v>80</v>
      </c>
      <c r="N73" s="79">
        <f>VLOOKUP(A73,'Mandato Smll'!$A$2:$C$215,2,0)</f>
        <v>8.6939931193655996E-3</v>
      </c>
      <c r="O73" s="80">
        <f t="shared" si="7"/>
        <v>1.43060068806344E-2</v>
      </c>
      <c r="P73" s="81">
        <f t="shared" si="8"/>
        <v>1.43060068806344E-2</v>
      </c>
      <c r="Q73" s="79">
        <f>VLOOKUP(A73,'Mandato Smll'!$A$2:$C$215,3,0)</f>
        <v>0</v>
      </c>
      <c r="R73" s="80">
        <f t="shared" si="9"/>
        <v>2.3E-2</v>
      </c>
      <c r="S73" s="74">
        <v>-0.44600000000000001</v>
      </c>
      <c r="T73" s="74">
        <v>-0.81699999999999995</v>
      </c>
      <c r="U73" s="74">
        <v>-0.20100000000000001</v>
      </c>
      <c r="V73" s="74">
        <v>-0.23</v>
      </c>
      <c r="W73" s="74">
        <v>-0.438</v>
      </c>
      <c r="X73" s="74">
        <v>0.19800000000000001</v>
      </c>
      <c r="Y73" s="74">
        <v>0.624</v>
      </c>
      <c r="Z73" s="74">
        <v>0.05</v>
      </c>
      <c r="AA73" s="74">
        <v>0.30499999999999999</v>
      </c>
      <c r="AB73" s="74">
        <v>0.308</v>
      </c>
      <c r="AC73" s="74">
        <v>0.63700000000000001</v>
      </c>
      <c r="AD73" s="74">
        <v>0.505</v>
      </c>
      <c r="AE73" s="74">
        <v>0.44</v>
      </c>
      <c r="AF73" s="82">
        <v>0.26800000000000002</v>
      </c>
      <c r="AG73" s="74">
        <v>7.0000000000000001E-3</v>
      </c>
      <c r="AH73" s="74">
        <v>-0.93300000000000005</v>
      </c>
      <c r="AI73" s="74">
        <v>-0.23100000000000001</v>
      </c>
      <c r="AJ73" s="74">
        <v>-0.76600000000000001</v>
      </c>
      <c r="AK73" s="83">
        <v>0.24299999999999999</v>
      </c>
      <c r="AL73" s="84">
        <v>-0.251</v>
      </c>
      <c r="AM73" s="84">
        <v>1</v>
      </c>
      <c r="AN73" s="84">
        <v>-0.74399999999999999</v>
      </c>
      <c r="AO73" s="84">
        <v>0.52700000000000002</v>
      </c>
      <c r="AP73" s="84">
        <v>-0.71099999999999997</v>
      </c>
      <c r="AQ73" s="84">
        <v>-0.317</v>
      </c>
      <c r="AR73" s="84">
        <v>0.151</v>
      </c>
      <c r="AS73" s="84">
        <v>-5.6000000000000001E-2</v>
      </c>
      <c r="AT73" s="84">
        <v>-0.5</v>
      </c>
      <c r="AU73" s="84">
        <v>0.67</v>
      </c>
      <c r="AV73" s="84">
        <v>0.114</v>
      </c>
      <c r="AW73" s="84">
        <v>-1.0999999999999999E-2</v>
      </c>
      <c r="AX73" s="84">
        <v>0.42199999999999999</v>
      </c>
      <c r="AY73" s="84">
        <v>3.1E-2</v>
      </c>
      <c r="AZ73" s="84">
        <v>0.58299999999999996</v>
      </c>
      <c r="BA73" s="84">
        <v>1</v>
      </c>
      <c r="BB73" s="84">
        <v>-0.193</v>
      </c>
      <c r="BC73" s="84">
        <v>-0.79900000000000004</v>
      </c>
      <c r="BD73" s="84">
        <v>-0.77700000000000002</v>
      </c>
      <c r="BE73" s="84">
        <v>-0.51900000000000002</v>
      </c>
      <c r="BF73" s="84">
        <v>6.4000000000000001E-2</v>
      </c>
      <c r="BG73" s="84">
        <v>0.23899999999999999</v>
      </c>
      <c r="BH73" s="84">
        <v>0.752</v>
      </c>
      <c r="BI73" s="84">
        <v>-0.60299999999999998</v>
      </c>
      <c r="BJ73" s="84">
        <v>-0.17100000000000001</v>
      </c>
      <c r="BK73" s="84">
        <v>0.20899999999999999</v>
      </c>
      <c r="BL73" s="84">
        <v>0.115</v>
      </c>
      <c r="BM73" s="84"/>
    </row>
    <row r="74" spans="1:65" x14ac:dyDescent="0.3">
      <c r="A74" s="19" t="s">
        <v>76</v>
      </c>
      <c r="B74" s="53">
        <v>8.0000000000000002E-3</v>
      </c>
      <c r="C74" s="53">
        <f t="shared" ref="C74:C137" si="10">B74-E74</f>
        <v>8.0000000000000002E-3</v>
      </c>
      <c r="D74" s="53">
        <f t="shared" ref="D74:D137" si="11">B74-K74</f>
        <v>0</v>
      </c>
      <c r="E74" s="53">
        <f t="shared" ref="E74:E137" si="12">K74-L74</f>
        <v>0</v>
      </c>
      <c r="F74" s="15">
        <v>1.2310000000000001</v>
      </c>
      <c r="G74" s="19">
        <v>0.873</v>
      </c>
      <c r="H74" s="24" t="s">
        <v>57</v>
      </c>
      <c r="I74" t="str">
        <f>VLOOKUP(A74,Setores!$A$2:$C$215,2,0)</f>
        <v>homebuilders</v>
      </c>
      <c r="J74" t="str">
        <f>VLOOKUP(A74,Setores!$A$2:$C$215,3,0)</f>
        <v>very_high_beta</v>
      </c>
      <c r="K74" s="2">
        <v>8.0000000000000002E-3</v>
      </c>
      <c r="L74" s="2">
        <v>8.0000000000000002E-3</v>
      </c>
      <c r="M74" s="71">
        <v>80</v>
      </c>
      <c r="N74" s="41">
        <f>VLOOKUP(A74,'Mandato Smll'!$A$2:$C$215,2,0)</f>
        <v>5.4772535189934399E-3</v>
      </c>
      <c r="O74" s="58">
        <f t="shared" ref="O74:O137" si="13">K74-N74</f>
        <v>2.5227464810065603E-3</v>
      </c>
      <c r="P74" s="42">
        <f t="shared" ref="P74:P137" si="14">B74-N74</f>
        <v>2.5227464810065603E-3</v>
      </c>
      <c r="Q74" s="41">
        <f>VLOOKUP(A74,'Mandato Smll'!$A$2:$C$215,3,0)</f>
        <v>0</v>
      </c>
      <c r="R74" s="58">
        <f t="shared" ref="R74:R137" si="15">K74-Q74</f>
        <v>8.0000000000000002E-3</v>
      </c>
      <c r="S74" s="15">
        <v>5.5E-2</v>
      </c>
      <c r="T74" s="15">
        <v>-0.45700000000000002</v>
      </c>
      <c r="U74" s="15">
        <v>0.45700000000000002</v>
      </c>
      <c r="V74" s="15">
        <v>-0.217</v>
      </c>
      <c r="W74" s="15">
        <v>-6.5000000000000002E-2</v>
      </c>
      <c r="X74" s="15">
        <v>-6.4000000000000001E-2</v>
      </c>
      <c r="Y74" s="15">
        <v>-3.1E-2</v>
      </c>
      <c r="Z74" s="15">
        <v>-0.34899999999999998</v>
      </c>
      <c r="AA74" s="15">
        <v>4.2999999999999997E-2</v>
      </c>
      <c r="AB74" s="15">
        <v>4.1000000000000002E-2</v>
      </c>
      <c r="AC74" s="15">
        <v>0.79600000000000004</v>
      </c>
      <c r="AD74" s="15">
        <v>0.58199999999999996</v>
      </c>
      <c r="AE74" s="15">
        <v>0.52400000000000002</v>
      </c>
      <c r="AF74" s="14">
        <v>-9.2999999999999999E-2</v>
      </c>
      <c r="AG74" s="15">
        <v>0.84799999999999998</v>
      </c>
      <c r="AH74" s="15">
        <v>-0.68799999999999994</v>
      </c>
      <c r="AI74" s="15">
        <v>0.66100000000000003</v>
      </c>
      <c r="AJ74" s="15">
        <v>-0.27200000000000002</v>
      </c>
      <c r="AK74" s="9">
        <v>0.29799999999999999</v>
      </c>
      <c r="AL74" s="4">
        <v>-2.8000000000000001E-2</v>
      </c>
      <c r="AM74" s="4">
        <v>0.30199999999999999</v>
      </c>
      <c r="AN74" s="4">
        <v>-0.20599999999999999</v>
      </c>
      <c r="AO74" s="4">
        <v>0.70399999999999996</v>
      </c>
      <c r="AP74" s="4">
        <v>-0.47099999999999997</v>
      </c>
      <c r="AQ74" s="4">
        <v>-1</v>
      </c>
      <c r="AR74" s="4">
        <v>0.42799999999999999</v>
      </c>
      <c r="AS74" s="4">
        <v>-1.7000000000000001E-2</v>
      </c>
      <c r="AT74" s="4">
        <v>-0.37</v>
      </c>
      <c r="AU74" s="4">
        <v>-1.2E-2</v>
      </c>
      <c r="AV74" s="4">
        <v>-9.8000000000000004E-2</v>
      </c>
      <c r="AW74" s="4">
        <v>-0.28199999999999997</v>
      </c>
      <c r="AX74" s="4">
        <v>-0.32500000000000001</v>
      </c>
      <c r="AY74" s="4">
        <v>5.2999999999999999E-2</v>
      </c>
      <c r="AZ74" s="4">
        <v>0.63</v>
      </c>
      <c r="BA74" s="4">
        <v>0.254</v>
      </c>
      <c r="BB74" s="4">
        <v>0.66600000000000004</v>
      </c>
      <c r="BC74" s="4">
        <v>4.7E-2</v>
      </c>
      <c r="BD74" s="4">
        <v>-0.106</v>
      </c>
      <c r="BE74" s="4">
        <v>0.245</v>
      </c>
      <c r="BF74" s="4">
        <v>1</v>
      </c>
      <c r="BG74" s="4">
        <v>0.47299999999999998</v>
      </c>
      <c r="BH74" s="4">
        <v>0.32300000000000001</v>
      </c>
      <c r="BI74" s="4">
        <v>-0.38200000000000001</v>
      </c>
      <c r="BJ74" s="4">
        <v>0.71399999999999997</v>
      </c>
      <c r="BK74" s="4">
        <v>0.79700000000000004</v>
      </c>
      <c r="BL74" s="4">
        <v>0.52500000000000002</v>
      </c>
      <c r="BM74" s="4"/>
    </row>
    <row r="75" spans="1:65" x14ac:dyDescent="0.3">
      <c r="A75" s="19" t="s">
        <v>166</v>
      </c>
      <c r="B75" s="53">
        <v>1.6E-2</v>
      </c>
      <c r="C75" s="53">
        <f t="shared" si="10"/>
        <v>1.6E-2</v>
      </c>
      <c r="D75" s="53">
        <f t="shared" si="11"/>
        <v>0</v>
      </c>
      <c r="E75" s="53">
        <f t="shared" si="12"/>
        <v>0</v>
      </c>
      <c r="F75" s="15">
        <v>1.228</v>
      </c>
      <c r="G75" s="19">
        <v>1.2649999999999999</v>
      </c>
      <c r="H75" s="24" t="s">
        <v>55</v>
      </c>
      <c r="I75" t="str">
        <f>VLOOKUP(A75,Setores!$A$2:$C$215,2,0)</f>
        <v>utilities</v>
      </c>
      <c r="J75" t="str">
        <f>VLOOKUP(A75,Setores!$A$2:$C$215,3,0)</f>
        <v>very_low_beta</v>
      </c>
      <c r="K75" s="2">
        <v>1.6E-2</v>
      </c>
      <c r="L75" s="2">
        <v>1.6E-2</v>
      </c>
      <c r="M75" s="71">
        <v>80</v>
      </c>
      <c r="N75" s="41">
        <f>VLOOKUP(A75,'Mandato Smll'!$A$2:$C$215,2,0)</f>
        <v>5.4626879582518597E-3</v>
      </c>
      <c r="O75" s="58">
        <f t="shared" si="13"/>
        <v>1.053731204174814E-2</v>
      </c>
      <c r="P75" s="42">
        <f t="shared" si="14"/>
        <v>1.053731204174814E-2</v>
      </c>
      <c r="Q75" s="41">
        <f>VLOOKUP(A75,'Mandato Smll'!$A$2:$C$215,3,0)</f>
        <v>1.1012845909273299E-2</v>
      </c>
      <c r="R75" s="58">
        <f t="shared" si="15"/>
        <v>4.987154090726701E-3</v>
      </c>
      <c r="S75" s="15">
        <v>-0.68600000000000005</v>
      </c>
      <c r="T75" s="15">
        <v>-0.32100000000000001</v>
      </c>
      <c r="U75" s="15">
        <v>-0.82399999999999995</v>
      </c>
      <c r="V75" s="15">
        <v>-0.503</v>
      </c>
      <c r="W75" s="15">
        <v>-0.56200000000000006</v>
      </c>
      <c r="X75" s="15">
        <v>-0.26100000000000001</v>
      </c>
      <c r="Y75" s="15">
        <v>-0.107</v>
      </c>
      <c r="Z75" s="15">
        <v>0.217</v>
      </c>
      <c r="AA75" s="15">
        <v>0.61</v>
      </c>
      <c r="AB75" s="15">
        <v>0.61399999999999999</v>
      </c>
      <c r="AC75" s="15">
        <v>0.65300000000000002</v>
      </c>
      <c r="AD75" s="15">
        <v>0.748</v>
      </c>
      <c r="AE75" s="15">
        <v>0.72099999999999997</v>
      </c>
      <c r="AF75" s="14">
        <v>-0.83</v>
      </c>
      <c r="AG75" s="15">
        <v>-0.77</v>
      </c>
      <c r="AH75" s="15">
        <v>0.54100000000000004</v>
      </c>
      <c r="AI75" s="15">
        <v>-0.91100000000000003</v>
      </c>
      <c r="AJ75" s="15">
        <v>-0.38500000000000001</v>
      </c>
      <c r="AK75" s="9">
        <v>-0.96199999999999997</v>
      </c>
      <c r="AL75" s="4">
        <v>-0.32400000000000001</v>
      </c>
      <c r="AM75" s="4">
        <v>0.185</v>
      </c>
      <c r="AN75" s="4">
        <v>-0.52200000000000002</v>
      </c>
      <c r="AO75" s="4">
        <v>-0.58899999999999997</v>
      </c>
      <c r="AP75" s="4">
        <v>0.52400000000000002</v>
      </c>
      <c r="AQ75" s="4">
        <v>0.99199999999999999</v>
      </c>
      <c r="AR75" s="4">
        <v>-0.23799999999999999</v>
      </c>
      <c r="AS75" s="4">
        <v>0.187</v>
      </c>
      <c r="AT75" s="4">
        <v>-0.246</v>
      </c>
      <c r="AU75" s="4">
        <v>0.2</v>
      </c>
      <c r="AV75" s="4">
        <v>-0.33100000000000002</v>
      </c>
      <c r="AW75" s="4">
        <v>-0.54600000000000004</v>
      </c>
      <c r="AX75" s="4">
        <v>0.58799999999999997</v>
      </c>
      <c r="AY75" s="4">
        <v>-0.59699999999999998</v>
      </c>
      <c r="AZ75" s="4">
        <v>0.85299999999999998</v>
      </c>
      <c r="BA75" s="4">
        <v>0.56599999999999995</v>
      </c>
      <c r="BB75" s="4">
        <v>0.10299999999999999</v>
      </c>
      <c r="BC75" s="4">
        <v>-0.432</v>
      </c>
      <c r="BD75" s="4">
        <v>-0.66500000000000004</v>
      </c>
      <c r="BE75" s="4">
        <v>0.23499999999999999</v>
      </c>
      <c r="BF75" s="4">
        <v>3.1E-2</v>
      </c>
      <c r="BG75" s="4">
        <v>-0.13400000000000001</v>
      </c>
      <c r="BH75" s="4">
        <v>0.54</v>
      </c>
      <c r="BI75" s="4">
        <v>-0.53200000000000003</v>
      </c>
      <c r="BJ75" s="4">
        <v>-0.40899999999999997</v>
      </c>
      <c r="BK75" s="4">
        <v>0.95199999999999996</v>
      </c>
      <c r="BL75" s="4">
        <v>-0.378</v>
      </c>
      <c r="BM75" s="4"/>
    </row>
    <row r="76" spans="1:65" x14ac:dyDescent="0.3">
      <c r="A76" s="19" t="s">
        <v>110</v>
      </c>
      <c r="B76" s="53">
        <v>0</v>
      </c>
      <c r="C76" s="53">
        <f t="shared" si="10"/>
        <v>0</v>
      </c>
      <c r="D76" s="53">
        <f t="shared" si="11"/>
        <v>-1.9E-2</v>
      </c>
      <c r="E76" s="53">
        <f t="shared" si="12"/>
        <v>0</v>
      </c>
      <c r="F76" s="15">
        <v>1.1910000000000001</v>
      </c>
      <c r="G76" s="19">
        <v>1.6459999999999999</v>
      </c>
      <c r="H76" s="24" t="s">
        <v>57</v>
      </c>
      <c r="I76" t="str">
        <f>VLOOKUP(A76,Setores!$A$2:$C$215,2,0)</f>
        <v>banks</v>
      </c>
      <c r="J76" t="str">
        <f>VLOOKUP(A76,Setores!$A$2:$C$215,3,0)</f>
        <v>low_beta</v>
      </c>
      <c r="K76" s="2">
        <v>1.9E-2</v>
      </c>
      <c r="L76" s="2">
        <v>1.9E-2</v>
      </c>
      <c r="M76" s="71">
        <v>80</v>
      </c>
      <c r="N76" s="41">
        <f>VLOOKUP(A76,'Mandato Smll'!$A$2:$C$215,2,0)</f>
        <v>5.3004663802665598E-3</v>
      </c>
      <c r="O76" s="58">
        <f t="shared" si="13"/>
        <v>1.369953361973344E-2</v>
      </c>
      <c r="P76" s="42">
        <f t="shared" si="14"/>
        <v>-5.3004663802665598E-3</v>
      </c>
      <c r="Q76" s="41">
        <f>VLOOKUP(A76,'Mandato Smll'!$A$2:$C$215,3,0)</f>
        <v>1.0142589635836001E-2</v>
      </c>
      <c r="R76" s="58">
        <f t="shared" si="15"/>
        <v>8.8574103641639989E-3</v>
      </c>
      <c r="S76" s="15">
        <v>-0.748</v>
      </c>
      <c r="T76" s="15">
        <v>-0.55700000000000005</v>
      </c>
      <c r="U76" s="15">
        <v>-0.86899999999999999</v>
      </c>
      <c r="V76" s="15">
        <v>-0.34499999999999997</v>
      </c>
      <c r="W76" s="15">
        <v>-0.56499999999999995</v>
      </c>
      <c r="X76" s="15">
        <v>-0.28499999999999998</v>
      </c>
      <c r="Y76" s="15">
        <v>-3.1E-2</v>
      </c>
      <c r="Z76" s="15">
        <v>0.20699999999999999</v>
      </c>
      <c r="AA76" s="15">
        <v>0.61599999999999999</v>
      </c>
      <c r="AB76" s="15">
        <v>0.61499999999999999</v>
      </c>
      <c r="AC76" s="15">
        <v>0.76300000000000001</v>
      </c>
      <c r="AD76" s="15">
        <v>0.78100000000000003</v>
      </c>
      <c r="AE76" s="15">
        <v>0.69499999999999995</v>
      </c>
      <c r="AF76" s="14">
        <v>-0.58399999999999996</v>
      </c>
      <c r="AG76" s="15">
        <v>9.6000000000000002E-2</v>
      </c>
      <c r="AH76" s="15">
        <v>0.36</v>
      </c>
      <c r="AI76" s="15">
        <v>-0.94799999999999995</v>
      </c>
      <c r="AJ76" s="15">
        <v>-0.74399999999999999</v>
      </c>
      <c r="AK76" s="9">
        <v>-0.96099999999999997</v>
      </c>
      <c r="AL76" s="4">
        <v>-0.247</v>
      </c>
      <c r="AM76" s="4">
        <v>0.13500000000000001</v>
      </c>
      <c r="AN76" s="4">
        <v>-0.55700000000000005</v>
      </c>
      <c r="AO76" s="4">
        <v>-0.193</v>
      </c>
      <c r="AP76" s="4">
        <v>0.56699999999999995</v>
      </c>
      <c r="AQ76" s="4">
        <v>7.3999999999999996E-2</v>
      </c>
      <c r="AR76" s="4">
        <v>0.23400000000000001</v>
      </c>
      <c r="AS76" s="4">
        <v>0.26900000000000002</v>
      </c>
      <c r="AT76" s="4">
        <v>-0.112</v>
      </c>
      <c r="AU76" s="4">
        <v>-8.1000000000000003E-2</v>
      </c>
      <c r="AV76" s="4">
        <v>-0.222</v>
      </c>
      <c r="AW76" s="4">
        <v>-0.20899999999999999</v>
      </c>
      <c r="AX76" s="4">
        <v>0.47399999999999998</v>
      </c>
      <c r="AY76" s="4">
        <v>-0.45300000000000001</v>
      </c>
      <c r="AZ76" s="4">
        <v>0.16200000000000001</v>
      </c>
      <c r="BA76" s="4">
        <v>0.61199999999999999</v>
      </c>
      <c r="BB76" s="4">
        <v>-0.46200000000000002</v>
      </c>
      <c r="BC76" s="4">
        <v>-0.34100000000000003</v>
      </c>
      <c r="BD76" s="4">
        <v>-0.317</v>
      </c>
      <c r="BE76" s="4">
        <v>-0.82699999999999996</v>
      </c>
      <c r="BF76" s="4">
        <v>-9.1999999999999998E-2</v>
      </c>
      <c r="BG76" s="4">
        <v>-3.5999999999999997E-2</v>
      </c>
      <c r="BH76" s="4">
        <v>0.82</v>
      </c>
      <c r="BI76" s="4">
        <v>-0.82899999999999996</v>
      </c>
      <c r="BJ76" s="4">
        <v>-0.22900000000000001</v>
      </c>
      <c r="BK76" s="4">
        <v>0.34300000000000003</v>
      </c>
      <c r="BL76" s="4">
        <v>-0.93899999999999995</v>
      </c>
      <c r="BM76" s="4"/>
    </row>
    <row r="77" spans="1:65" x14ac:dyDescent="0.3">
      <c r="A77" s="19" t="s">
        <v>598</v>
      </c>
      <c r="B77" s="53">
        <v>1.2999999999999999E-2</v>
      </c>
      <c r="C77" s="53">
        <f t="shared" si="10"/>
        <v>2E-3</v>
      </c>
      <c r="D77" s="53">
        <f t="shared" si="11"/>
        <v>2E-3</v>
      </c>
      <c r="E77" s="53">
        <f t="shared" si="12"/>
        <v>1.0999999999999999E-2</v>
      </c>
      <c r="F77" s="15">
        <v>1.1519999999999999</v>
      </c>
      <c r="G77" s="19">
        <v>1.472</v>
      </c>
      <c r="H77" s="24" t="s">
        <v>53</v>
      </c>
      <c r="I77" t="str">
        <f>VLOOKUP(A77,Setores!$A$2:$C$215,2,0)</f>
        <v>healthcare</v>
      </c>
      <c r="J77" t="str">
        <f>VLOOKUP(A77,Setores!$A$2:$C$215,3,0)</f>
        <v>low_beta</v>
      </c>
      <c r="K77" s="2">
        <v>1.0999999999999999E-2</v>
      </c>
      <c r="L77" s="2">
        <v>0</v>
      </c>
      <c r="M77" s="71">
        <v>80</v>
      </c>
      <c r="N77" s="41">
        <f>VLOOKUP(A77,'Mandato Smll'!$A$2:$C$215,2,0)</f>
        <v>1.3710622167563099E-2</v>
      </c>
      <c r="O77" s="58">
        <f t="shared" si="13"/>
        <v>-2.7106221675630999E-3</v>
      </c>
      <c r="P77" s="42">
        <f t="shared" si="14"/>
        <v>-7.1062216756309984E-4</v>
      </c>
      <c r="Q77" s="41">
        <f>VLOOKUP(A77,'Mandato Smll'!$A$2:$C$215,3,0)</f>
        <v>2.68385389447422E-2</v>
      </c>
      <c r="R77" s="58">
        <f t="shared" si="15"/>
        <v>-1.58385389447422E-2</v>
      </c>
      <c r="S77" s="15">
        <v>-0.45</v>
      </c>
      <c r="T77" s="15">
        <v>-0.51100000000000001</v>
      </c>
      <c r="U77" s="15">
        <v>-0.71599999999999997</v>
      </c>
      <c r="V77" s="15">
        <v>-0.20599999999999999</v>
      </c>
      <c r="W77" s="15">
        <v>-0.52700000000000002</v>
      </c>
      <c r="X77" s="15">
        <v>-0.13600000000000001</v>
      </c>
      <c r="Y77" s="15">
        <v>6.5000000000000002E-2</v>
      </c>
      <c r="Z77" s="15">
        <v>3.7999999999999999E-2</v>
      </c>
      <c r="AA77" s="15">
        <v>0.29699999999999999</v>
      </c>
      <c r="AB77" s="15">
        <v>0.29799999999999999</v>
      </c>
      <c r="AC77" s="15">
        <v>0.59099999999999997</v>
      </c>
      <c r="AD77" s="15">
        <v>0.66100000000000003</v>
      </c>
      <c r="AE77" s="15">
        <v>0.626</v>
      </c>
      <c r="AF77" s="14">
        <v>-3.3000000000000002E-2</v>
      </c>
      <c r="AG77" s="15">
        <v>-0.84499999999999997</v>
      </c>
      <c r="AH77" s="15">
        <v>-0.31900000000000001</v>
      </c>
      <c r="AI77" s="15">
        <v>-0.98699999999999999</v>
      </c>
      <c r="AJ77" s="15">
        <v>-0.49099999999999999</v>
      </c>
      <c r="AK77" s="9">
        <v>-0.441</v>
      </c>
      <c r="AL77" s="4">
        <v>-0.50700000000000001</v>
      </c>
      <c r="AM77" s="4">
        <v>-0.122</v>
      </c>
      <c r="AN77" s="4">
        <v>-0.94599999999999995</v>
      </c>
      <c r="AO77" s="4">
        <v>-0.94799999999999995</v>
      </c>
      <c r="AP77" s="4">
        <v>0.35499999999999998</v>
      </c>
      <c r="AQ77" s="4">
        <v>0.98599999999999999</v>
      </c>
      <c r="AR77" s="4">
        <v>-9.6000000000000002E-2</v>
      </c>
      <c r="AS77" s="4">
        <v>0.187</v>
      </c>
      <c r="AT77" s="4">
        <v>-0.7</v>
      </c>
      <c r="AU77" s="4">
        <v>0.96</v>
      </c>
      <c r="AV77" s="4">
        <v>-3.9E-2</v>
      </c>
      <c r="AW77" s="4">
        <v>0.90800000000000003</v>
      </c>
      <c r="AX77" s="4">
        <v>0.73199999999999998</v>
      </c>
      <c r="AY77" s="4">
        <v>0.66600000000000004</v>
      </c>
      <c r="AZ77" s="4">
        <v>0.64700000000000002</v>
      </c>
      <c r="BA77" s="4">
        <v>0.41399999999999998</v>
      </c>
      <c r="BB77" s="4">
        <v>0.999</v>
      </c>
      <c r="BC77" s="4">
        <v>0.224</v>
      </c>
      <c r="BD77" s="4">
        <v>9.4E-2</v>
      </c>
      <c r="BE77" s="4">
        <v>-0.876</v>
      </c>
      <c r="BF77" s="4">
        <v>-4.7E-2</v>
      </c>
      <c r="BG77" s="4">
        <v>-0.38600000000000001</v>
      </c>
      <c r="BH77" s="4">
        <v>0.19400000000000001</v>
      </c>
      <c r="BI77" s="4">
        <v>-0.47499999999999998</v>
      </c>
      <c r="BJ77" s="4">
        <v>-0.19900000000000001</v>
      </c>
      <c r="BK77" s="4">
        <v>0.114</v>
      </c>
      <c r="BL77" s="4">
        <v>-0.73699999999999999</v>
      </c>
      <c r="BM77" s="4"/>
    </row>
    <row r="78" spans="1:65" x14ac:dyDescent="0.3">
      <c r="A78" s="19" t="s">
        <v>160</v>
      </c>
      <c r="B78" s="53">
        <v>0</v>
      </c>
      <c r="C78" s="53">
        <f t="shared" si="10"/>
        <v>0</v>
      </c>
      <c r="D78" s="53">
        <f t="shared" si="11"/>
        <v>-1.2E-2</v>
      </c>
      <c r="E78" s="53">
        <f t="shared" si="12"/>
        <v>0</v>
      </c>
      <c r="F78" s="15">
        <v>1.151</v>
      </c>
      <c r="G78" s="19">
        <v>0.83799999999999997</v>
      </c>
      <c r="H78" s="24" t="s">
        <v>57</v>
      </c>
      <c r="I78" t="str">
        <f>VLOOKUP(A78,Setores!$A$2:$C$215,2,0)</f>
        <v>financial_services</v>
      </c>
      <c r="J78" t="str">
        <f>VLOOKUP(A78,Setores!$A$2:$C$215,3,0)</f>
        <v>neutral_beta</v>
      </c>
      <c r="K78" s="2">
        <v>1.2E-2</v>
      </c>
      <c r="L78" s="2">
        <v>1.2E-2</v>
      </c>
      <c r="M78" s="71">
        <v>80</v>
      </c>
      <c r="N78" s="41">
        <f>VLOOKUP(A78,'Mandato Smll'!$A$2:$C$215,2,0)</f>
        <v>5.1207962235238604E-3</v>
      </c>
      <c r="O78" s="58">
        <f t="shared" si="13"/>
        <v>6.8792037764761399E-3</v>
      </c>
      <c r="P78" s="42">
        <f t="shared" si="14"/>
        <v>-5.1207962235238604E-3</v>
      </c>
      <c r="Q78" s="41">
        <f>VLOOKUP(A78,'Mandato Smll'!$A$2:$C$215,3,0)</f>
        <v>0</v>
      </c>
      <c r="R78" s="58">
        <f t="shared" si="15"/>
        <v>1.2E-2</v>
      </c>
      <c r="S78" s="15">
        <v>-0.11700000000000001</v>
      </c>
      <c r="T78" s="15">
        <v>-0.14199999999999999</v>
      </c>
      <c r="U78" s="15">
        <v>-0.17599999999999999</v>
      </c>
      <c r="V78" s="15">
        <v>-0.16500000000000001</v>
      </c>
      <c r="W78" s="15">
        <v>-0.17799999999999999</v>
      </c>
      <c r="X78" s="15">
        <v>-0.34399999999999997</v>
      </c>
      <c r="Y78" s="15">
        <v>-0.32</v>
      </c>
      <c r="Z78" s="15">
        <v>-0.502</v>
      </c>
      <c r="AA78" s="15">
        <v>0.45300000000000001</v>
      </c>
      <c r="AB78" s="15">
        <v>0.45</v>
      </c>
      <c r="AC78" s="15">
        <v>0.81599999999999995</v>
      </c>
      <c r="AD78" s="15">
        <v>1</v>
      </c>
      <c r="AE78" s="15">
        <v>0.67200000000000004</v>
      </c>
      <c r="AF78" s="14">
        <v>-0.156</v>
      </c>
      <c r="AG78" s="15">
        <v>0.70199999999999996</v>
      </c>
      <c r="AH78" s="15">
        <v>-0.19900000000000001</v>
      </c>
      <c r="AI78" s="15">
        <v>-0.47799999999999998</v>
      </c>
      <c r="AJ78" s="15">
        <v>-0.82599999999999996</v>
      </c>
      <c r="AK78" s="9">
        <v>-0.55000000000000004</v>
      </c>
      <c r="AL78" s="4">
        <v>0.42899999999999999</v>
      </c>
      <c r="AM78" s="4">
        <v>-0.48399999999999999</v>
      </c>
      <c r="AN78" s="4">
        <v>-3.4000000000000002E-2</v>
      </c>
      <c r="AO78" s="4">
        <v>0.95299999999999996</v>
      </c>
      <c r="AP78" s="4">
        <v>-0.218</v>
      </c>
      <c r="AQ78" s="4">
        <v>-6.3E-2</v>
      </c>
      <c r="AR78" s="4">
        <v>5.6000000000000001E-2</v>
      </c>
      <c r="AS78" s="4">
        <v>0.26300000000000001</v>
      </c>
      <c r="AT78" s="4">
        <v>-7.2999999999999995E-2</v>
      </c>
      <c r="AU78" s="4">
        <v>0.17799999999999999</v>
      </c>
      <c r="AV78" s="4">
        <v>0.40799999999999997</v>
      </c>
      <c r="AW78" s="4">
        <v>-0.39200000000000002</v>
      </c>
      <c r="AX78" s="4">
        <v>4.2000000000000003E-2</v>
      </c>
      <c r="AY78" s="4">
        <v>-0.16500000000000001</v>
      </c>
      <c r="AZ78" s="4">
        <v>8.8999999999999996E-2</v>
      </c>
      <c r="BA78" s="4">
        <v>-1.4E-2</v>
      </c>
      <c r="BB78" s="4">
        <v>-0.02</v>
      </c>
      <c r="BC78" s="4">
        <v>-5.3999999999999999E-2</v>
      </c>
      <c r="BD78" s="4">
        <v>0.24399999999999999</v>
      </c>
      <c r="BE78" s="4">
        <v>0.33600000000000002</v>
      </c>
      <c r="BF78" s="4">
        <v>8.9999999999999993E-3</v>
      </c>
      <c r="BG78" s="4">
        <v>0.437</v>
      </c>
      <c r="BH78" s="4">
        <v>-0.24</v>
      </c>
      <c r="BI78" s="4">
        <v>0.27400000000000002</v>
      </c>
      <c r="BJ78" s="4">
        <v>-0.16500000000000001</v>
      </c>
      <c r="BK78" s="4">
        <v>0.99199999999999999</v>
      </c>
      <c r="BL78" s="4">
        <v>-0.11899999999999999</v>
      </c>
      <c r="BM78" s="4"/>
    </row>
    <row r="79" spans="1:65" x14ac:dyDescent="0.3">
      <c r="A79" s="19" t="s">
        <v>150</v>
      </c>
      <c r="B79" s="53">
        <v>0</v>
      </c>
      <c r="C79" s="53">
        <f t="shared" si="10"/>
        <v>-1E-3</v>
      </c>
      <c r="D79" s="53">
        <f t="shared" si="11"/>
        <v>0</v>
      </c>
      <c r="E79" s="53">
        <f t="shared" si="12"/>
        <v>1E-3</v>
      </c>
      <c r="F79" s="15">
        <v>1.143</v>
      </c>
      <c r="G79" s="19">
        <v>0.96599999999999997</v>
      </c>
      <c r="H79" s="24" t="s">
        <v>53</v>
      </c>
      <c r="I79" t="str">
        <f>VLOOKUP(A79,Setores!$A$2:$C$215,2,0)</f>
        <v>healthcare</v>
      </c>
      <c r="J79" t="str">
        <f>VLOOKUP(A79,Setores!$A$2:$C$215,3,0)</f>
        <v>low_beta</v>
      </c>
      <c r="K79" s="2">
        <v>0</v>
      </c>
      <c r="L79" s="2">
        <v>-1E-3</v>
      </c>
      <c r="M79" s="71">
        <v>80</v>
      </c>
      <c r="N79" s="41">
        <f>VLOOKUP(A79,'Mandato Smll'!$A$2:$C$215,2,0)</f>
        <v>0</v>
      </c>
      <c r="O79" s="58">
        <f t="shared" si="13"/>
        <v>0</v>
      </c>
      <c r="P79" s="42">
        <f t="shared" si="14"/>
        <v>0</v>
      </c>
      <c r="Q79" s="41">
        <f>VLOOKUP(A79,'Mandato Smll'!$A$2:$C$215,3,0)</f>
        <v>0</v>
      </c>
      <c r="R79" s="58">
        <f t="shared" si="15"/>
        <v>0</v>
      </c>
      <c r="S79" s="15">
        <v>-0.18099999999999999</v>
      </c>
      <c r="T79" s="15">
        <v>-3.6999999999999998E-2</v>
      </c>
      <c r="U79" s="15">
        <v>-0.18</v>
      </c>
      <c r="V79" s="15">
        <v>-0.503</v>
      </c>
      <c r="W79" s="15">
        <v>-0.35399999999999998</v>
      </c>
      <c r="X79" s="15">
        <v>-0.182</v>
      </c>
      <c r="Y79" s="15">
        <v>-0.112</v>
      </c>
      <c r="Z79" s="15">
        <v>-0.28299999999999997</v>
      </c>
      <c r="AA79" s="15">
        <v>0.14499999999999999</v>
      </c>
      <c r="AB79" s="15">
        <v>0.14299999999999999</v>
      </c>
      <c r="AC79" s="15">
        <v>0.69799999999999995</v>
      </c>
      <c r="AD79" s="15">
        <v>0.59599999999999997</v>
      </c>
      <c r="AE79" s="15">
        <v>0.70099999999999996</v>
      </c>
      <c r="AF79" s="14">
        <v>-0.39900000000000002</v>
      </c>
      <c r="AG79" s="15">
        <v>-0.86699999999999999</v>
      </c>
      <c r="AH79" s="15">
        <v>-0.25700000000000001</v>
      </c>
      <c r="AI79" s="15">
        <v>-0.32700000000000001</v>
      </c>
      <c r="AJ79" s="15">
        <v>0.317</v>
      </c>
      <c r="AK79" s="9">
        <v>-0.17499999999999999</v>
      </c>
      <c r="AL79" s="4">
        <v>-0.218</v>
      </c>
      <c r="AM79" s="4">
        <v>-0.33</v>
      </c>
      <c r="AN79" s="4">
        <v>-0.46899999999999997</v>
      </c>
      <c r="AO79" s="4">
        <v>0.254</v>
      </c>
      <c r="AP79" s="4">
        <v>0.185</v>
      </c>
      <c r="AQ79" s="4">
        <v>0.32900000000000001</v>
      </c>
      <c r="AR79" s="4">
        <v>-0.26500000000000001</v>
      </c>
      <c r="AS79" s="4">
        <v>-0.32800000000000001</v>
      </c>
      <c r="AT79" s="4">
        <v>-0.30199999999999999</v>
      </c>
      <c r="AU79" s="4">
        <v>6.0999999999999999E-2</v>
      </c>
      <c r="AV79" s="4">
        <v>-0.14299999999999999</v>
      </c>
      <c r="AW79" s="4">
        <v>3.5000000000000003E-2</v>
      </c>
      <c r="AX79" s="4">
        <v>0.28799999999999998</v>
      </c>
      <c r="AY79" s="4">
        <v>0.254</v>
      </c>
      <c r="AZ79" s="4">
        <v>0.81699999999999995</v>
      </c>
      <c r="BA79" s="4">
        <v>0.78</v>
      </c>
      <c r="BB79" s="4">
        <v>0.60299999999999998</v>
      </c>
      <c r="BC79" s="4">
        <v>-7.3999999999999996E-2</v>
      </c>
      <c r="BD79" s="4">
        <v>-0.17100000000000001</v>
      </c>
      <c r="BE79" s="4">
        <v>0.21299999999999999</v>
      </c>
      <c r="BF79" s="4">
        <v>-0.33300000000000002</v>
      </c>
      <c r="BG79" s="4">
        <v>0.5</v>
      </c>
      <c r="BH79" s="4">
        <v>0.48599999999999999</v>
      </c>
      <c r="BI79" s="4">
        <v>0.26600000000000001</v>
      </c>
      <c r="BJ79" s="4">
        <v>-0.153</v>
      </c>
      <c r="BK79" s="4">
        <v>0.70699999999999996</v>
      </c>
      <c r="BL79" s="4">
        <v>0.35</v>
      </c>
      <c r="BM79" s="4"/>
    </row>
    <row r="80" spans="1:65" x14ac:dyDescent="0.3">
      <c r="A80" s="19" t="s">
        <v>165</v>
      </c>
      <c r="B80" s="53">
        <v>6.0000000000000001E-3</v>
      </c>
      <c r="C80" s="53">
        <f t="shared" si="10"/>
        <v>6.0000000000000001E-3</v>
      </c>
      <c r="D80" s="53">
        <f t="shared" si="11"/>
        <v>6.0000000000000001E-3</v>
      </c>
      <c r="E80" s="53">
        <f t="shared" si="12"/>
        <v>0</v>
      </c>
      <c r="F80" s="15">
        <v>1.1279999999999999</v>
      </c>
      <c r="G80" s="19">
        <v>0.82899999999999996</v>
      </c>
      <c r="H80" s="24" t="s">
        <v>71</v>
      </c>
      <c r="I80" t="str">
        <f>VLOOKUP(A80,Setores!$A$2:$C$215,2,0)</f>
        <v>basic_materials</v>
      </c>
      <c r="J80" t="str">
        <f>VLOOKUP(A80,Setores!$A$2:$C$215,3,0)</f>
        <v>neutral_beta</v>
      </c>
      <c r="K80" s="2">
        <v>0</v>
      </c>
      <c r="L80" s="2">
        <v>0</v>
      </c>
      <c r="M80" s="71">
        <v>80</v>
      </c>
      <c r="N80" s="41">
        <f>VLOOKUP(A80,'Mandato Smll'!$A$2:$C$215,2,0)</f>
        <v>0</v>
      </c>
      <c r="O80" s="58">
        <f t="shared" si="13"/>
        <v>0</v>
      </c>
      <c r="P80" s="42">
        <f t="shared" si="14"/>
        <v>6.0000000000000001E-3</v>
      </c>
      <c r="Q80" s="41">
        <f>VLOOKUP(A80,'Mandato Smll'!$A$2:$C$215,3,0)</f>
        <v>0</v>
      </c>
      <c r="R80" s="58">
        <f t="shared" si="15"/>
        <v>0</v>
      </c>
      <c r="S80" s="15">
        <v>-0.36399999999999999</v>
      </c>
      <c r="T80" s="15">
        <v>0.245</v>
      </c>
      <c r="U80" s="15">
        <v>-0.63600000000000001</v>
      </c>
      <c r="V80" s="15">
        <v>-0.31</v>
      </c>
      <c r="W80" s="15">
        <v>-0.18099999999999999</v>
      </c>
      <c r="X80" s="15">
        <v>-0.64400000000000002</v>
      </c>
      <c r="Y80" s="15">
        <v>-0.82399999999999995</v>
      </c>
      <c r="Z80" s="15">
        <v>-0.13800000000000001</v>
      </c>
      <c r="AA80" s="15">
        <v>0.48299999999999998</v>
      </c>
      <c r="AB80" s="15">
        <v>0.48399999999999999</v>
      </c>
      <c r="AC80" s="15">
        <v>0.61099999999999999</v>
      </c>
      <c r="AD80" s="15">
        <v>0.57199999999999995</v>
      </c>
      <c r="AE80" s="15">
        <v>0.879</v>
      </c>
      <c r="AF80" s="14">
        <v>-0.20499999999999999</v>
      </c>
      <c r="AG80" s="15">
        <v>-0.49099999999999999</v>
      </c>
      <c r="AH80" s="15">
        <v>0.98</v>
      </c>
      <c r="AI80" s="15">
        <v>-0.73099999999999998</v>
      </c>
      <c r="AJ80" s="15">
        <v>-0.23</v>
      </c>
      <c r="AK80" s="9">
        <v>-0.92100000000000004</v>
      </c>
      <c r="AL80" s="4">
        <v>-0.254</v>
      </c>
      <c r="AM80" s="4">
        <v>-0.67500000000000004</v>
      </c>
      <c r="AN80" s="4">
        <v>0.224</v>
      </c>
      <c r="AO80" s="4">
        <v>-0.46</v>
      </c>
      <c r="AP80" s="4">
        <v>0.66800000000000004</v>
      </c>
      <c r="AQ80" s="4">
        <v>0.626</v>
      </c>
      <c r="AR80" s="4">
        <v>-0.53500000000000003</v>
      </c>
      <c r="AS80" s="4">
        <v>1</v>
      </c>
      <c r="AT80" s="4">
        <v>0.155</v>
      </c>
      <c r="AU80" s="4">
        <v>-0.11799999999999999</v>
      </c>
      <c r="AV80" s="4">
        <v>-0.8</v>
      </c>
      <c r="AW80" s="4">
        <v>6.7000000000000004E-2</v>
      </c>
      <c r="AX80" s="4">
        <v>-0.13400000000000001</v>
      </c>
      <c r="AY80" s="4">
        <v>0.124</v>
      </c>
      <c r="AZ80" s="4">
        <v>0.622</v>
      </c>
      <c r="BA80" s="4">
        <v>-1</v>
      </c>
      <c r="BB80" s="4">
        <v>0.74299999999999999</v>
      </c>
      <c r="BC80" s="4">
        <v>0.50600000000000001</v>
      </c>
      <c r="BD80" s="4">
        <v>0.26600000000000001</v>
      </c>
      <c r="BE80" s="4">
        <v>0.77300000000000002</v>
      </c>
      <c r="BF80" s="4">
        <v>-1</v>
      </c>
      <c r="BG80" s="4">
        <v>0.62</v>
      </c>
      <c r="BH80" s="4">
        <v>-0.42599999999999999</v>
      </c>
      <c r="BI80" s="4">
        <v>3.0000000000000001E-3</v>
      </c>
      <c r="BJ80" s="4">
        <v>-0.32400000000000001</v>
      </c>
      <c r="BK80" s="4">
        <v>0.83499999999999996</v>
      </c>
      <c r="BL80" s="4">
        <v>-8.9999999999999993E-3</v>
      </c>
      <c r="BM80" s="4"/>
    </row>
    <row r="81" spans="1:65" x14ac:dyDescent="0.3">
      <c r="A81" s="19" t="s">
        <v>99</v>
      </c>
      <c r="B81" s="53">
        <v>0</v>
      </c>
      <c r="C81" s="53">
        <f t="shared" si="10"/>
        <v>-3.0000000000000001E-3</v>
      </c>
      <c r="D81" s="53">
        <f t="shared" si="11"/>
        <v>0</v>
      </c>
      <c r="E81" s="53">
        <f t="shared" si="12"/>
        <v>3.0000000000000001E-3</v>
      </c>
      <c r="F81" s="15">
        <v>1.111</v>
      </c>
      <c r="G81" s="19">
        <v>1.268</v>
      </c>
      <c r="H81" s="24" t="s">
        <v>57</v>
      </c>
      <c r="I81" t="str">
        <f>VLOOKUP(A81,Setores!$A$2:$C$215,2,0)</f>
        <v>homebuilders</v>
      </c>
      <c r="J81" t="str">
        <f>VLOOKUP(A81,Setores!$A$2:$C$215,3,0)</f>
        <v>neutral_beta</v>
      </c>
      <c r="K81" s="2">
        <v>0</v>
      </c>
      <c r="L81" s="2">
        <v>-3.0000000000000001E-3</v>
      </c>
      <c r="M81" s="71">
        <v>80</v>
      </c>
      <c r="N81" s="41">
        <f>VLOOKUP(A81,'Mandato Smll'!$A$2:$C$215,2,0)</f>
        <v>0</v>
      </c>
      <c r="O81" s="58">
        <f t="shared" si="13"/>
        <v>0</v>
      </c>
      <c r="P81" s="42">
        <f t="shared" si="14"/>
        <v>0</v>
      </c>
      <c r="Q81" s="41">
        <f>VLOOKUP(A81,'Mandato Smll'!$A$2:$C$215,3,0)</f>
        <v>0</v>
      </c>
      <c r="R81" s="58">
        <f t="shared" si="15"/>
        <v>0</v>
      </c>
      <c r="S81" s="15">
        <v>-0.17100000000000001</v>
      </c>
      <c r="T81" s="15">
        <v>-0.58899999999999997</v>
      </c>
      <c r="U81" s="15">
        <v>0.26900000000000002</v>
      </c>
      <c r="V81" s="15">
        <v>-0.23899999999999999</v>
      </c>
      <c r="W81" s="15">
        <v>-0.151</v>
      </c>
      <c r="X81" s="15">
        <v>-3.1E-2</v>
      </c>
      <c r="Y81" s="15">
        <v>7.1999999999999995E-2</v>
      </c>
      <c r="Z81" s="15">
        <v>-0.36799999999999999</v>
      </c>
      <c r="AA81" s="15">
        <v>0.17799999999999999</v>
      </c>
      <c r="AB81" s="15">
        <v>0.17699999999999999</v>
      </c>
      <c r="AC81" s="15">
        <v>0.53100000000000003</v>
      </c>
      <c r="AD81" s="15">
        <v>0.61699999999999999</v>
      </c>
      <c r="AE81" s="15">
        <v>0.55100000000000005</v>
      </c>
      <c r="AF81" s="14">
        <v>0.32600000000000001</v>
      </c>
      <c r="AG81" s="15">
        <v>0.53</v>
      </c>
      <c r="AH81" s="15">
        <v>-0.65800000000000003</v>
      </c>
      <c r="AI81" s="15">
        <v>0.60399999999999998</v>
      </c>
      <c r="AJ81" s="15">
        <v>-0.376</v>
      </c>
      <c r="AK81" s="9">
        <v>0.159</v>
      </c>
      <c r="AL81" s="4">
        <v>-0.223</v>
      </c>
      <c r="AM81" s="4">
        <v>0.378</v>
      </c>
      <c r="AN81" s="4">
        <v>9.0999999999999998E-2</v>
      </c>
      <c r="AO81" s="4">
        <v>0.157</v>
      </c>
      <c r="AP81" s="4">
        <v>-0.753</v>
      </c>
      <c r="AQ81" s="4">
        <v>-0.84499999999999997</v>
      </c>
      <c r="AR81" s="4">
        <v>0.38700000000000001</v>
      </c>
      <c r="AS81" s="4">
        <v>-6.3E-2</v>
      </c>
      <c r="AT81" s="4">
        <v>-0.158</v>
      </c>
      <c r="AU81" s="4">
        <v>-0.14399999999999999</v>
      </c>
      <c r="AV81" s="4">
        <v>-0.45800000000000002</v>
      </c>
      <c r="AW81" s="4">
        <v>5.6000000000000001E-2</v>
      </c>
      <c r="AX81" s="4">
        <v>6.6000000000000003E-2</v>
      </c>
      <c r="AY81" s="4">
        <v>-2E-3</v>
      </c>
      <c r="AZ81" s="4">
        <v>0.64</v>
      </c>
      <c r="BA81" s="4">
        <v>0.32500000000000001</v>
      </c>
      <c r="BB81" s="4">
        <v>0.1</v>
      </c>
      <c r="BC81" s="4">
        <v>-9.9000000000000005E-2</v>
      </c>
      <c r="BD81" s="4">
        <v>-0.442</v>
      </c>
      <c r="BE81" s="4">
        <v>7.2999999999999995E-2</v>
      </c>
      <c r="BF81" s="4">
        <v>0.60599999999999998</v>
      </c>
      <c r="BG81" s="4">
        <v>0.3</v>
      </c>
      <c r="BH81" s="4">
        <v>0.86099999999999999</v>
      </c>
      <c r="BI81" s="4">
        <v>-0.26700000000000002</v>
      </c>
      <c r="BJ81" s="4">
        <v>0.187</v>
      </c>
      <c r="BK81" s="4">
        <v>0.53400000000000003</v>
      </c>
      <c r="BL81" s="4">
        <v>0.49299999999999999</v>
      </c>
      <c r="BM81" s="4"/>
    </row>
    <row r="82" spans="1:65" x14ac:dyDescent="0.3">
      <c r="A82" s="19" t="s">
        <v>237</v>
      </c>
      <c r="B82" s="53">
        <v>0</v>
      </c>
      <c r="C82" s="53">
        <f t="shared" si="10"/>
        <v>0</v>
      </c>
      <c r="D82" s="53">
        <f t="shared" si="11"/>
        <v>0</v>
      </c>
      <c r="E82" s="53">
        <f t="shared" si="12"/>
        <v>0</v>
      </c>
      <c r="F82" s="15">
        <v>1.097</v>
      </c>
      <c r="G82" s="19">
        <v>0.749</v>
      </c>
      <c r="H82" s="24" t="s">
        <v>53</v>
      </c>
      <c r="I82" t="str">
        <f>VLOOKUP(A82,Setores!$A$2:$C$215,2,0)</f>
        <v>healthcare</v>
      </c>
      <c r="J82" t="str">
        <f>VLOOKUP(A82,Setores!$A$2:$C$215,3,0)</f>
        <v>very_high_beta</v>
      </c>
      <c r="K82" s="2">
        <v>0</v>
      </c>
      <c r="L82" s="2">
        <v>0</v>
      </c>
      <c r="M82" s="71">
        <v>80</v>
      </c>
      <c r="N82" s="41">
        <f>VLOOKUP(A82,'Mandato Smll'!$A$2:$C$215,2,0)</f>
        <v>0</v>
      </c>
      <c r="O82" s="58">
        <f t="shared" si="13"/>
        <v>0</v>
      </c>
      <c r="P82" s="42">
        <f t="shared" si="14"/>
        <v>0</v>
      </c>
      <c r="Q82" s="41">
        <f>VLOOKUP(A82,'Mandato Smll'!$A$2:$C$215,3,0)</f>
        <v>0</v>
      </c>
      <c r="R82" s="58">
        <f t="shared" si="15"/>
        <v>0</v>
      </c>
      <c r="S82" s="15">
        <v>0.38700000000000001</v>
      </c>
      <c r="T82" s="15">
        <v>0.82799999999999996</v>
      </c>
      <c r="U82" s="15">
        <v>0.56000000000000005</v>
      </c>
      <c r="V82" s="15">
        <v>9.0999999999999998E-2</v>
      </c>
      <c r="W82" s="15">
        <v>0.56499999999999995</v>
      </c>
      <c r="X82" s="15">
        <v>-0.57099999999999995</v>
      </c>
      <c r="Y82" s="15">
        <v>-0.79</v>
      </c>
      <c r="Z82" s="15">
        <v>-0.503</v>
      </c>
      <c r="AA82" s="15">
        <v>-0.14899999999999999</v>
      </c>
      <c r="AB82" s="15">
        <v>-0.14799999999999999</v>
      </c>
      <c r="AC82" s="15">
        <v>0.32400000000000001</v>
      </c>
      <c r="AD82" s="15">
        <v>0.42499999999999999</v>
      </c>
      <c r="AE82" s="15">
        <v>0.312</v>
      </c>
      <c r="AF82" s="14">
        <v>0.437</v>
      </c>
      <c r="AG82" s="15">
        <v>0.64</v>
      </c>
      <c r="AH82" s="15">
        <v>0.76400000000000001</v>
      </c>
      <c r="AI82" s="15">
        <v>1</v>
      </c>
      <c r="AJ82" s="15">
        <v>0.65800000000000003</v>
      </c>
      <c r="AK82" s="9">
        <v>-0.52400000000000002</v>
      </c>
      <c r="AL82" s="4">
        <v>0.67400000000000004</v>
      </c>
      <c r="AM82" s="4">
        <v>-0.89100000000000001</v>
      </c>
      <c r="AN82" s="4">
        <v>0.80200000000000005</v>
      </c>
      <c r="AO82" s="4">
        <v>0.217</v>
      </c>
      <c r="AP82" s="4">
        <v>-0.22800000000000001</v>
      </c>
      <c r="AQ82" s="4">
        <v>0.249</v>
      </c>
      <c r="AR82" s="4">
        <v>-0.30399999999999999</v>
      </c>
      <c r="AS82" s="4">
        <v>0.26500000000000001</v>
      </c>
      <c r="AT82" s="4">
        <v>5.1999999999999998E-2</v>
      </c>
      <c r="AU82" s="4">
        <v>7.0000000000000001E-3</v>
      </c>
      <c r="AV82" s="4">
        <v>-0.62</v>
      </c>
      <c r="AW82" s="4">
        <v>-0.01</v>
      </c>
      <c r="AX82" s="4">
        <v>-0.55800000000000005</v>
      </c>
      <c r="AY82" s="4">
        <v>-0.61199999999999999</v>
      </c>
      <c r="AZ82" s="4">
        <v>-0.33600000000000002</v>
      </c>
      <c r="BA82" s="4">
        <v>-0.51300000000000001</v>
      </c>
      <c r="BB82" s="4">
        <v>0.98399999999999999</v>
      </c>
      <c r="BC82" s="4">
        <v>0.104</v>
      </c>
      <c r="BD82" s="4">
        <v>-3.0000000000000001E-3</v>
      </c>
      <c r="BE82" s="4">
        <v>0.32300000000000001</v>
      </c>
      <c r="BF82" s="4">
        <v>0.54700000000000004</v>
      </c>
      <c r="BG82" s="4">
        <v>0.51500000000000001</v>
      </c>
      <c r="BH82" s="4">
        <v>-0.63900000000000001</v>
      </c>
      <c r="BI82" s="4">
        <v>1</v>
      </c>
      <c r="BJ82" s="4">
        <v>0.38600000000000001</v>
      </c>
      <c r="BK82" s="4">
        <v>0.59499999999999997</v>
      </c>
      <c r="BL82" s="4">
        <v>0.99399999999999999</v>
      </c>
      <c r="BM82" s="4"/>
    </row>
    <row r="83" spans="1:65" x14ac:dyDescent="0.3">
      <c r="A83" s="19" t="s">
        <v>164</v>
      </c>
      <c r="B83" s="53">
        <v>0</v>
      </c>
      <c r="C83" s="53">
        <f t="shared" si="10"/>
        <v>-4.0000000000000001E-3</v>
      </c>
      <c r="D83" s="53">
        <f t="shared" si="11"/>
        <v>0</v>
      </c>
      <c r="E83" s="53">
        <f t="shared" si="12"/>
        <v>4.0000000000000001E-3</v>
      </c>
      <c r="F83" s="15">
        <v>1.093</v>
      </c>
      <c r="G83" s="19">
        <v>1.3560000000000001</v>
      </c>
      <c r="H83" s="24" t="s">
        <v>68</v>
      </c>
      <c r="I83" t="str">
        <f>VLOOKUP(A83,Setores!$A$2:$C$215,2,0)</f>
        <v>capital_goods</v>
      </c>
      <c r="J83" t="str">
        <f>VLOOKUP(A83,Setores!$A$2:$C$215,3,0)</f>
        <v>neutral_beta</v>
      </c>
      <c r="K83" s="2">
        <v>0</v>
      </c>
      <c r="L83" s="2">
        <v>-4.0000000000000001E-3</v>
      </c>
      <c r="M83" s="71">
        <v>80</v>
      </c>
      <c r="N83" s="41">
        <f>VLOOKUP(A83,'Mandato Smll'!$A$2:$C$215,2,0)</f>
        <v>0</v>
      </c>
      <c r="O83" s="58">
        <f t="shared" si="13"/>
        <v>0</v>
      </c>
      <c r="P83" s="42">
        <f t="shared" si="14"/>
        <v>0</v>
      </c>
      <c r="Q83" s="41">
        <f>VLOOKUP(A83,'Mandato Smll'!$A$2:$C$215,3,0)</f>
        <v>0</v>
      </c>
      <c r="R83" s="58">
        <f t="shared" si="15"/>
        <v>0</v>
      </c>
      <c r="S83" s="15">
        <v>-7.0999999999999994E-2</v>
      </c>
      <c r="T83" s="15">
        <v>-2E-3</v>
      </c>
      <c r="U83" s="15">
        <v>-5.6000000000000001E-2</v>
      </c>
      <c r="V83" s="15">
        <v>-0.33</v>
      </c>
      <c r="W83" s="15">
        <v>-0.218</v>
      </c>
      <c r="X83" s="15">
        <v>-0.25900000000000001</v>
      </c>
      <c r="Y83" s="15">
        <v>-0.40699999999999997</v>
      </c>
      <c r="Z83" s="15">
        <v>-0.60499999999999998</v>
      </c>
      <c r="AA83" s="15">
        <v>0.53200000000000003</v>
      </c>
      <c r="AB83" s="15">
        <v>0.52900000000000003</v>
      </c>
      <c r="AC83" s="15">
        <v>0.62</v>
      </c>
      <c r="AD83" s="15">
        <v>0.70899999999999996</v>
      </c>
      <c r="AE83" s="15">
        <v>0.70599999999999996</v>
      </c>
      <c r="AF83" s="14">
        <v>-0.22800000000000001</v>
      </c>
      <c r="AG83" s="15">
        <v>4.0000000000000001E-3</v>
      </c>
      <c r="AH83" s="15">
        <v>-0.16</v>
      </c>
      <c r="AI83" s="15">
        <v>0.54800000000000004</v>
      </c>
      <c r="AJ83" s="15">
        <v>-0.37</v>
      </c>
      <c r="AK83" s="9">
        <v>-0.53100000000000003</v>
      </c>
      <c r="AL83" s="4">
        <v>0.314</v>
      </c>
      <c r="AM83" s="4">
        <v>-0.46500000000000002</v>
      </c>
      <c r="AN83" s="4">
        <v>0.71699999999999997</v>
      </c>
      <c r="AO83" s="4">
        <v>-0.25700000000000001</v>
      </c>
      <c r="AP83" s="4">
        <v>-0.433</v>
      </c>
      <c r="AQ83" s="4">
        <v>-0.17499999999999999</v>
      </c>
      <c r="AR83" s="4">
        <v>5.8000000000000003E-2</v>
      </c>
      <c r="AS83" s="4">
        <v>0.314</v>
      </c>
      <c r="AT83" s="4">
        <v>6.9000000000000006E-2</v>
      </c>
      <c r="AU83" s="4">
        <v>8.9999999999999993E-3</v>
      </c>
      <c r="AV83" s="4">
        <v>-0.54300000000000004</v>
      </c>
      <c r="AW83" s="4">
        <v>-0.217</v>
      </c>
      <c r="AX83" s="4">
        <v>0.54</v>
      </c>
      <c r="AY83" s="4">
        <v>-0.21099999999999999</v>
      </c>
      <c r="AZ83" s="4">
        <v>0.92800000000000005</v>
      </c>
      <c r="BA83" s="4">
        <v>1</v>
      </c>
      <c r="BB83" s="4">
        <v>4.8000000000000001E-2</v>
      </c>
      <c r="BC83" s="4">
        <v>0.224</v>
      </c>
      <c r="BD83" s="4">
        <v>0.13800000000000001</v>
      </c>
      <c r="BE83" s="4">
        <v>0.29499999999999998</v>
      </c>
      <c r="BF83" s="4">
        <v>-0.28799999999999998</v>
      </c>
      <c r="BG83" s="4">
        <v>-0.224</v>
      </c>
      <c r="BH83" s="4">
        <v>0.38300000000000001</v>
      </c>
      <c r="BI83" s="4">
        <v>-4.2999999999999997E-2</v>
      </c>
      <c r="BJ83" s="4">
        <v>0.24</v>
      </c>
      <c r="BK83" s="4">
        <v>6.0999999999999999E-2</v>
      </c>
      <c r="BL83" s="4">
        <v>0.45400000000000001</v>
      </c>
      <c r="BM83" s="4"/>
    </row>
    <row r="84" spans="1:65" x14ac:dyDescent="0.3">
      <c r="A84" s="19" t="s">
        <v>143</v>
      </c>
      <c r="B84" s="53">
        <v>7.4999999999999997E-3</v>
      </c>
      <c r="C84" s="53">
        <f t="shared" si="10"/>
        <v>-1.3500000000000002E-2</v>
      </c>
      <c r="D84" s="53">
        <f t="shared" si="11"/>
        <v>7.4999999999999997E-3</v>
      </c>
      <c r="E84" s="53">
        <f t="shared" si="12"/>
        <v>2.1000000000000001E-2</v>
      </c>
      <c r="F84" s="15">
        <v>1.08</v>
      </c>
      <c r="G84" s="19">
        <v>2.1720000000000002</v>
      </c>
      <c r="H84" s="24" t="s">
        <v>53</v>
      </c>
      <c r="I84" t="str">
        <f>VLOOKUP(A84,Setores!$A$2:$C$215,2,0)</f>
        <v>healthcare</v>
      </c>
      <c r="J84" t="str">
        <f>VLOOKUP(A84,Setores!$A$2:$C$215,3,0)</f>
        <v>low_beta</v>
      </c>
      <c r="K84" s="2">
        <v>0</v>
      </c>
      <c r="L84" s="2">
        <v>-2.1000000000000001E-2</v>
      </c>
      <c r="M84" s="71">
        <v>57</v>
      </c>
      <c r="N84" s="41">
        <f>VLOOKUP(A84,'Mandato Smll'!$A$2:$C$215,2,0)</f>
        <v>0</v>
      </c>
      <c r="O84" s="58">
        <f t="shared" si="13"/>
        <v>0</v>
      </c>
      <c r="P84" s="42">
        <f t="shared" si="14"/>
        <v>7.4999999999999997E-3</v>
      </c>
      <c r="Q84" s="41">
        <f>VLOOKUP(A84,'Mandato Smll'!$A$2:$C$215,3,0)</f>
        <v>3.0086111368922201E-2</v>
      </c>
      <c r="R84" s="58">
        <f t="shared" si="15"/>
        <v>-3.0086111368922201E-2</v>
      </c>
      <c r="S84" s="15">
        <v>-0.39500000000000002</v>
      </c>
      <c r="T84" s="15">
        <v>-0.47</v>
      </c>
      <c r="U84" s="15">
        <v>-0.7</v>
      </c>
      <c r="V84" s="15">
        <v>-0.315</v>
      </c>
      <c r="W84" s="15">
        <v>-0.57499999999999996</v>
      </c>
      <c r="X84" s="15">
        <v>-8.5999999999999993E-2</v>
      </c>
      <c r="Y84" s="15">
        <v>0.13200000000000001</v>
      </c>
      <c r="Z84" s="15">
        <v>-0.22</v>
      </c>
      <c r="AA84" s="15">
        <v>0.32700000000000001</v>
      </c>
      <c r="AB84" s="15">
        <v>0.32500000000000001</v>
      </c>
      <c r="AC84" s="15">
        <v>0.81699999999999995</v>
      </c>
      <c r="AD84" s="15">
        <v>0.82499999999999996</v>
      </c>
      <c r="AE84" s="15">
        <v>0.622</v>
      </c>
      <c r="AF84" s="14">
        <v>-0.26400000000000001</v>
      </c>
      <c r="AG84" s="15">
        <v>-0.39200000000000002</v>
      </c>
      <c r="AH84" s="15">
        <v>-0.313</v>
      </c>
      <c r="AI84" s="15">
        <v>-0.65200000000000002</v>
      </c>
      <c r="AJ84" s="15">
        <v>-0.32800000000000001</v>
      </c>
      <c r="AK84" s="9">
        <v>-0.78800000000000003</v>
      </c>
      <c r="AL84" s="4">
        <v>1.6E-2</v>
      </c>
      <c r="AM84" s="4">
        <v>-8.4000000000000005E-2</v>
      </c>
      <c r="AN84" s="4">
        <v>-0.64</v>
      </c>
      <c r="AO84" s="4">
        <v>0.221</v>
      </c>
      <c r="AP84" s="4">
        <v>6.4000000000000001E-2</v>
      </c>
      <c r="AQ84" s="4">
        <v>-0.10199999999999999</v>
      </c>
      <c r="AR84" s="4">
        <v>5.8000000000000003E-2</v>
      </c>
      <c r="AS84" s="4">
        <v>0.33200000000000002</v>
      </c>
      <c r="AT84" s="4">
        <v>0.11899999999999999</v>
      </c>
      <c r="AU84" s="4">
        <v>0.217</v>
      </c>
      <c r="AV84" s="4">
        <v>-0.29199999999999998</v>
      </c>
      <c r="AW84" s="4">
        <v>7.0999999999999994E-2</v>
      </c>
      <c r="AX84" s="4">
        <v>0.45700000000000002</v>
      </c>
      <c r="AY84" s="4">
        <v>-0.158</v>
      </c>
      <c r="AZ84" s="4">
        <v>0.92600000000000005</v>
      </c>
      <c r="BA84" s="4">
        <v>0.50800000000000001</v>
      </c>
      <c r="BB84" s="4">
        <v>-8.9999999999999993E-3</v>
      </c>
      <c r="BC84" s="4">
        <v>-0.11799999999999999</v>
      </c>
      <c r="BD84" s="4">
        <v>-2.5999999999999999E-2</v>
      </c>
      <c r="BE84" s="4">
        <v>0.48799999999999999</v>
      </c>
      <c r="BF84" s="4">
        <v>-0.183</v>
      </c>
      <c r="BG84" s="4">
        <v>9.6000000000000002E-2</v>
      </c>
      <c r="BH84" s="4">
        <v>0.71</v>
      </c>
      <c r="BI84" s="4">
        <v>-0.123</v>
      </c>
      <c r="BJ84" s="4">
        <v>-0.183</v>
      </c>
      <c r="BK84" s="4">
        <v>4.5999999999999999E-2</v>
      </c>
      <c r="BL84" s="4">
        <v>-0.14499999999999999</v>
      </c>
      <c r="BM84" s="4"/>
    </row>
    <row r="85" spans="1:65" x14ac:dyDescent="0.3">
      <c r="A85" s="19" t="s">
        <v>132</v>
      </c>
      <c r="B85" s="53">
        <v>0</v>
      </c>
      <c r="C85" s="53">
        <f t="shared" si="10"/>
        <v>-4.0000000000000001E-3</v>
      </c>
      <c r="D85" s="53">
        <f t="shared" si="11"/>
        <v>0</v>
      </c>
      <c r="E85" s="53">
        <f t="shared" si="12"/>
        <v>4.0000000000000001E-3</v>
      </c>
      <c r="F85" s="15">
        <v>1.08</v>
      </c>
      <c r="G85" s="19">
        <v>0.93200000000000005</v>
      </c>
      <c r="H85" s="24" t="s">
        <v>53</v>
      </c>
      <c r="I85" t="str">
        <f>VLOOKUP(A85,Setores!$A$2:$C$215,2,0)</f>
        <v>healthcare</v>
      </c>
      <c r="J85" t="str">
        <f>VLOOKUP(A85,Setores!$A$2:$C$215,3,0)</f>
        <v>high_beta</v>
      </c>
      <c r="K85" s="2">
        <v>0</v>
      </c>
      <c r="L85" s="2">
        <v>-4.0000000000000001E-3</v>
      </c>
      <c r="M85" s="71">
        <v>80</v>
      </c>
      <c r="N85" s="41">
        <f>VLOOKUP(A85,'Mandato Smll'!$A$2:$C$215,2,0)</f>
        <v>0</v>
      </c>
      <c r="O85" s="58">
        <f t="shared" si="13"/>
        <v>0</v>
      </c>
      <c r="P85" s="42">
        <f t="shared" si="14"/>
        <v>0</v>
      </c>
      <c r="Q85" s="41">
        <f>VLOOKUP(A85,'Mandato Smll'!$A$2:$C$215,3,0)</f>
        <v>0</v>
      </c>
      <c r="R85" s="58">
        <f t="shared" si="15"/>
        <v>0</v>
      </c>
      <c r="S85" s="15">
        <v>-0.27500000000000002</v>
      </c>
      <c r="T85" s="15">
        <v>-0.47799999999999998</v>
      </c>
      <c r="U85" s="15">
        <v>-0.47399999999999998</v>
      </c>
      <c r="V85" s="15">
        <v>-0.25900000000000001</v>
      </c>
      <c r="W85" s="15">
        <v>-0.46500000000000002</v>
      </c>
      <c r="X85" s="15">
        <v>-0.13400000000000001</v>
      </c>
      <c r="Y85" s="15">
        <v>-0.01</v>
      </c>
      <c r="Z85" s="15">
        <v>-0.29899999999999999</v>
      </c>
      <c r="AA85" s="15">
        <v>0.30399999999999999</v>
      </c>
      <c r="AB85" s="15">
        <v>0.29799999999999999</v>
      </c>
      <c r="AC85" s="15">
        <v>0.748</v>
      </c>
      <c r="AD85" s="15">
        <v>0.77600000000000002</v>
      </c>
      <c r="AE85" s="15">
        <v>0.63400000000000001</v>
      </c>
      <c r="AF85" s="14">
        <v>-0.14799999999999999</v>
      </c>
      <c r="AG85" s="15">
        <v>-0.20699999999999999</v>
      </c>
      <c r="AH85" s="15">
        <v>-0.45800000000000002</v>
      </c>
      <c r="AI85" s="15">
        <v>-0.51900000000000002</v>
      </c>
      <c r="AJ85" s="15">
        <v>4.5999999999999999E-2</v>
      </c>
      <c r="AK85" s="9">
        <v>-0.39700000000000002</v>
      </c>
      <c r="AL85" s="4">
        <v>-0.187</v>
      </c>
      <c r="AM85" s="4">
        <v>-5.7000000000000002E-2</v>
      </c>
      <c r="AN85" s="4">
        <v>-0.41899999999999998</v>
      </c>
      <c r="AO85" s="4">
        <v>-0.113</v>
      </c>
      <c r="AP85" s="4">
        <v>-1.6E-2</v>
      </c>
      <c r="AQ85" s="4">
        <v>-0.99099999999999999</v>
      </c>
      <c r="AR85" s="4">
        <v>0.23899999999999999</v>
      </c>
      <c r="AS85" s="4">
        <v>1</v>
      </c>
      <c r="AT85" s="4">
        <v>0.38400000000000001</v>
      </c>
      <c r="AU85" s="4">
        <v>0.30399999999999999</v>
      </c>
      <c r="AV85" s="4">
        <v>-0.46</v>
      </c>
      <c r="AW85" s="4">
        <v>0.36399999999999999</v>
      </c>
      <c r="AX85" s="4">
        <v>-0.14000000000000001</v>
      </c>
      <c r="AY85" s="4">
        <v>-0.15</v>
      </c>
      <c r="AZ85" s="4">
        <v>0.88</v>
      </c>
      <c r="BA85" s="4">
        <v>0.442</v>
      </c>
      <c r="BB85" s="4">
        <v>0.73899999999999999</v>
      </c>
      <c r="BC85" s="4">
        <v>-0.38800000000000001</v>
      </c>
      <c r="BD85" s="4">
        <v>-0.435</v>
      </c>
      <c r="BE85" s="4">
        <v>0.50700000000000001</v>
      </c>
      <c r="BF85" s="4">
        <v>0.36699999999999999</v>
      </c>
      <c r="BG85" s="4">
        <v>0.19800000000000001</v>
      </c>
      <c r="BH85" s="4">
        <v>0.71699999999999997</v>
      </c>
      <c r="BI85" s="4">
        <v>-0.33400000000000002</v>
      </c>
      <c r="BJ85" s="4">
        <v>0.14199999999999999</v>
      </c>
      <c r="BK85" s="4">
        <v>-0.105</v>
      </c>
      <c r="BL85" s="4">
        <v>0.20599999999999999</v>
      </c>
      <c r="BM85" s="4"/>
    </row>
    <row r="86" spans="1:65" x14ac:dyDescent="0.3">
      <c r="A86" s="19" t="s">
        <v>228</v>
      </c>
      <c r="B86" s="53">
        <v>0</v>
      </c>
      <c r="C86" s="53">
        <f t="shared" si="10"/>
        <v>-2E-3</v>
      </c>
      <c r="D86" s="53">
        <f t="shared" si="11"/>
        <v>0</v>
      </c>
      <c r="E86" s="53">
        <f t="shared" si="12"/>
        <v>2E-3</v>
      </c>
      <c r="F86" s="15">
        <v>1.0720000000000001</v>
      </c>
      <c r="G86" s="19">
        <v>0.80300000000000005</v>
      </c>
      <c r="H86" s="24" t="s">
        <v>57</v>
      </c>
      <c r="I86" t="str">
        <f>VLOOKUP(A86,Setores!$A$2:$C$215,2,0)</f>
        <v>consumer_durables</v>
      </c>
      <c r="J86" t="str">
        <f>VLOOKUP(A86,Setores!$A$2:$C$215,3,0)</f>
        <v>high_beta</v>
      </c>
      <c r="K86" s="2">
        <v>0</v>
      </c>
      <c r="L86" s="2">
        <v>-2E-3</v>
      </c>
      <c r="M86" s="71">
        <v>80</v>
      </c>
      <c r="N86" s="41">
        <f>VLOOKUP(A86,'Mandato Smll'!$A$2:$C$215,2,0)</f>
        <v>0</v>
      </c>
      <c r="O86" s="58">
        <f t="shared" si="13"/>
        <v>0</v>
      </c>
      <c r="P86" s="42">
        <f t="shared" si="14"/>
        <v>0</v>
      </c>
      <c r="Q86" s="41">
        <f>VLOOKUP(A86,'Mandato Smll'!$A$2:$C$215,3,0)</f>
        <v>0</v>
      </c>
      <c r="R86" s="58">
        <f t="shared" si="15"/>
        <v>0</v>
      </c>
      <c r="S86" s="15">
        <v>3.2000000000000001E-2</v>
      </c>
      <c r="T86" s="15">
        <v>0.45</v>
      </c>
      <c r="U86" s="15">
        <v>-4.1000000000000002E-2</v>
      </c>
      <c r="V86" s="15">
        <v>-0.27</v>
      </c>
      <c r="W86" s="15">
        <v>-4.8000000000000001E-2</v>
      </c>
      <c r="X86" s="15">
        <v>-0.40300000000000002</v>
      </c>
      <c r="Y86" s="15">
        <v>-0.60199999999999998</v>
      </c>
      <c r="Z86" s="15">
        <v>-0.501</v>
      </c>
      <c r="AA86" s="15">
        <v>-0.10299999999999999</v>
      </c>
      <c r="AB86" s="15">
        <v>-0.10199999999999999</v>
      </c>
      <c r="AC86" s="15">
        <v>0.73099999999999998</v>
      </c>
      <c r="AD86" s="15">
        <v>0.81</v>
      </c>
      <c r="AE86" s="15">
        <v>0.69899999999999995</v>
      </c>
      <c r="AF86" s="14">
        <v>-0.93100000000000005</v>
      </c>
      <c r="AG86" s="15">
        <v>0.2</v>
      </c>
      <c r="AH86" s="15">
        <v>0.84199999999999997</v>
      </c>
      <c r="AI86" s="15">
        <v>-0.48099999999999998</v>
      </c>
      <c r="AJ86" s="15">
        <v>1</v>
      </c>
      <c r="AK86" s="9">
        <v>0.38900000000000001</v>
      </c>
      <c r="AL86" s="4">
        <v>-0.17499999999999999</v>
      </c>
      <c r="AM86" s="4">
        <v>-0.85099999999999998</v>
      </c>
      <c r="AN86" s="4">
        <v>-0.46500000000000002</v>
      </c>
      <c r="AO86" s="4">
        <v>0.20100000000000001</v>
      </c>
      <c r="AP86" s="4">
        <v>-5.0000000000000001E-3</v>
      </c>
      <c r="AQ86" s="4">
        <v>0.93200000000000005</v>
      </c>
      <c r="AR86" s="4">
        <v>0.32600000000000001</v>
      </c>
      <c r="AS86" s="4">
        <v>0.44800000000000001</v>
      </c>
      <c r="AT86" s="4">
        <v>0.28599999999999998</v>
      </c>
      <c r="AU86" s="4">
        <v>0.27500000000000002</v>
      </c>
      <c r="AV86" s="4">
        <v>-0.308</v>
      </c>
      <c r="AW86" s="4">
        <v>-0.157</v>
      </c>
      <c r="AX86" s="4">
        <v>-0.39900000000000002</v>
      </c>
      <c r="AY86" s="4">
        <v>0.21</v>
      </c>
      <c r="AZ86" s="4">
        <v>-0.34399999999999997</v>
      </c>
      <c r="BA86" s="4">
        <v>4.4999999999999998E-2</v>
      </c>
      <c r="BB86" s="4">
        <v>-2.8000000000000001E-2</v>
      </c>
      <c r="BC86" s="4">
        <v>0.17100000000000001</v>
      </c>
      <c r="BD86" s="4">
        <v>0.51800000000000002</v>
      </c>
      <c r="BE86" s="4">
        <v>-0.88300000000000001</v>
      </c>
      <c r="BF86" s="4">
        <v>-0.246</v>
      </c>
      <c r="BG86" s="4">
        <v>0.29299999999999998</v>
      </c>
      <c r="BH86" s="4">
        <v>0.29299999999999998</v>
      </c>
      <c r="BI86" s="4">
        <v>0.28799999999999998</v>
      </c>
      <c r="BJ86" s="4">
        <v>-2.5000000000000001E-2</v>
      </c>
      <c r="BK86" s="4">
        <v>0.25</v>
      </c>
      <c r="BL86" s="4">
        <v>-5.3999999999999999E-2</v>
      </c>
      <c r="BM86" s="4"/>
    </row>
    <row r="87" spans="1:65" x14ac:dyDescent="0.3">
      <c r="A87" s="19" t="s">
        <v>125</v>
      </c>
      <c r="B87" s="53">
        <v>0</v>
      </c>
      <c r="C87" s="53">
        <f t="shared" si="10"/>
        <v>-2.8000000000000001E-2</v>
      </c>
      <c r="D87" s="53">
        <f t="shared" si="11"/>
        <v>0</v>
      </c>
      <c r="E87" s="53">
        <f t="shared" si="12"/>
        <v>2.8000000000000001E-2</v>
      </c>
      <c r="F87" s="15">
        <v>1.052</v>
      </c>
      <c r="G87" s="19">
        <v>2.254</v>
      </c>
      <c r="H87" s="24" t="s">
        <v>55</v>
      </c>
      <c r="I87" t="str">
        <f>VLOOKUP(A87,Setores!$A$2:$C$215,2,0)</f>
        <v>real_estate</v>
      </c>
      <c r="J87" t="str">
        <f>VLOOKUP(A87,Setores!$A$2:$C$215,3,0)</f>
        <v>high_beta</v>
      </c>
      <c r="K87" s="2">
        <v>0</v>
      </c>
      <c r="L87" s="2">
        <v>-2.8000000000000001E-2</v>
      </c>
      <c r="M87" s="71">
        <v>48</v>
      </c>
      <c r="N87" s="41">
        <f>VLOOKUP(A87,'Mandato Smll'!$A$2:$C$215,2,0)</f>
        <v>0</v>
      </c>
      <c r="O87" s="58">
        <f t="shared" si="13"/>
        <v>0</v>
      </c>
      <c r="P87" s="42">
        <f t="shared" si="14"/>
        <v>0</v>
      </c>
      <c r="Q87" s="41">
        <f>VLOOKUP(A87,'Mandato Smll'!$A$2:$C$215,3,0)</f>
        <v>0</v>
      </c>
      <c r="R87" s="58">
        <f t="shared" si="15"/>
        <v>0</v>
      </c>
      <c r="S87" s="15">
        <v>-0.34599999999999997</v>
      </c>
      <c r="T87" s="15">
        <v>-0.48499999999999999</v>
      </c>
      <c r="U87" s="15">
        <v>-0.77400000000000002</v>
      </c>
      <c r="V87" s="15">
        <v>-0.29499999999999998</v>
      </c>
      <c r="W87" s="15">
        <v>-0.65600000000000003</v>
      </c>
      <c r="X87" s="15">
        <v>0.13300000000000001</v>
      </c>
      <c r="Y87" s="15">
        <v>0.67600000000000005</v>
      </c>
      <c r="Z87" s="15">
        <v>-0.38800000000000001</v>
      </c>
      <c r="AA87" s="15">
        <v>0.29799999999999999</v>
      </c>
      <c r="AB87" s="15">
        <v>0.29899999999999999</v>
      </c>
      <c r="AC87" s="15">
        <v>0.7</v>
      </c>
      <c r="AD87" s="15">
        <v>0.72199999999999998</v>
      </c>
      <c r="AE87" s="15">
        <v>0.55100000000000005</v>
      </c>
      <c r="AF87" s="14">
        <v>-0.24099999999999999</v>
      </c>
      <c r="AG87" s="15">
        <v>-0.55900000000000005</v>
      </c>
      <c r="AH87" s="15">
        <v>-0.52300000000000002</v>
      </c>
      <c r="AI87" s="15">
        <v>-0.86299999999999999</v>
      </c>
      <c r="AJ87" s="15">
        <v>-0.56399999999999995</v>
      </c>
      <c r="AK87" s="9">
        <v>-0.58499999999999996</v>
      </c>
      <c r="AL87" s="4">
        <v>-0.28899999999999998</v>
      </c>
      <c r="AM87" s="4">
        <v>-0.39300000000000002</v>
      </c>
      <c r="AN87" s="4">
        <v>-0.77100000000000002</v>
      </c>
      <c r="AO87" s="4">
        <v>0.21299999999999999</v>
      </c>
      <c r="AP87" s="4">
        <v>-8.9999999999999993E-3</v>
      </c>
      <c r="AQ87" s="4">
        <v>0.10100000000000001</v>
      </c>
      <c r="AR87" s="4">
        <v>4.7E-2</v>
      </c>
      <c r="AS87" s="4">
        <v>0.39300000000000002</v>
      </c>
      <c r="AT87" s="4">
        <v>0.33300000000000002</v>
      </c>
      <c r="AU87" s="4">
        <v>0.43099999999999999</v>
      </c>
      <c r="AV87" s="4">
        <v>0.90100000000000002</v>
      </c>
      <c r="AW87" s="4">
        <v>0.35099999999999998</v>
      </c>
      <c r="AX87" s="4">
        <v>0.30399999999999999</v>
      </c>
      <c r="AY87" s="4">
        <v>-0.58399999999999996</v>
      </c>
      <c r="AZ87" s="4">
        <v>0.80700000000000005</v>
      </c>
      <c r="BA87" s="4">
        <v>0.29699999999999999</v>
      </c>
      <c r="BB87" s="4">
        <v>-9.9000000000000005E-2</v>
      </c>
      <c r="BC87" s="4">
        <v>-0.42</v>
      </c>
      <c r="BD87" s="4">
        <v>0.41</v>
      </c>
      <c r="BE87" s="4">
        <v>0.35199999999999998</v>
      </c>
      <c r="BF87" s="4">
        <v>-2.8000000000000001E-2</v>
      </c>
      <c r="BG87" s="4">
        <v>-3.1E-2</v>
      </c>
      <c r="BH87" s="4">
        <v>0.70399999999999996</v>
      </c>
      <c r="BI87" s="4">
        <v>-0.36</v>
      </c>
      <c r="BJ87" s="4">
        <v>0.54700000000000004</v>
      </c>
      <c r="BK87" s="4">
        <v>-0.26600000000000001</v>
      </c>
      <c r="BL87" s="4">
        <v>-0.42</v>
      </c>
      <c r="BM87" s="4"/>
    </row>
    <row r="88" spans="1:65" x14ac:dyDescent="0.3">
      <c r="A88" s="19" t="s">
        <v>196</v>
      </c>
      <c r="B88" s="53">
        <v>0</v>
      </c>
      <c r="C88" s="53">
        <f t="shared" si="10"/>
        <v>-3.0000000000000001E-3</v>
      </c>
      <c r="D88" s="53">
        <f t="shared" si="11"/>
        <v>0</v>
      </c>
      <c r="E88" s="53">
        <f t="shared" si="12"/>
        <v>3.0000000000000001E-3</v>
      </c>
      <c r="F88" s="15">
        <v>1.046</v>
      </c>
      <c r="G88" s="19">
        <v>0.754</v>
      </c>
      <c r="H88" s="24" t="s">
        <v>57</v>
      </c>
      <c r="I88" t="str">
        <f>VLOOKUP(A88,Setores!$A$2:$C$215,2,0)</f>
        <v>education</v>
      </c>
      <c r="J88" t="str">
        <f>VLOOKUP(A88,Setores!$A$2:$C$215,3,0)</f>
        <v>very_high_beta</v>
      </c>
      <c r="K88" s="2">
        <v>0</v>
      </c>
      <c r="L88" s="2">
        <v>-3.0000000000000001E-3</v>
      </c>
      <c r="M88" s="71">
        <v>80</v>
      </c>
      <c r="N88" s="41">
        <f>VLOOKUP(A88,'Mandato Smll'!$A$2:$C$215,2,0)</f>
        <v>0</v>
      </c>
      <c r="O88" s="58">
        <f t="shared" si="13"/>
        <v>0</v>
      </c>
      <c r="P88" s="42">
        <f t="shared" si="14"/>
        <v>0</v>
      </c>
      <c r="Q88" s="41">
        <f>VLOOKUP(A88,'Mandato Smll'!$A$2:$C$215,3,0)</f>
        <v>8.0097924246042007E-3</v>
      </c>
      <c r="R88" s="58">
        <f t="shared" si="15"/>
        <v>-8.0097924246042007E-3</v>
      </c>
      <c r="S88" s="15">
        <v>8.3000000000000004E-2</v>
      </c>
      <c r="T88" s="15">
        <v>0.16200000000000001</v>
      </c>
      <c r="U88" s="15">
        <v>0.125</v>
      </c>
      <c r="V88" s="15">
        <v>2.5000000000000001E-2</v>
      </c>
      <c r="W88" s="15">
        <v>0.14499999999999999</v>
      </c>
      <c r="X88" s="15">
        <v>-0.27200000000000002</v>
      </c>
      <c r="Y88" s="15">
        <v>-0.39</v>
      </c>
      <c r="Z88" s="15">
        <v>-0.55800000000000005</v>
      </c>
      <c r="AA88" s="15">
        <v>-5.3999999999999999E-2</v>
      </c>
      <c r="AB88" s="15">
        <v>-5.2999999999999999E-2</v>
      </c>
      <c r="AC88" s="15">
        <v>0.56899999999999995</v>
      </c>
      <c r="AD88" s="15">
        <v>0.55600000000000005</v>
      </c>
      <c r="AE88" s="15">
        <v>0.53900000000000003</v>
      </c>
      <c r="AF88" s="14">
        <v>0.183</v>
      </c>
      <c r="AG88" s="15">
        <v>0.93899999999999995</v>
      </c>
      <c r="AH88" s="15">
        <v>0.125</v>
      </c>
      <c r="AI88" s="15">
        <v>0.38900000000000001</v>
      </c>
      <c r="AJ88" s="15">
        <v>-0.113</v>
      </c>
      <c r="AK88" s="9">
        <v>0.67100000000000004</v>
      </c>
      <c r="AL88" s="4">
        <v>0.14299999999999999</v>
      </c>
      <c r="AM88" s="4">
        <v>-0.753</v>
      </c>
      <c r="AN88" s="4">
        <v>0.249</v>
      </c>
      <c r="AO88" s="4">
        <v>0.14699999999999999</v>
      </c>
      <c r="AP88" s="4">
        <v>-0.19800000000000001</v>
      </c>
      <c r="AQ88" s="4">
        <v>-0.436</v>
      </c>
      <c r="AR88" s="4">
        <v>0.56399999999999995</v>
      </c>
      <c r="AS88" s="4">
        <v>0.23100000000000001</v>
      </c>
      <c r="AT88" s="4">
        <v>0.188</v>
      </c>
      <c r="AU88" s="4">
        <v>7.8E-2</v>
      </c>
      <c r="AV88" s="4">
        <v>0.126</v>
      </c>
      <c r="AW88" s="4">
        <v>0.23400000000000001</v>
      </c>
      <c r="AX88" s="4">
        <v>-0.88500000000000001</v>
      </c>
      <c r="AY88" s="4">
        <v>-0.47399999999999998</v>
      </c>
      <c r="AZ88" s="4">
        <v>0.64300000000000002</v>
      </c>
      <c r="BA88" s="4">
        <v>0.17299999999999999</v>
      </c>
      <c r="BB88" s="4">
        <v>0.53300000000000003</v>
      </c>
      <c r="BC88" s="4">
        <v>0.159</v>
      </c>
      <c r="BD88" s="4">
        <v>-0.219</v>
      </c>
      <c r="BE88" s="4">
        <v>0.20399999999999999</v>
      </c>
      <c r="BF88" s="4">
        <v>0.46899999999999997</v>
      </c>
      <c r="BG88" s="4">
        <v>0.315</v>
      </c>
      <c r="BH88" s="4">
        <v>0.27600000000000002</v>
      </c>
      <c r="BI88" s="4">
        <v>-0.153</v>
      </c>
      <c r="BJ88" s="4">
        <v>0.50700000000000001</v>
      </c>
      <c r="BK88" s="4">
        <v>-0.59399999999999997</v>
      </c>
      <c r="BL88" s="4">
        <v>0.65300000000000002</v>
      </c>
      <c r="BM88" s="4"/>
    </row>
    <row r="89" spans="1:65" x14ac:dyDescent="0.3">
      <c r="A89" s="19" t="s">
        <v>104</v>
      </c>
      <c r="B89" s="53">
        <v>5.0000000000000001E-3</v>
      </c>
      <c r="C89" s="53">
        <f t="shared" si="10"/>
        <v>5.0000000000000001E-3</v>
      </c>
      <c r="D89" s="53">
        <f t="shared" si="11"/>
        <v>5.0000000000000001E-3</v>
      </c>
      <c r="E89" s="53">
        <f t="shared" si="12"/>
        <v>0</v>
      </c>
      <c r="F89" s="15">
        <v>1.0429999999999999</v>
      </c>
      <c r="G89" s="19">
        <v>1.431</v>
      </c>
      <c r="H89" s="24" t="s">
        <v>55</v>
      </c>
      <c r="I89" t="str">
        <f>VLOOKUP(A89,Setores!$A$2:$C$215,2,0)</f>
        <v>utilities</v>
      </c>
      <c r="J89" t="str">
        <f>VLOOKUP(A89,Setores!$A$2:$C$215,3,0)</f>
        <v>low_beta</v>
      </c>
      <c r="K89" s="2">
        <v>0</v>
      </c>
      <c r="L89" s="2">
        <v>0</v>
      </c>
      <c r="M89" s="71">
        <v>80</v>
      </c>
      <c r="N89" s="41">
        <f>VLOOKUP(A89,'Mandato Smll'!$A$2:$C$215,2,0)</f>
        <v>0</v>
      </c>
      <c r="O89" s="58">
        <f t="shared" si="13"/>
        <v>0</v>
      </c>
      <c r="P89" s="42">
        <f t="shared" si="14"/>
        <v>5.0000000000000001E-3</v>
      </c>
      <c r="Q89" s="41">
        <f>VLOOKUP(A89,'Mandato Smll'!$A$2:$C$215,3,0)</f>
        <v>0</v>
      </c>
      <c r="R89" s="58">
        <f t="shared" si="15"/>
        <v>0</v>
      </c>
      <c r="S89" s="15">
        <v>-0.55000000000000004</v>
      </c>
      <c r="T89" s="15">
        <v>-0.73899999999999999</v>
      </c>
      <c r="U89" s="15">
        <v>-0.71599999999999997</v>
      </c>
      <c r="V89" s="15">
        <v>-0.42099999999999999</v>
      </c>
      <c r="W89" s="15">
        <v>-0.69199999999999995</v>
      </c>
      <c r="X89" s="15">
        <v>9.1999999999999998E-2</v>
      </c>
      <c r="Y89" s="15">
        <v>0.71899999999999997</v>
      </c>
      <c r="Z89" s="15">
        <v>-0.28799999999999998</v>
      </c>
      <c r="AA89" s="15">
        <v>0.48399999999999999</v>
      </c>
      <c r="AB89" s="15">
        <v>0.48199999999999998</v>
      </c>
      <c r="AC89" s="15">
        <v>0.63400000000000001</v>
      </c>
      <c r="AD89" s="15">
        <v>0.72099999999999997</v>
      </c>
      <c r="AE89" s="15">
        <v>0.59199999999999997</v>
      </c>
      <c r="AF89" s="14">
        <v>-0.27</v>
      </c>
      <c r="AG89" s="15">
        <v>-0.53200000000000003</v>
      </c>
      <c r="AH89" s="15">
        <v>-0.66800000000000004</v>
      </c>
      <c r="AI89" s="15">
        <v>-0.76300000000000001</v>
      </c>
      <c r="AJ89" s="15">
        <v>-0.67600000000000005</v>
      </c>
      <c r="AK89" s="9">
        <v>-0.88100000000000001</v>
      </c>
      <c r="AL89" s="4">
        <v>-0.182</v>
      </c>
      <c r="AM89" s="4">
        <v>0.187</v>
      </c>
      <c r="AN89" s="4">
        <v>-0.59899999999999998</v>
      </c>
      <c r="AO89" s="4">
        <v>-0.217</v>
      </c>
      <c r="AP89" s="4">
        <v>-0.27</v>
      </c>
      <c r="AQ89" s="4">
        <v>6.0000000000000001E-3</v>
      </c>
      <c r="AR89" s="4">
        <v>-0.13600000000000001</v>
      </c>
      <c r="AS89" s="4">
        <v>0.17599999999999999</v>
      </c>
      <c r="AT89" s="4">
        <v>0.124</v>
      </c>
      <c r="AU89" s="4">
        <v>0.113</v>
      </c>
      <c r="AV89" s="4">
        <v>0.53700000000000003</v>
      </c>
      <c r="AW89" s="4">
        <v>2.1999999999999999E-2</v>
      </c>
      <c r="AX89" s="4">
        <v>0.89300000000000002</v>
      </c>
      <c r="AY89" s="4">
        <v>-0.84499999999999997</v>
      </c>
      <c r="AZ89" s="4">
        <v>0.438</v>
      </c>
      <c r="BA89" s="4">
        <v>-6.5000000000000002E-2</v>
      </c>
      <c r="BB89" s="4">
        <v>0.88500000000000001</v>
      </c>
      <c r="BC89" s="4">
        <v>-0.16400000000000001</v>
      </c>
      <c r="BD89" s="4">
        <v>-0.36799999999999999</v>
      </c>
      <c r="BE89" s="4">
        <v>0.36399999999999999</v>
      </c>
      <c r="BF89" s="4">
        <v>-0.16600000000000001</v>
      </c>
      <c r="BG89" s="4">
        <v>0.11600000000000001</v>
      </c>
      <c r="BH89" s="4">
        <v>0.83899999999999997</v>
      </c>
      <c r="BI89" s="4">
        <v>-0.379</v>
      </c>
      <c r="BJ89" s="4">
        <v>-0.30099999999999999</v>
      </c>
      <c r="BK89" s="4">
        <v>0.93100000000000005</v>
      </c>
      <c r="BL89" s="4">
        <v>5.3999999999999999E-2</v>
      </c>
      <c r="BM89" s="4"/>
    </row>
    <row r="90" spans="1:65" x14ac:dyDescent="0.3">
      <c r="A90" s="19" t="s">
        <v>78</v>
      </c>
      <c r="B90" s="53">
        <v>0</v>
      </c>
      <c r="C90" s="53">
        <f t="shared" si="10"/>
        <v>-3.0000000000000001E-3</v>
      </c>
      <c r="D90" s="53">
        <f t="shared" si="11"/>
        <v>0</v>
      </c>
      <c r="E90" s="53">
        <f t="shared" si="12"/>
        <v>3.0000000000000001E-3</v>
      </c>
      <c r="F90" s="15">
        <v>1.0409999999999999</v>
      </c>
      <c r="G90" s="19">
        <v>1.2749999999999999</v>
      </c>
      <c r="H90" s="24" t="s">
        <v>57</v>
      </c>
      <c r="I90" t="str">
        <f>VLOOKUP(A90,Setores!$A$2:$C$215,2,0)</f>
        <v>transportation</v>
      </c>
      <c r="J90" t="str">
        <f>VLOOKUP(A90,Setores!$A$2:$C$215,3,0)</f>
        <v>neutral_beta</v>
      </c>
      <c r="K90" s="2">
        <v>0</v>
      </c>
      <c r="L90" s="2">
        <v>-3.0000000000000001E-3</v>
      </c>
      <c r="M90" s="71">
        <v>80</v>
      </c>
      <c r="N90" s="41">
        <f>VLOOKUP(A90,'Mandato Smll'!$A$2:$C$215,2,0)</f>
        <v>0</v>
      </c>
      <c r="O90" s="58">
        <f t="shared" si="13"/>
        <v>0</v>
      </c>
      <c r="P90" s="42">
        <f t="shared" si="14"/>
        <v>0</v>
      </c>
      <c r="Q90" s="41">
        <f>VLOOKUP(A90,'Mandato Smll'!$A$2:$C$215,3,0)</f>
        <v>0</v>
      </c>
      <c r="R90" s="58">
        <f t="shared" si="15"/>
        <v>0</v>
      </c>
      <c r="S90" s="15">
        <v>-0.23899999999999999</v>
      </c>
      <c r="T90" s="15">
        <v>-0.78700000000000003</v>
      </c>
      <c r="U90" s="15">
        <v>-3.0000000000000001E-3</v>
      </c>
      <c r="V90" s="15">
        <v>-0.308</v>
      </c>
      <c r="W90" s="15">
        <v>-0.46400000000000002</v>
      </c>
      <c r="X90" s="15">
        <v>3.1E-2</v>
      </c>
      <c r="Y90" s="15">
        <v>0.3</v>
      </c>
      <c r="Z90" s="15">
        <v>-0.35399999999999998</v>
      </c>
      <c r="AA90" s="15">
        <v>0.214</v>
      </c>
      <c r="AB90" s="15">
        <v>0.218</v>
      </c>
      <c r="AC90" s="15">
        <v>0.58199999999999996</v>
      </c>
      <c r="AD90" s="15">
        <v>0.54300000000000004</v>
      </c>
      <c r="AE90" s="15">
        <v>0.53400000000000003</v>
      </c>
      <c r="AF90" s="14">
        <v>2.9000000000000001E-2</v>
      </c>
      <c r="AG90" s="15">
        <v>-0.27800000000000002</v>
      </c>
      <c r="AH90" s="15">
        <v>-1</v>
      </c>
      <c r="AI90" s="15">
        <v>-0.113</v>
      </c>
      <c r="AJ90" s="15">
        <v>-0.51700000000000002</v>
      </c>
      <c r="AK90" s="9">
        <v>0.81599999999999995</v>
      </c>
      <c r="AL90" s="4">
        <v>-0.219</v>
      </c>
      <c r="AM90" s="4">
        <v>0.35099999999999998</v>
      </c>
      <c r="AN90" s="4">
        <v>-0.86199999999999999</v>
      </c>
      <c r="AO90" s="4">
        <v>0.24099999999999999</v>
      </c>
      <c r="AP90" s="4">
        <v>-0.55100000000000005</v>
      </c>
      <c r="AQ90" s="4">
        <v>-0.67700000000000005</v>
      </c>
      <c r="AR90" s="4">
        <v>0.104</v>
      </c>
      <c r="AS90" s="4">
        <v>0.19400000000000001</v>
      </c>
      <c r="AT90" s="4">
        <v>-0.318</v>
      </c>
      <c r="AU90" s="4">
        <v>0.81699999999999995</v>
      </c>
      <c r="AV90" s="4">
        <v>-0.28000000000000003</v>
      </c>
      <c r="AW90" s="4">
        <v>0.17599999999999999</v>
      </c>
      <c r="AX90" s="4">
        <v>0.378</v>
      </c>
      <c r="AY90" s="4">
        <v>0.214</v>
      </c>
      <c r="AZ90" s="4">
        <v>0.85099999999999998</v>
      </c>
      <c r="BA90" s="4">
        <v>0.318</v>
      </c>
      <c r="BB90" s="4">
        <v>0.42099999999999999</v>
      </c>
      <c r="BC90" s="4">
        <v>-0.13100000000000001</v>
      </c>
      <c r="BD90" s="4">
        <v>-0.36199999999999999</v>
      </c>
      <c r="BE90" s="4">
        <v>0.34699999999999998</v>
      </c>
      <c r="BF90" s="4">
        <v>-0.23899999999999999</v>
      </c>
      <c r="BG90" s="4">
        <v>-0.27400000000000002</v>
      </c>
      <c r="BH90" s="4">
        <v>0.75</v>
      </c>
      <c r="BI90" s="4">
        <v>-0.59599999999999997</v>
      </c>
      <c r="BJ90" s="4">
        <v>0.24299999999999999</v>
      </c>
      <c r="BK90" s="4">
        <v>0.36799999999999999</v>
      </c>
      <c r="BL90" s="4">
        <v>0.58799999999999997</v>
      </c>
      <c r="BM90" s="4"/>
    </row>
    <row r="91" spans="1:65" x14ac:dyDescent="0.3">
      <c r="A91" s="19" t="s">
        <v>142</v>
      </c>
      <c r="B91" s="53">
        <v>0</v>
      </c>
      <c r="C91" s="53">
        <f t="shared" si="10"/>
        <v>-4.0000000000000001E-3</v>
      </c>
      <c r="D91" s="53">
        <f t="shared" si="11"/>
        <v>0</v>
      </c>
      <c r="E91" s="53">
        <f t="shared" si="12"/>
        <v>4.0000000000000001E-3</v>
      </c>
      <c r="F91" s="15">
        <v>1</v>
      </c>
      <c r="G91" s="19">
        <v>0.85</v>
      </c>
      <c r="H91" s="24" t="s">
        <v>53</v>
      </c>
      <c r="I91" t="str">
        <f>VLOOKUP(A91,Setores!$A$2:$C$215,2,0)</f>
        <v>consumer_staples</v>
      </c>
      <c r="J91" t="str">
        <f>VLOOKUP(A91,Setores!$A$2:$C$215,3,0)</f>
        <v>low_beta</v>
      </c>
      <c r="K91" s="2">
        <v>0</v>
      </c>
      <c r="L91" s="2">
        <v>-4.0000000000000001E-3</v>
      </c>
      <c r="M91" s="71">
        <v>80</v>
      </c>
      <c r="N91" s="41">
        <f>VLOOKUP(A91,'Mandato Smll'!$A$2:$C$215,2,0)</f>
        <v>0</v>
      </c>
      <c r="O91" s="58">
        <f t="shared" si="13"/>
        <v>0</v>
      </c>
      <c r="P91" s="42">
        <f t="shared" si="14"/>
        <v>0</v>
      </c>
      <c r="Q91" s="41">
        <f>VLOOKUP(A91,'Mandato Smll'!$A$2:$C$215,3,0)</f>
        <v>0</v>
      </c>
      <c r="R91" s="58">
        <f t="shared" si="15"/>
        <v>0</v>
      </c>
      <c r="S91" s="15">
        <v>3.1E-2</v>
      </c>
      <c r="T91" s="15">
        <v>-0.48399999999999999</v>
      </c>
      <c r="U91" s="15">
        <v>-9.6000000000000002E-2</v>
      </c>
      <c r="V91" s="15">
        <v>-0.123</v>
      </c>
      <c r="W91" s="15">
        <v>-0.38400000000000001</v>
      </c>
      <c r="X91" s="15">
        <v>-4.5999999999999999E-2</v>
      </c>
      <c r="Y91" s="15">
        <v>-0.115</v>
      </c>
      <c r="Z91" s="15">
        <v>-0.61699999999999999</v>
      </c>
      <c r="AA91" s="15">
        <v>0.20499999999999999</v>
      </c>
      <c r="AB91" s="15">
        <v>0.20300000000000001</v>
      </c>
      <c r="AC91" s="15">
        <v>0.65200000000000002</v>
      </c>
      <c r="AD91" s="15">
        <v>0.56100000000000005</v>
      </c>
      <c r="AE91" s="15">
        <v>0.59099999999999997</v>
      </c>
      <c r="AF91" s="14">
        <v>0.33100000000000002</v>
      </c>
      <c r="AG91" s="15">
        <v>0.04</v>
      </c>
      <c r="AH91" s="15">
        <v>-0.85499999999999998</v>
      </c>
      <c r="AI91" s="15">
        <v>-0.58399999999999996</v>
      </c>
      <c r="AJ91" s="15">
        <v>-0.80300000000000005</v>
      </c>
      <c r="AK91" s="9">
        <v>0.03</v>
      </c>
      <c r="AL91" s="4">
        <v>-5.8000000000000003E-2</v>
      </c>
      <c r="AM91" s="4">
        <v>-0.50800000000000001</v>
      </c>
      <c r="AN91" s="4">
        <v>-0.123</v>
      </c>
      <c r="AO91" s="4">
        <v>0.42</v>
      </c>
      <c r="AP91" s="4">
        <v>-0.53800000000000003</v>
      </c>
      <c r="AQ91" s="4">
        <v>-0.3</v>
      </c>
      <c r="AR91" s="4">
        <v>0.38500000000000001</v>
      </c>
      <c r="AS91" s="4">
        <v>0.51900000000000002</v>
      </c>
      <c r="AT91" s="4">
        <v>0.18099999999999999</v>
      </c>
      <c r="AU91" s="4">
        <v>0.13200000000000001</v>
      </c>
      <c r="AV91" s="4">
        <v>-0.35699999999999998</v>
      </c>
      <c r="AW91" s="4">
        <v>0.55700000000000005</v>
      </c>
      <c r="AX91" s="4">
        <v>0.54400000000000004</v>
      </c>
      <c r="AY91" s="4">
        <v>0.26200000000000001</v>
      </c>
      <c r="AZ91" s="4">
        <v>0.877</v>
      </c>
      <c r="BA91" s="4">
        <v>1</v>
      </c>
      <c r="BB91" s="4">
        <v>0.64400000000000002</v>
      </c>
      <c r="BC91" s="4">
        <v>9.0999999999999998E-2</v>
      </c>
      <c r="BD91" s="4">
        <v>-6.0000000000000001E-3</v>
      </c>
      <c r="BE91" s="4">
        <v>0.51500000000000001</v>
      </c>
      <c r="BF91" s="4">
        <v>7.9000000000000001E-2</v>
      </c>
      <c r="BG91" s="4">
        <v>1</v>
      </c>
      <c r="BH91" s="4">
        <v>0.111</v>
      </c>
      <c r="BI91" s="4">
        <v>-3.2000000000000001E-2</v>
      </c>
      <c r="BJ91" s="4">
        <v>-0.247</v>
      </c>
      <c r="BK91" s="4">
        <v>0.52600000000000002</v>
      </c>
      <c r="BL91" s="4">
        <v>7.2999999999999995E-2</v>
      </c>
      <c r="BM91" s="4"/>
    </row>
    <row r="92" spans="1:65" x14ac:dyDescent="0.3">
      <c r="A92" s="19" t="s">
        <v>108</v>
      </c>
      <c r="B92" s="53">
        <v>0</v>
      </c>
      <c r="C92" s="53">
        <f t="shared" si="10"/>
        <v>0</v>
      </c>
      <c r="D92" s="53">
        <f t="shared" si="11"/>
        <v>0</v>
      </c>
      <c r="E92" s="53">
        <f t="shared" si="12"/>
        <v>0</v>
      </c>
      <c r="F92" s="15">
        <v>0.98599999999999999</v>
      </c>
      <c r="G92" s="19">
        <v>1.333</v>
      </c>
      <c r="H92" s="24" t="s">
        <v>55</v>
      </c>
      <c r="I92" t="str">
        <f>VLOOKUP(A92,Setores!$A$2:$C$215,2,0)</f>
        <v>utilities</v>
      </c>
      <c r="J92" t="str">
        <f>VLOOKUP(A92,Setores!$A$2:$C$215,3,0)</f>
        <v>very_low_beta</v>
      </c>
      <c r="K92" s="2">
        <v>0</v>
      </c>
      <c r="L92" s="2">
        <v>0</v>
      </c>
      <c r="M92" s="71">
        <v>80</v>
      </c>
      <c r="N92" s="41">
        <f>VLOOKUP(A92,'Mandato Smll'!$A$2:$C$215,2,0)</f>
        <v>0</v>
      </c>
      <c r="O92" s="58">
        <f t="shared" si="13"/>
        <v>0</v>
      </c>
      <c r="P92" s="42">
        <f t="shared" si="14"/>
        <v>0</v>
      </c>
      <c r="Q92" s="41">
        <f>VLOOKUP(A92,'Mandato Smll'!$A$2:$C$215,3,0)</f>
        <v>0</v>
      </c>
      <c r="R92" s="58">
        <f t="shared" si="15"/>
        <v>0</v>
      </c>
      <c r="S92" s="15">
        <v>-0.621</v>
      </c>
      <c r="T92" s="15">
        <v>-0.76400000000000001</v>
      </c>
      <c r="U92" s="15">
        <v>-0.72499999999999998</v>
      </c>
      <c r="V92" s="15">
        <v>-0.45300000000000001</v>
      </c>
      <c r="W92" s="15">
        <v>-0.70699999999999996</v>
      </c>
      <c r="X92" s="15">
        <v>0.04</v>
      </c>
      <c r="Y92" s="15">
        <v>0.67300000000000004</v>
      </c>
      <c r="Z92" s="15">
        <v>-0.308</v>
      </c>
      <c r="AA92" s="15">
        <v>0.57099999999999995</v>
      </c>
      <c r="AB92" s="15">
        <v>0.56899999999999995</v>
      </c>
      <c r="AC92" s="15">
        <v>0.61499999999999999</v>
      </c>
      <c r="AD92" s="15">
        <v>0.72</v>
      </c>
      <c r="AE92" s="15">
        <v>0.57899999999999996</v>
      </c>
      <c r="AF92" s="14">
        <v>-0.26500000000000001</v>
      </c>
      <c r="AG92" s="15">
        <v>-0.52800000000000002</v>
      </c>
      <c r="AH92" s="15">
        <v>-0.70599999999999996</v>
      </c>
      <c r="AI92" s="15">
        <v>-0.76100000000000001</v>
      </c>
      <c r="AJ92" s="15">
        <v>-0.70899999999999996</v>
      </c>
      <c r="AK92" s="9">
        <v>-0.88100000000000001</v>
      </c>
      <c r="AL92" s="4">
        <v>-0.182</v>
      </c>
      <c r="AM92" s="4">
        <v>0.19400000000000001</v>
      </c>
      <c r="AN92" s="4">
        <v>-0.59899999999999998</v>
      </c>
      <c r="AO92" s="4">
        <v>-0.21299999999999999</v>
      </c>
      <c r="AP92" s="4">
        <v>-0.28999999999999998</v>
      </c>
      <c r="AQ92" s="4">
        <v>1.4E-2</v>
      </c>
      <c r="AR92" s="4">
        <v>-0.13600000000000001</v>
      </c>
      <c r="AS92" s="4">
        <v>0.17599999999999999</v>
      </c>
      <c r="AT92" s="4">
        <v>0.124</v>
      </c>
      <c r="AU92" s="4">
        <v>0.113</v>
      </c>
      <c r="AV92" s="4">
        <v>0.53700000000000003</v>
      </c>
      <c r="AW92" s="4">
        <v>2.1999999999999999E-2</v>
      </c>
      <c r="AX92" s="4">
        <v>0.9</v>
      </c>
      <c r="AY92" s="4">
        <v>-0.84499999999999997</v>
      </c>
      <c r="AZ92" s="4">
        <v>0.438</v>
      </c>
      <c r="BA92" s="4">
        <v>3.7999999999999999E-2</v>
      </c>
      <c r="BB92" s="4">
        <v>0.22900000000000001</v>
      </c>
      <c r="BC92" s="4">
        <v>-0.16400000000000001</v>
      </c>
      <c r="BD92" s="4">
        <v>-0.36799999999999999</v>
      </c>
      <c r="BE92" s="4">
        <v>0.35899999999999999</v>
      </c>
      <c r="BF92" s="4">
        <v>-0.192</v>
      </c>
      <c r="BG92" s="4">
        <v>4.1000000000000002E-2</v>
      </c>
      <c r="BH92" s="4">
        <v>0.86599999999999999</v>
      </c>
      <c r="BI92" s="4">
        <v>-0.36399999999999999</v>
      </c>
      <c r="BJ92" s="4">
        <v>-0.34599999999999997</v>
      </c>
      <c r="BK92" s="4">
        <v>1</v>
      </c>
      <c r="BL92" s="4">
        <v>5.3999999999999999E-2</v>
      </c>
      <c r="BM92" s="4"/>
    </row>
    <row r="93" spans="1:65" x14ac:dyDescent="0.3">
      <c r="A93" s="19" t="s">
        <v>185</v>
      </c>
      <c r="B93" s="53">
        <v>5.0000000000000001E-3</v>
      </c>
      <c r="C93" s="53">
        <f t="shared" si="10"/>
        <v>5.0000000000000001E-3</v>
      </c>
      <c r="D93" s="53">
        <f t="shared" si="11"/>
        <v>5.0000000000000001E-3</v>
      </c>
      <c r="E93" s="53">
        <f t="shared" si="12"/>
        <v>0</v>
      </c>
      <c r="F93" s="15">
        <v>0.97299999999999998</v>
      </c>
      <c r="G93" s="19">
        <v>1.3220000000000001</v>
      </c>
      <c r="H93" s="24" t="s">
        <v>55</v>
      </c>
      <c r="I93" t="str">
        <f>VLOOKUP(A93,Setores!$A$2:$C$215,2,0)</f>
        <v>utilities</v>
      </c>
      <c r="J93" t="str">
        <f>VLOOKUP(A93,Setores!$A$2:$C$215,3,0)</f>
        <v>neutral_beta</v>
      </c>
      <c r="K93" s="2">
        <v>0</v>
      </c>
      <c r="L93" s="2">
        <v>0</v>
      </c>
      <c r="M93" s="71">
        <v>18</v>
      </c>
      <c r="N93" s="41">
        <f>VLOOKUP(A93,'Mandato Smll'!$A$2:$C$215,2,0)</f>
        <v>0</v>
      </c>
      <c r="O93" s="58">
        <f t="shared" si="13"/>
        <v>0</v>
      </c>
      <c r="P93" s="42">
        <f t="shared" si="14"/>
        <v>5.0000000000000001E-3</v>
      </c>
      <c r="Q93" s="41">
        <f>VLOOKUP(A93,'Mandato Smll'!$A$2:$C$215,3,0)</f>
        <v>1.12206284031049E-2</v>
      </c>
      <c r="R93" s="58">
        <f t="shared" si="15"/>
        <v>-1.12206284031049E-2</v>
      </c>
      <c r="S93" s="15">
        <v>-0.60599999999999998</v>
      </c>
      <c r="T93" s="15">
        <v>-0.51500000000000001</v>
      </c>
      <c r="U93" s="15">
        <v>-0.92200000000000004</v>
      </c>
      <c r="V93" s="15">
        <v>-0.45100000000000001</v>
      </c>
      <c r="W93" s="15">
        <v>-0.75900000000000001</v>
      </c>
      <c r="X93" s="15">
        <v>-7.0999999999999994E-2</v>
      </c>
      <c r="Y93" s="15">
        <v>8.8999999999999996E-2</v>
      </c>
      <c r="Z93" s="15">
        <v>-0.13800000000000001</v>
      </c>
      <c r="AA93" s="15">
        <v>0.33500000000000002</v>
      </c>
      <c r="AB93" s="15">
        <v>0.33700000000000002</v>
      </c>
      <c r="AC93" s="15">
        <v>0.74099999999999999</v>
      </c>
      <c r="AD93" s="15">
        <v>0.79600000000000004</v>
      </c>
      <c r="AE93" s="15">
        <v>0.67200000000000004</v>
      </c>
      <c r="AF93" s="14">
        <v>-0.76600000000000001</v>
      </c>
      <c r="AG93" s="15">
        <v>-0.47</v>
      </c>
      <c r="AH93" s="15">
        <v>6.5000000000000002E-2</v>
      </c>
      <c r="AI93" s="15">
        <v>-0.94599999999999995</v>
      </c>
      <c r="AJ93" s="15">
        <v>-0.435</v>
      </c>
      <c r="AK93" s="9">
        <v>-0.93899999999999995</v>
      </c>
      <c r="AL93" s="4">
        <v>-0.34499999999999997</v>
      </c>
      <c r="AM93" s="4">
        <v>-0.23</v>
      </c>
      <c r="AN93" s="4">
        <v>-0.65900000000000003</v>
      </c>
      <c r="AO93" s="4">
        <v>-0.55400000000000005</v>
      </c>
      <c r="AP93" s="4">
        <v>0.40300000000000002</v>
      </c>
      <c r="AQ93" s="4">
        <v>0.82399999999999995</v>
      </c>
      <c r="AR93" s="4">
        <v>0.254</v>
      </c>
      <c r="AS93" s="4">
        <v>0.30099999999999999</v>
      </c>
      <c r="AT93" s="4">
        <v>0.45400000000000001</v>
      </c>
      <c r="AU93" s="4">
        <v>4.0000000000000001E-3</v>
      </c>
      <c r="AV93" s="4">
        <v>-0.29399999999999998</v>
      </c>
      <c r="AW93" s="4">
        <v>-0.27900000000000003</v>
      </c>
      <c r="AX93" s="4">
        <v>0.66200000000000003</v>
      </c>
      <c r="AY93" s="4">
        <v>-0.53800000000000003</v>
      </c>
      <c r="AZ93" s="4">
        <v>0.94599999999999995</v>
      </c>
      <c r="BA93" s="4">
        <v>1</v>
      </c>
      <c r="BB93" s="4">
        <v>0.56499999999999995</v>
      </c>
      <c r="BC93" s="4">
        <v>0.152</v>
      </c>
      <c r="BD93" s="4">
        <v>-0.38</v>
      </c>
      <c r="BE93" s="4">
        <v>0.38300000000000001</v>
      </c>
      <c r="BF93" s="4">
        <v>-0.23499999999999999</v>
      </c>
      <c r="BG93" s="4">
        <v>-0.18099999999999999</v>
      </c>
      <c r="BH93" s="4">
        <v>0.8</v>
      </c>
      <c r="BI93" s="4">
        <v>-0.89</v>
      </c>
      <c r="BJ93" s="4">
        <v>-0.11700000000000001</v>
      </c>
      <c r="BK93" s="4">
        <v>-0.37</v>
      </c>
      <c r="BL93" s="4">
        <v>-0.45100000000000001</v>
      </c>
      <c r="BM93" s="4"/>
    </row>
    <row r="94" spans="1:65" x14ac:dyDescent="0.3">
      <c r="A94" s="19" t="s">
        <v>154</v>
      </c>
      <c r="B94" s="53">
        <v>0</v>
      </c>
      <c r="C94" s="53">
        <f t="shared" si="10"/>
        <v>0</v>
      </c>
      <c r="D94" s="53">
        <f t="shared" si="11"/>
        <v>0</v>
      </c>
      <c r="E94" s="53">
        <f t="shared" si="12"/>
        <v>0</v>
      </c>
      <c r="F94" s="15">
        <v>0.97</v>
      </c>
      <c r="G94" s="19">
        <v>1.304</v>
      </c>
      <c r="H94" s="24" t="s">
        <v>55</v>
      </c>
      <c r="I94" t="str">
        <f>VLOOKUP(A94,Setores!$A$2:$C$215,2,0)</f>
        <v>utilities</v>
      </c>
      <c r="J94" t="str">
        <f>VLOOKUP(A94,Setores!$A$2:$C$215,3,0)</f>
        <v>low_beta</v>
      </c>
      <c r="K94" s="2">
        <v>0</v>
      </c>
      <c r="L94" s="2">
        <v>0</v>
      </c>
      <c r="M94" s="71">
        <v>28</v>
      </c>
      <c r="N94" s="41">
        <f>VLOOKUP(A94,'Mandato Smll'!$A$2:$C$215,2,0)</f>
        <v>0</v>
      </c>
      <c r="O94" s="58">
        <f t="shared" si="13"/>
        <v>0</v>
      </c>
      <c r="P94" s="42">
        <f t="shared" si="14"/>
        <v>0</v>
      </c>
      <c r="Q94" s="41">
        <f>VLOOKUP(A94,'Mandato Smll'!$A$2:$C$215,3,0)</f>
        <v>8.5265240271400894E-3</v>
      </c>
      <c r="R94" s="58">
        <f t="shared" si="15"/>
        <v>-8.5265240271400894E-3</v>
      </c>
      <c r="S94" s="15">
        <v>-0.82</v>
      </c>
      <c r="T94" s="15">
        <v>-0.67300000000000004</v>
      </c>
      <c r="U94" s="15">
        <v>-0.93</v>
      </c>
      <c r="V94" s="15">
        <v>-0.627</v>
      </c>
      <c r="W94" s="15">
        <v>-0.75</v>
      </c>
      <c r="X94" s="15">
        <v>-0.24</v>
      </c>
      <c r="Y94" s="15">
        <v>0.124</v>
      </c>
      <c r="Z94" s="15">
        <v>0.13200000000000001</v>
      </c>
      <c r="AA94" s="15">
        <v>0.54900000000000004</v>
      </c>
      <c r="AB94" s="15">
        <v>0.55200000000000005</v>
      </c>
      <c r="AC94" s="15">
        <v>0.64900000000000002</v>
      </c>
      <c r="AD94" s="15">
        <v>0.65500000000000003</v>
      </c>
      <c r="AE94" s="15">
        <v>0.58599999999999997</v>
      </c>
      <c r="AF94" s="14">
        <v>-0.77500000000000002</v>
      </c>
      <c r="AG94" s="15">
        <v>-0.68899999999999995</v>
      </c>
      <c r="AH94" s="15">
        <v>0.20200000000000001</v>
      </c>
      <c r="AI94" s="15">
        <v>-0.878</v>
      </c>
      <c r="AJ94" s="15">
        <v>-0.496</v>
      </c>
      <c r="AK94" s="9">
        <v>-0.96599999999999997</v>
      </c>
      <c r="AL94" s="4">
        <v>-0.32400000000000001</v>
      </c>
      <c r="AM94" s="4">
        <v>0.56499999999999995</v>
      </c>
      <c r="AN94" s="4">
        <v>-0.52200000000000002</v>
      </c>
      <c r="AO94" s="4">
        <v>-0.55000000000000004</v>
      </c>
      <c r="AP94" s="4">
        <v>0.27700000000000002</v>
      </c>
      <c r="AQ94" s="4">
        <v>0.55900000000000005</v>
      </c>
      <c r="AR94" s="4">
        <v>-0.23799999999999999</v>
      </c>
      <c r="AS94" s="4">
        <v>0.187</v>
      </c>
      <c r="AT94" s="4">
        <v>-0.246</v>
      </c>
      <c r="AU94" s="4">
        <v>0.2</v>
      </c>
      <c r="AV94" s="4">
        <v>-0.33100000000000002</v>
      </c>
      <c r="AW94" s="4">
        <v>-0.55800000000000005</v>
      </c>
      <c r="AX94" s="4">
        <v>0.55300000000000005</v>
      </c>
      <c r="AY94" s="4">
        <v>-0.59699999999999998</v>
      </c>
      <c r="AZ94" s="4">
        <v>0.85299999999999998</v>
      </c>
      <c r="BA94" s="4">
        <v>0.41</v>
      </c>
      <c r="BB94" s="4">
        <v>-0.40600000000000003</v>
      </c>
      <c r="BC94" s="4">
        <v>-0.432</v>
      </c>
      <c r="BD94" s="4">
        <v>-0.66500000000000004</v>
      </c>
      <c r="BE94" s="4">
        <v>0.222</v>
      </c>
      <c r="BF94" s="4">
        <v>8.5999999999999993E-2</v>
      </c>
      <c r="BG94" s="4">
        <v>0.25</v>
      </c>
      <c r="BH94" s="4">
        <v>0.98299999999999998</v>
      </c>
      <c r="BI94" s="4">
        <v>-0.65400000000000003</v>
      </c>
      <c r="BJ94" s="4">
        <v>-0.29299999999999998</v>
      </c>
      <c r="BK94" s="4">
        <v>-0.114</v>
      </c>
      <c r="BL94" s="4">
        <v>-0.378</v>
      </c>
      <c r="BM94" s="4"/>
    </row>
    <row r="95" spans="1:65" x14ac:dyDescent="0.3">
      <c r="A95" s="19" t="s">
        <v>61</v>
      </c>
      <c r="B95" s="53">
        <v>0</v>
      </c>
      <c r="C95" s="53">
        <f t="shared" si="10"/>
        <v>-3.0000000000000001E-3</v>
      </c>
      <c r="D95" s="53">
        <f t="shared" si="11"/>
        <v>0</v>
      </c>
      <c r="E95" s="53">
        <f t="shared" si="12"/>
        <v>3.0000000000000001E-3</v>
      </c>
      <c r="F95" s="15">
        <v>0.92800000000000005</v>
      </c>
      <c r="G95" s="19">
        <v>1.163</v>
      </c>
      <c r="H95" s="24" t="s">
        <v>57</v>
      </c>
      <c r="I95" t="str">
        <f>VLOOKUP(A95,Setores!$A$2:$C$215,2,0)</f>
        <v>homebuilders</v>
      </c>
      <c r="J95" t="str">
        <f>VLOOKUP(A95,Setores!$A$2:$C$215,3,0)</f>
        <v>high_beta</v>
      </c>
      <c r="K95" s="2">
        <v>0</v>
      </c>
      <c r="L95" s="2">
        <v>-3.0000000000000001E-3</v>
      </c>
      <c r="M95" s="71">
        <v>80</v>
      </c>
      <c r="N95" s="41">
        <f>VLOOKUP(A95,'Mandato Smll'!$A$2:$C$215,2,0)</f>
        <v>0</v>
      </c>
      <c r="O95" s="58">
        <f t="shared" si="13"/>
        <v>0</v>
      </c>
      <c r="P95" s="42">
        <f t="shared" si="14"/>
        <v>0</v>
      </c>
      <c r="Q95" s="41">
        <f>VLOOKUP(A95,'Mandato Smll'!$A$2:$C$215,3,0)</f>
        <v>0</v>
      </c>
      <c r="R95" s="58">
        <f t="shared" si="15"/>
        <v>0</v>
      </c>
      <c r="S95" s="15">
        <v>-0.434</v>
      </c>
      <c r="T95" s="15">
        <v>-0.75600000000000001</v>
      </c>
      <c r="U95" s="15">
        <v>-0.13900000000000001</v>
      </c>
      <c r="V95" s="15">
        <v>-0.52200000000000002</v>
      </c>
      <c r="W95" s="15">
        <v>-0.51700000000000002</v>
      </c>
      <c r="X95" s="15">
        <v>-0.113</v>
      </c>
      <c r="Y95" s="15">
        <v>0.14799999999999999</v>
      </c>
      <c r="Z95" s="15">
        <v>-0.216</v>
      </c>
      <c r="AA95" s="15">
        <v>0.121</v>
      </c>
      <c r="AB95" s="15">
        <v>0.11799999999999999</v>
      </c>
      <c r="AC95" s="15">
        <v>0.434</v>
      </c>
      <c r="AD95" s="15">
        <v>0.66600000000000004</v>
      </c>
      <c r="AE95" s="15">
        <v>0.56100000000000005</v>
      </c>
      <c r="AF95" s="14">
        <v>-0.46</v>
      </c>
      <c r="AG95" s="15">
        <v>0.246</v>
      </c>
      <c r="AH95" s="15">
        <v>-0.54</v>
      </c>
      <c r="AI95" s="15">
        <v>8.9999999999999993E-3</v>
      </c>
      <c r="AJ95" s="15">
        <v>0.20200000000000001</v>
      </c>
      <c r="AK95" s="9">
        <v>-0.224</v>
      </c>
      <c r="AL95" s="4">
        <v>-0.246</v>
      </c>
      <c r="AM95" s="4">
        <v>0.64600000000000002</v>
      </c>
      <c r="AN95" s="4">
        <v>-0.56100000000000005</v>
      </c>
      <c r="AO95" s="4">
        <v>0.29499999999999998</v>
      </c>
      <c r="AP95" s="4">
        <v>-0.46500000000000002</v>
      </c>
      <c r="AQ95" s="4">
        <v>-0.90600000000000003</v>
      </c>
      <c r="AR95" s="4">
        <v>0.25600000000000001</v>
      </c>
      <c r="AS95" s="4">
        <v>9.7000000000000003E-2</v>
      </c>
      <c r="AT95" s="4">
        <v>-0.48199999999999998</v>
      </c>
      <c r="AU95" s="4">
        <v>8.8999999999999996E-2</v>
      </c>
      <c r="AV95" s="4">
        <v>-0.15</v>
      </c>
      <c r="AW95" s="4">
        <v>-0.54100000000000004</v>
      </c>
      <c r="AX95" s="4">
        <v>0.16700000000000001</v>
      </c>
      <c r="AY95" s="4">
        <v>0.188</v>
      </c>
      <c r="AZ95" s="4">
        <v>0.434</v>
      </c>
      <c r="BA95" s="4">
        <v>0.63900000000000001</v>
      </c>
      <c r="BB95" s="4">
        <v>0.41299999999999998</v>
      </c>
      <c r="BC95" s="4">
        <v>-0.42099999999999999</v>
      </c>
      <c r="BD95" s="4">
        <v>-0.34</v>
      </c>
      <c r="BE95" s="4">
        <v>-0.53100000000000003</v>
      </c>
      <c r="BF95" s="4">
        <v>0.76500000000000001</v>
      </c>
      <c r="BG95" s="4">
        <v>0.25900000000000001</v>
      </c>
      <c r="BH95" s="4">
        <v>0.73299999999999998</v>
      </c>
      <c r="BI95" s="4">
        <v>-0.81699999999999995</v>
      </c>
      <c r="BJ95" s="4">
        <v>0.54400000000000004</v>
      </c>
      <c r="BK95" s="4">
        <v>0.436</v>
      </c>
      <c r="BL95" s="4">
        <v>0.20799999999999999</v>
      </c>
      <c r="BM95" s="4"/>
    </row>
    <row r="96" spans="1:65" x14ac:dyDescent="0.3">
      <c r="A96" s="19" t="s">
        <v>203</v>
      </c>
      <c r="B96" s="53">
        <v>0</v>
      </c>
      <c r="C96" s="53">
        <f t="shared" si="10"/>
        <v>-2.1999999999999999E-2</v>
      </c>
      <c r="D96" s="53">
        <f t="shared" si="11"/>
        <v>0</v>
      </c>
      <c r="E96" s="53">
        <f t="shared" si="12"/>
        <v>2.1999999999999999E-2</v>
      </c>
      <c r="F96" s="15">
        <v>0.90800000000000003</v>
      </c>
      <c r="G96" s="19">
        <v>1.768</v>
      </c>
      <c r="H96" s="24" t="s">
        <v>53</v>
      </c>
      <c r="I96" t="str">
        <f>VLOOKUP(A96,Setores!$A$2:$C$215,2,0)</f>
        <v>healthcare</v>
      </c>
      <c r="J96" t="str">
        <f>VLOOKUP(A96,Setores!$A$2:$C$215,3,0)</f>
        <v>very_low_beta</v>
      </c>
      <c r="K96" s="2">
        <v>0</v>
      </c>
      <c r="L96" s="2">
        <v>-2.1999999999999999E-2</v>
      </c>
      <c r="M96" s="71">
        <v>56</v>
      </c>
      <c r="N96" s="41">
        <f>VLOOKUP(A96,'Mandato Smll'!$A$2:$C$215,2,0)</f>
        <v>0</v>
      </c>
      <c r="O96" s="58">
        <f t="shared" si="13"/>
        <v>0</v>
      </c>
      <c r="P96" s="42">
        <f t="shared" si="14"/>
        <v>0</v>
      </c>
      <c r="Q96" s="41">
        <f>VLOOKUP(A96,'Mandato Smll'!$A$2:$C$215,3,0)</f>
        <v>0</v>
      </c>
      <c r="R96" s="58">
        <f t="shared" si="15"/>
        <v>0</v>
      </c>
      <c r="S96" s="15">
        <v>-0.221</v>
      </c>
      <c r="T96" s="15">
        <v>-0.45300000000000001</v>
      </c>
      <c r="U96" s="15">
        <v>-0.72099999999999997</v>
      </c>
      <c r="V96" s="15">
        <v>-0.25</v>
      </c>
      <c r="W96" s="15">
        <v>-0.63500000000000001</v>
      </c>
      <c r="X96" s="15">
        <v>2E-3</v>
      </c>
      <c r="Y96" s="15">
        <v>0.29899999999999999</v>
      </c>
      <c r="Z96" s="15">
        <v>-0.52200000000000002</v>
      </c>
      <c r="AA96" s="15">
        <v>0.13700000000000001</v>
      </c>
      <c r="AB96" s="15">
        <v>0.13800000000000001</v>
      </c>
      <c r="AC96" s="15">
        <v>0.626</v>
      </c>
      <c r="AD96" s="15">
        <v>0.72199999999999998</v>
      </c>
      <c r="AE96" s="15">
        <v>0.56399999999999995</v>
      </c>
      <c r="AF96" s="14">
        <v>2.3E-2</v>
      </c>
      <c r="AG96" s="15">
        <v>-0.38100000000000001</v>
      </c>
      <c r="AH96" s="15">
        <v>-0.64900000000000002</v>
      </c>
      <c r="AI96" s="15">
        <v>-0.83</v>
      </c>
      <c r="AJ96" s="15">
        <v>-0.77</v>
      </c>
      <c r="AK96" s="9">
        <v>-0.78400000000000003</v>
      </c>
      <c r="AL96" s="4">
        <v>-0.17699999999999999</v>
      </c>
      <c r="AM96" s="4">
        <v>-0.35099999999999998</v>
      </c>
      <c r="AN96" s="4">
        <v>-0.51400000000000001</v>
      </c>
      <c r="AO96" s="4">
        <v>0.28000000000000003</v>
      </c>
      <c r="AP96" s="4">
        <v>-0.379</v>
      </c>
      <c r="AQ96" s="4">
        <v>0.23899999999999999</v>
      </c>
      <c r="AR96" s="4">
        <v>-1E-3</v>
      </c>
      <c r="AS96" s="4">
        <v>1</v>
      </c>
      <c r="AT96" s="4">
        <v>0.755</v>
      </c>
      <c r="AU96" s="4">
        <v>9.5000000000000001E-2</v>
      </c>
      <c r="AV96" s="4">
        <v>0.26</v>
      </c>
      <c r="AW96" s="4">
        <v>0.46</v>
      </c>
      <c r="AX96" s="4">
        <v>0.441</v>
      </c>
      <c r="AY96" s="4">
        <v>-0.36699999999999999</v>
      </c>
      <c r="AZ96" s="4">
        <v>0.81499999999999995</v>
      </c>
      <c r="BA96" s="4">
        <v>0.53600000000000003</v>
      </c>
      <c r="BB96" s="4">
        <v>0.92500000000000004</v>
      </c>
      <c r="BC96" s="4">
        <v>-0.127</v>
      </c>
      <c r="BD96" s="4">
        <v>-0.29899999999999999</v>
      </c>
      <c r="BE96" s="4">
        <v>0.39700000000000002</v>
      </c>
      <c r="BF96" s="4">
        <v>-0.76100000000000001</v>
      </c>
      <c r="BG96" s="4">
        <v>-0.16700000000000001</v>
      </c>
      <c r="BH96" s="4">
        <v>0.45900000000000002</v>
      </c>
      <c r="BI96" s="4">
        <v>0.109</v>
      </c>
      <c r="BJ96" s="4">
        <v>-0.377</v>
      </c>
      <c r="BK96" s="4">
        <v>8.0000000000000002E-3</v>
      </c>
      <c r="BL96" s="4">
        <v>-0.39</v>
      </c>
      <c r="BM96" s="4"/>
    </row>
    <row r="97" spans="1:65" x14ac:dyDescent="0.3">
      <c r="A97" s="19" t="s">
        <v>210</v>
      </c>
      <c r="B97" s="53">
        <v>0</v>
      </c>
      <c r="C97" s="53">
        <f t="shared" si="10"/>
        <v>0</v>
      </c>
      <c r="D97" s="53">
        <f t="shared" si="11"/>
        <v>0</v>
      </c>
      <c r="E97" s="53">
        <f t="shared" si="12"/>
        <v>0</v>
      </c>
      <c r="F97" s="15">
        <v>0.89200000000000002</v>
      </c>
      <c r="G97" s="19">
        <v>1.1339999999999999</v>
      </c>
      <c r="H97" s="24" t="s">
        <v>55</v>
      </c>
      <c r="I97" t="str">
        <f>VLOOKUP(A97,Setores!$A$2:$C$215,2,0)</f>
        <v>utilities</v>
      </c>
      <c r="J97" t="str">
        <f>VLOOKUP(A97,Setores!$A$2:$C$215,3,0)</f>
        <v>high_beta</v>
      </c>
      <c r="K97" s="2">
        <v>0</v>
      </c>
      <c r="L97" s="2">
        <v>0</v>
      </c>
      <c r="M97" s="71">
        <v>5</v>
      </c>
      <c r="N97" s="41">
        <f>VLOOKUP(A97,'Mandato Smll'!$A$2:$C$215,2,0)</f>
        <v>0</v>
      </c>
      <c r="O97" s="58">
        <f t="shared" si="13"/>
        <v>0</v>
      </c>
      <c r="P97" s="42">
        <f t="shared" si="14"/>
        <v>0</v>
      </c>
      <c r="Q97" s="41">
        <f>VLOOKUP(A97,'Mandato Smll'!$A$2:$C$215,3,0)</f>
        <v>0</v>
      </c>
      <c r="R97" s="58">
        <f t="shared" si="15"/>
        <v>0</v>
      </c>
      <c r="S97" s="15">
        <v>-0.52300000000000002</v>
      </c>
      <c r="T97" s="15">
        <v>-0.47499999999999998</v>
      </c>
      <c r="U97" s="15">
        <v>-0.90600000000000003</v>
      </c>
      <c r="V97" s="15">
        <v>-0.34200000000000003</v>
      </c>
      <c r="W97" s="15">
        <v>-0.72199999999999998</v>
      </c>
      <c r="X97" s="15">
        <v>-0.11899999999999999</v>
      </c>
      <c r="Y97" s="15">
        <v>0.109</v>
      </c>
      <c r="Z97" s="15">
        <v>-0.38100000000000001</v>
      </c>
      <c r="AA97" s="15">
        <v>0.33100000000000002</v>
      </c>
      <c r="AB97" s="15">
        <v>0.33300000000000002</v>
      </c>
      <c r="AC97" s="15">
        <v>0.78</v>
      </c>
      <c r="AD97" s="15">
        <v>0.92900000000000005</v>
      </c>
      <c r="AE97" s="15">
        <v>0.63600000000000001</v>
      </c>
      <c r="AF97" s="14">
        <v>-0.46</v>
      </c>
      <c r="AG97" s="15">
        <v>-0.252</v>
      </c>
      <c r="AH97" s="15">
        <v>1.4E-2</v>
      </c>
      <c r="AI97" s="15">
        <v>-1</v>
      </c>
      <c r="AJ97" s="15">
        <v>-0.69199999999999995</v>
      </c>
      <c r="AK97" s="9">
        <v>-0.86499999999999999</v>
      </c>
      <c r="AL97" s="4">
        <v>-0.378</v>
      </c>
      <c r="AM97" s="4">
        <v>-0.59699999999999998</v>
      </c>
      <c r="AN97" s="4">
        <v>-0.55300000000000005</v>
      </c>
      <c r="AO97" s="4">
        <v>-0.23400000000000001</v>
      </c>
      <c r="AP97" s="4">
        <v>0.28799999999999998</v>
      </c>
      <c r="AQ97" s="4">
        <v>0.378</v>
      </c>
      <c r="AR97" s="4">
        <v>0.46899999999999997</v>
      </c>
      <c r="AS97" s="4">
        <v>1</v>
      </c>
      <c r="AT97" s="4">
        <v>0.65</v>
      </c>
      <c r="AU97" s="4">
        <v>-0.216</v>
      </c>
      <c r="AV97" s="4">
        <v>2E-3</v>
      </c>
      <c r="AW97" s="4">
        <v>0.14499999999999999</v>
      </c>
      <c r="AX97" s="4">
        <v>0.252</v>
      </c>
      <c r="AY97" s="4">
        <v>-0.58199999999999996</v>
      </c>
      <c r="AZ97" s="4">
        <v>0.63900000000000001</v>
      </c>
      <c r="BA97" s="4">
        <v>0.32900000000000001</v>
      </c>
      <c r="BB97" s="4">
        <v>8.0000000000000002E-3</v>
      </c>
      <c r="BC97" s="4">
        <v>-7.3999999999999996E-2</v>
      </c>
      <c r="BD97" s="4">
        <v>-0.29499999999999998</v>
      </c>
      <c r="BE97" s="4">
        <v>0.71299999999999997</v>
      </c>
      <c r="BF97" s="4">
        <v>0.27300000000000002</v>
      </c>
      <c r="BG97" s="4">
        <v>0.71399999999999997</v>
      </c>
      <c r="BH97" s="4">
        <v>0.83499999999999996</v>
      </c>
      <c r="BI97" s="4">
        <v>-0.66600000000000004</v>
      </c>
      <c r="BJ97" s="4">
        <v>7.0999999999999994E-2</v>
      </c>
      <c r="BK97" s="4">
        <v>-0.26</v>
      </c>
      <c r="BL97" s="4">
        <v>-1</v>
      </c>
      <c r="BM97" s="4"/>
    </row>
    <row r="98" spans="1:65" x14ac:dyDescent="0.3">
      <c r="A98" s="19" t="s">
        <v>111</v>
      </c>
      <c r="B98" s="53">
        <v>0</v>
      </c>
      <c r="C98" s="53">
        <f t="shared" si="10"/>
        <v>-2E-3</v>
      </c>
      <c r="D98" s="53">
        <f t="shared" si="11"/>
        <v>0</v>
      </c>
      <c r="E98" s="53">
        <f t="shared" si="12"/>
        <v>2E-3</v>
      </c>
      <c r="F98" s="15">
        <v>0.88500000000000001</v>
      </c>
      <c r="G98" s="19">
        <v>0.81399999999999995</v>
      </c>
      <c r="H98" s="24" t="s">
        <v>53</v>
      </c>
      <c r="I98" t="str">
        <f>VLOOKUP(A98,Setores!$A$2:$C$215,2,0)</f>
        <v>consumer_staples</v>
      </c>
      <c r="J98" t="str">
        <f>VLOOKUP(A98,Setores!$A$2:$C$215,3,0)</f>
        <v>very_high_beta</v>
      </c>
      <c r="K98" s="2">
        <v>0</v>
      </c>
      <c r="L98" s="2">
        <v>-2E-3</v>
      </c>
      <c r="M98" s="71">
        <v>80</v>
      </c>
      <c r="N98" s="41">
        <f>VLOOKUP(A98,'Mandato Smll'!$A$2:$C$215,2,0)</f>
        <v>0</v>
      </c>
      <c r="O98" s="58">
        <f t="shared" si="13"/>
        <v>0</v>
      </c>
      <c r="P98" s="42">
        <f t="shared" si="14"/>
        <v>0</v>
      </c>
      <c r="Q98" s="41">
        <f>VLOOKUP(A98,'Mandato Smll'!$A$2:$C$215,3,0)</f>
        <v>0</v>
      </c>
      <c r="R98" s="58">
        <f t="shared" si="15"/>
        <v>0</v>
      </c>
      <c r="S98" s="15">
        <v>-0.41699999999999998</v>
      </c>
      <c r="T98" s="15">
        <v>-0.189</v>
      </c>
      <c r="U98" s="15">
        <v>-0.32700000000000001</v>
      </c>
      <c r="V98" s="15">
        <v>-0.58799999999999997</v>
      </c>
      <c r="W98" s="15">
        <v>-0.41099999999999998</v>
      </c>
      <c r="X98" s="15">
        <v>-0.49199999999999999</v>
      </c>
      <c r="Y98" s="15">
        <v>-0.371</v>
      </c>
      <c r="Z98" s="15">
        <v>-0.49299999999999999</v>
      </c>
      <c r="AA98" s="15">
        <v>0.379</v>
      </c>
      <c r="AB98" s="15">
        <v>0.375</v>
      </c>
      <c r="AC98" s="15">
        <v>0.88200000000000001</v>
      </c>
      <c r="AD98" s="15">
        <v>0.78300000000000003</v>
      </c>
      <c r="AE98" s="15">
        <v>0.72699999999999998</v>
      </c>
      <c r="AF98" s="14">
        <v>-0.56499999999999995</v>
      </c>
      <c r="AG98" s="15">
        <v>-0.53100000000000003</v>
      </c>
      <c r="AH98" s="15">
        <v>6.5000000000000002E-2</v>
      </c>
      <c r="AI98" s="15">
        <v>-0.188</v>
      </c>
      <c r="AJ98" s="15">
        <v>0.60199999999999998</v>
      </c>
      <c r="AK98" s="9">
        <v>-0.60299999999999998</v>
      </c>
      <c r="AL98" s="4">
        <v>-0.14399999999999999</v>
      </c>
      <c r="AM98" s="4">
        <v>-0.35899999999999999</v>
      </c>
      <c r="AN98" s="4">
        <v>0.13600000000000001</v>
      </c>
      <c r="AO98" s="4">
        <v>-0.16900000000000001</v>
      </c>
      <c r="AP98" s="4">
        <v>2.3E-2</v>
      </c>
      <c r="AQ98" s="4">
        <v>0.193</v>
      </c>
      <c r="AR98" s="4">
        <v>-0.14699999999999999</v>
      </c>
      <c r="AS98" s="4">
        <v>-0.12</v>
      </c>
      <c r="AT98" s="4">
        <v>-0.45400000000000001</v>
      </c>
      <c r="AU98" s="4">
        <v>8.9999999999999993E-3</v>
      </c>
      <c r="AV98" s="4">
        <v>-0.26300000000000001</v>
      </c>
      <c r="AW98" s="4">
        <v>-0.22600000000000001</v>
      </c>
      <c r="AX98" s="4">
        <v>0.31</v>
      </c>
      <c r="AY98" s="4">
        <v>-0.20699999999999999</v>
      </c>
      <c r="AZ98" s="4">
        <v>0.55700000000000005</v>
      </c>
      <c r="BA98" s="4">
        <v>-0.122</v>
      </c>
      <c r="BB98" s="4">
        <v>-0.24099999999999999</v>
      </c>
      <c r="BC98" s="4">
        <v>0.20499999999999999</v>
      </c>
      <c r="BD98" s="4">
        <v>7.5999999999999998E-2</v>
      </c>
      <c r="BE98" s="4">
        <v>0.437</v>
      </c>
      <c r="BF98" s="4">
        <v>0.372</v>
      </c>
      <c r="BG98" s="4">
        <v>0.79500000000000004</v>
      </c>
      <c r="BH98" s="4">
        <v>0.439</v>
      </c>
      <c r="BI98" s="4">
        <v>-8.4000000000000005E-2</v>
      </c>
      <c r="BJ98" s="4">
        <v>0.38200000000000001</v>
      </c>
      <c r="BK98" s="4">
        <v>0.55900000000000005</v>
      </c>
      <c r="BL98" s="4">
        <v>0.53300000000000003</v>
      </c>
      <c r="BM98" s="4"/>
    </row>
    <row r="99" spans="1:65" x14ac:dyDescent="0.3">
      <c r="A99" s="19" t="s">
        <v>113</v>
      </c>
      <c r="B99" s="53">
        <v>0</v>
      </c>
      <c r="C99" s="53">
        <f t="shared" si="10"/>
        <v>0</v>
      </c>
      <c r="D99" s="53">
        <f t="shared" si="11"/>
        <v>0</v>
      </c>
      <c r="E99" s="53">
        <f t="shared" si="12"/>
        <v>0</v>
      </c>
      <c r="F99" s="15">
        <v>0.88</v>
      </c>
      <c r="G99" s="19">
        <v>1.216</v>
      </c>
      <c r="H99" s="24" t="s">
        <v>57</v>
      </c>
      <c r="I99" t="str">
        <f>VLOOKUP(A99,Setores!$A$2:$C$215,2,0)</f>
        <v>banks</v>
      </c>
      <c r="J99" t="str">
        <f>VLOOKUP(A99,Setores!$A$2:$C$215,3,0)</f>
        <v>neutral_beta</v>
      </c>
      <c r="K99" s="2">
        <v>0</v>
      </c>
      <c r="L99" s="2">
        <v>0</v>
      </c>
      <c r="M99" s="71">
        <v>27</v>
      </c>
      <c r="N99" s="41">
        <f>VLOOKUP(A99,'Mandato Smll'!$A$2:$C$215,2,0)</f>
        <v>0</v>
      </c>
      <c r="O99" s="58">
        <f t="shared" si="13"/>
        <v>0</v>
      </c>
      <c r="P99" s="42">
        <f t="shared" si="14"/>
        <v>0</v>
      </c>
      <c r="Q99" s="41">
        <f>VLOOKUP(A99,'Mandato Smll'!$A$2:$C$215,3,0)</f>
        <v>0</v>
      </c>
      <c r="R99" s="58">
        <f t="shared" si="15"/>
        <v>0</v>
      </c>
      <c r="S99" s="15">
        <v>-0.60199999999999998</v>
      </c>
      <c r="T99" s="15">
        <v>-0.623</v>
      </c>
      <c r="U99" s="15">
        <v>-0.81899999999999995</v>
      </c>
      <c r="V99" s="15">
        <v>-0.55600000000000005</v>
      </c>
      <c r="W99" s="15">
        <v>-0.71599999999999997</v>
      </c>
      <c r="X99" s="15">
        <v>-0.20699999999999999</v>
      </c>
      <c r="Y99" s="15">
        <v>2E-3</v>
      </c>
      <c r="Z99" s="15">
        <v>-0.29399999999999998</v>
      </c>
      <c r="AA99" s="15">
        <v>0.49199999999999999</v>
      </c>
      <c r="AB99" s="15">
        <v>0.49099999999999999</v>
      </c>
      <c r="AC99" s="15">
        <v>0.69699999999999995</v>
      </c>
      <c r="AD99" s="15">
        <v>0.79</v>
      </c>
      <c r="AE99" s="15">
        <v>0.66600000000000004</v>
      </c>
      <c r="AF99" s="14">
        <v>-0.61599999999999999</v>
      </c>
      <c r="AG99" s="15">
        <v>-0.24299999999999999</v>
      </c>
      <c r="AH99" s="15">
        <v>-8.3000000000000004E-2</v>
      </c>
      <c r="AI99" s="15">
        <v>-0.91</v>
      </c>
      <c r="AJ99" s="15">
        <v>-0.90900000000000003</v>
      </c>
      <c r="AK99" s="9">
        <v>-1</v>
      </c>
      <c r="AL99" s="4">
        <v>-0.19</v>
      </c>
      <c r="AM99" s="4">
        <v>0.19400000000000001</v>
      </c>
      <c r="AN99" s="4">
        <v>-4.1000000000000002E-2</v>
      </c>
      <c r="AO99" s="4">
        <v>0.115</v>
      </c>
      <c r="AP99" s="4">
        <v>-0.152</v>
      </c>
      <c r="AQ99" s="4">
        <v>-0.20300000000000001</v>
      </c>
      <c r="AR99" s="4">
        <v>3.9E-2</v>
      </c>
      <c r="AS99" s="4">
        <v>0.13500000000000001</v>
      </c>
      <c r="AT99" s="4">
        <v>0.41699999999999998</v>
      </c>
      <c r="AU99" s="4">
        <v>-0.156</v>
      </c>
      <c r="AV99" s="4">
        <v>-0.53</v>
      </c>
      <c r="AW99" s="4">
        <v>-0.39500000000000002</v>
      </c>
      <c r="AX99" s="4">
        <v>0.36699999999999999</v>
      </c>
      <c r="AY99" s="4">
        <v>-0.26600000000000001</v>
      </c>
      <c r="AZ99" s="4">
        <v>5.8999999999999997E-2</v>
      </c>
      <c r="BA99" s="4">
        <v>0.23599999999999999</v>
      </c>
      <c r="BB99" s="4">
        <v>0.73799999999999999</v>
      </c>
      <c r="BC99" s="4">
        <v>-0.28000000000000003</v>
      </c>
      <c r="BD99" s="4">
        <v>-0.154</v>
      </c>
      <c r="BE99" s="4">
        <v>0.42199999999999999</v>
      </c>
      <c r="BF99" s="4">
        <v>7.0000000000000001E-3</v>
      </c>
      <c r="BG99" s="4">
        <v>0.152</v>
      </c>
      <c r="BH99" s="4">
        <v>0.98399999999999999</v>
      </c>
      <c r="BI99" s="4">
        <v>-0.36499999999999999</v>
      </c>
      <c r="BJ99" s="4">
        <v>-0.10199999999999999</v>
      </c>
      <c r="BK99" s="4">
        <v>0.20599999999999999</v>
      </c>
      <c r="BL99" s="4">
        <v>-0.76500000000000001</v>
      </c>
      <c r="BM99" s="4"/>
    </row>
    <row r="100" spans="1:65" x14ac:dyDescent="0.3">
      <c r="A100" s="19" t="s">
        <v>199</v>
      </c>
      <c r="B100" s="53">
        <v>0</v>
      </c>
      <c r="C100" s="53">
        <f t="shared" si="10"/>
        <v>-1.2999999999999999E-2</v>
      </c>
      <c r="D100" s="53">
        <f t="shared" si="11"/>
        <v>0</v>
      </c>
      <c r="E100" s="53">
        <f t="shared" si="12"/>
        <v>1.2999999999999999E-2</v>
      </c>
      <c r="F100" s="15">
        <v>0.85699999999999998</v>
      </c>
      <c r="G100" s="19">
        <v>1.6240000000000001</v>
      </c>
      <c r="H100" s="24" t="s">
        <v>55</v>
      </c>
      <c r="I100" t="str">
        <f>VLOOKUP(A100,Setores!$A$2:$C$215,2,0)</f>
        <v>utilities</v>
      </c>
      <c r="J100" t="str">
        <f>VLOOKUP(A100,Setores!$A$2:$C$215,3,0)</f>
        <v>very_high_beta</v>
      </c>
      <c r="K100" s="2">
        <v>0</v>
      </c>
      <c r="L100" s="2">
        <v>-1.2999999999999999E-2</v>
      </c>
      <c r="M100" s="71">
        <v>80</v>
      </c>
      <c r="N100" s="41">
        <f>VLOOKUP(A100,'Mandato Smll'!$A$2:$C$215,2,0)</f>
        <v>0</v>
      </c>
      <c r="O100" s="58">
        <f t="shared" si="13"/>
        <v>0</v>
      </c>
      <c r="P100" s="42">
        <f t="shared" si="14"/>
        <v>0</v>
      </c>
      <c r="Q100" s="41">
        <f>VLOOKUP(A100,'Mandato Smll'!$A$2:$C$215,3,0)</f>
        <v>2.84911909638456E-2</v>
      </c>
      <c r="R100" s="58">
        <f t="shared" si="15"/>
        <v>-2.84911909638456E-2</v>
      </c>
      <c r="S100" s="15">
        <v>-0.32500000000000001</v>
      </c>
      <c r="T100" s="15">
        <v>-0.30199999999999999</v>
      </c>
      <c r="U100" s="15">
        <v>-0.8</v>
      </c>
      <c r="V100" s="15">
        <v>-0.252</v>
      </c>
      <c r="W100" s="15">
        <v>-0.63600000000000001</v>
      </c>
      <c r="X100" s="15">
        <v>-0.20499999999999999</v>
      </c>
      <c r="Y100" s="15">
        <v>-9.6000000000000002E-2</v>
      </c>
      <c r="Z100" s="15">
        <v>-0.45300000000000001</v>
      </c>
      <c r="AA100" s="15">
        <v>0.38700000000000001</v>
      </c>
      <c r="AB100" s="15">
        <v>0.38100000000000001</v>
      </c>
      <c r="AC100" s="15">
        <v>0.52300000000000002</v>
      </c>
      <c r="AD100" s="15">
        <v>0.63200000000000001</v>
      </c>
      <c r="AE100" s="15">
        <v>0.55800000000000005</v>
      </c>
      <c r="AF100" s="14">
        <v>-0.51100000000000001</v>
      </c>
      <c r="AG100" s="15">
        <v>-0.35799999999999998</v>
      </c>
      <c r="AH100" s="15">
        <v>-0.14799999999999999</v>
      </c>
      <c r="AI100" s="15">
        <v>-0.86299999999999999</v>
      </c>
      <c r="AJ100" s="15">
        <v>0.39600000000000002</v>
      </c>
      <c r="AK100" s="9">
        <v>-0.55500000000000005</v>
      </c>
      <c r="AL100" s="4">
        <v>-0.48</v>
      </c>
      <c r="AM100" s="4">
        <v>-1</v>
      </c>
      <c r="AN100" s="4">
        <v>-0.88400000000000001</v>
      </c>
      <c r="AO100" s="4">
        <v>0.13300000000000001</v>
      </c>
      <c r="AP100" s="4">
        <v>0.56599999999999995</v>
      </c>
      <c r="AQ100" s="4">
        <v>0.749</v>
      </c>
      <c r="AR100" s="4">
        <v>0.64800000000000002</v>
      </c>
      <c r="AS100" s="4">
        <v>1</v>
      </c>
      <c r="AT100" s="4">
        <v>0.66300000000000003</v>
      </c>
      <c r="AU100" s="4">
        <v>-0.16600000000000001</v>
      </c>
      <c r="AV100" s="4">
        <v>5.8999999999999997E-2</v>
      </c>
      <c r="AW100" s="4">
        <v>0.41499999999999998</v>
      </c>
      <c r="AX100" s="4">
        <v>0.51100000000000001</v>
      </c>
      <c r="AY100" s="4">
        <v>-8.8999999999999996E-2</v>
      </c>
      <c r="AZ100" s="4">
        <v>0.52</v>
      </c>
      <c r="BA100" s="4">
        <v>0.17799999999999999</v>
      </c>
      <c r="BB100" s="4">
        <v>-0.23899999999999999</v>
      </c>
      <c r="BC100" s="4">
        <v>-0.71199999999999997</v>
      </c>
      <c r="BD100" s="4">
        <v>-0.83699999999999997</v>
      </c>
      <c r="BE100" s="4">
        <v>0.38700000000000001</v>
      </c>
      <c r="BF100" s="4">
        <v>-0.48</v>
      </c>
      <c r="BG100" s="4">
        <v>-0.51700000000000002</v>
      </c>
      <c r="BH100" s="4">
        <v>0.375</v>
      </c>
      <c r="BI100" s="4">
        <v>-0.70199999999999996</v>
      </c>
      <c r="BJ100" s="4">
        <v>0.26300000000000001</v>
      </c>
      <c r="BK100" s="4">
        <v>-9.1999999999999998E-2</v>
      </c>
      <c r="BL100" s="4">
        <v>0.29499999999999998</v>
      </c>
      <c r="BM100" s="4"/>
    </row>
    <row r="101" spans="1:65" x14ac:dyDescent="0.3">
      <c r="A101" s="19" t="s">
        <v>244</v>
      </c>
      <c r="B101" s="53">
        <v>0</v>
      </c>
      <c r="C101" s="53">
        <f t="shared" si="10"/>
        <v>0</v>
      </c>
      <c r="D101" s="53">
        <f t="shared" si="11"/>
        <v>0</v>
      </c>
      <c r="E101" s="53">
        <f t="shared" si="12"/>
        <v>0</v>
      </c>
      <c r="F101" s="15">
        <v>0.85</v>
      </c>
      <c r="G101" s="19">
        <v>0.58799999999999997</v>
      </c>
      <c r="H101" s="24" t="s">
        <v>57</v>
      </c>
      <c r="I101" t="str">
        <f>VLOOKUP(A101,Setores!$A$2:$C$215,2,0)</f>
        <v>consumer_durables</v>
      </c>
      <c r="J101" t="str">
        <f>VLOOKUP(A101,Setores!$A$2:$C$215,3,0)</f>
        <v>high_beta</v>
      </c>
      <c r="K101" s="2">
        <v>0</v>
      </c>
      <c r="L101" s="2">
        <v>0</v>
      </c>
      <c r="M101" s="71">
        <v>80</v>
      </c>
      <c r="N101" s="41">
        <f>VLOOKUP(A101,'Mandato Smll'!$A$2:$C$215,2,0)</f>
        <v>0</v>
      </c>
      <c r="O101" s="58">
        <f t="shared" si="13"/>
        <v>0</v>
      </c>
      <c r="P101" s="42">
        <f t="shared" si="14"/>
        <v>0</v>
      </c>
      <c r="Q101" s="41">
        <f>VLOOKUP(A101,'Mandato Smll'!$A$2:$C$215,3,0)</f>
        <v>0</v>
      </c>
      <c r="R101" s="58">
        <f t="shared" si="15"/>
        <v>0</v>
      </c>
      <c r="S101" s="15">
        <v>-0.13600000000000001</v>
      </c>
      <c r="T101" s="15">
        <v>0.76300000000000001</v>
      </c>
      <c r="U101" s="15">
        <v>-0.14599999999999999</v>
      </c>
      <c r="V101" s="15">
        <v>-0.59399999999999997</v>
      </c>
      <c r="W101" s="15">
        <v>-1.6E-2</v>
      </c>
      <c r="X101" s="15">
        <v>-0.749</v>
      </c>
      <c r="Y101" s="15">
        <v>-0.83499999999999996</v>
      </c>
      <c r="Z101" s="15">
        <v>-0.74199999999999999</v>
      </c>
      <c r="AA101" s="15">
        <v>0.161</v>
      </c>
      <c r="AB101" s="15">
        <v>0.159</v>
      </c>
      <c r="AC101" s="15">
        <v>0.29899999999999999</v>
      </c>
      <c r="AD101" s="15">
        <v>1</v>
      </c>
      <c r="AE101" s="15">
        <v>0.79300000000000004</v>
      </c>
      <c r="AF101" s="14">
        <v>-0.69299999999999995</v>
      </c>
      <c r="AG101" s="15">
        <v>-9.4E-2</v>
      </c>
      <c r="AH101" s="15">
        <v>0.90600000000000003</v>
      </c>
      <c r="AI101" s="15">
        <v>0.48599999999999999</v>
      </c>
      <c r="AJ101" s="15">
        <v>1</v>
      </c>
      <c r="AK101" s="9">
        <v>-0.66900000000000004</v>
      </c>
      <c r="AL101" s="4">
        <v>0.13800000000000001</v>
      </c>
      <c r="AM101" s="4">
        <v>-1</v>
      </c>
      <c r="AN101" s="4">
        <v>0.997</v>
      </c>
      <c r="AO101" s="4">
        <v>-7.0999999999999994E-2</v>
      </c>
      <c r="AP101" s="4">
        <v>-2.4E-2</v>
      </c>
      <c r="AQ101" s="4">
        <v>0.63400000000000001</v>
      </c>
      <c r="AR101" s="4">
        <v>-0.3</v>
      </c>
      <c r="AS101" s="4">
        <v>0.48699999999999999</v>
      </c>
      <c r="AT101" s="4">
        <v>0.27300000000000002</v>
      </c>
      <c r="AU101" s="4">
        <v>-0.26100000000000001</v>
      </c>
      <c r="AV101" s="4">
        <v>-0.65500000000000003</v>
      </c>
      <c r="AW101" s="4">
        <v>-0.63100000000000001</v>
      </c>
      <c r="AX101" s="4">
        <v>-0.56999999999999995</v>
      </c>
      <c r="AY101" s="4">
        <v>-0.20799999999999999</v>
      </c>
      <c r="AZ101" s="4">
        <v>-0.93899999999999995</v>
      </c>
      <c r="BA101" s="4">
        <v>-1</v>
      </c>
      <c r="BB101" s="4">
        <v>2.1999999999999999E-2</v>
      </c>
      <c r="BC101" s="4">
        <v>0.318</v>
      </c>
      <c r="BD101" s="4">
        <v>0.30199999999999999</v>
      </c>
      <c r="BE101" s="4">
        <v>0.40100000000000002</v>
      </c>
      <c r="BF101" s="4">
        <v>1</v>
      </c>
      <c r="BG101" s="4">
        <v>0.436</v>
      </c>
      <c r="BH101" s="4">
        <v>0.156</v>
      </c>
      <c r="BI101" s="4">
        <v>1</v>
      </c>
      <c r="BJ101" s="4">
        <v>0.248</v>
      </c>
      <c r="BK101" s="4">
        <v>-0.19900000000000001</v>
      </c>
      <c r="BL101" s="4">
        <v>0.5</v>
      </c>
      <c r="BM101" s="4"/>
    </row>
    <row r="102" spans="1:65" x14ac:dyDescent="0.3">
      <c r="A102" s="19" t="s">
        <v>151</v>
      </c>
      <c r="B102" s="53">
        <v>0</v>
      </c>
      <c r="C102" s="53">
        <f t="shared" si="10"/>
        <v>-1.2999999999999999E-2</v>
      </c>
      <c r="D102" s="53">
        <f t="shared" si="11"/>
        <v>0</v>
      </c>
      <c r="E102" s="53">
        <f t="shared" si="12"/>
        <v>1.2999999999999999E-2</v>
      </c>
      <c r="F102" s="15">
        <v>0.84799999999999998</v>
      </c>
      <c r="G102" s="19">
        <v>1.2490000000000001</v>
      </c>
      <c r="H102" s="24" t="s">
        <v>57</v>
      </c>
      <c r="I102" t="str">
        <f>VLOOKUP(A102,Setores!$A$2:$C$215,2,0)</f>
        <v>homebuilders</v>
      </c>
      <c r="J102" t="str">
        <f>VLOOKUP(A102,Setores!$A$2:$C$215,3,0)</f>
        <v>very_high_beta</v>
      </c>
      <c r="K102" s="2">
        <v>0</v>
      </c>
      <c r="L102" s="2">
        <v>-1.2999999999999999E-2</v>
      </c>
      <c r="M102" s="71">
        <v>66</v>
      </c>
      <c r="N102" s="41">
        <f>VLOOKUP(A102,'Mandato Smll'!$A$2:$C$215,2,0)</f>
        <v>0</v>
      </c>
      <c r="O102" s="58">
        <f t="shared" si="13"/>
        <v>0</v>
      </c>
      <c r="P102" s="42">
        <f t="shared" si="14"/>
        <v>0</v>
      </c>
      <c r="Q102" s="41">
        <f>VLOOKUP(A102,'Mandato Smll'!$A$2:$C$215,3,0)</f>
        <v>0</v>
      </c>
      <c r="R102" s="58">
        <f t="shared" si="15"/>
        <v>0</v>
      </c>
      <c r="S102" s="15">
        <v>-0.39</v>
      </c>
      <c r="T102" s="15">
        <v>-0.84599999999999997</v>
      </c>
      <c r="U102" s="15">
        <v>-0.59099999999999997</v>
      </c>
      <c r="V102" s="15">
        <v>-0.152</v>
      </c>
      <c r="W102" s="15">
        <v>-0.628</v>
      </c>
      <c r="X102" s="15">
        <v>-7.0999999999999994E-2</v>
      </c>
      <c r="Y102" s="15">
        <v>8.8999999999999996E-2</v>
      </c>
      <c r="Z102" s="15">
        <v>-0.183</v>
      </c>
      <c r="AA102" s="15">
        <v>-2.1999999999999999E-2</v>
      </c>
      <c r="AB102" s="15">
        <v>-2.3E-2</v>
      </c>
      <c r="AC102" s="15">
        <v>0.62</v>
      </c>
      <c r="AD102" s="15">
        <v>0.51400000000000001</v>
      </c>
      <c r="AE102" s="15">
        <v>0.434</v>
      </c>
      <c r="AF102" s="14">
        <v>0.32300000000000001</v>
      </c>
      <c r="AG102" s="15">
        <v>0.46300000000000002</v>
      </c>
      <c r="AH102" s="15">
        <v>-0.84799999999999998</v>
      </c>
      <c r="AI102" s="15">
        <v>-0.44900000000000001</v>
      </c>
      <c r="AJ102" s="15">
        <v>-0.65500000000000003</v>
      </c>
      <c r="AK102" s="9">
        <v>-0.50900000000000001</v>
      </c>
      <c r="AL102" s="4">
        <v>-0.1</v>
      </c>
      <c r="AM102" s="4">
        <v>0.58099999999999996</v>
      </c>
      <c r="AN102" s="4">
        <v>-0.73299999999999998</v>
      </c>
      <c r="AO102" s="4">
        <v>0.496</v>
      </c>
      <c r="AP102" s="4">
        <v>-0.59399999999999997</v>
      </c>
      <c r="AQ102" s="4">
        <v>-0.39300000000000002</v>
      </c>
      <c r="AR102" s="4">
        <v>0.42099999999999999</v>
      </c>
      <c r="AS102" s="4">
        <v>0.36</v>
      </c>
      <c r="AT102" s="4">
        <v>-6.0000000000000001E-3</v>
      </c>
      <c r="AU102" s="4">
        <v>0.26500000000000001</v>
      </c>
      <c r="AV102" s="4">
        <v>0</v>
      </c>
      <c r="AW102" s="4">
        <v>0.23699999999999999</v>
      </c>
      <c r="AX102" s="4">
        <v>6.0000000000000001E-3</v>
      </c>
      <c r="AY102" s="4">
        <v>-2.9000000000000001E-2</v>
      </c>
      <c r="AZ102" s="4">
        <v>0.64700000000000002</v>
      </c>
      <c r="BA102" s="4">
        <v>1</v>
      </c>
      <c r="BB102" s="4">
        <v>8.8999999999999996E-2</v>
      </c>
      <c r="BC102" s="4">
        <v>-0.38700000000000001</v>
      </c>
      <c r="BD102" s="4">
        <v>-0.10299999999999999</v>
      </c>
      <c r="BE102" s="4">
        <v>7.3999999999999996E-2</v>
      </c>
      <c r="BF102" s="4">
        <v>-0.183</v>
      </c>
      <c r="BG102" s="4">
        <v>-0.36699999999999999</v>
      </c>
      <c r="BH102" s="4">
        <v>0.108</v>
      </c>
      <c r="BI102" s="4">
        <v>-0.95499999999999996</v>
      </c>
      <c r="BJ102" s="4">
        <v>0.66400000000000003</v>
      </c>
      <c r="BK102" s="4">
        <v>-0.72699999999999998</v>
      </c>
      <c r="BL102" s="4">
        <v>-0.22900000000000001</v>
      </c>
      <c r="BM102" s="4"/>
    </row>
    <row r="103" spans="1:65" x14ac:dyDescent="0.3">
      <c r="A103" s="19" t="s">
        <v>138</v>
      </c>
      <c r="B103" s="53">
        <v>0</v>
      </c>
      <c r="C103" s="53">
        <f t="shared" si="10"/>
        <v>-3.0000000000000001E-3</v>
      </c>
      <c r="D103" s="53">
        <f t="shared" si="11"/>
        <v>0</v>
      </c>
      <c r="E103" s="53">
        <f t="shared" si="12"/>
        <v>3.0000000000000001E-3</v>
      </c>
      <c r="F103" s="15">
        <v>0.84499999999999997</v>
      </c>
      <c r="G103" s="19">
        <v>0.90600000000000003</v>
      </c>
      <c r="H103" s="24" t="s">
        <v>71</v>
      </c>
      <c r="I103" t="str">
        <f>VLOOKUP(A103,Setores!$A$2:$C$215,2,0)</f>
        <v>basic_materials</v>
      </c>
      <c r="J103" t="str">
        <f>VLOOKUP(A103,Setores!$A$2:$C$215,3,0)</f>
        <v>low_beta</v>
      </c>
      <c r="K103" s="2">
        <v>0</v>
      </c>
      <c r="L103" s="2">
        <v>-3.0000000000000001E-3</v>
      </c>
      <c r="M103" s="71">
        <v>80</v>
      </c>
      <c r="N103" s="41">
        <f>VLOOKUP(A103,'Mandato Smll'!$A$2:$C$215,2,0)</f>
        <v>0</v>
      </c>
      <c r="O103" s="58">
        <f t="shared" si="13"/>
        <v>0</v>
      </c>
      <c r="P103" s="42">
        <f t="shared" si="14"/>
        <v>0</v>
      </c>
      <c r="Q103" s="41">
        <f>VLOOKUP(A103,'Mandato Smll'!$A$2:$C$215,3,0)</f>
        <v>0</v>
      </c>
      <c r="R103" s="58">
        <f t="shared" si="15"/>
        <v>0</v>
      </c>
      <c r="S103" s="15">
        <v>-0.54</v>
      </c>
      <c r="T103" s="15">
        <v>-0.4</v>
      </c>
      <c r="U103" s="15">
        <v>-0.36099999999999999</v>
      </c>
      <c r="V103" s="15">
        <v>-0.71299999999999997</v>
      </c>
      <c r="W103" s="15">
        <v>-0.55000000000000004</v>
      </c>
      <c r="X103" s="15">
        <v>-0.34899999999999998</v>
      </c>
      <c r="Y103" s="15">
        <v>-0.501</v>
      </c>
      <c r="Z103" s="15">
        <v>-0.312</v>
      </c>
      <c r="AA103" s="15">
        <v>0.45200000000000001</v>
      </c>
      <c r="AB103" s="15">
        <v>0.44400000000000001</v>
      </c>
      <c r="AC103" s="15">
        <v>0.50800000000000001</v>
      </c>
      <c r="AD103" s="15">
        <v>0.66700000000000004</v>
      </c>
      <c r="AE103" s="15">
        <v>0.71599999999999997</v>
      </c>
      <c r="AF103" s="14">
        <v>-0.48699999999999999</v>
      </c>
      <c r="AG103" s="15">
        <v>-0.96</v>
      </c>
      <c r="AH103" s="15">
        <v>-0.45</v>
      </c>
      <c r="AI103" s="15">
        <v>-0.11</v>
      </c>
      <c r="AJ103" s="15">
        <v>7.3999999999999996E-2</v>
      </c>
      <c r="AK103" s="9">
        <v>-0.36499999999999999</v>
      </c>
      <c r="AL103" s="4">
        <v>-0.17100000000000001</v>
      </c>
      <c r="AM103" s="4">
        <v>0.25900000000000001</v>
      </c>
      <c r="AN103" s="4">
        <v>-8.5999999999999993E-2</v>
      </c>
      <c r="AO103" s="4">
        <v>-0.106</v>
      </c>
      <c r="AP103" s="4">
        <v>4.0000000000000001E-3</v>
      </c>
      <c r="AQ103" s="4">
        <v>4.9000000000000002E-2</v>
      </c>
      <c r="AR103" s="4">
        <v>-0.91300000000000003</v>
      </c>
      <c r="AS103" s="4">
        <v>-0.23100000000000001</v>
      </c>
      <c r="AT103" s="4">
        <v>-0.16400000000000001</v>
      </c>
      <c r="AU103" s="4">
        <v>-8.3000000000000004E-2</v>
      </c>
      <c r="AV103" s="4">
        <v>-0.501</v>
      </c>
      <c r="AW103" s="4">
        <v>-0.224</v>
      </c>
      <c r="AX103" s="4">
        <v>0.39300000000000002</v>
      </c>
      <c r="AY103" s="4">
        <v>0.498</v>
      </c>
      <c r="AZ103" s="4">
        <v>0.82099999999999995</v>
      </c>
      <c r="BA103" s="4">
        <v>-1.9E-2</v>
      </c>
      <c r="BB103" s="4">
        <v>0.83</v>
      </c>
      <c r="BC103" s="4">
        <v>0.186</v>
      </c>
      <c r="BD103" s="4">
        <v>0.17199999999999999</v>
      </c>
      <c r="BE103" s="4">
        <v>0.36199999999999999</v>
      </c>
      <c r="BF103" s="4">
        <v>0.48599999999999999</v>
      </c>
      <c r="BG103" s="4">
        <v>1</v>
      </c>
      <c r="BH103" s="4">
        <v>0.29799999999999999</v>
      </c>
      <c r="BI103" s="4">
        <v>-3.5000000000000003E-2</v>
      </c>
      <c r="BJ103" s="4">
        <v>-0.69399999999999995</v>
      </c>
      <c r="BK103" s="4">
        <v>0.65</v>
      </c>
      <c r="BL103" s="4">
        <v>0.63700000000000001</v>
      </c>
      <c r="BM103" s="4"/>
    </row>
    <row r="104" spans="1:65" x14ac:dyDescent="0.3">
      <c r="A104" s="19" t="s">
        <v>117</v>
      </c>
      <c r="B104" s="53">
        <v>0</v>
      </c>
      <c r="C104" s="53">
        <f t="shared" si="10"/>
        <v>0</v>
      </c>
      <c r="D104" s="53">
        <f t="shared" si="11"/>
        <v>0</v>
      </c>
      <c r="E104" s="53">
        <f t="shared" si="12"/>
        <v>0</v>
      </c>
      <c r="F104" s="15">
        <v>0.84299999999999997</v>
      </c>
      <c r="G104" s="19">
        <v>1.0760000000000001</v>
      </c>
      <c r="H104" s="24" t="s">
        <v>55</v>
      </c>
      <c r="I104" t="str">
        <f>VLOOKUP(A104,Setores!$A$2:$C$215,2,0)</f>
        <v>utilities</v>
      </c>
      <c r="J104" t="str">
        <f>VLOOKUP(A104,Setores!$A$2:$C$215,3,0)</f>
        <v>neutral_beta</v>
      </c>
      <c r="K104" s="2">
        <v>0</v>
      </c>
      <c r="L104" s="2">
        <v>0</v>
      </c>
      <c r="M104" s="71">
        <v>51</v>
      </c>
      <c r="N104" s="41">
        <f>VLOOKUP(A104,'Mandato Smll'!$A$2:$C$215,2,0)</f>
        <v>0</v>
      </c>
      <c r="O104" s="58">
        <f t="shared" si="13"/>
        <v>0</v>
      </c>
      <c r="P104" s="42">
        <f t="shared" si="14"/>
        <v>0</v>
      </c>
      <c r="Q104" s="41">
        <f>VLOOKUP(A104,'Mandato Smll'!$A$2:$C$215,3,0)</f>
        <v>6.6787887965355898E-3</v>
      </c>
      <c r="R104" s="58">
        <f t="shared" si="15"/>
        <v>-6.6787887965355898E-3</v>
      </c>
      <c r="S104" s="15">
        <v>-0.73899999999999999</v>
      </c>
      <c r="T104" s="15">
        <v>-0.73399999999999999</v>
      </c>
      <c r="U104" s="15">
        <v>-0.90100000000000002</v>
      </c>
      <c r="V104" s="15">
        <v>-0.495</v>
      </c>
      <c r="W104" s="15">
        <v>-0.75700000000000001</v>
      </c>
      <c r="X104" s="15">
        <v>-0.29199999999999998</v>
      </c>
      <c r="Y104" s="15">
        <v>7.0999999999999994E-2</v>
      </c>
      <c r="Z104" s="15">
        <v>-0.18</v>
      </c>
      <c r="AA104" s="15">
        <v>0.50700000000000001</v>
      </c>
      <c r="AB104" s="15">
        <v>0.50800000000000001</v>
      </c>
      <c r="AC104" s="15">
        <v>0.70799999999999996</v>
      </c>
      <c r="AD104" s="15">
        <v>0.747</v>
      </c>
      <c r="AE104" s="15">
        <v>0.59699999999999998</v>
      </c>
      <c r="AF104" s="14">
        <v>-0.54100000000000004</v>
      </c>
      <c r="AG104" s="15">
        <v>-0.63400000000000001</v>
      </c>
      <c r="AH104" s="15">
        <v>-0.17899999999999999</v>
      </c>
      <c r="AI104" s="15">
        <v>-0.92500000000000004</v>
      </c>
      <c r="AJ104" s="15">
        <v>-0.68700000000000006</v>
      </c>
      <c r="AK104" s="9">
        <v>-0.95199999999999996</v>
      </c>
      <c r="AL104" s="4">
        <v>-0.26200000000000001</v>
      </c>
      <c r="AM104" s="4">
        <v>0.11899999999999999</v>
      </c>
      <c r="AN104" s="4">
        <v>-0.66700000000000004</v>
      </c>
      <c r="AO104" s="4">
        <v>-0.498</v>
      </c>
      <c r="AP104" s="4">
        <v>0.16</v>
      </c>
      <c r="AQ104" s="4">
        <v>0.29399999999999998</v>
      </c>
      <c r="AR104" s="4">
        <v>-0.128</v>
      </c>
      <c r="AS104" s="4">
        <v>0.315</v>
      </c>
      <c r="AT104" s="4">
        <v>0.28000000000000003</v>
      </c>
      <c r="AU104" s="4">
        <v>0.371</v>
      </c>
      <c r="AV104" s="4">
        <v>-0.113</v>
      </c>
      <c r="AW104" s="4">
        <v>-0.109</v>
      </c>
      <c r="AX104" s="4">
        <v>0.73199999999999998</v>
      </c>
      <c r="AY104" s="4">
        <v>-0.54500000000000004</v>
      </c>
      <c r="AZ104" s="4">
        <v>0.94199999999999995</v>
      </c>
      <c r="BA104" s="4">
        <v>-0.13700000000000001</v>
      </c>
      <c r="BB104" s="4">
        <v>0.126</v>
      </c>
      <c r="BC104" s="4">
        <v>-0.28399999999999997</v>
      </c>
      <c r="BD104" s="4">
        <v>-0.33900000000000002</v>
      </c>
      <c r="BE104" s="4">
        <v>0.376</v>
      </c>
      <c r="BF104" s="4">
        <v>-2.3E-2</v>
      </c>
      <c r="BG104" s="4">
        <v>-0.57599999999999996</v>
      </c>
      <c r="BH104" s="4">
        <v>0.54400000000000004</v>
      </c>
      <c r="BI104" s="4">
        <v>-0.624</v>
      </c>
      <c r="BJ104" s="4">
        <v>3.0000000000000001E-3</v>
      </c>
      <c r="BK104" s="4">
        <v>0.14599999999999999</v>
      </c>
      <c r="BL104" s="4">
        <v>-0.51300000000000001</v>
      </c>
      <c r="BM104" s="4"/>
    </row>
    <row r="105" spans="1:65" x14ac:dyDescent="0.3">
      <c r="A105" s="19" t="s">
        <v>135</v>
      </c>
      <c r="B105" s="53">
        <v>0</v>
      </c>
      <c r="C105" s="53">
        <f t="shared" si="10"/>
        <v>0</v>
      </c>
      <c r="D105" s="53">
        <f t="shared" si="11"/>
        <v>0</v>
      </c>
      <c r="E105" s="53">
        <f t="shared" si="12"/>
        <v>0</v>
      </c>
      <c r="F105" s="15">
        <v>0.84099999999999997</v>
      </c>
      <c r="G105" s="19">
        <v>1.1619999999999999</v>
      </c>
      <c r="H105" s="24" t="s">
        <v>57</v>
      </c>
      <c r="I105" t="str">
        <f>VLOOKUP(A105,Setores!$A$2:$C$215,2,0)</f>
        <v>banks</v>
      </c>
      <c r="J105" t="str">
        <f>VLOOKUP(A105,Setores!$A$2:$C$215,3,0)</f>
        <v>neutral_beta</v>
      </c>
      <c r="K105" s="2">
        <v>0</v>
      </c>
      <c r="L105" s="2">
        <v>0</v>
      </c>
      <c r="M105" s="71">
        <v>2</v>
      </c>
      <c r="N105" s="41">
        <f>VLOOKUP(A105,'Mandato Smll'!$A$2:$C$215,2,0)</f>
        <v>0</v>
      </c>
      <c r="O105" s="58">
        <f t="shared" si="13"/>
        <v>0</v>
      </c>
      <c r="P105" s="42">
        <f t="shared" si="14"/>
        <v>0</v>
      </c>
      <c r="Q105" s="41">
        <f>VLOOKUP(A105,'Mandato Smll'!$A$2:$C$215,3,0)</f>
        <v>0</v>
      </c>
      <c r="R105" s="58">
        <f t="shared" si="15"/>
        <v>0</v>
      </c>
      <c r="S105" s="15">
        <v>-0.70299999999999996</v>
      </c>
      <c r="T105" s="15">
        <v>-0.749</v>
      </c>
      <c r="U105" s="15">
        <v>-0.9</v>
      </c>
      <c r="V105" s="15">
        <v>-0.48699999999999999</v>
      </c>
      <c r="W105" s="15">
        <v>-0.75800000000000001</v>
      </c>
      <c r="X105" s="15">
        <v>-0.23400000000000001</v>
      </c>
      <c r="Y105" s="15">
        <v>8.2000000000000003E-2</v>
      </c>
      <c r="Z105" s="15">
        <v>-0.20200000000000001</v>
      </c>
      <c r="AA105" s="15">
        <v>0.38600000000000001</v>
      </c>
      <c r="AB105" s="15">
        <v>0.38400000000000001</v>
      </c>
      <c r="AC105" s="15">
        <v>0.73499999999999999</v>
      </c>
      <c r="AD105" s="15">
        <v>0.78200000000000003</v>
      </c>
      <c r="AE105" s="15">
        <v>0.61799999999999999</v>
      </c>
      <c r="AF105" s="14">
        <v>-0.60699999999999998</v>
      </c>
      <c r="AG105" s="15">
        <v>0.106</v>
      </c>
      <c r="AH105" s="15">
        <v>-0.156</v>
      </c>
      <c r="AI105" s="15">
        <v>-0.94699999999999995</v>
      </c>
      <c r="AJ105" s="15">
        <v>-0.872</v>
      </c>
      <c r="AK105" s="9">
        <v>-0.97299999999999998</v>
      </c>
      <c r="AL105" s="4">
        <v>-0.23100000000000001</v>
      </c>
      <c r="AM105" s="4">
        <v>7.3999999999999996E-2</v>
      </c>
      <c r="AN105" s="4">
        <v>-0.52700000000000002</v>
      </c>
      <c r="AO105" s="4">
        <v>-7.2999999999999995E-2</v>
      </c>
      <c r="AP105" s="4">
        <v>0.14799999999999999</v>
      </c>
      <c r="AQ105" s="4">
        <v>-0.34399999999999997</v>
      </c>
      <c r="AR105" s="4">
        <v>0.26</v>
      </c>
      <c r="AS105" s="4">
        <v>0.26900000000000002</v>
      </c>
      <c r="AT105" s="4">
        <v>-0.112</v>
      </c>
      <c r="AU105" s="4">
        <v>-7.3999999999999996E-2</v>
      </c>
      <c r="AV105" s="4">
        <v>-0.20399999999999999</v>
      </c>
      <c r="AW105" s="4">
        <v>-0.23599999999999999</v>
      </c>
      <c r="AX105" s="4">
        <v>0.44400000000000001</v>
      </c>
      <c r="AY105" s="4">
        <v>-0.437</v>
      </c>
      <c r="AZ105" s="4">
        <v>0.83399999999999996</v>
      </c>
      <c r="BA105" s="4">
        <v>0.44500000000000001</v>
      </c>
      <c r="BB105" s="4">
        <v>0.64800000000000002</v>
      </c>
      <c r="BC105" s="4">
        <v>-0.36799999999999999</v>
      </c>
      <c r="BD105" s="4">
        <v>-0.192</v>
      </c>
      <c r="BE105" s="4">
        <v>0.30299999999999999</v>
      </c>
      <c r="BF105" s="4">
        <v>5.0000000000000001E-3</v>
      </c>
      <c r="BG105" s="4">
        <v>-4.1000000000000002E-2</v>
      </c>
      <c r="BH105" s="4">
        <v>0.90900000000000003</v>
      </c>
      <c r="BI105" s="4">
        <v>-0.71199999999999997</v>
      </c>
      <c r="BJ105" s="4">
        <v>-0.153</v>
      </c>
      <c r="BK105" s="4">
        <v>-0.184</v>
      </c>
      <c r="BL105" s="4">
        <v>-0.93899999999999995</v>
      </c>
      <c r="BM105" s="4"/>
    </row>
    <row r="106" spans="1:65" x14ac:dyDescent="0.3">
      <c r="A106" s="19" t="s">
        <v>182</v>
      </c>
      <c r="B106" s="53">
        <v>0</v>
      </c>
      <c r="C106" s="53">
        <f t="shared" si="10"/>
        <v>0</v>
      </c>
      <c r="D106" s="53">
        <f t="shared" si="11"/>
        <v>0</v>
      </c>
      <c r="E106" s="53">
        <f t="shared" si="12"/>
        <v>0</v>
      </c>
      <c r="F106" s="15">
        <v>0.83599999999999997</v>
      </c>
      <c r="G106" s="19">
        <v>1.002</v>
      </c>
      <c r="H106" s="24" t="s">
        <v>71</v>
      </c>
      <c r="I106" t="str">
        <f>VLOOKUP(A106,Setores!$A$2:$C$215,2,0)</f>
        <v>basic_materials</v>
      </c>
      <c r="J106" t="str">
        <f>VLOOKUP(A106,Setores!$A$2:$C$215,3,0)</f>
        <v>low_beta</v>
      </c>
      <c r="K106" s="2">
        <v>0</v>
      </c>
      <c r="L106" s="2">
        <v>0</v>
      </c>
      <c r="M106" s="71">
        <v>1</v>
      </c>
      <c r="N106" s="41">
        <f>VLOOKUP(A106,'Mandato Smll'!$A$2:$C$215,2,0)</f>
        <v>0</v>
      </c>
      <c r="O106" s="58">
        <f t="shared" si="13"/>
        <v>0</v>
      </c>
      <c r="P106" s="42">
        <f t="shared" si="14"/>
        <v>0</v>
      </c>
      <c r="Q106" s="41">
        <f>VLOOKUP(A106,'Mandato Smll'!$A$2:$C$215,3,0)</f>
        <v>0</v>
      </c>
      <c r="R106" s="58">
        <f t="shared" si="15"/>
        <v>0</v>
      </c>
      <c r="S106" s="15">
        <v>-0.85599999999999998</v>
      </c>
      <c r="T106" s="15">
        <v>-0.55900000000000005</v>
      </c>
      <c r="U106" s="15">
        <v>-0.98399999999999999</v>
      </c>
      <c r="V106" s="15">
        <v>-0.65300000000000002</v>
      </c>
      <c r="W106" s="15">
        <v>-0.76100000000000001</v>
      </c>
      <c r="X106" s="15">
        <v>-0.56699999999999995</v>
      </c>
      <c r="Y106" s="15">
        <v>-0.42899999999999999</v>
      </c>
      <c r="Z106" s="15">
        <v>-8.0000000000000002E-3</v>
      </c>
      <c r="AA106" s="15">
        <v>0.64400000000000002</v>
      </c>
      <c r="AB106" s="15">
        <v>0.64200000000000002</v>
      </c>
      <c r="AC106" s="15">
        <v>0.73799999999999999</v>
      </c>
      <c r="AD106" s="15">
        <v>0.72499999999999998</v>
      </c>
      <c r="AE106" s="15">
        <v>0.69299999999999995</v>
      </c>
      <c r="AF106" s="14">
        <v>-0.70199999999999996</v>
      </c>
      <c r="AG106" s="15">
        <v>-0.92900000000000005</v>
      </c>
      <c r="AH106" s="15">
        <v>0.157</v>
      </c>
      <c r="AI106" s="15">
        <v>-1</v>
      </c>
      <c r="AJ106" s="15">
        <v>-0.69599999999999995</v>
      </c>
      <c r="AK106" s="9">
        <v>-1</v>
      </c>
      <c r="AL106" s="4">
        <v>-0.26500000000000001</v>
      </c>
      <c r="AM106" s="4">
        <v>0.104</v>
      </c>
      <c r="AN106" s="4">
        <v>-0.6</v>
      </c>
      <c r="AO106" s="4">
        <v>-0.68500000000000005</v>
      </c>
      <c r="AP106" s="4">
        <v>0.81899999999999995</v>
      </c>
      <c r="AQ106" s="4">
        <v>0.11700000000000001</v>
      </c>
      <c r="AR106" s="4">
        <v>-0.83699999999999997</v>
      </c>
      <c r="AS106" s="4">
        <v>0.433</v>
      </c>
      <c r="AT106" s="4">
        <v>0.34899999999999998</v>
      </c>
      <c r="AU106" s="4">
        <v>9.0999999999999998E-2</v>
      </c>
      <c r="AV106" s="4">
        <v>-0.17499999999999999</v>
      </c>
      <c r="AW106" s="4">
        <v>-0.221</v>
      </c>
      <c r="AX106" s="4">
        <v>0.58299999999999996</v>
      </c>
      <c r="AY106" s="4">
        <v>-0.185</v>
      </c>
      <c r="AZ106" s="4">
        <v>0.54400000000000004</v>
      </c>
      <c r="BA106" s="4">
        <v>-0.95399999999999996</v>
      </c>
      <c r="BB106" s="4">
        <v>-0.17199999999999999</v>
      </c>
      <c r="BC106" s="4">
        <v>0.17100000000000001</v>
      </c>
      <c r="BD106" s="4">
        <v>0.123</v>
      </c>
      <c r="BE106" s="4">
        <v>0.59899999999999998</v>
      </c>
      <c r="BF106" s="4">
        <v>-0.57699999999999996</v>
      </c>
      <c r="BG106" s="4">
        <v>0.436</v>
      </c>
      <c r="BH106" s="4">
        <v>0.39</v>
      </c>
      <c r="BI106" s="4">
        <v>-0.36499999999999999</v>
      </c>
      <c r="BJ106" s="4">
        <v>-0.46400000000000002</v>
      </c>
      <c r="BK106" s="4">
        <v>-0.38600000000000001</v>
      </c>
      <c r="BL106" s="4">
        <v>-1</v>
      </c>
      <c r="BM106" s="4"/>
    </row>
    <row r="107" spans="1:65" x14ac:dyDescent="0.3">
      <c r="A107" s="19" t="s">
        <v>122</v>
      </c>
      <c r="B107" s="53">
        <v>0</v>
      </c>
      <c r="C107" s="53">
        <f t="shared" si="10"/>
        <v>-2E-3</v>
      </c>
      <c r="D107" s="53">
        <f t="shared" si="11"/>
        <v>0</v>
      </c>
      <c r="E107" s="53">
        <f t="shared" si="12"/>
        <v>2E-3</v>
      </c>
      <c r="F107" s="15">
        <v>0.83399999999999996</v>
      </c>
      <c r="G107" s="19">
        <v>0.82099999999999995</v>
      </c>
      <c r="H107" s="24" t="s">
        <v>57</v>
      </c>
      <c r="I107" t="str">
        <f>VLOOKUP(A107,Setores!$A$2:$C$215,2,0)</f>
        <v>banks</v>
      </c>
      <c r="J107" t="str">
        <f>VLOOKUP(A107,Setores!$A$2:$C$215,3,0)</f>
        <v>very_low_beta</v>
      </c>
      <c r="K107" s="2">
        <v>0</v>
      </c>
      <c r="L107" s="2">
        <v>-2E-3</v>
      </c>
      <c r="M107" s="71">
        <v>80</v>
      </c>
      <c r="N107" s="41">
        <f>VLOOKUP(A107,'Mandato Smll'!$A$2:$C$215,2,0)</f>
        <v>0</v>
      </c>
      <c r="O107" s="58">
        <f t="shared" si="13"/>
        <v>0</v>
      </c>
      <c r="P107" s="42">
        <f t="shared" si="14"/>
        <v>0</v>
      </c>
      <c r="Q107" s="41">
        <f>VLOOKUP(A107,'Mandato Smll'!$A$2:$C$215,3,0)</f>
        <v>0</v>
      </c>
      <c r="R107" s="58">
        <f t="shared" si="15"/>
        <v>0</v>
      </c>
      <c r="S107" s="15">
        <v>-0.34799999999999998</v>
      </c>
      <c r="T107" s="15">
        <v>-0.48799999999999999</v>
      </c>
      <c r="U107" s="15">
        <v>-0.10199999999999999</v>
      </c>
      <c r="V107" s="15">
        <v>-0.69499999999999995</v>
      </c>
      <c r="W107" s="15">
        <v>-0.6</v>
      </c>
      <c r="X107" s="15">
        <v>-0.253</v>
      </c>
      <c r="Y107" s="15">
        <v>-0.126</v>
      </c>
      <c r="Z107" s="15">
        <v>-0.31</v>
      </c>
      <c r="AA107" s="15">
        <v>-7.0000000000000001E-3</v>
      </c>
      <c r="AB107" s="15">
        <v>-7.0000000000000001E-3</v>
      </c>
      <c r="AC107" s="15">
        <v>0.50600000000000001</v>
      </c>
      <c r="AD107" s="15">
        <v>0.44800000000000001</v>
      </c>
      <c r="AE107" s="15">
        <v>0.60199999999999998</v>
      </c>
      <c r="AF107" s="14">
        <v>-0.51200000000000001</v>
      </c>
      <c r="AG107" s="15">
        <v>-0.83</v>
      </c>
      <c r="AH107" s="15">
        <v>-0.755</v>
      </c>
      <c r="AI107" s="15">
        <v>-0.39800000000000002</v>
      </c>
      <c r="AJ107" s="15">
        <v>0.28999999999999998</v>
      </c>
      <c r="AK107" s="9">
        <v>0.63700000000000001</v>
      </c>
      <c r="AL107" s="4">
        <v>-0.72799999999999998</v>
      </c>
      <c r="AM107" s="4">
        <v>0.25700000000000001</v>
      </c>
      <c r="AN107" s="4">
        <v>-0.65600000000000003</v>
      </c>
      <c r="AO107" s="4">
        <v>-0.19400000000000001</v>
      </c>
      <c r="AP107" s="4">
        <v>-0.219</v>
      </c>
      <c r="AQ107" s="4">
        <v>0.29399999999999998</v>
      </c>
      <c r="AR107" s="4">
        <v>-0.29599999999999999</v>
      </c>
      <c r="AS107" s="4">
        <v>0.122</v>
      </c>
      <c r="AT107" s="4">
        <v>-0.156</v>
      </c>
      <c r="AU107" s="4">
        <v>-0.33500000000000002</v>
      </c>
      <c r="AV107" s="4">
        <v>0.188</v>
      </c>
      <c r="AW107" s="4">
        <v>-0.27300000000000002</v>
      </c>
      <c r="AX107" s="4">
        <v>0.53400000000000003</v>
      </c>
      <c r="AY107" s="4">
        <v>1</v>
      </c>
      <c r="AZ107" s="4">
        <v>-0.14199999999999999</v>
      </c>
      <c r="BA107" s="4">
        <v>1</v>
      </c>
      <c r="BB107" s="4">
        <v>0.501</v>
      </c>
      <c r="BC107" s="4">
        <v>-0.32</v>
      </c>
      <c r="BD107" s="4">
        <v>0.34200000000000003</v>
      </c>
      <c r="BE107" s="4">
        <v>-0.436</v>
      </c>
      <c r="BF107" s="4">
        <v>-3.3000000000000002E-2</v>
      </c>
      <c r="BG107" s="4">
        <v>-0.55000000000000004</v>
      </c>
      <c r="BH107" s="4">
        <v>0.372</v>
      </c>
      <c r="BI107" s="4">
        <v>-0.57399999999999995</v>
      </c>
      <c r="BJ107" s="4">
        <v>-0.54600000000000004</v>
      </c>
      <c r="BK107" s="4">
        <v>0.63200000000000001</v>
      </c>
      <c r="BL107" s="4">
        <v>0.76800000000000002</v>
      </c>
      <c r="BM107" s="4"/>
    </row>
    <row r="108" spans="1:65" ht="15" thickBot="1" x14ac:dyDescent="0.35">
      <c r="A108" s="19" t="s">
        <v>179</v>
      </c>
      <c r="B108" s="53">
        <v>0</v>
      </c>
      <c r="C108" s="53">
        <f t="shared" si="10"/>
        <v>-1.4999999999999999E-2</v>
      </c>
      <c r="D108" s="53">
        <f t="shared" si="11"/>
        <v>0</v>
      </c>
      <c r="E108" s="53">
        <f t="shared" si="12"/>
        <v>1.4999999999999999E-2</v>
      </c>
      <c r="F108" s="15">
        <v>0.80600000000000005</v>
      </c>
      <c r="G108" s="19">
        <v>0.77600000000000002</v>
      </c>
      <c r="H108" s="24" t="s">
        <v>71</v>
      </c>
      <c r="I108" t="str">
        <f>VLOOKUP(A108,Setores!$A$2:$C$215,2,0)</f>
        <v>basic_materials</v>
      </c>
      <c r="J108" t="str">
        <f>VLOOKUP(A108,Setores!$A$2:$C$215,3,0)</f>
        <v>neutral_beta</v>
      </c>
      <c r="K108" s="2">
        <v>0</v>
      </c>
      <c r="L108" s="2">
        <v>-1.4999999999999999E-2</v>
      </c>
      <c r="M108" s="71">
        <v>61</v>
      </c>
      <c r="N108" s="41">
        <f>VLOOKUP(A108,'Mandato Smll'!$A$2:$C$215,2,0)</f>
        <v>0</v>
      </c>
      <c r="O108" s="58">
        <f t="shared" si="13"/>
        <v>0</v>
      </c>
      <c r="P108" s="42">
        <f t="shared" si="14"/>
        <v>0</v>
      </c>
      <c r="Q108" s="41">
        <f>VLOOKUP(A108,'Mandato Smll'!$A$2:$C$215,3,0)</f>
        <v>0</v>
      </c>
      <c r="R108" s="58">
        <f t="shared" si="15"/>
        <v>0</v>
      </c>
      <c r="S108" s="15">
        <v>-0.622</v>
      </c>
      <c r="T108" s="15">
        <v>0.11799999999999999</v>
      </c>
      <c r="U108" s="15">
        <v>-0.86799999999999999</v>
      </c>
      <c r="V108" s="15">
        <v>-0.41199999999999998</v>
      </c>
      <c r="W108" s="15">
        <v>-0.35899999999999999</v>
      </c>
      <c r="X108" s="15">
        <v>-0.751</v>
      </c>
      <c r="Y108" s="15">
        <v>-0.871</v>
      </c>
      <c r="Z108" s="15">
        <v>-0.21</v>
      </c>
      <c r="AA108" s="15">
        <v>0.33400000000000002</v>
      </c>
      <c r="AB108" s="15">
        <v>0.33600000000000002</v>
      </c>
      <c r="AC108" s="15">
        <v>0.45900000000000002</v>
      </c>
      <c r="AD108" s="15">
        <v>0.66700000000000004</v>
      </c>
      <c r="AE108" s="15">
        <v>0.78300000000000003</v>
      </c>
      <c r="AF108" s="14">
        <v>-0.21</v>
      </c>
      <c r="AG108" s="15">
        <v>-0.49099999999999999</v>
      </c>
      <c r="AH108" s="15">
        <v>1</v>
      </c>
      <c r="AI108" s="15">
        <v>-0.73099999999999998</v>
      </c>
      <c r="AJ108" s="15">
        <v>-0.19600000000000001</v>
      </c>
      <c r="AK108" s="9">
        <v>-0.92600000000000005</v>
      </c>
      <c r="AL108" s="4">
        <v>-0.254</v>
      </c>
      <c r="AM108" s="4">
        <v>-0.64500000000000002</v>
      </c>
      <c r="AN108" s="4">
        <v>0.224</v>
      </c>
      <c r="AO108" s="4">
        <v>-0.46100000000000002</v>
      </c>
      <c r="AP108" s="4">
        <v>0.67300000000000004</v>
      </c>
      <c r="AQ108" s="4">
        <v>0.70299999999999996</v>
      </c>
      <c r="AR108" s="4">
        <v>-0.53500000000000003</v>
      </c>
      <c r="AS108" s="4">
        <v>1</v>
      </c>
      <c r="AT108" s="4">
        <v>0.155</v>
      </c>
      <c r="AU108" s="4">
        <v>-0.11799999999999999</v>
      </c>
      <c r="AV108" s="4">
        <v>-0.8</v>
      </c>
      <c r="AW108" s="4">
        <v>0.05</v>
      </c>
      <c r="AX108" s="4">
        <v>-0.114</v>
      </c>
      <c r="AY108" s="4">
        <v>0.124</v>
      </c>
      <c r="AZ108" s="4">
        <v>0.622</v>
      </c>
      <c r="BA108" s="4">
        <v>-1</v>
      </c>
      <c r="BB108" s="4">
        <v>0.13700000000000001</v>
      </c>
      <c r="BC108" s="4">
        <v>0.50600000000000001</v>
      </c>
      <c r="BD108" s="4">
        <v>0.26600000000000001</v>
      </c>
      <c r="BE108" s="4">
        <v>0.81599999999999995</v>
      </c>
      <c r="BF108" s="4">
        <v>-1</v>
      </c>
      <c r="BG108" s="4">
        <v>0.29599999999999999</v>
      </c>
      <c r="BH108" s="4">
        <v>-0.58199999999999996</v>
      </c>
      <c r="BI108" s="4">
        <v>-1.0999999999999999E-2</v>
      </c>
      <c r="BJ108" s="4">
        <v>-0.28899999999999998</v>
      </c>
      <c r="BK108" s="4">
        <v>-0.41699999999999998</v>
      </c>
      <c r="BL108" s="4">
        <v>-8.9999999999999993E-3</v>
      </c>
      <c r="BM108" s="4"/>
    </row>
    <row r="109" spans="1:65" ht="15" thickBot="1" x14ac:dyDescent="0.35">
      <c r="A109" s="19" t="s">
        <v>88</v>
      </c>
      <c r="B109" s="53">
        <v>0</v>
      </c>
      <c r="C109" s="53">
        <f t="shared" si="10"/>
        <v>-2E-3</v>
      </c>
      <c r="D109" s="53">
        <f t="shared" si="11"/>
        <v>0</v>
      </c>
      <c r="E109" s="53">
        <f t="shared" si="12"/>
        <v>2E-3</v>
      </c>
      <c r="F109" s="15">
        <v>0.80300000000000005</v>
      </c>
      <c r="G109" s="19">
        <v>1.03</v>
      </c>
      <c r="H109" s="24" t="s">
        <v>53</v>
      </c>
      <c r="I109" t="str">
        <f>VLOOKUP(A109,Setores!$A$2:$C$215,2,0)</f>
        <v>consumer_staples</v>
      </c>
      <c r="J109" t="str">
        <f>VLOOKUP(A109,Setores!$A$2:$C$215,3,0)</f>
        <v>very_low_beta</v>
      </c>
      <c r="K109" s="2">
        <v>0</v>
      </c>
      <c r="L109" s="2">
        <v>-2E-3</v>
      </c>
      <c r="M109" s="71">
        <v>80</v>
      </c>
      <c r="N109" s="41">
        <f>VLOOKUP(A109,'Mandato Smll'!$A$2:$C$215,2,0)</f>
        <v>0</v>
      </c>
      <c r="O109" s="58">
        <f t="shared" si="13"/>
        <v>0</v>
      </c>
      <c r="P109" s="42">
        <f t="shared" si="14"/>
        <v>0</v>
      </c>
      <c r="Q109" s="41">
        <f>VLOOKUP(A109,'Mandato Smll'!$A$2:$C$215,3,0)</f>
        <v>0</v>
      </c>
      <c r="R109" s="58">
        <f t="shared" si="15"/>
        <v>0</v>
      </c>
      <c r="S109" s="15">
        <v>-0.623</v>
      </c>
      <c r="T109" s="15">
        <v>-0.63400000000000001</v>
      </c>
      <c r="U109" s="15">
        <v>-0.54100000000000004</v>
      </c>
      <c r="V109" s="15">
        <v>-0.62</v>
      </c>
      <c r="W109" s="15">
        <v>-0.63600000000000001</v>
      </c>
      <c r="X109" s="15">
        <v>-0.35</v>
      </c>
      <c r="Y109" s="15">
        <v>3.1E-2</v>
      </c>
      <c r="Z109" s="15">
        <v>-0.39300000000000002</v>
      </c>
      <c r="AA109" s="15">
        <v>0.36399999999999999</v>
      </c>
      <c r="AB109" s="15">
        <v>0.36</v>
      </c>
      <c r="AC109" s="15">
        <v>0.70699999999999996</v>
      </c>
      <c r="AD109" s="15">
        <v>0.69599999999999995</v>
      </c>
      <c r="AE109" s="15">
        <v>0.65500000000000003</v>
      </c>
      <c r="AF109" s="14">
        <v>-0.38300000000000001</v>
      </c>
      <c r="AG109" s="15">
        <v>-0.85799999999999998</v>
      </c>
      <c r="AH109" s="15">
        <v>-0.40500000000000003</v>
      </c>
      <c r="AI109" s="15">
        <v>-0.17299999999999999</v>
      </c>
      <c r="AJ109" s="15">
        <v>0.31</v>
      </c>
      <c r="AK109" s="9">
        <v>-0.58699999999999997</v>
      </c>
      <c r="AL109" s="4">
        <v>-0.08</v>
      </c>
      <c r="AM109" s="4">
        <v>3.1E-2</v>
      </c>
      <c r="AN109" s="4">
        <v>-0.48899999999999999</v>
      </c>
      <c r="AO109" s="4">
        <v>-0.10299999999999999</v>
      </c>
      <c r="AP109" s="4">
        <v>-9.6000000000000002E-2</v>
      </c>
      <c r="AQ109" s="4">
        <v>-5.1999999999999998E-2</v>
      </c>
      <c r="AR109" s="4">
        <v>-0.32900000000000001</v>
      </c>
      <c r="AS109" s="4">
        <v>-0.44</v>
      </c>
      <c r="AT109" s="4">
        <v>-0.374</v>
      </c>
      <c r="AU109" s="4">
        <v>7.8E-2</v>
      </c>
      <c r="AV109" s="4">
        <v>-7.6999999999999999E-2</v>
      </c>
      <c r="AW109" s="89">
        <v>-4.2000000000000003E-2</v>
      </c>
      <c r="AX109" s="4">
        <v>0.66600000000000004</v>
      </c>
      <c r="AY109" s="4">
        <v>0</v>
      </c>
      <c r="AZ109" s="4">
        <v>0.49299999999999999</v>
      </c>
      <c r="BA109" s="4">
        <v>-7.8E-2</v>
      </c>
      <c r="BB109" s="4">
        <v>6.7000000000000004E-2</v>
      </c>
      <c r="BC109" s="4">
        <v>-0.09</v>
      </c>
      <c r="BD109" s="4">
        <v>-0.158</v>
      </c>
      <c r="BE109" s="4">
        <v>0.379</v>
      </c>
      <c r="BF109" s="4">
        <v>8.6999999999999994E-2</v>
      </c>
      <c r="BG109" s="4">
        <v>0.26800000000000002</v>
      </c>
      <c r="BH109" s="4">
        <v>0.72899999999999998</v>
      </c>
      <c r="BI109" s="4">
        <v>-0.3</v>
      </c>
      <c r="BJ109" s="4">
        <v>-0.41899999999999998</v>
      </c>
      <c r="BK109" s="4">
        <v>0.54500000000000004</v>
      </c>
      <c r="BL109" s="4">
        <v>0.56799999999999995</v>
      </c>
      <c r="BM109" s="4"/>
    </row>
    <row r="110" spans="1:65" x14ac:dyDescent="0.3">
      <c r="A110" s="19" t="s">
        <v>102</v>
      </c>
      <c r="B110" s="53">
        <v>0</v>
      </c>
      <c r="C110" s="53">
        <f t="shared" si="10"/>
        <v>-1.4999999999999999E-2</v>
      </c>
      <c r="D110" s="53">
        <f t="shared" si="11"/>
        <v>0</v>
      </c>
      <c r="E110" s="53">
        <f t="shared" si="12"/>
        <v>1.4999999999999999E-2</v>
      </c>
      <c r="F110" s="15">
        <v>0.8</v>
      </c>
      <c r="G110" s="19">
        <v>0.85499999999999998</v>
      </c>
      <c r="H110" s="24" t="s">
        <v>57</v>
      </c>
      <c r="I110" t="str">
        <f>VLOOKUP(A110,Setores!$A$2:$C$215,2,0)</f>
        <v>education</v>
      </c>
      <c r="J110" t="str">
        <f>VLOOKUP(A110,Setores!$A$2:$C$215,3,0)</f>
        <v>high_beta</v>
      </c>
      <c r="K110" s="2">
        <v>0</v>
      </c>
      <c r="L110" s="2">
        <v>-1.4999999999999999E-2</v>
      </c>
      <c r="M110" s="71">
        <v>62</v>
      </c>
      <c r="N110" s="41">
        <f>VLOOKUP(A110,'Mandato Smll'!$A$2:$C$215,2,0)</f>
        <v>0</v>
      </c>
      <c r="O110" s="58">
        <f t="shared" si="13"/>
        <v>0</v>
      </c>
      <c r="P110" s="42">
        <f t="shared" si="14"/>
        <v>0</v>
      </c>
      <c r="Q110" s="41">
        <f>VLOOKUP(A110,'Mandato Smll'!$A$2:$C$215,3,0)</f>
        <v>0</v>
      </c>
      <c r="R110" s="58">
        <f t="shared" si="15"/>
        <v>0</v>
      </c>
      <c r="S110" s="15">
        <v>-0.20699999999999999</v>
      </c>
      <c r="T110" s="15">
        <v>-0.34200000000000003</v>
      </c>
      <c r="U110" s="15">
        <v>-0.38300000000000001</v>
      </c>
      <c r="V110" s="15">
        <v>-8.6999999999999994E-2</v>
      </c>
      <c r="W110" s="15">
        <v>-0.22900000000000001</v>
      </c>
      <c r="X110" s="15">
        <v>-0.29199999999999998</v>
      </c>
      <c r="Y110" s="15">
        <v>-0.20399999999999999</v>
      </c>
      <c r="Z110" s="15">
        <v>-0.69799999999999995</v>
      </c>
      <c r="AA110" s="15">
        <v>0.14099999999999999</v>
      </c>
      <c r="AB110" s="15">
        <v>0.14000000000000001</v>
      </c>
      <c r="AC110" s="15">
        <v>0.69799999999999995</v>
      </c>
      <c r="AD110" s="15">
        <v>0.55000000000000004</v>
      </c>
      <c r="AE110" s="15">
        <v>0.55000000000000004</v>
      </c>
      <c r="AF110" s="14">
        <v>0.48499999999999999</v>
      </c>
      <c r="AG110" s="15">
        <v>1</v>
      </c>
      <c r="AH110" s="15">
        <v>-0.26400000000000001</v>
      </c>
      <c r="AI110" s="15">
        <v>-0.252</v>
      </c>
      <c r="AJ110" s="15">
        <v>-0.621</v>
      </c>
      <c r="AK110" s="9">
        <v>4.8000000000000001E-2</v>
      </c>
      <c r="AL110" s="4">
        <v>-2.8000000000000001E-2</v>
      </c>
      <c r="AM110" s="4">
        <v>-0.72599999999999998</v>
      </c>
      <c r="AN110" s="4">
        <v>0.47</v>
      </c>
      <c r="AO110" s="4">
        <v>0.52300000000000002</v>
      </c>
      <c r="AP110" s="4">
        <v>-0.41699999999999998</v>
      </c>
      <c r="AQ110" s="4">
        <v>-0.46100000000000002</v>
      </c>
      <c r="AR110" s="4">
        <v>0.57699999999999996</v>
      </c>
      <c r="AS110" s="4">
        <v>0.51500000000000001</v>
      </c>
      <c r="AT110" s="4">
        <v>0.125</v>
      </c>
      <c r="AU110" s="4">
        <v>-6.5000000000000002E-2</v>
      </c>
      <c r="AV110" s="4">
        <v>5.8000000000000003E-2</v>
      </c>
      <c r="AW110" s="4">
        <v>0.29299999999999998</v>
      </c>
      <c r="AX110" s="4">
        <v>-0.38500000000000001</v>
      </c>
      <c r="AY110" s="4">
        <v>-0.48799999999999999</v>
      </c>
      <c r="AZ110" s="4">
        <v>0.77500000000000002</v>
      </c>
      <c r="BA110" s="4">
        <v>-0.48599999999999999</v>
      </c>
      <c r="BB110" s="4">
        <v>0.46700000000000003</v>
      </c>
      <c r="BC110" s="4">
        <v>7.6999999999999999E-2</v>
      </c>
      <c r="BD110" s="4">
        <v>-0.13900000000000001</v>
      </c>
      <c r="BE110" s="4">
        <v>0.38200000000000001</v>
      </c>
      <c r="BF110" s="4">
        <v>0.52800000000000002</v>
      </c>
      <c r="BG110" s="4">
        <v>0.56100000000000005</v>
      </c>
      <c r="BH110" s="4">
        <v>0.53900000000000003</v>
      </c>
      <c r="BI110" s="4">
        <v>-0.20899999999999999</v>
      </c>
      <c r="BJ110" s="4">
        <v>5.0999999999999997E-2</v>
      </c>
      <c r="BK110" s="4">
        <v>-0.79100000000000004</v>
      </c>
      <c r="BL110" s="4">
        <v>-0.4</v>
      </c>
      <c r="BM110" s="4"/>
    </row>
    <row r="111" spans="1:65" x14ac:dyDescent="0.3">
      <c r="A111" s="19" t="s">
        <v>112</v>
      </c>
      <c r="B111" s="53">
        <v>0</v>
      </c>
      <c r="C111" s="53">
        <f t="shared" si="10"/>
        <v>-2.9000000000000001E-2</v>
      </c>
      <c r="D111" s="53">
        <f t="shared" si="11"/>
        <v>0</v>
      </c>
      <c r="E111" s="53">
        <f t="shared" si="12"/>
        <v>2.9000000000000001E-2</v>
      </c>
      <c r="F111" s="15">
        <v>0.78600000000000003</v>
      </c>
      <c r="G111" s="19">
        <v>1.597</v>
      </c>
      <c r="H111" s="24" t="s">
        <v>55</v>
      </c>
      <c r="I111" t="str">
        <f>VLOOKUP(A111,Setores!$A$2:$C$215,2,0)</f>
        <v>utilities</v>
      </c>
      <c r="J111" t="str">
        <f>VLOOKUP(A111,Setores!$A$2:$C$215,3,0)</f>
        <v>low_beta</v>
      </c>
      <c r="K111" s="2">
        <v>0</v>
      </c>
      <c r="L111" s="2">
        <v>-2.9000000000000001E-2</v>
      </c>
      <c r="M111" s="71">
        <v>46</v>
      </c>
      <c r="N111" s="41">
        <f>VLOOKUP(A111,'Mandato Smll'!$A$2:$C$215,2,0)</f>
        <v>0</v>
      </c>
      <c r="O111" s="58">
        <f t="shared" si="13"/>
        <v>0</v>
      </c>
      <c r="P111" s="42">
        <f t="shared" si="14"/>
        <v>0</v>
      </c>
      <c r="Q111" s="41">
        <f>VLOOKUP(A111,'Mandato Smll'!$A$2:$C$215,3,0)</f>
        <v>5.7787622874315797E-2</v>
      </c>
      <c r="R111" s="58">
        <f t="shared" si="15"/>
        <v>-5.7787622874315797E-2</v>
      </c>
      <c r="S111" s="15">
        <v>-0.89500000000000002</v>
      </c>
      <c r="T111" s="15">
        <v>-0.75800000000000001</v>
      </c>
      <c r="U111" s="15">
        <v>-0.98899999999999999</v>
      </c>
      <c r="V111" s="15">
        <v>-0.67300000000000004</v>
      </c>
      <c r="W111" s="15">
        <v>-0.81399999999999995</v>
      </c>
      <c r="X111" s="15">
        <v>-0.55000000000000004</v>
      </c>
      <c r="Y111" s="15">
        <v>-7.2999999999999995E-2</v>
      </c>
      <c r="Z111" s="15">
        <v>-7.5999999999999998E-2</v>
      </c>
      <c r="AA111" s="15">
        <v>0.63500000000000001</v>
      </c>
      <c r="AB111" s="15">
        <v>0.63600000000000001</v>
      </c>
      <c r="AC111" s="15">
        <v>0.755</v>
      </c>
      <c r="AD111" s="15">
        <v>0.65500000000000003</v>
      </c>
      <c r="AE111" s="15">
        <v>0.60099999999999998</v>
      </c>
      <c r="AF111" s="14">
        <v>-0.85399999999999998</v>
      </c>
      <c r="AG111" s="15">
        <v>-0.74299999999999999</v>
      </c>
      <c r="AH111" s="15">
        <v>0.25</v>
      </c>
      <c r="AI111" s="15">
        <v>-0.91500000000000004</v>
      </c>
      <c r="AJ111" s="15">
        <v>-0.218</v>
      </c>
      <c r="AK111" s="9">
        <v>-0.90300000000000002</v>
      </c>
      <c r="AL111" s="4">
        <v>-0.37</v>
      </c>
      <c r="AM111" s="4">
        <v>-0.03</v>
      </c>
      <c r="AN111" s="4">
        <v>-0.72099999999999997</v>
      </c>
      <c r="AO111" s="4">
        <v>-0.78</v>
      </c>
      <c r="AP111" s="4">
        <v>0.69299999999999995</v>
      </c>
      <c r="AQ111" s="4">
        <v>0.11799999999999999</v>
      </c>
      <c r="AR111" s="4">
        <v>7.5999999999999998E-2</v>
      </c>
      <c r="AS111" s="4">
        <v>5.0999999999999997E-2</v>
      </c>
      <c r="AT111" s="4">
        <v>-0.67600000000000005</v>
      </c>
      <c r="AU111" s="4">
        <v>0.21099999999999999</v>
      </c>
      <c r="AV111" s="4">
        <v>5.5E-2</v>
      </c>
      <c r="AW111" s="4">
        <v>-0.317</v>
      </c>
      <c r="AX111" s="4">
        <v>0.59099999999999997</v>
      </c>
      <c r="AY111" s="4">
        <v>-0.47699999999999998</v>
      </c>
      <c r="AZ111" s="4">
        <v>1</v>
      </c>
      <c r="BA111" s="4">
        <v>-8.1000000000000003E-2</v>
      </c>
      <c r="BB111" s="4">
        <v>-0.75700000000000001</v>
      </c>
      <c r="BC111" s="4">
        <v>-0.33800000000000002</v>
      </c>
      <c r="BD111" s="4">
        <v>-0.621</v>
      </c>
      <c r="BE111" s="4">
        <v>0.40400000000000003</v>
      </c>
      <c r="BF111" s="4">
        <v>-0.26900000000000002</v>
      </c>
      <c r="BG111" s="4">
        <v>0.3</v>
      </c>
      <c r="BH111" s="4">
        <v>0.85599999999999998</v>
      </c>
      <c r="BI111" s="4">
        <v>-1</v>
      </c>
      <c r="BJ111" s="4">
        <v>-0.28899999999999998</v>
      </c>
      <c r="BK111" s="4">
        <v>-0.39600000000000002</v>
      </c>
      <c r="BL111" s="4">
        <v>-0.111</v>
      </c>
      <c r="BM111" s="4"/>
    </row>
    <row r="112" spans="1:65" x14ac:dyDescent="0.3">
      <c r="A112" s="19" t="s">
        <v>83</v>
      </c>
      <c r="B112" s="53">
        <v>0</v>
      </c>
      <c r="C112" s="53">
        <f t="shared" si="10"/>
        <v>0</v>
      </c>
      <c r="D112" s="53">
        <f t="shared" si="11"/>
        <v>0</v>
      </c>
      <c r="E112" s="53">
        <f t="shared" si="12"/>
        <v>0</v>
      </c>
      <c r="F112" s="15">
        <v>0.77900000000000003</v>
      </c>
      <c r="G112" s="19">
        <v>0.873</v>
      </c>
      <c r="H112" s="24" t="s">
        <v>53</v>
      </c>
      <c r="I112" t="str">
        <f>VLOOKUP(A112,Setores!$A$2:$C$215,2,0)</f>
        <v>consumer_staples</v>
      </c>
      <c r="J112" t="str">
        <f>VLOOKUP(A112,Setores!$A$2:$C$215,3,0)</f>
        <v>low_beta</v>
      </c>
      <c r="K112" s="2">
        <v>0</v>
      </c>
      <c r="L112" s="2">
        <v>0</v>
      </c>
      <c r="M112" s="71">
        <v>10</v>
      </c>
      <c r="N112" s="41">
        <f>VLOOKUP(A112,'Mandato Smll'!$A$2:$C$215,2,0)</f>
        <v>0</v>
      </c>
      <c r="O112" s="58">
        <f t="shared" si="13"/>
        <v>0</v>
      </c>
      <c r="P112" s="42">
        <f t="shared" si="14"/>
        <v>0</v>
      </c>
      <c r="Q112" s="41">
        <f>VLOOKUP(A112,'Mandato Smll'!$A$2:$C$215,3,0)</f>
        <v>0</v>
      </c>
      <c r="R112" s="58">
        <f t="shared" si="15"/>
        <v>0</v>
      </c>
      <c r="S112" s="15">
        <v>-0.63200000000000001</v>
      </c>
      <c r="T112" s="15">
        <v>-0.69099999999999995</v>
      </c>
      <c r="U112" s="15">
        <v>-0.85299999999999998</v>
      </c>
      <c r="V112" s="15">
        <v>-0.14199999999999999</v>
      </c>
      <c r="W112" s="15">
        <v>-0.60499999999999998</v>
      </c>
      <c r="X112" s="15">
        <v>-0.57499999999999996</v>
      </c>
      <c r="Y112" s="15">
        <v>-0.38300000000000001</v>
      </c>
      <c r="Z112" s="15">
        <v>-0.157</v>
      </c>
      <c r="AA112" s="15">
        <v>0.28699999999999998</v>
      </c>
      <c r="AB112" s="15">
        <v>0.28699999999999998</v>
      </c>
      <c r="AC112" s="15">
        <v>0.69299999999999995</v>
      </c>
      <c r="AD112" s="15">
        <v>0.7</v>
      </c>
      <c r="AE112" s="15">
        <v>0.54900000000000004</v>
      </c>
      <c r="AF112" s="14">
        <v>0.26100000000000001</v>
      </c>
      <c r="AG112" s="15">
        <v>-0.61899999999999999</v>
      </c>
      <c r="AH112" s="15">
        <v>-0.42299999999999999</v>
      </c>
      <c r="AI112" s="15">
        <v>-1</v>
      </c>
      <c r="AJ112" s="15">
        <v>-0.93300000000000005</v>
      </c>
      <c r="AK112" s="9">
        <v>-0.64100000000000001</v>
      </c>
      <c r="AL112" s="4">
        <v>-0.28899999999999998</v>
      </c>
      <c r="AM112" s="4">
        <v>-0.19800000000000001</v>
      </c>
      <c r="AN112" s="4">
        <v>-0.94199999999999995</v>
      </c>
      <c r="AO112" s="4">
        <v>-0.16300000000000001</v>
      </c>
      <c r="AP112" s="4">
        <v>0.31900000000000001</v>
      </c>
      <c r="AQ112" s="4">
        <v>4.2999999999999997E-2</v>
      </c>
      <c r="AR112" s="4">
        <v>0.18099999999999999</v>
      </c>
      <c r="AS112" s="4">
        <v>0.29499999999999998</v>
      </c>
      <c r="AT112" s="4">
        <v>-3.6999999999999998E-2</v>
      </c>
      <c r="AU112" s="4">
        <v>0.435</v>
      </c>
      <c r="AV112" s="4">
        <v>0.09</v>
      </c>
      <c r="AW112" s="4">
        <v>0.90800000000000003</v>
      </c>
      <c r="AX112" s="4">
        <v>0.71399999999999997</v>
      </c>
      <c r="AY112" s="4">
        <v>0.53100000000000003</v>
      </c>
      <c r="AZ112" s="4">
        <v>0.65100000000000002</v>
      </c>
      <c r="BA112" s="4">
        <v>-0.55300000000000005</v>
      </c>
      <c r="BB112" s="4">
        <v>-0.26500000000000001</v>
      </c>
      <c r="BC112" s="4">
        <v>0.19</v>
      </c>
      <c r="BD112" s="4">
        <v>0.13900000000000001</v>
      </c>
      <c r="BE112" s="4">
        <v>0.51</v>
      </c>
      <c r="BF112" s="4">
        <v>-0.82299999999999995</v>
      </c>
      <c r="BG112" s="4">
        <v>-1</v>
      </c>
      <c r="BH112" s="4">
        <v>-0.54100000000000004</v>
      </c>
      <c r="BI112" s="4">
        <v>-0.21299999999999999</v>
      </c>
      <c r="BJ112" s="4">
        <v>-0.21099999999999999</v>
      </c>
      <c r="BK112" s="4">
        <v>-0.11899999999999999</v>
      </c>
      <c r="BL112" s="4">
        <v>-1</v>
      </c>
      <c r="BM112" s="4"/>
    </row>
    <row r="113" spans="1:65" x14ac:dyDescent="0.3">
      <c r="A113" s="19" t="s">
        <v>147</v>
      </c>
      <c r="B113" s="53">
        <v>0</v>
      </c>
      <c r="C113" s="53">
        <f t="shared" si="10"/>
        <v>-0.04</v>
      </c>
      <c r="D113" s="53">
        <f t="shared" si="11"/>
        <v>0</v>
      </c>
      <c r="E113" s="53">
        <f t="shared" si="12"/>
        <v>0.04</v>
      </c>
      <c r="F113" s="15">
        <v>0.76900000000000002</v>
      </c>
      <c r="G113" s="19">
        <v>1.3939999999999999</v>
      </c>
      <c r="H113" s="24" t="s">
        <v>57</v>
      </c>
      <c r="I113" t="str">
        <f>VLOOKUP(A113,Setores!$A$2:$C$215,2,0)</f>
        <v>apparel</v>
      </c>
      <c r="J113" t="str">
        <f>VLOOKUP(A113,Setores!$A$2:$C$215,3,0)</f>
        <v>neutral_beta</v>
      </c>
      <c r="K113" s="2">
        <v>0</v>
      </c>
      <c r="L113" s="2">
        <v>-0.04</v>
      </c>
      <c r="M113" s="71">
        <v>38</v>
      </c>
      <c r="N113" s="41">
        <f>VLOOKUP(A113,'Mandato Smll'!$A$2:$C$215,2,0)</f>
        <v>0</v>
      </c>
      <c r="O113" s="58">
        <f t="shared" si="13"/>
        <v>0</v>
      </c>
      <c r="P113" s="42">
        <f t="shared" si="14"/>
        <v>0</v>
      </c>
      <c r="Q113" s="41">
        <f>VLOOKUP(A113,'Mandato Smll'!$A$2:$C$215,3,0)</f>
        <v>0</v>
      </c>
      <c r="R113" s="58">
        <f t="shared" si="15"/>
        <v>0</v>
      </c>
      <c r="S113" s="15">
        <v>-0.30099999999999999</v>
      </c>
      <c r="T113" s="15">
        <v>-0.60699999999999998</v>
      </c>
      <c r="U113" s="15">
        <v>-0.65500000000000003</v>
      </c>
      <c r="V113" s="15">
        <v>-9.5000000000000001E-2</v>
      </c>
      <c r="W113" s="15">
        <v>-0.496</v>
      </c>
      <c r="X113" s="15">
        <v>-0.27400000000000002</v>
      </c>
      <c r="Y113" s="15">
        <v>-0.24399999999999999</v>
      </c>
      <c r="Z113" s="15">
        <v>-0.45300000000000001</v>
      </c>
      <c r="AA113" s="15">
        <v>3.5000000000000003E-2</v>
      </c>
      <c r="AB113" s="15">
        <v>3.3000000000000002E-2</v>
      </c>
      <c r="AC113" s="15">
        <v>0.64300000000000002</v>
      </c>
      <c r="AD113" s="15">
        <v>0.60199999999999998</v>
      </c>
      <c r="AE113" s="15">
        <v>0.497</v>
      </c>
      <c r="AF113" s="14">
        <v>0.67600000000000005</v>
      </c>
      <c r="AG113" s="15">
        <v>-8.2000000000000003E-2</v>
      </c>
      <c r="AH113" s="15">
        <v>-0.72399999999999998</v>
      </c>
      <c r="AI113" s="15">
        <v>-0.76500000000000001</v>
      </c>
      <c r="AJ113" s="15">
        <v>-0.83</v>
      </c>
      <c r="AK113" s="9">
        <v>-0.121</v>
      </c>
      <c r="AL113" s="4">
        <v>0.10100000000000001</v>
      </c>
      <c r="AM113" s="4">
        <v>-0.222</v>
      </c>
      <c r="AN113" s="4">
        <v>-0.56899999999999995</v>
      </c>
      <c r="AO113" s="4">
        <v>0.54800000000000004</v>
      </c>
      <c r="AP113" s="4">
        <v>-0.32700000000000001</v>
      </c>
      <c r="AQ113" s="4">
        <v>7.1999999999999995E-2</v>
      </c>
      <c r="AR113" s="4">
        <v>0.219</v>
      </c>
      <c r="AS113" s="4">
        <v>0.34200000000000003</v>
      </c>
      <c r="AT113" s="4">
        <v>0.104</v>
      </c>
      <c r="AU113" s="4">
        <v>0.34100000000000003</v>
      </c>
      <c r="AV113" s="4">
        <v>-2.8000000000000001E-2</v>
      </c>
      <c r="AW113" s="4">
        <v>0.90800000000000003</v>
      </c>
      <c r="AX113" s="4">
        <v>-0.217</v>
      </c>
      <c r="AY113" s="4">
        <v>0.46500000000000002</v>
      </c>
      <c r="AZ113" s="4">
        <v>0.88100000000000001</v>
      </c>
      <c r="BA113" s="4">
        <v>6.2E-2</v>
      </c>
      <c r="BB113" s="4">
        <v>1.7000000000000001E-2</v>
      </c>
      <c r="BC113" s="4">
        <v>0.127</v>
      </c>
      <c r="BD113" s="4">
        <v>0.12</v>
      </c>
      <c r="BE113" s="4">
        <v>0.40799999999999997</v>
      </c>
      <c r="BF113" s="4">
        <v>-6.8000000000000005E-2</v>
      </c>
      <c r="BG113" s="4">
        <v>-0.24</v>
      </c>
      <c r="BH113" s="4">
        <v>8.5999999999999993E-2</v>
      </c>
      <c r="BI113" s="4">
        <v>0.04</v>
      </c>
      <c r="BJ113" s="4">
        <v>-9.9000000000000005E-2</v>
      </c>
      <c r="BK113" s="4">
        <v>-0.94799999999999995</v>
      </c>
      <c r="BL113" s="4">
        <v>-0.56699999999999995</v>
      </c>
      <c r="BM113" s="4"/>
    </row>
    <row r="114" spans="1:65" x14ac:dyDescent="0.3">
      <c r="A114" s="19" t="s">
        <v>186</v>
      </c>
      <c r="B114" s="53">
        <v>0</v>
      </c>
      <c r="C114" s="53">
        <f t="shared" si="10"/>
        <v>0</v>
      </c>
      <c r="D114" s="53">
        <f t="shared" si="11"/>
        <v>0</v>
      </c>
      <c r="E114" s="53">
        <f t="shared" si="12"/>
        <v>0</v>
      </c>
      <c r="F114" s="15">
        <v>0.749</v>
      </c>
      <c r="G114" s="19">
        <v>0.85</v>
      </c>
      <c r="H114" s="24" t="s">
        <v>71</v>
      </c>
      <c r="I114" t="str">
        <f>VLOOKUP(A114,Setores!$A$2:$C$215,2,0)</f>
        <v>basic_materials</v>
      </c>
      <c r="J114" t="str">
        <f>VLOOKUP(A114,Setores!$A$2:$C$215,3,0)</f>
        <v>low_beta</v>
      </c>
      <c r="K114" s="2">
        <v>0</v>
      </c>
      <c r="L114" s="2">
        <v>0</v>
      </c>
      <c r="M114" s="71">
        <v>23</v>
      </c>
      <c r="N114" s="41">
        <f>VLOOKUP(A114,'Mandato Smll'!$A$2:$C$215,2,0)</f>
        <v>0</v>
      </c>
      <c r="O114" s="58">
        <f t="shared" si="13"/>
        <v>0</v>
      </c>
      <c r="P114" s="42">
        <f t="shared" si="14"/>
        <v>0</v>
      </c>
      <c r="Q114" s="41">
        <f>VLOOKUP(A114,'Mandato Smll'!$A$2:$C$215,3,0)</f>
        <v>0</v>
      </c>
      <c r="R114" s="58">
        <f t="shared" si="15"/>
        <v>0</v>
      </c>
      <c r="S114" s="15">
        <v>-0.754</v>
      </c>
      <c r="T114" s="15">
        <v>-0.32100000000000001</v>
      </c>
      <c r="U114" s="15">
        <v>-0.94199999999999995</v>
      </c>
      <c r="V114" s="15">
        <v>-0.63900000000000001</v>
      </c>
      <c r="W114" s="15">
        <v>-0.71899999999999997</v>
      </c>
      <c r="X114" s="15">
        <v>-0.55000000000000004</v>
      </c>
      <c r="Y114" s="15">
        <v>-0.61899999999999999</v>
      </c>
      <c r="Z114" s="15">
        <v>-0.29399999999999998</v>
      </c>
      <c r="AA114" s="15">
        <v>0.51200000000000001</v>
      </c>
      <c r="AB114" s="15">
        <v>0.51200000000000001</v>
      </c>
      <c r="AC114" s="15">
        <v>0.628</v>
      </c>
      <c r="AD114" s="15">
        <v>0.78200000000000003</v>
      </c>
      <c r="AE114" s="15">
        <v>0.745</v>
      </c>
      <c r="AF114" s="14">
        <v>-0.65500000000000003</v>
      </c>
      <c r="AG114" s="15">
        <v>-0.89300000000000002</v>
      </c>
      <c r="AH114" s="15">
        <v>0.44800000000000001</v>
      </c>
      <c r="AI114" s="15">
        <v>-0.93600000000000005</v>
      </c>
      <c r="AJ114" s="15">
        <v>-0.57499999999999996</v>
      </c>
      <c r="AK114" s="9">
        <v>-0.96</v>
      </c>
      <c r="AL114" s="4">
        <v>-0.15</v>
      </c>
      <c r="AM114" s="4">
        <v>-0.437</v>
      </c>
      <c r="AN114" s="4">
        <v>-0.26</v>
      </c>
      <c r="AO114" s="4">
        <v>-0.64400000000000002</v>
      </c>
      <c r="AP114" s="4">
        <v>0.52900000000000003</v>
      </c>
      <c r="AQ114" s="4">
        <v>0.41599999999999998</v>
      </c>
      <c r="AR114" s="4">
        <v>-0.86699999999999999</v>
      </c>
      <c r="AS114" s="4">
        <v>0.47899999999999998</v>
      </c>
      <c r="AT114" s="4">
        <v>0.40300000000000002</v>
      </c>
      <c r="AU114" s="4">
        <v>9.7000000000000003E-2</v>
      </c>
      <c r="AV114" s="4">
        <v>-0.53400000000000003</v>
      </c>
      <c r="AW114" s="4">
        <v>-0.15</v>
      </c>
      <c r="AX114" s="4">
        <v>0.46200000000000002</v>
      </c>
      <c r="AY114" s="4">
        <v>-6.2E-2</v>
      </c>
      <c r="AZ114" s="4">
        <v>0.81399999999999995</v>
      </c>
      <c r="BA114" s="4">
        <v>-0.376</v>
      </c>
      <c r="BB114" s="4">
        <v>0.56799999999999995</v>
      </c>
      <c r="BC114" s="4">
        <v>0.19400000000000001</v>
      </c>
      <c r="BD114" s="4">
        <v>7.2999999999999995E-2</v>
      </c>
      <c r="BE114" s="4">
        <v>0.64600000000000002</v>
      </c>
      <c r="BF114" s="4">
        <v>-1</v>
      </c>
      <c r="BG114" s="4">
        <v>-0.83399999999999996</v>
      </c>
      <c r="BH114" s="4">
        <v>0.34399999999999997</v>
      </c>
      <c r="BI114" s="4">
        <v>-0.25700000000000001</v>
      </c>
      <c r="BJ114" s="4">
        <v>-0.504</v>
      </c>
      <c r="BK114" s="4">
        <v>-0.28100000000000003</v>
      </c>
      <c r="BL114" s="4">
        <v>-0.57899999999999996</v>
      </c>
      <c r="BM114" s="4"/>
    </row>
    <row r="115" spans="1:65" x14ac:dyDescent="0.3">
      <c r="A115" s="19" t="s">
        <v>155</v>
      </c>
      <c r="B115" s="53">
        <v>0</v>
      </c>
      <c r="C115" s="53">
        <f t="shared" si="10"/>
        <v>0</v>
      </c>
      <c r="D115" s="53">
        <f t="shared" si="11"/>
        <v>0</v>
      </c>
      <c r="E115" s="53">
        <f t="shared" si="12"/>
        <v>0</v>
      </c>
      <c r="F115" s="15">
        <v>0.74199999999999999</v>
      </c>
      <c r="G115" s="19">
        <v>0.52300000000000002</v>
      </c>
      <c r="H115" s="24" t="s">
        <v>55</v>
      </c>
      <c r="I115" t="str">
        <f>VLOOKUP(A115,Setores!$A$2:$C$215,2,0)</f>
        <v>utilities</v>
      </c>
      <c r="J115" t="str">
        <f>VLOOKUP(A115,Setores!$A$2:$C$215,3,0)</f>
        <v>low_beta</v>
      </c>
      <c r="K115" s="2">
        <v>0</v>
      </c>
      <c r="L115" s="2">
        <v>0</v>
      </c>
      <c r="M115" s="71">
        <v>80</v>
      </c>
      <c r="N115" s="41">
        <f>VLOOKUP(A115,'Mandato Smll'!$A$2:$C$215,2,0)</f>
        <v>0</v>
      </c>
      <c r="O115" s="58">
        <f t="shared" si="13"/>
        <v>0</v>
      </c>
      <c r="P115" s="42">
        <f t="shared" si="14"/>
        <v>0</v>
      </c>
      <c r="Q115" s="41">
        <f>VLOOKUP(A115,'Mandato Smll'!$A$2:$C$215,3,0)</f>
        <v>0</v>
      </c>
      <c r="R115" s="58">
        <f t="shared" si="15"/>
        <v>0</v>
      </c>
      <c r="S115" s="15">
        <v>-0.28199999999999997</v>
      </c>
      <c r="T115" s="15">
        <v>-0.125</v>
      </c>
      <c r="U115" s="15">
        <v>-0.10299999999999999</v>
      </c>
      <c r="V115" s="15">
        <v>-0.52700000000000002</v>
      </c>
      <c r="W115" s="15">
        <v>-0.28799999999999998</v>
      </c>
      <c r="X115" s="15">
        <v>-0.55400000000000005</v>
      </c>
      <c r="Y115" s="15">
        <v>-0.66900000000000004</v>
      </c>
      <c r="Z115" s="15">
        <v>-0.86599999999999999</v>
      </c>
      <c r="AA115" s="15">
        <v>0.59899999999999998</v>
      </c>
      <c r="AB115" s="15">
        <v>0.59599999999999997</v>
      </c>
      <c r="AC115" s="15">
        <v>0.47099999999999997</v>
      </c>
      <c r="AD115" s="15">
        <v>0.68</v>
      </c>
      <c r="AE115" s="15">
        <v>0.65</v>
      </c>
      <c r="AF115" s="14">
        <v>-0.46100000000000002</v>
      </c>
      <c r="AG115" s="15">
        <v>0.72299999999999998</v>
      </c>
      <c r="AH115" s="15">
        <v>-0.22900000000000001</v>
      </c>
      <c r="AI115" s="15">
        <v>0.65300000000000002</v>
      </c>
      <c r="AJ115" s="15">
        <v>-0.18099999999999999</v>
      </c>
      <c r="AK115" s="9">
        <v>-0.59</v>
      </c>
      <c r="AL115" s="4">
        <v>0.31900000000000001</v>
      </c>
      <c r="AM115" s="4">
        <v>-1</v>
      </c>
      <c r="AN115" s="4">
        <v>0.92800000000000005</v>
      </c>
      <c r="AO115" s="4">
        <v>-0.32700000000000001</v>
      </c>
      <c r="AP115" s="4">
        <v>-0.58399999999999996</v>
      </c>
      <c r="AQ115" s="4">
        <v>0.16500000000000001</v>
      </c>
      <c r="AR115" s="4">
        <v>0.13700000000000001</v>
      </c>
      <c r="AS115" s="4">
        <v>1</v>
      </c>
      <c r="AT115" s="4">
        <v>0.44400000000000001</v>
      </c>
      <c r="AU115" s="4">
        <v>0.38700000000000001</v>
      </c>
      <c r="AV115" s="4">
        <v>-0.48799999999999999</v>
      </c>
      <c r="AW115" s="4">
        <v>-0.63700000000000001</v>
      </c>
      <c r="AX115" s="4">
        <v>-0.28699999999999998</v>
      </c>
      <c r="AY115" s="4">
        <v>-0.83799999999999997</v>
      </c>
      <c r="AZ115" s="4">
        <v>-0.126</v>
      </c>
      <c r="BA115" s="4">
        <v>0.16600000000000001</v>
      </c>
      <c r="BB115" s="4">
        <v>3.3000000000000002E-2</v>
      </c>
      <c r="BC115" s="4">
        <v>-0.376</v>
      </c>
      <c r="BD115" s="4">
        <v>-0.60399999999999998</v>
      </c>
      <c r="BE115" s="4">
        <v>0.24099999999999999</v>
      </c>
      <c r="BF115" s="4">
        <v>0.999</v>
      </c>
      <c r="BG115" s="4">
        <v>0.26800000000000002</v>
      </c>
      <c r="BH115" s="4">
        <v>0.436</v>
      </c>
      <c r="BI115" s="4">
        <v>6.6000000000000003E-2</v>
      </c>
      <c r="BJ115" s="4">
        <v>-0.29099999999999998</v>
      </c>
      <c r="BK115" s="4">
        <v>0.52500000000000002</v>
      </c>
      <c r="BL115" s="4">
        <v>0.80900000000000005</v>
      </c>
      <c r="BM115" s="4"/>
    </row>
    <row r="116" spans="1:65" x14ac:dyDescent="0.3">
      <c r="A116" s="19" t="s">
        <v>98</v>
      </c>
      <c r="B116" s="53">
        <v>0</v>
      </c>
      <c r="C116" s="53">
        <f t="shared" si="10"/>
        <v>-8.9999999999999993E-3</v>
      </c>
      <c r="D116" s="53">
        <f t="shared" si="11"/>
        <v>0</v>
      </c>
      <c r="E116" s="53">
        <f t="shared" si="12"/>
        <v>8.9999999999999993E-3</v>
      </c>
      <c r="F116" s="15">
        <v>0.72399999999999998</v>
      </c>
      <c r="G116" s="19">
        <v>0.93100000000000005</v>
      </c>
      <c r="H116" s="24" t="s">
        <v>68</v>
      </c>
      <c r="I116" t="str">
        <f>VLOOKUP(A116,Setores!$A$2:$C$215,2,0)</f>
        <v>chemicals</v>
      </c>
      <c r="J116" t="str">
        <f>VLOOKUP(A116,Setores!$A$2:$C$215,3,0)</f>
        <v>low_beta</v>
      </c>
      <c r="K116" s="2">
        <v>0</v>
      </c>
      <c r="L116" s="2">
        <v>-8.9999999999999993E-3</v>
      </c>
      <c r="M116" s="71">
        <v>80</v>
      </c>
      <c r="N116" s="41">
        <f>VLOOKUP(A116,'Mandato Smll'!$A$2:$C$215,2,0)</f>
        <v>0</v>
      </c>
      <c r="O116" s="58">
        <f t="shared" si="13"/>
        <v>0</v>
      </c>
      <c r="P116" s="42">
        <f t="shared" si="14"/>
        <v>0</v>
      </c>
      <c r="Q116" s="41">
        <f>VLOOKUP(A116,'Mandato Smll'!$A$2:$C$215,3,0)</f>
        <v>0</v>
      </c>
      <c r="R116" s="58">
        <f t="shared" si="15"/>
        <v>0</v>
      </c>
      <c r="S116" s="15">
        <v>-0.86199999999999999</v>
      </c>
      <c r="T116" s="15">
        <v>-0.79500000000000004</v>
      </c>
      <c r="U116" s="15">
        <v>-0.83399999999999996</v>
      </c>
      <c r="V116" s="15">
        <v>-0.76800000000000002</v>
      </c>
      <c r="W116" s="15">
        <v>-0.78600000000000003</v>
      </c>
      <c r="X116" s="15">
        <v>-0.63500000000000001</v>
      </c>
      <c r="Y116" s="15">
        <v>-0.378</v>
      </c>
      <c r="Z116" s="15">
        <v>-0.09</v>
      </c>
      <c r="AA116" s="15">
        <v>0.58799999999999997</v>
      </c>
      <c r="AB116" s="15">
        <v>0.58199999999999996</v>
      </c>
      <c r="AC116" s="15">
        <v>0.60499999999999998</v>
      </c>
      <c r="AD116" s="15">
        <v>0.54600000000000004</v>
      </c>
      <c r="AE116" s="15">
        <v>0.57299999999999995</v>
      </c>
      <c r="AF116" s="14">
        <v>-0.66700000000000004</v>
      </c>
      <c r="AG116" s="15">
        <v>-0.88400000000000001</v>
      </c>
      <c r="AH116" s="15">
        <v>-0.54700000000000004</v>
      </c>
      <c r="AI116" s="15">
        <v>-0.50700000000000001</v>
      </c>
      <c r="AJ116" s="15">
        <v>-0.32700000000000001</v>
      </c>
      <c r="AK116" s="9">
        <v>-0.872</v>
      </c>
      <c r="AL116" s="4">
        <v>-6.6000000000000003E-2</v>
      </c>
      <c r="AM116" s="4">
        <v>0.68200000000000005</v>
      </c>
      <c r="AN116" s="4">
        <v>-0.60799999999999998</v>
      </c>
      <c r="AO116" s="4">
        <v>-0.23799999999999999</v>
      </c>
      <c r="AP116" s="4">
        <v>0.191</v>
      </c>
      <c r="AQ116" s="4">
        <v>-5.0000000000000001E-3</v>
      </c>
      <c r="AR116" s="4">
        <v>-0.73599999999999999</v>
      </c>
      <c r="AS116" s="4">
        <v>-0.48699999999999999</v>
      </c>
      <c r="AT116" s="4">
        <v>-0.36799999999999999</v>
      </c>
      <c r="AU116" s="4">
        <v>0.17</v>
      </c>
      <c r="AV116" s="4">
        <v>-0.23100000000000001</v>
      </c>
      <c r="AW116" s="4">
        <v>-0.51</v>
      </c>
      <c r="AX116" s="4">
        <v>0.47899999999999998</v>
      </c>
      <c r="AY116" s="4">
        <v>-0.186</v>
      </c>
      <c r="AZ116" s="4">
        <v>0.64600000000000002</v>
      </c>
      <c r="BA116" s="4">
        <v>0.70399999999999996</v>
      </c>
      <c r="BB116" s="4">
        <v>-1</v>
      </c>
      <c r="BC116" s="4">
        <v>3.9E-2</v>
      </c>
      <c r="BD116" s="4">
        <v>-0.36399999999999999</v>
      </c>
      <c r="BE116" s="4">
        <v>0.14899999999999999</v>
      </c>
      <c r="BF116" s="4">
        <v>-0.64300000000000002</v>
      </c>
      <c r="BG116" s="4">
        <v>-1.4E-2</v>
      </c>
      <c r="BH116" s="4">
        <v>0.53300000000000003</v>
      </c>
      <c r="BI116" s="4">
        <v>-0.35499999999999998</v>
      </c>
      <c r="BJ116" s="4">
        <v>-0.32800000000000001</v>
      </c>
      <c r="BK116" s="4">
        <v>0.36099999999999999</v>
      </c>
      <c r="BL116" s="4">
        <v>2.5000000000000001E-2</v>
      </c>
      <c r="BM116" s="4"/>
    </row>
    <row r="117" spans="1:65" x14ac:dyDescent="0.3">
      <c r="A117" s="19" t="s">
        <v>226</v>
      </c>
      <c r="B117" s="53">
        <v>0</v>
      </c>
      <c r="C117" s="53">
        <f t="shared" si="10"/>
        <v>0</v>
      </c>
      <c r="D117" s="53">
        <f t="shared" si="11"/>
        <v>0</v>
      </c>
      <c r="E117" s="53">
        <f t="shared" si="12"/>
        <v>0</v>
      </c>
      <c r="F117" s="15">
        <v>0.71499999999999997</v>
      </c>
      <c r="G117" s="19">
        <v>0.66500000000000004</v>
      </c>
      <c r="H117" s="24" t="s">
        <v>55</v>
      </c>
      <c r="I117" t="str">
        <f>VLOOKUP(A117,Setores!$A$2:$C$215,2,0)</f>
        <v>utilities</v>
      </c>
      <c r="J117" t="str">
        <f>VLOOKUP(A117,Setores!$A$2:$C$215,3,0)</f>
        <v>high_beta</v>
      </c>
      <c r="K117" s="2">
        <v>0</v>
      </c>
      <c r="L117" s="2">
        <v>0</v>
      </c>
      <c r="M117" s="71">
        <v>16</v>
      </c>
      <c r="N117" s="41">
        <f>VLOOKUP(A117,'Mandato Smll'!$A$2:$C$215,2,0)</f>
        <v>0</v>
      </c>
      <c r="O117" s="58">
        <f t="shared" si="13"/>
        <v>0</v>
      </c>
      <c r="P117" s="42">
        <f t="shared" si="14"/>
        <v>0</v>
      </c>
      <c r="Q117" s="41">
        <f>VLOOKUP(A117,'Mandato Smll'!$A$2:$C$215,3,0)</f>
        <v>1.0513421618870601E-2</v>
      </c>
      <c r="R117" s="58">
        <f t="shared" si="15"/>
        <v>-1.0513421618870601E-2</v>
      </c>
      <c r="S117" s="15">
        <v>-0.58399999999999996</v>
      </c>
      <c r="T117" s="15">
        <v>-0.46899999999999997</v>
      </c>
      <c r="U117" s="15">
        <v>-0.93100000000000005</v>
      </c>
      <c r="V117" s="15">
        <v>-0.53400000000000003</v>
      </c>
      <c r="W117" s="15">
        <v>-0.79</v>
      </c>
      <c r="X117" s="15">
        <v>-0.2</v>
      </c>
      <c r="Y117" s="15">
        <v>-9.6000000000000002E-2</v>
      </c>
      <c r="Z117" s="15">
        <v>-0.498</v>
      </c>
      <c r="AA117" s="15">
        <v>0.11</v>
      </c>
      <c r="AB117" s="15">
        <v>0.111</v>
      </c>
      <c r="AC117" s="15">
        <v>0.67500000000000004</v>
      </c>
      <c r="AD117" s="15">
        <v>0.67400000000000004</v>
      </c>
      <c r="AE117" s="15">
        <v>0.63400000000000001</v>
      </c>
      <c r="AF117" s="14">
        <v>-0.56999999999999995</v>
      </c>
      <c r="AG117" s="15">
        <v>-0.65900000000000003</v>
      </c>
      <c r="AH117" s="15">
        <v>5.1999999999999998E-2</v>
      </c>
      <c r="AI117" s="15">
        <v>-0.996</v>
      </c>
      <c r="AJ117" s="15">
        <v>-0.43099999999999999</v>
      </c>
      <c r="AK117" s="9">
        <v>-0.85099999999999998</v>
      </c>
      <c r="AL117" s="4">
        <v>-0.36</v>
      </c>
      <c r="AM117" s="4">
        <v>-1</v>
      </c>
      <c r="AN117" s="4">
        <v>-0.72099999999999997</v>
      </c>
      <c r="AO117" s="4">
        <v>-0.20399999999999999</v>
      </c>
      <c r="AP117" s="4">
        <v>0.52100000000000002</v>
      </c>
      <c r="AQ117" s="4">
        <v>1</v>
      </c>
      <c r="AR117" s="4">
        <v>0.38600000000000001</v>
      </c>
      <c r="AS117" s="4">
        <v>-0.315</v>
      </c>
      <c r="AT117" s="4">
        <v>-1.0999999999999999E-2</v>
      </c>
      <c r="AU117" s="4">
        <v>-0.1</v>
      </c>
      <c r="AV117" s="4">
        <v>-0.153</v>
      </c>
      <c r="AW117" s="4">
        <v>0.23300000000000001</v>
      </c>
      <c r="AX117" s="4">
        <v>0.26300000000000001</v>
      </c>
      <c r="AY117" s="4">
        <v>-0.33600000000000002</v>
      </c>
      <c r="AZ117" s="4">
        <v>0.69699999999999995</v>
      </c>
      <c r="BA117" s="4">
        <v>1</v>
      </c>
      <c r="BB117" s="4">
        <v>0.78400000000000003</v>
      </c>
      <c r="BC117" s="4">
        <v>-0.11799999999999999</v>
      </c>
      <c r="BD117" s="4">
        <v>-0.47599999999999998</v>
      </c>
      <c r="BE117" s="4">
        <v>0.72599999999999998</v>
      </c>
      <c r="BF117" s="4">
        <v>-0.441</v>
      </c>
      <c r="BG117" s="4">
        <v>0.32600000000000001</v>
      </c>
      <c r="BH117" s="4">
        <v>0.871</v>
      </c>
      <c r="BI117" s="4">
        <v>-0.56999999999999995</v>
      </c>
      <c r="BJ117" s="4">
        <v>5.8999999999999997E-2</v>
      </c>
      <c r="BK117" s="4">
        <v>-0.46800000000000003</v>
      </c>
      <c r="BL117" s="4">
        <v>-0.49</v>
      </c>
      <c r="BM117" s="4"/>
    </row>
    <row r="118" spans="1:65" x14ac:dyDescent="0.3">
      <c r="A118" s="19" t="s">
        <v>134</v>
      </c>
      <c r="B118" s="53">
        <v>0</v>
      </c>
      <c r="C118" s="53">
        <f t="shared" si="10"/>
        <v>0</v>
      </c>
      <c r="D118" s="53">
        <f t="shared" si="11"/>
        <v>0</v>
      </c>
      <c r="E118" s="53">
        <f t="shared" si="12"/>
        <v>0</v>
      </c>
      <c r="F118" s="15">
        <v>0.70799999999999996</v>
      </c>
      <c r="G118" s="19">
        <v>0.97799999999999998</v>
      </c>
      <c r="H118" s="24" t="s">
        <v>57</v>
      </c>
      <c r="I118" t="str">
        <f>VLOOKUP(A118,Setores!$A$2:$C$215,2,0)</f>
        <v>banks</v>
      </c>
      <c r="J118" t="str">
        <f>VLOOKUP(A118,Setores!$A$2:$C$215,3,0)</f>
        <v>neutral_beta</v>
      </c>
      <c r="K118" s="2">
        <v>0</v>
      </c>
      <c r="L118" s="2">
        <v>0</v>
      </c>
      <c r="M118" s="71">
        <v>6</v>
      </c>
      <c r="N118" s="41">
        <f>VLOOKUP(A118,'Mandato Smll'!$A$2:$C$215,2,0)</f>
        <v>0</v>
      </c>
      <c r="O118" s="58">
        <f t="shared" si="13"/>
        <v>0</v>
      </c>
      <c r="P118" s="42">
        <f t="shared" si="14"/>
        <v>0</v>
      </c>
      <c r="Q118" s="41">
        <f>VLOOKUP(A118,'Mandato Smll'!$A$2:$C$215,3,0)</f>
        <v>0</v>
      </c>
      <c r="R118" s="58">
        <f t="shared" si="15"/>
        <v>0</v>
      </c>
      <c r="S118" s="15">
        <v>-0.746</v>
      </c>
      <c r="T118" s="15">
        <v>-0.71599999999999997</v>
      </c>
      <c r="U118" s="15">
        <v>-0.9</v>
      </c>
      <c r="V118" s="15">
        <v>-0.65700000000000003</v>
      </c>
      <c r="W118" s="15">
        <v>-0.79200000000000004</v>
      </c>
      <c r="X118" s="15">
        <v>-0.40400000000000003</v>
      </c>
      <c r="Y118" s="15">
        <v>-9.5000000000000001E-2</v>
      </c>
      <c r="Z118" s="15">
        <v>-0.44800000000000001</v>
      </c>
      <c r="AA118" s="15">
        <v>0.45300000000000001</v>
      </c>
      <c r="AB118" s="15">
        <v>0.45200000000000001</v>
      </c>
      <c r="AC118" s="15">
        <v>0.74199999999999999</v>
      </c>
      <c r="AD118" s="15">
        <v>0.81200000000000006</v>
      </c>
      <c r="AE118" s="15">
        <v>0.59499999999999997</v>
      </c>
      <c r="AF118" s="14">
        <v>-0.63900000000000001</v>
      </c>
      <c r="AG118" s="15">
        <v>-0.26500000000000001</v>
      </c>
      <c r="AH118" s="15">
        <v>-0.189</v>
      </c>
      <c r="AI118" s="15">
        <v>-0.91500000000000004</v>
      </c>
      <c r="AJ118" s="15">
        <v>-0.93799999999999994</v>
      </c>
      <c r="AK118" s="9">
        <v>-1</v>
      </c>
      <c r="AL118" s="4">
        <v>-0.219</v>
      </c>
      <c r="AM118" s="4">
        <v>0.13700000000000001</v>
      </c>
      <c r="AN118" s="4">
        <v>-3.3000000000000002E-2</v>
      </c>
      <c r="AO118" s="4">
        <v>0.10299999999999999</v>
      </c>
      <c r="AP118" s="4">
        <v>-0.19800000000000001</v>
      </c>
      <c r="AQ118" s="4">
        <v>-0.18099999999999999</v>
      </c>
      <c r="AR118" s="4">
        <v>-1E-3</v>
      </c>
      <c r="AS118" s="4">
        <v>0.13500000000000001</v>
      </c>
      <c r="AT118" s="4">
        <v>0.41699999999999998</v>
      </c>
      <c r="AU118" s="4">
        <v>-0.16400000000000001</v>
      </c>
      <c r="AV118" s="4">
        <v>-0.254</v>
      </c>
      <c r="AW118" s="4">
        <v>-0.41799999999999998</v>
      </c>
      <c r="AX118" s="4">
        <v>0.30299999999999999</v>
      </c>
      <c r="AY118" s="4">
        <v>-0.36199999999999999</v>
      </c>
      <c r="AZ118" s="4">
        <v>7.6999999999999999E-2</v>
      </c>
      <c r="BA118" s="4">
        <v>0.10299999999999999</v>
      </c>
      <c r="BB118" s="4">
        <v>0.11799999999999999</v>
      </c>
      <c r="BC118" s="4">
        <v>-0.17</v>
      </c>
      <c r="BD118" s="4">
        <v>-0.157</v>
      </c>
      <c r="BE118" s="4">
        <v>0.4</v>
      </c>
      <c r="BF118" s="4">
        <v>1.4999999999999999E-2</v>
      </c>
      <c r="BG118" s="4">
        <v>0.193</v>
      </c>
      <c r="BH118" s="4">
        <v>0.89600000000000002</v>
      </c>
      <c r="BI118" s="4">
        <v>-0.36499999999999999</v>
      </c>
      <c r="BJ118" s="4">
        <v>-4.1000000000000002E-2</v>
      </c>
      <c r="BK118" s="4">
        <v>-0.23799999999999999</v>
      </c>
      <c r="BL118" s="4">
        <v>-0.76500000000000001</v>
      </c>
      <c r="BM118" s="4"/>
    </row>
    <row r="119" spans="1:65" x14ac:dyDescent="0.3">
      <c r="A119" s="19" t="s">
        <v>114</v>
      </c>
      <c r="B119" s="53">
        <v>0</v>
      </c>
      <c r="C119" s="53">
        <f t="shared" si="10"/>
        <v>-1.4999999999999999E-2</v>
      </c>
      <c r="D119" s="53">
        <f t="shared" si="11"/>
        <v>0</v>
      </c>
      <c r="E119" s="53">
        <f t="shared" si="12"/>
        <v>1.4999999999999999E-2</v>
      </c>
      <c r="F119" s="15">
        <v>0.69899999999999995</v>
      </c>
      <c r="G119" s="19">
        <v>1.4990000000000001</v>
      </c>
      <c r="H119" s="24" t="s">
        <v>55</v>
      </c>
      <c r="I119" t="str">
        <f>VLOOKUP(A119,Setores!$A$2:$C$215,2,0)</f>
        <v>utilities</v>
      </c>
      <c r="J119" t="str">
        <f>VLOOKUP(A119,Setores!$A$2:$C$215,3,0)</f>
        <v>low_beta</v>
      </c>
      <c r="K119" s="2">
        <v>0</v>
      </c>
      <c r="L119" s="2">
        <v>-1.4999999999999999E-2</v>
      </c>
      <c r="M119" s="71">
        <v>80</v>
      </c>
      <c r="N119" s="41">
        <f>VLOOKUP(A119,'Mandato Smll'!$A$2:$C$215,2,0)</f>
        <v>0</v>
      </c>
      <c r="O119" s="58">
        <f t="shared" si="13"/>
        <v>0</v>
      </c>
      <c r="P119" s="42">
        <f t="shared" si="14"/>
        <v>0</v>
      </c>
      <c r="Q119" s="41">
        <f>VLOOKUP(A119,'Mandato Smll'!$A$2:$C$215,3,0)</f>
        <v>0</v>
      </c>
      <c r="R119" s="58">
        <f t="shared" si="15"/>
        <v>0</v>
      </c>
      <c r="S119" s="15">
        <v>-0.72099999999999997</v>
      </c>
      <c r="T119" s="15">
        <v>-0.65900000000000003</v>
      </c>
      <c r="U119" s="15">
        <v>-0.85399999999999998</v>
      </c>
      <c r="V119" s="15">
        <v>-0.70399999999999996</v>
      </c>
      <c r="W119" s="15">
        <v>-0.80500000000000005</v>
      </c>
      <c r="X119" s="15">
        <v>-0.24299999999999999</v>
      </c>
      <c r="Y119" s="15">
        <v>0.33500000000000002</v>
      </c>
      <c r="Z119" s="15">
        <v>-0.64200000000000002</v>
      </c>
      <c r="AA119" s="15">
        <v>0.45400000000000001</v>
      </c>
      <c r="AB119" s="15">
        <v>0.45400000000000001</v>
      </c>
      <c r="AC119" s="15">
        <v>0.66800000000000004</v>
      </c>
      <c r="AD119" s="15">
        <v>0.67700000000000005</v>
      </c>
      <c r="AE119" s="15">
        <v>0.58499999999999996</v>
      </c>
      <c r="AF119" s="14">
        <v>-0.71</v>
      </c>
      <c r="AG119" s="15">
        <v>-0.72299999999999998</v>
      </c>
      <c r="AH119" s="15">
        <v>-0.40300000000000002</v>
      </c>
      <c r="AI119" s="15">
        <v>-0.752</v>
      </c>
      <c r="AJ119" s="15">
        <v>-0.628</v>
      </c>
      <c r="AK119" s="9">
        <v>-0.82099999999999995</v>
      </c>
      <c r="AL119" s="4">
        <v>-0.223</v>
      </c>
      <c r="AM119" s="4">
        <v>-0.45300000000000001</v>
      </c>
      <c r="AN119" s="4">
        <v>-0.28899999999999998</v>
      </c>
      <c r="AO119" s="4">
        <v>-0.36399999999999999</v>
      </c>
      <c r="AP119" s="4">
        <v>-0.13500000000000001</v>
      </c>
      <c r="AQ119" s="4">
        <v>-0.124</v>
      </c>
      <c r="AR119" s="4">
        <v>-0.13300000000000001</v>
      </c>
      <c r="AS119" s="4">
        <v>-1.6E-2</v>
      </c>
      <c r="AT119" s="4">
        <v>-4.0000000000000001E-3</v>
      </c>
      <c r="AU119" s="4">
        <v>-0.111</v>
      </c>
      <c r="AV119" s="4">
        <v>0.76300000000000001</v>
      </c>
      <c r="AW119" s="4">
        <v>-0.28899999999999998</v>
      </c>
      <c r="AX119" s="4">
        <v>0.77300000000000002</v>
      </c>
      <c r="AY119" s="4">
        <v>-0.39400000000000002</v>
      </c>
      <c r="AZ119" s="4">
        <v>0.72599999999999998</v>
      </c>
      <c r="BA119" s="4">
        <v>0.34499999999999997</v>
      </c>
      <c r="BB119" s="4">
        <v>0.44</v>
      </c>
      <c r="BC119" s="4">
        <v>-0.17100000000000001</v>
      </c>
      <c r="BD119" s="4">
        <v>-0.20100000000000001</v>
      </c>
      <c r="BE119" s="4">
        <v>0.31900000000000001</v>
      </c>
      <c r="BF119" s="4">
        <v>-0.14399999999999999</v>
      </c>
      <c r="BG119" s="4">
        <v>0.38</v>
      </c>
      <c r="BH119" s="4">
        <v>0.85099999999999998</v>
      </c>
      <c r="BI119" s="4">
        <v>-0.39400000000000002</v>
      </c>
      <c r="BJ119" s="4">
        <v>-0.28100000000000003</v>
      </c>
      <c r="BK119" s="4">
        <v>0.31900000000000001</v>
      </c>
      <c r="BL119" s="4">
        <v>0.13500000000000001</v>
      </c>
      <c r="BM119" s="4"/>
    </row>
    <row r="120" spans="1:65" x14ac:dyDescent="0.3">
      <c r="A120" s="19" t="s">
        <v>211</v>
      </c>
      <c r="B120" s="53">
        <v>0</v>
      </c>
      <c r="C120" s="53">
        <f t="shared" si="10"/>
        <v>0</v>
      </c>
      <c r="D120" s="53">
        <f t="shared" si="11"/>
        <v>0</v>
      </c>
      <c r="E120" s="53">
        <f t="shared" si="12"/>
        <v>0</v>
      </c>
      <c r="F120" s="15">
        <v>0.69799999999999995</v>
      </c>
      <c r="G120" s="19">
        <v>0.84899999999999998</v>
      </c>
      <c r="H120" s="24" t="s">
        <v>57</v>
      </c>
      <c r="I120" t="str">
        <f>VLOOKUP(A120,Setores!$A$2:$C$215,2,0)</f>
        <v>banks</v>
      </c>
      <c r="J120" t="str">
        <f>VLOOKUP(A120,Setores!$A$2:$C$215,3,0)</f>
        <v>high_beta</v>
      </c>
      <c r="K120" s="2">
        <v>0</v>
      </c>
      <c r="L120" s="2">
        <v>0</v>
      </c>
      <c r="M120" s="71">
        <v>11</v>
      </c>
      <c r="N120" s="41">
        <f>VLOOKUP(A120,'Mandato Smll'!$A$2:$C$215,2,0)</f>
        <v>0</v>
      </c>
      <c r="O120" s="58">
        <f t="shared" si="13"/>
        <v>0</v>
      </c>
      <c r="P120" s="42">
        <f t="shared" si="14"/>
        <v>0</v>
      </c>
      <c r="Q120" s="41">
        <f>VLOOKUP(A120,'Mandato Smll'!$A$2:$C$215,3,0)</f>
        <v>0</v>
      </c>
      <c r="R120" s="58">
        <f t="shared" si="15"/>
        <v>0</v>
      </c>
      <c r="S120" s="15">
        <v>-0.48899999999999999</v>
      </c>
      <c r="T120" s="15">
        <v>-0.7</v>
      </c>
      <c r="U120" s="15">
        <v>-0.85799999999999998</v>
      </c>
      <c r="V120" s="15">
        <v>-0.43</v>
      </c>
      <c r="W120" s="15">
        <v>-0.78400000000000003</v>
      </c>
      <c r="X120" s="15">
        <v>-0.17599999999999999</v>
      </c>
      <c r="Y120" s="15">
        <v>7.5999999999999998E-2</v>
      </c>
      <c r="Z120" s="15">
        <v>-0.58799999999999997</v>
      </c>
      <c r="AA120" s="15">
        <v>0.16200000000000001</v>
      </c>
      <c r="AB120" s="15">
        <v>0.16200000000000001</v>
      </c>
      <c r="AC120" s="15">
        <v>0.74099999999999999</v>
      </c>
      <c r="AD120" s="15">
        <v>0.74099999999999999</v>
      </c>
      <c r="AE120" s="15">
        <v>0.45100000000000001</v>
      </c>
      <c r="AF120" s="14">
        <v>-0.432</v>
      </c>
      <c r="AG120" s="15">
        <v>-0.14099999999999999</v>
      </c>
      <c r="AH120" s="15">
        <v>-0.39200000000000002</v>
      </c>
      <c r="AI120" s="15">
        <v>-1</v>
      </c>
      <c r="AJ120" s="15">
        <v>-0.877</v>
      </c>
      <c r="AK120" s="9">
        <v>-0.69799999999999995</v>
      </c>
      <c r="AL120" s="4">
        <v>-0.27700000000000002</v>
      </c>
      <c r="AM120" s="4">
        <v>-0.68</v>
      </c>
      <c r="AN120" s="4">
        <v>-0.77</v>
      </c>
      <c r="AO120" s="4">
        <v>9.1999999999999998E-2</v>
      </c>
      <c r="AP120" s="4">
        <v>2.7E-2</v>
      </c>
      <c r="AQ120" s="4">
        <v>0.156</v>
      </c>
      <c r="AR120" s="4">
        <v>0.55400000000000005</v>
      </c>
      <c r="AS120" s="4">
        <v>0.254</v>
      </c>
      <c r="AT120" s="4">
        <v>0.251</v>
      </c>
      <c r="AU120" s="4">
        <v>-1.4E-2</v>
      </c>
      <c r="AV120" s="4">
        <v>0.26</v>
      </c>
      <c r="AW120" s="4">
        <v>0.25600000000000001</v>
      </c>
      <c r="AX120" s="4">
        <v>2.5999999999999999E-2</v>
      </c>
      <c r="AY120" s="4">
        <v>-0.46899999999999997</v>
      </c>
      <c r="AZ120" s="4">
        <v>-6.9000000000000006E-2</v>
      </c>
      <c r="BA120" s="4">
        <v>1</v>
      </c>
      <c r="BB120" s="4">
        <v>0.38500000000000001</v>
      </c>
      <c r="BC120" s="4">
        <v>-0.61799999999999999</v>
      </c>
      <c r="BD120" s="4">
        <v>2.7E-2</v>
      </c>
      <c r="BE120" s="4">
        <v>0.55200000000000005</v>
      </c>
      <c r="BF120" s="4">
        <v>-4.8000000000000001E-2</v>
      </c>
      <c r="BG120" s="4">
        <v>8.5999999999999993E-2</v>
      </c>
      <c r="BH120" s="4">
        <v>0.77900000000000003</v>
      </c>
      <c r="BI120" s="4">
        <v>-0.72099999999999997</v>
      </c>
      <c r="BJ120" s="4">
        <v>0.30399999999999999</v>
      </c>
      <c r="BK120" s="4">
        <v>-0.122</v>
      </c>
      <c r="BL120" s="4">
        <v>-0.82899999999999996</v>
      </c>
      <c r="BM120" s="4"/>
    </row>
    <row r="121" spans="1:65" x14ac:dyDescent="0.3">
      <c r="A121" s="19" t="s">
        <v>216</v>
      </c>
      <c r="B121" s="53">
        <v>0</v>
      </c>
      <c r="C121" s="53">
        <f t="shared" si="10"/>
        <v>-6.0000000000000001E-3</v>
      </c>
      <c r="D121" s="53">
        <f t="shared" si="11"/>
        <v>0</v>
      </c>
      <c r="E121" s="53">
        <f t="shared" si="12"/>
        <v>6.0000000000000001E-3</v>
      </c>
      <c r="F121" s="15">
        <v>0.69699999999999995</v>
      </c>
      <c r="G121" s="19">
        <v>0.52700000000000002</v>
      </c>
      <c r="H121" s="24" t="s">
        <v>71</v>
      </c>
      <c r="I121" t="str">
        <f>VLOOKUP(A121,Setores!$A$2:$C$215,2,0)</f>
        <v>basic_materials</v>
      </c>
      <c r="J121" t="str">
        <f>VLOOKUP(A121,Setores!$A$2:$C$215,3,0)</f>
        <v>very_low_beta</v>
      </c>
      <c r="K121" s="2">
        <v>0</v>
      </c>
      <c r="L121" s="2">
        <v>-6.0000000000000001E-3</v>
      </c>
      <c r="M121" s="71">
        <v>80</v>
      </c>
      <c r="N121" s="41">
        <f>VLOOKUP(A121,'Mandato Smll'!$A$2:$C$215,2,0)</f>
        <v>0</v>
      </c>
      <c r="O121" s="58">
        <f t="shared" si="13"/>
        <v>0</v>
      </c>
      <c r="P121" s="42">
        <f t="shared" si="14"/>
        <v>0</v>
      </c>
      <c r="Q121" s="41">
        <f>VLOOKUP(A121,'Mandato Smll'!$A$2:$C$215,3,0)</f>
        <v>1.2062368480711299E-2</v>
      </c>
      <c r="R121" s="58">
        <f t="shared" si="15"/>
        <v>-1.2062368480711299E-2</v>
      </c>
      <c r="S121" s="15">
        <v>-0.753</v>
      </c>
      <c r="T121" s="15">
        <v>-0.224</v>
      </c>
      <c r="U121" s="15">
        <v>-0.92900000000000005</v>
      </c>
      <c r="V121" s="15">
        <v>-0.70499999999999996</v>
      </c>
      <c r="W121" s="15">
        <v>-0.70899999999999996</v>
      </c>
      <c r="X121" s="15">
        <v>-0.58699999999999997</v>
      </c>
      <c r="Y121" s="15">
        <v>-0.63600000000000001</v>
      </c>
      <c r="Z121" s="15">
        <v>-0.47199999999999998</v>
      </c>
      <c r="AA121" s="15">
        <v>0.497</v>
      </c>
      <c r="AB121" s="15">
        <v>0.49199999999999999</v>
      </c>
      <c r="AC121" s="15">
        <v>0.34699999999999998</v>
      </c>
      <c r="AD121" s="15">
        <v>0.60099999999999998</v>
      </c>
      <c r="AE121" s="15">
        <v>0.84399999999999997</v>
      </c>
      <c r="AF121" s="14">
        <v>-0.81200000000000006</v>
      </c>
      <c r="AG121" s="15">
        <v>-0.82099999999999995</v>
      </c>
      <c r="AH121" s="15">
        <v>0.51100000000000001</v>
      </c>
      <c r="AI121" s="15">
        <v>-0.77300000000000002</v>
      </c>
      <c r="AJ121" s="15">
        <v>0.83699999999999997</v>
      </c>
      <c r="AK121" s="9">
        <v>-0.89400000000000002</v>
      </c>
      <c r="AL121" s="4">
        <v>-0.214</v>
      </c>
      <c r="AM121" s="4">
        <v>-0.95099999999999996</v>
      </c>
      <c r="AN121" s="4">
        <v>-0.48699999999999999</v>
      </c>
      <c r="AO121" s="4">
        <v>-0.16600000000000001</v>
      </c>
      <c r="AP121" s="4">
        <v>1</v>
      </c>
      <c r="AQ121" s="4">
        <v>0.55100000000000005</v>
      </c>
      <c r="AR121" s="4">
        <v>-0.27</v>
      </c>
      <c r="AS121" s="4">
        <v>0.22700000000000001</v>
      </c>
      <c r="AT121" s="4">
        <v>-3.3000000000000002E-2</v>
      </c>
      <c r="AU121" s="4">
        <v>7.9000000000000001E-2</v>
      </c>
      <c r="AV121" s="4">
        <v>-0.57599999999999996</v>
      </c>
      <c r="AW121" s="4">
        <v>-0.38800000000000001</v>
      </c>
      <c r="AX121" s="4">
        <v>-0.2</v>
      </c>
      <c r="AY121" s="4">
        <v>-0.222</v>
      </c>
      <c r="AZ121" s="4">
        <v>0.49099999999999999</v>
      </c>
      <c r="BA121" s="4">
        <v>-0.93100000000000005</v>
      </c>
      <c r="BB121" s="4">
        <v>0.61099999999999999</v>
      </c>
      <c r="BC121" s="4">
        <v>-8.7999999999999995E-2</v>
      </c>
      <c r="BD121" s="4">
        <v>-0.23300000000000001</v>
      </c>
      <c r="BE121" s="4">
        <v>0.67400000000000004</v>
      </c>
      <c r="BF121" s="4">
        <v>-0.90600000000000003</v>
      </c>
      <c r="BG121" s="4">
        <v>-0.29199999999999998</v>
      </c>
      <c r="BH121" s="4">
        <v>1</v>
      </c>
      <c r="BI121" s="4">
        <v>-0.41499999999999998</v>
      </c>
      <c r="BJ121" s="4">
        <v>-0.99099999999999999</v>
      </c>
      <c r="BK121" s="4">
        <v>-0.17</v>
      </c>
      <c r="BL121" s="4">
        <v>0.187</v>
      </c>
      <c r="BM121" s="4"/>
    </row>
    <row r="122" spans="1:65" x14ac:dyDescent="0.3">
      <c r="A122" s="19" t="s">
        <v>215</v>
      </c>
      <c r="B122" s="53">
        <v>0</v>
      </c>
      <c r="C122" s="53">
        <f t="shared" si="10"/>
        <v>-2E-3</v>
      </c>
      <c r="D122" s="53">
        <f t="shared" si="11"/>
        <v>0</v>
      </c>
      <c r="E122" s="53">
        <f t="shared" si="12"/>
        <v>2E-3</v>
      </c>
      <c r="F122" s="15">
        <v>0.69599999999999995</v>
      </c>
      <c r="G122" s="19">
        <v>0.48399999999999999</v>
      </c>
      <c r="H122" s="24" t="s">
        <v>55</v>
      </c>
      <c r="I122" t="str">
        <f>VLOOKUP(A122,Setores!$A$2:$C$215,2,0)</f>
        <v>telecom</v>
      </c>
      <c r="J122" t="str">
        <f>VLOOKUP(A122,Setores!$A$2:$C$215,3,0)</f>
        <v>low_beta</v>
      </c>
      <c r="K122" s="2">
        <v>0</v>
      </c>
      <c r="L122" s="2">
        <v>-2E-3</v>
      </c>
      <c r="M122" s="71">
        <v>80</v>
      </c>
      <c r="N122" s="41">
        <f>VLOOKUP(A122,'Mandato Smll'!$A$2:$C$215,2,0)</f>
        <v>0</v>
      </c>
      <c r="O122" s="58">
        <f t="shared" si="13"/>
        <v>0</v>
      </c>
      <c r="P122" s="42">
        <f t="shared" si="14"/>
        <v>0</v>
      </c>
      <c r="Q122" s="41">
        <f>VLOOKUP(A122,'Mandato Smll'!$A$2:$C$215,3,0)</f>
        <v>0</v>
      </c>
      <c r="R122" s="58">
        <f t="shared" si="15"/>
        <v>0</v>
      </c>
      <c r="S122" s="15">
        <v>-0.52500000000000002</v>
      </c>
      <c r="T122" s="15">
        <v>-0.26100000000000001</v>
      </c>
      <c r="U122" s="15">
        <v>-0.68799999999999994</v>
      </c>
      <c r="V122" s="15">
        <v>-0.69499999999999995</v>
      </c>
      <c r="W122" s="15">
        <v>-0.65800000000000003</v>
      </c>
      <c r="X122" s="15">
        <v>-0.39600000000000002</v>
      </c>
      <c r="Y122" s="15">
        <v>-0.23300000000000001</v>
      </c>
      <c r="Z122" s="15">
        <v>-0.69699999999999995</v>
      </c>
      <c r="AA122" s="15">
        <v>0.27</v>
      </c>
      <c r="AB122" s="15">
        <v>0.26</v>
      </c>
      <c r="AC122" s="15">
        <v>0.61199999999999999</v>
      </c>
      <c r="AD122" s="15">
        <v>0.51200000000000001</v>
      </c>
      <c r="AE122" s="15">
        <v>0.71299999999999997</v>
      </c>
      <c r="AF122" s="14">
        <v>-0.71899999999999997</v>
      </c>
      <c r="AG122" s="15">
        <v>-0.504</v>
      </c>
      <c r="AH122" s="15">
        <v>-0.17399999999999999</v>
      </c>
      <c r="AI122" s="15">
        <v>-0.47599999999999998</v>
      </c>
      <c r="AJ122" s="15">
        <v>0.96899999999999997</v>
      </c>
      <c r="AK122" s="9">
        <v>-0.39300000000000002</v>
      </c>
      <c r="AL122" s="4">
        <v>-0.19900000000000001</v>
      </c>
      <c r="AM122" s="4">
        <v>-0.92900000000000005</v>
      </c>
      <c r="AN122" s="4">
        <v>-0.29599999999999999</v>
      </c>
      <c r="AO122" s="4">
        <v>4.3999999999999997E-2</v>
      </c>
      <c r="AP122" s="4">
        <v>0.36499999999999999</v>
      </c>
      <c r="AQ122" s="4">
        <v>0.60799999999999998</v>
      </c>
      <c r="AR122" s="4">
        <v>6.3E-2</v>
      </c>
      <c r="AS122" s="4">
        <v>-0.14000000000000001</v>
      </c>
      <c r="AT122" s="4">
        <v>-0.42799999999999999</v>
      </c>
      <c r="AU122" s="4">
        <v>-0.129</v>
      </c>
      <c r="AV122" s="4">
        <v>0.189</v>
      </c>
      <c r="AW122" s="4">
        <v>-6.8000000000000005E-2</v>
      </c>
      <c r="AX122" s="4">
        <v>-0.43</v>
      </c>
      <c r="AY122" s="4">
        <v>-0.224</v>
      </c>
      <c r="AZ122" s="4">
        <v>0.71699999999999997</v>
      </c>
      <c r="BA122" s="4">
        <v>5.1999999999999998E-2</v>
      </c>
      <c r="BB122" s="4">
        <v>0.54100000000000004</v>
      </c>
      <c r="BC122" s="4">
        <v>-0.13</v>
      </c>
      <c r="BD122" s="4">
        <v>-0.495</v>
      </c>
      <c r="BE122" s="4">
        <v>0.56899999999999995</v>
      </c>
      <c r="BF122" s="4">
        <v>-0.64500000000000002</v>
      </c>
      <c r="BG122" s="4">
        <v>0.90600000000000003</v>
      </c>
      <c r="BH122" s="4">
        <v>1</v>
      </c>
      <c r="BI122" s="4">
        <v>-0.32800000000000001</v>
      </c>
      <c r="BJ122" s="4">
        <v>-0.311</v>
      </c>
      <c r="BK122" s="4">
        <v>-6.4000000000000001E-2</v>
      </c>
      <c r="BL122" s="4">
        <v>0.56999999999999995</v>
      </c>
      <c r="BM122" s="4"/>
    </row>
    <row r="123" spans="1:65" x14ac:dyDescent="0.3">
      <c r="A123" s="19" t="s">
        <v>124</v>
      </c>
      <c r="B123" s="53">
        <v>0</v>
      </c>
      <c r="C123" s="53">
        <f t="shared" si="10"/>
        <v>-2.5000000000000001E-2</v>
      </c>
      <c r="D123" s="53">
        <f t="shared" si="11"/>
        <v>0</v>
      </c>
      <c r="E123" s="53">
        <f t="shared" si="12"/>
        <v>2.5000000000000001E-2</v>
      </c>
      <c r="F123" s="15">
        <v>0.68400000000000005</v>
      </c>
      <c r="G123" s="19">
        <v>1.4650000000000001</v>
      </c>
      <c r="H123" s="24" t="s">
        <v>55</v>
      </c>
      <c r="I123" t="str">
        <f>VLOOKUP(A123,Setores!$A$2:$C$215,2,0)</f>
        <v>utilities</v>
      </c>
      <c r="J123" t="str">
        <f>VLOOKUP(A123,Setores!$A$2:$C$215,3,0)</f>
        <v>low_beta</v>
      </c>
      <c r="K123" s="2">
        <v>0</v>
      </c>
      <c r="L123" s="2">
        <v>-2.5000000000000001E-2</v>
      </c>
      <c r="M123" s="71">
        <v>52</v>
      </c>
      <c r="N123" s="41">
        <f>VLOOKUP(A123,'Mandato Smll'!$A$2:$C$215,2,0)</f>
        <v>0</v>
      </c>
      <c r="O123" s="58">
        <f t="shared" si="13"/>
        <v>0</v>
      </c>
      <c r="P123" s="42">
        <f t="shared" si="14"/>
        <v>0</v>
      </c>
      <c r="Q123" s="41">
        <f>VLOOKUP(A123,'Mandato Smll'!$A$2:$C$215,3,0)</f>
        <v>3.8237643673972699E-2</v>
      </c>
      <c r="R123" s="58">
        <f t="shared" si="15"/>
        <v>-3.8237643673972699E-2</v>
      </c>
      <c r="S123" s="15">
        <v>-0.79600000000000004</v>
      </c>
      <c r="T123" s="15">
        <v>-0.81499999999999995</v>
      </c>
      <c r="U123" s="15">
        <v>-0.90200000000000002</v>
      </c>
      <c r="V123" s="15">
        <v>-0.55400000000000005</v>
      </c>
      <c r="W123" s="15">
        <v>-0.78700000000000003</v>
      </c>
      <c r="X123" s="15">
        <v>-0.42599999999999999</v>
      </c>
      <c r="Y123" s="15">
        <v>0.112</v>
      </c>
      <c r="Z123" s="15">
        <v>-0.38900000000000001</v>
      </c>
      <c r="AA123" s="15">
        <v>0.35</v>
      </c>
      <c r="AB123" s="15">
        <v>0.34899999999999998</v>
      </c>
      <c r="AC123" s="15">
        <v>0.623</v>
      </c>
      <c r="AD123" s="15">
        <v>0.69899999999999995</v>
      </c>
      <c r="AE123" s="15">
        <v>0.47499999999999998</v>
      </c>
      <c r="AF123" s="14">
        <v>-0.26500000000000001</v>
      </c>
      <c r="AG123" s="15">
        <v>-0.52900000000000003</v>
      </c>
      <c r="AH123" s="15">
        <v>-0.57099999999999995</v>
      </c>
      <c r="AI123" s="15">
        <v>-0.76100000000000001</v>
      </c>
      <c r="AJ123" s="15">
        <v>-0.60699999999999998</v>
      </c>
      <c r="AK123" s="9">
        <v>-0.88100000000000001</v>
      </c>
      <c r="AL123" s="4">
        <v>-0.182</v>
      </c>
      <c r="AM123" s="4">
        <v>0.19400000000000001</v>
      </c>
      <c r="AN123" s="4">
        <v>-0.59899999999999998</v>
      </c>
      <c r="AO123" s="4">
        <v>-0.21299999999999999</v>
      </c>
      <c r="AP123" s="4">
        <v>-0.246</v>
      </c>
      <c r="AQ123" s="4">
        <v>0.154</v>
      </c>
      <c r="AR123" s="4">
        <v>-0.13600000000000001</v>
      </c>
      <c r="AS123" s="4">
        <v>0.17599999999999999</v>
      </c>
      <c r="AT123" s="4">
        <v>0.124</v>
      </c>
      <c r="AU123" s="4">
        <v>0.113</v>
      </c>
      <c r="AV123" s="4">
        <v>0.53700000000000003</v>
      </c>
      <c r="AW123" s="4">
        <v>2.1999999999999999E-2</v>
      </c>
      <c r="AX123" s="4">
        <v>0.83299999999999996</v>
      </c>
      <c r="AY123" s="4">
        <v>-0.84499999999999997</v>
      </c>
      <c r="AZ123" s="4">
        <v>0.438</v>
      </c>
      <c r="BA123" s="4">
        <v>-8.5000000000000006E-2</v>
      </c>
      <c r="BB123" s="4">
        <v>-0.437</v>
      </c>
      <c r="BC123" s="4">
        <v>-0.16400000000000001</v>
      </c>
      <c r="BD123" s="4">
        <v>-0.36799999999999999</v>
      </c>
      <c r="BE123" s="4">
        <v>0.38400000000000001</v>
      </c>
      <c r="BF123" s="4">
        <v>-0.38400000000000001</v>
      </c>
      <c r="BG123" s="4">
        <v>-1</v>
      </c>
      <c r="BH123" s="4">
        <v>0.19900000000000001</v>
      </c>
      <c r="BI123" s="4">
        <v>-0.373</v>
      </c>
      <c r="BJ123" s="4">
        <v>-0.22700000000000001</v>
      </c>
      <c r="BK123" s="4">
        <v>-0.12</v>
      </c>
      <c r="BL123" s="4">
        <v>5.3999999999999999E-2</v>
      </c>
      <c r="BM123" s="4"/>
    </row>
    <row r="124" spans="1:65" x14ac:dyDescent="0.3">
      <c r="A124" s="19" t="s">
        <v>250</v>
      </c>
      <c r="B124" s="53">
        <v>0</v>
      </c>
      <c r="C124" s="53">
        <f t="shared" si="10"/>
        <v>-4.0000000000000001E-3</v>
      </c>
      <c r="D124" s="53">
        <f t="shared" si="11"/>
        <v>0</v>
      </c>
      <c r="E124" s="53">
        <f t="shared" si="12"/>
        <v>4.0000000000000001E-3</v>
      </c>
      <c r="F124" s="15">
        <v>0.67600000000000005</v>
      </c>
      <c r="G124" s="19">
        <v>0.53700000000000003</v>
      </c>
      <c r="H124" s="24" t="s">
        <v>57</v>
      </c>
      <c r="I124" t="str">
        <f>VLOOKUP(A124,Setores!$A$2:$C$215,2,0)</f>
        <v>tech</v>
      </c>
      <c r="J124" t="str">
        <f>VLOOKUP(A124,Setores!$A$2:$C$215,3,0)</f>
        <v>high_beta</v>
      </c>
      <c r="K124" s="2">
        <v>0</v>
      </c>
      <c r="L124" s="2">
        <v>-4.0000000000000001E-3</v>
      </c>
      <c r="M124" s="71">
        <v>80</v>
      </c>
      <c r="N124" s="41">
        <f>VLOOKUP(A124,'Mandato Smll'!$A$2:$C$215,2,0)</f>
        <v>0</v>
      </c>
      <c r="O124" s="58">
        <f t="shared" si="13"/>
        <v>0</v>
      </c>
      <c r="P124" s="42">
        <f t="shared" si="14"/>
        <v>0</v>
      </c>
      <c r="Q124" s="41">
        <f>VLOOKUP(A124,'Mandato Smll'!$A$2:$C$215,3,0)</f>
        <v>0</v>
      </c>
      <c r="R124" s="58">
        <f t="shared" si="15"/>
        <v>0</v>
      </c>
      <c r="S124" s="15">
        <v>-0.06</v>
      </c>
      <c r="T124" s="15">
        <v>-0.16900000000000001</v>
      </c>
      <c r="U124" s="15">
        <v>-1.7000000000000001E-2</v>
      </c>
      <c r="V124" s="15">
        <v>-0.52500000000000002</v>
      </c>
      <c r="W124" s="15">
        <v>-0.36499999999999999</v>
      </c>
      <c r="X124" s="15">
        <v>-0.47499999999999998</v>
      </c>
      <c r="Y124" s="15">
        <v>-0.64500000000000002</v>
      </c>
      <c r="Z124" s="15">
        <v>-0.627</v>
      </c>
      <c r="AA124" s="15">
        <v>-0.34</v>
      </c>
      <c r="AB124" s="15">
        <v>-0.34399999999999997</v>
      </c>
      <c r="AC124" s="15">
        <v>0.63500000000000001</v>
      </c>
      <c r="AD124" s="15">
        <v>0.61299999999999999</v>
      </c>
      <c r="AE124" s="15">
        <v>0.28899999999999998</v>
      </c>
      <c r="AF124" s="14">
        <v>-3.9E-2</v>
      </c>
      <c r="AG124" s="15">
        <v>-0.25</v>
      </c>
      <c r="AH124" s="15">
        <v>-0.61299999999999999</v>
      </c>
      <c r="AI124" s="15">
        <v>-0.31900000000000001</v>
      </c>
      <c r="AJ124" s="15">
        <v>0.246</v>
      </c>
      <c r="AK124" s="9">
        <v>0.46700000000000003</v>
      </c>
      <c r="AL124" s="4">
        <v>-0.379</v>
      </c>
      <c r="AM124" s="4">
        <v>-0.42299999999999999</v>
      </c>
      <c r="AN124" s="4">
        <v>-0.36799999999999999</v>
      </c>
      <c r="AO124" s="4">
        <v>0.42</v>
      </c>
      <c r="AP124" s="4">
        <v>-0.22600000000000001</v>
      </c>
      <c r="AQ124" s="4">
        <v>0.40799999999999997</v>
      </c>
      <c r="AR124" s="4">
        <v>-0.23</v>
      </c>
      <c r="AS124" s="4">
        <v>0.59</v>
      </c>
      <c r="AT124" s="4">
        <v>-0.14299999999999999</v>
      </c>
      <c r="AU124" s="4">
        <v>-0.314</v>
      </c>
      <c r="AV124" s="4">
        <v>-0.41699999999999998</v>
      </c>
      <c r="AW124" s="4">
        <v>0.435</v>
      </c>
      <c r="AX124" s="4">
        <v>-0.35899999999999999</v>
      </c>
      <c r="AY124" s="4">
        <v>0.16300000000000001</v>
      </c>
      <c r="AZ124" s="4">
        <v>0.64700000000000002</v>
      </c>
      <c r="BA124" s="4">
        <v>0.63600000000000001</v>
      </c>
      <c r="BB124" s="4">
        <v>0.29899999999999999</v>
      </c>
      <c r="BC124" s="4">
        <v>0.48</v>
      </c>
      <c r="BD124" s="4">
        <v>0.26</v>
      </c>
      <c r="BE124" s="4">
        <v>0.47</v>
      </c>
      <c r="BF124" s="4">
        <v>-0.59799999999999998</v>
      </c>
      <c r="BG124" s="4">
        <v>0.44700000000000001</v>
      </c>
      <c r="BH124" s="4">
        <v>6.7000000000000004E-2</v>
      </c>
      <c r="BI124" s="4">
        <v>0.503</v>
      </c>
      <c r="BJ124" s="4">
        <v>0.253</v>
      </c>
      <c r="BK124" s="4">
        <v>4.4999999999999998E-2</v>
      </c>
      <c r="BL124" s="4">
        <v>0.22600000000000001</v>
      </c>
      <c r="BM124" s="4"/>
    </row>
    <row r="125" spans="1:65" x14ac:dyDescent="0.3">
      <c r="A125" s="19" t="s">
        <v>144</v>
      </c>
      <c r="B125" s="53">
        <v>0</v>
      </c>
      <c r="C125" s="53">
        <f t="shared" si="10"/>
        <v>0</v>
      </c>
      <c r="D125" s="53">
        <f t="shared" si="11"/>
        <v>0</v>
      </c>
      <c r="E125" s="53">
        <f t="shared" si="12"/>
        <v>0</v>
      </c>
      <c r="F125" s="15">
        <v>0.67400000000000004</v>
      </c>
      <c r="G125" s="19">
        <v>0.93100000000000005</v>
      </c>
      <c r="H125" s="24" t="s">
        <v>55</v>
      </c>
      <c r="I125" t="str">
        <f>VLOOKUP(A125,Setores!$A$2:$C$215,2,0)</f>
        <v>utilities</v>
      </c>
      <c r="J125" t="str">
        <f>VLOOKUP(A125,Setores!$A$2:$C$215,3,0)</f>
        <v>low_beta</v>
      </c>
      <c r="K125" s="2">
        <v>0</v>
      </c>
      <c r="L125" s="2">
        <v>0</v>
      </c>
      <c r="M125" s="71">
        <v>40</v>
      </c>
      <c r="N125" s="41">
        <f>VLOOKUP(A125,'Mandato Smll'!$A$2:$C$215,2,0)</f>
        <v>0</v>
      </c>
      <c r="O125" s="58">
        <f t="shared" si="13"/>
        <v>0</v>
      </c>
      <c r="P125" s="42">
        <f t="shared" si="14"/>
        <v>0</v>
      </c>
      <c r="Q125" s="41">
        <f>VLOOKUP(A125,'Mandato Smll'!$A$2:$C$215,3,0)</f>
        <v>6.5103979915535799E-3</v>
      </c>
      <c r="R125" s="58">
        <f t="shared" si="15"/>
        <v>-6.5103979915535799E-3</v>
      </c>
      <c r="S125" s="15">
        <v>-0.875</v>
      </c>
      <c r="T125" s="15">
        <v>-0.73499999999999999</v>
      </c>
      <c r="U125" s="15">
        <v>-0.95199999999999996</v>
      </c>
      <c r="V125" s="15">
        <v>-0.74399999999999999</v>
      </c>
      <c r="W125" s="15">
        <v>-0.80600000000000005</v>
      </c>
      <c r="X125" s="15">
        <v>-0.63800000000000001</v>
      </c>
      <c r="Y125" s="15">
        <v>-0.216</v>
      </c>
      <c r="Z125" s="15">
        <v>-0.30599999999999999</v>
      </c>
      <c r="AA125" s="15">
        <v>0.36399999999999999</v>
      </c>
      <c r="AB125" s="15">
        <v>0.36699999999999999</v>
      </c>
      <c r="AC125" s="15">
        <v>0.67800000000000005</v>
      </c>
      <c r="AD125" s="15">
        <v>0.73799999999999999</v>
      </c>
      <c r="AE125" s="15">
        <v>0.58899999999999997</v>
      </c>
      <c r="AF125" s="14">
        <v>-0.745</v>
      </c>
      <c r="AG125" s="15">
        <v>-0.84799999999999998</v>
      </c>
      <c r="AH125" s="15">
        <v>0.129</v>
      </c>
      <c r="AI125" s="15">
        <v>-0.84799999999999998</v>
      </c>
      <c r="AJ125" s="15">
        <v>-0.41599999999999998</v>
      </c>
      <c r="AK125" s="9">
        <v>-0.94799999999999995</v>
      </c>
      <c r="AL125" s="4">
        <v>-0.32700000000000001</v>
      </c>
      <c r="AM125" s="4">
        <v>0.08</v>
      </c>
      <c r="AN125" s="4">
        <v>-0.35399999999999998</v>
      </c>
      <c r="AO125" s="4">
        <v>-0.69599999999999995</v>
      </c>
      <c r="AP125" s="4">
        <v>0.249</v>
      </c>
      <c r="AQ125" s="4">
        <v>0.33800000000000002</v>
      </c>
      <c r="AR125" s="4">
        <v>-0.48299999999999998</v>
      </c>
      <c r="AS125" s="4">
        <v>0.12</v>
      </c>
      <c r="AT125" s="4">
        <v>-0.245</v>
      </c>
      <c r="AU125" s="4">
        <v>-0.152</v>
      </c>
      <c r="AV125" s="4">
        <v>-2.5999999999999999E-2</v>
      </c>
      <c r="AW125" s="4">
        <v>-0.42399999999999999</v>
      </c>
      <c r="AX125" s="4">
        <v>0.84799999999999998</v>
      </c>
      <c r="AY125" s="4">
        <v>-0.80300000000000005</v>
      </c>
      <c r="AZ125" s="4">
        <v>0.75900000000000001</v>
      </c>
      <c r="BA125" s="4">
        <v>-0.78</v>
      </c>
      <c r="BB125" s="4">
        <v>0.153</v>
      </c>
      <c r="BC125" s="4">
        <v>-0.151</v>
      </c>
      <c r="BD125" s="4">
        <v>-0.53700000000000003</v>
      </c>
      <c r="BE125" s="4">
        <v>0.35899999999999999</v>
      </c>
      <c r="BF125" s="4">
        <v>-0.35399999999999998</v>
      </c>
      <c r="BG125" s="4">
        <v>-0.875</v>
      </c>
      <c r="BH125" s="4">
        <v>0.58599999999999997</v>
      </c>
      <c r="BI125" s="4">
        <v>-0.41099999999999998</v>
      </c>
      <c r="BJ125" s="4">
        <v>-0.23300000000000001</v>
      </c>
      <c r="BK125" s="4">
        <v>9.8000000000000004E-2</v>
      </c>
      <c r="BL125" s="4">
        <v>-0.122</v>
      </c>
      <c r="BM125" s="4"/>
    </row>
    <row r="126" spans="1:65" x14ac:dyDescent="0.3">
      <c r="A126" s="19" t="s">
        <v>214</v>
      </c>
      <c r="B126" s="53">
        <v>0</v>
      </c>
      <c r="C126" s="53">
        <f t="shared" si="10"/>
        <v>-1.2999999999999999E-2</v>
      </c>
      <c r="D126" s="53">
        <f t="shared" si="11"/>
        <v>0</v>
      </c>
      <c r="E126" s="53">
        <f t="shared" si="12"/>
        <v>1.2999999999999999E-2</v>
      </c>
      <c r="F126" s="15">
        <v>0.66400000000000003</v>
      </c>
      <c r="G126" s="19">
        <v>1.1020000000000001</v>
      </c>
      <c r="H126" s="24" t="s">
        <v>53</v>
      </c>
      <c r="I126" t="str">
        <f>VLOOKUP(A126,Setores!$A$2:$C$215,2,0)</f>
        <v>float_financials</v>
      </c>
      <c r="J126" t="str">
        <f>VLOOKUP(A126,Setores!$A$2:$C$215,3,0)</f>
        <v>low_beta</v>
      </c>
      <c r="K126" s="2">
        <v>0</v>
      </c>
      <c r="L126" s="2">
        <v>-1.2999999999999999E-2</v>
      </c>
      <c r="M126" s="71">
        <v>80</v>
      </c>
      <c r="N126" s="41">
        <f>VLOOKUP(A126,'Mandato Smll'!$A$2:$C$215,2,0)</f>
        <v>0</v>
      </c>
      <c r="O126" s="58">
        <f t="shared" si="13"/>
        <v>0</v>
      </c>
      <c r="P126" s="42">
        <f t="shared" si="14"/>
        <v>0</v>
      </c>
      <c r="Q126" s="41">
        <f>VLOOKUP(A126,'Mandato Smll'!$A$2:$C$215,3,0)</f>
        <v>0</v>
      </c>
      <c r="R126" s="58">
        <f t="shared" si="15"/>
        <v>0</v>
      </c>
      <c r="S126" s="15">
        <v>-0.40600000000000003</v>
      </c>
      <c r="T126" s="15">
        <v>-0.36</v>
      </c>
      <c r="U126" s="15">
        <v>-0.66600000000000004</v>
      </c>
      <c r="V126" s="15">
        <v>-0.56399999999999995</v>
      </c>
      <c r="W126" s="15">
        <v>-0.63100000000000001</v>
      </c>
      <c r="X126" s="15">
        <v>-0.46400000000000002</v>
      </c>
      <c r="Y126" s="15">
        <v>-0.33900000000000002</v>
      </c>
      <c r="Z126" s="15">
        <v>-0.73299999999999998</v>
      </c>
      <c r="AA126" s="15">
        <v>4.8000000000000001E-2</v>
      </c>
      <c r="AB126" s="15">
        <v>5.0999999999999997E-2</v>
      </c>
      <c r="AC126" s="15">
        <v>0.61899999999999999</v>
      </c>
      <c r="AD126" s="15">
        <v>0.69299999999999995</v>
      </c>
      <c r="AE126" s="15">
        <v>0.57099999999999995</v>
      </c>
      <c r="AF126" s="14">
        <v>-0.54</v>
      </c>
      <c r="AG126" s="15">
        <v>-0.28299999999999997</v>
      </c>
      <c r="AH126" s="15">
        <v>-0.23400000000000001</v>
      </c>
      <c r="AI126" s="15">
        <v>-0.49399999999999999</v>
      </c>
      <c r="AJ126" s="15">
        <v>-0.29499999999999998</v>
      </c>
      <c r="AK126" s="9">
        <v>-0.11899999999999999</v>
      </c>
      <c r="AL126" s="4">
        <v>-0.16800000000000001</v>
      </c>
      <c r="AM126" s="4">
        <v>-0.89200000000000002</v>
      </c>
      <c r="AN126" s="4">
        <v>-0.29299999999999998</v>
      </c>
      <c r="AO126" s="4">
        <v>0.45200000000000001</v>
      </c>
      <c r="AP126" s="4">
        <v>9.4E-2</v>
      </c>
      <c r="AQ126" s="4">
        <v>-7.6999999999999999E-2</v>
      </c>
      <c r="AR126" s="4">
        <v>0.42599999999999999</v>
      </c>
      <c r="AS126" s="4">
        <v>2.8000000000000001E-2</v>
      </c>
      <c r="AT126" s="4">
        <v>-3.1E-2</v>
      </c>
      <c r="AU126" s="4">
        <v>7.0999999999999994E-2</v>
      </c>
      <c r="AV126" s="4">
        <v>-0.245</v>
      </c>
      <c r="AW126" s="4">
        <v>-0.21</v>
      </c>
      <c r="AX126" s="4">
        <v>0.308</v>
      </c>
      <c r="AY126" s="4">
        <v>0.3</v>
      </c>
      <c r="AZ126" s="4">
        <v>0.751</v>
      </c>
      <c r="BA126" s="4">
        <v>-0.378</v>
      </c>
      <c r="BB126" s="4">
        <v>0.74199999999999999</v>
      </c>
      <c r="BC126" s="4">
        <v>8.8999999999999996E-2</v>
      </c>
      <c r="BD126" s="4">
        <v>-2.5000000000000001E-2</v>
      </c>
      <c r="BE126" s="4">
        <v>0.64500000000000002</v>
      </c>
      <c r="BF126" s="4">
        <v>-0.41799999999999998</v>
      </c>
      <c r="BG126" s="4">
        <v>0.33500000000000002</v>
      </c>
      <c r="BH126" s="4">
        <v>0.53800000000000003</v>
      </c>
      <c r="BI126" s="4">
        <v>3.1E-2</v>
      </c>
      <c r="BJ126" s="4">
        <v>-0.25700000000000001</v>
      </c>
      <c r="BK126" s="4">
        <v>-0.21299999999999999</v>
      </c>
      <c r="BL126" s="4">
        <v>0.621</v>
      </c>
      <c r="BM126" s="4"/>
    </row>
    <row r="127" spans="1:65" x14ac:dyDescent="0.3">
      <c r="A127" s="19" t="s">
        <v>173</v>
      </c>
      <c r="B127" s="53">
        <v>0</v>
      </c>
      <c r="C127" s="53">
        <f t="shared" si="10"/>
        <v>0</v>
      </c>
      <c r="D127" s="53">
        <f t="shared" si="11"/>
        <v>0</v>
      </c>
      <c r="E127" s="53">
        <f t="shared" si="12"/>
        <v>0</v>
      </c>
      <c r="F127" s="15">
        <v>0.66300000000000003</v>
      </c>
      <c r="G127" s="19">
        <v>0.79400000000000004</v>
      </c>
      <c r="H127" s="24" t="s">
        <v>55</v>
      </c>
      <c r="I127" t="str">
        <f>VLOOKUP(A127,Setores!$A$2:$C$215,2,0)</f>
        <v>utilities</v>
      </c>
      <c r="J127" t="str">
        <f>VLOOKUP(A127,Setores!$A$2:$C$215,3,0)</f>
        <v>low_beta</v>
      </c>
      <c r="K127" s="2">
        <v>0</v>
      </c>
      <c r="L127" s="2">
        <v>0</v>
      </c>
      <c r="M127" s="71">
        <v>41</v>
      </c>
      <c r="N127" s="41">
        <f>VLOOKUP(A127,'Mandato Smll'!$A$2:$C$215,2,0)</f>
        <v>0</v>
      </c>
      <c r="O127" s="58">
        <f t="shared" si="13"/>
        <v>0</v>
      </c>
      <c r="P127" s="42">
        <f t="shared" si="14"/>
        <v>0</v>
      </c>
      <c r="Q127" s="41">
        <f>VLOOKUP(A127,'Mandato Smll'!$A$2:$C$215,3,0)</f>
        <v>0</v>
      </c>
      <c r="R127" s="58">
        <f t="shared" si="15"/>
        <v>0</v>
      </c>
      <c r="S127" s="15">
        <v>-0.84799999999999998</v>
      </c>
      <c r="T127" s="15">
        <v>-0.75600000000000001</v>
      </c>
      <c r="U127" s="15">
        <v>-0.95299999999999996</v>
      </c>
      <c r="V127" s="15">
        <v>-0.74199999999999999</v>
      </c>
      <c r="W127" s="15">
        <v>-0.85099999999999998</v>
      </c>
      <c r="X127" s="15">
        <v>-0.46400000000000002</v>
      </c>
      <c r="Y127" s="15">
        <v>0.12</v>
      </c>
      <c r="Z127" s="15">
        <v>-0.505</v>
      </c>
      <c r="AA127" s="15">
        <v>0.46500000000000002</v>
      </c>
      <c r="AB127" s="15">
        <v>0.46600000000000003</v>
      </c>
      <c r="AC127" s="15">
        <v>0.624</v>
      </c>
      <c r="AD127" s="15">
        <v>0.64800000000000002</v>
      </c>
      <c r="AE127" s="15">
        <v>0.54600000000000004</v>
      </c>
      <c r="AF127" s="14">
        <v>-0.78100000000000003</v>
      </c>
      <c r="AG127" s="15">
        <v>-0.88300000000000001</v>
      </c>
      <c r="AH127" s="15">
        <v>-0.27200000000000002</v>
      </c>
      <c r="AI127" s="15">
        <v>-0.96</v>
      </c>
      <c r="AJ127" s="15">
        <v>-0.61299999999999999</v>
      </c>
      <c r="AK127" s="9">
        <v>-1</v>
      </c>
      <c r="AL127" s="4">
        <v>-0.316</v>
      </c>
      <c r="AM127" s="4">
        <v>-0.27600000000000002</v>
      </c>
      <c r="AN127" s="4">
        <v>-0.70499999999999996</v>
      </c>
      <c r="AO127" s="4">
        <v>-0.35399999999999998</v>
      </c>
      <c r="AP127" s="4">
        <v>0.217</v>
      </c>
      <c r="AQ127" s="4">
        <v>0.40500000000000003</v>
      </c>
      <c r="AR127" s="4">
        <v>-0.22500000000000001</v>
      </c>
      <c r="AS127" s="4">
        <v>0.158</v>
      </c>
      <c r="AT127" s="4">
        <v>-5.7000000000000002E-2</v>
      </c>
      <c r="AU127" s="4">
        <v>6.9000000000000006E-2</v>
      </c>
      <c r="AV127" s="4">
        <v>0.40899999999999997</v>
      </c>
      <c r="AW127" s="4">
        <v>-0.33600000000000002</v>
      </c>
      <c r="AX127" s="4">
        <v>0.748</v>
      </c>
      <c r="AY127" s="4">
        <v>-0.52700000000000002</v>
      </c>
      <c r="AZ127" s="4">
        <v>0.75600000000000001</v>
      </c>
      <c r="BA127" s="4">
        <v>-0.249</v>
      </c>
      <c r="BB127" s="4">
        <v>-0.40500000000000003</v>
      </c>
      <c r="BC127" s="4">
        <v>-0.44700000000000001</v>
      </c>
      <c r="BD127" s="4">
        <v>-0.58199999999999996</v>
      </c>
      <c r="BE127" s="4">
        <v>0.253</v>
      </c>
      <c r="BF127" s="4">
        <v>-0.105</v>
      </c>
      <c r="BG127" s="4">
        <v>-0.22</v>
      </c>
      <c r="BH127" s="4">
        <v>0.88800000000000001</v>
      </c>
      <c r="BI127" s="4">
        <v>-0.33300000000000002</v>
      </c>
      <c r="BJ127" s="4">
        <v>-0.191</v>
      </c>
      <c r="BK127" s="4">
        <v>0.224</v>
      </c>
      <c r="BL127" s="4">
        <v>-0.378</v>
      </c>
      <c r="BM127" s="4"/>
    </row>
    <row r="128" spans="1:65" x14ac:dyDescent="0.3">
      <c r="A128" s="19" t="s">
        <v>229</v>
      </c>
      <c r="B128" s="53">
        <v>0</v>
      </c>
      <c r="C128" s="53">
        <f t="shared" si="10"/>
        <v>-7.0000000000000001E-3</v>
      </c>
      <c r="D128" s="53">
        <f t="shared" si="11"/>
        <v>0</v>
      </c>
      <c r="E128" s="53">
        <f t="shared" si="12"/>
        <v>7.0000000000000001E-3</v>
      </c>
      <c r="F128" s="15">
        <v>0.65</v>
      </c>
      <c r="G128" s="19">
        <v>0.53400000000000003</v>
      </c>
      <c r="H128" s="24" t="s">
        <v>71</v>
      </c>
      <c r="I128" t="str">
        <f>VLOOKUP(A128,Setores!$A$2:$C$215,2,0)</f>
        <v>food</v>
      </c>
      <c r="J128" t="str">
        <f>VLOOKUP(A128,Setores!$A$2:$C$215,3,0)</f>
        <v>very_low_beta</v>
      </c>
      <c r="K128" s="2">
        <v>0</v>
      </c>
      <c r="L128" s="2">
        <v>-7.0000000000000001E-3</v>
      </c>
      <c r="M128" s="71">
        <v>80</v>
      </c>
      <c r="N128" s="41">
        <f>VLOOKUP(A128,'Mandato Smll'!$A$2:$C$215,2,0)</f>
        <v>0</v>
      </c>
      <c r="O128" s="58">
        <f t="shared" si="13"/>
        <v>0</v>
      </c>
      <c r="P128" s="42">
        <f t="shared" si="14"/>
        <v>0</v>
      </c>
      <c r="Q128" s="41">
        <f>VLOOKUP(A128,'Mandato Smll'!$A$2:$C$215,3,0)</f>
        <v>1.88906835716924E-2</v>
      </c>
      <c r="R128" s="58">
        <f t="shared" si="15"/>
        <v>-1.88906835716924E-2</v>
      </c>
      <c r="S128" s="15">
        <v>-0.753</v>
      </c>
      <c r="T128" s="15">
        <v>-0.14099999999999999</v>
      </c>
      <c r="U128" s="15">
        <v>-0.90100000000000002</v>
      </c>
      <c r="V128" s="15">
        <v>-0.70899999999999996</v>
      </c>
      <c r="W128" s="15">
        <v>-0.67</v>
      </c>
      <c r="X128" s="15">
        <v>-0.68</v>
      </c>
      <c r="Y128" s="15">
        <v>-0.71599999999999997</v>
      </c>
      <c r="Z128" s="15">
        <v>-0.50700000000000001</v>
      </c>
      <c r="AA128" s="15">
        <v>0.24399999999999999</v>
      </c>
      <c r="AB128" s="15">
        <v>0.246</v>
      </c>
      <c r="AC128" s="15">
        <v>0.65700000000000003</v>
      </c>
      <c r="AD128" s="15">
        <v>0.69399999999999995</v>
      </c>
      <c r="AE128" s="15">
        <v>0.65600000000000003</v>
      </c>
      <c r="AF128" s="14">
        <v>-0.85499999999999998</v>
      </c>
      <c r="AG128" s="15">
        <v>-0.65800000000000003</v>
      </c>
      <c r="AH128" s="15">
        <v>0.48399999999999999</v>
      </c>
      <c r="AI128" s="15">
        <v>-0.6</v>
      </c>
      <c r="AJ128" s="15">
        <v>-7.1999999999999995E-2</v>
      </c>
      <c r="AK128" s="9">
        <v>-0.86599999999999999</v>
      </c>
      <c r="AL128" s="4">
        <v>-0.32200000000000001</v>
      </c>
      <c r="AM128" s="4">
        <v>-0.49199999999999999</v>
      </c>
      <c r="AN128" s="4">
        <v>-0.20699999999999999</v>
      </c>
      <c r="AO128" s="4">
        <v>-0.27400000000000002</v>
      </c>
      <c r="AP128" s="4">
        <v>0.29799999999999999</v>
      </c>
      <c r="AQ128" s="4">
        <v>0.86099999999999999</v>
      </c>
      <c r="AR128" s="4">
        <v>-0.40899999999999997</v>
      </c>
      <c r="AS128" s="4">
        <v>0.85799999999999998</v>
      </c>
      <c r="AT128" s="4">
        <v>0.30599999999999999</v>
      </c>
      <c r="AU128" s="4">
        <v>-9.0999999999999998E-2</v>
      </c>
      <c r="AV128" s="4">
        <v>-0.17699999999999999</v>
      </c>
      <c r="AW128" s="4">
        <v>-0.54200000000000004</v>
      </c>
      <c r="AX128" s="4">
        <v>0.19700000000000001</v>
      </c>
      <c r="AY128" s="4">
        <v>-0.25700000000000001</v>
      </c>
      <c r="AZ128" s="4">
        <v>0.376</v>
      </c>
      <c r="BA128" s="4">
        <v>-0.54600000000000004</v>
      </c>
      <c r="BB128" s="4">
        <v>-1.2E-2</v>
      </c>
      <c r="BC128" s="4">
        <v>-9.8000000000000004E-2</v>
      </c>
      <c r="BD128" s="4">
        <v>-0.41199999999999998</v>
      </c>
      <c r="BE128" s="4">
        <v>0.29199999999999998</v>
      </c>
      <c r="BF128" s="4">
        <v>-0.86399999999999999</v>
      </c>
      <c r="BG128" s="4">
        <v>0.249</v>
      </c>
      <c r="BH128" s="4">
        <v>2.9000000000000001E-2</v>
      </c>
      <c r="BI128" s="4">
        <v>0.26500000000000001</v>
      </c>
      <c r="BJ128" s="4">
        <v>-0.63200000000000001</v>
      </c>
      <c r="BK128" s="4">
        <v>-0.219</v>
      </c>
      <c r="BL128" s="4">
        <v>5.2999999999999999E-2</v>
      </c>
      <c r="BM128" s="4"/>
    </row>
    <row r="129" spans="1:65" x14ac:dyDescent="0.3">
      <c r="A129" s="19" t="s">
        <v>80</v>
      </c>
      <c r="B129" s="53">
        <v>0</v>
      </c>
      <c r="C129" s="53">
        <f t="shared" si="10"/>
        <v>-4.0000000000000001E-3</v>
      </c>
      <c r="D129" s="53">
        <f t="shared" si="11"/>
        <v>0</v>
      </c>
      <c r="E129" s="53">
        <f t="shared" si="12"/>
        <v>4.0000000000000001E-3</v>
      </c>
      <c r="F129" s="15">
        <v>0.63200000000000001</v>
      </c>
      <c r="G129" s="19">
        <v>0.69899999999999995</v>
      </c>
      <c r="H129" s="24" t="s">
        <v>57</v>
      </c>
      <c r="I129" t="str">
        <f>VLOOKUP(A129,Setores!$A$2:$C$215,2,0)</f>
        <v>tech</v>
      </c>
      <c r="J129" t="str">
        <f>VLOOKUP(A129,Setores!$A$2:$C$215,3,0)</f>
        <v>very_low_beta</v>
      </c>
      <c r="K129" s="2">
        <v>0</v>
      </c>
      <c r="L129" s="2">
        <v>-4.0000000000000001E-3</v>
      </c>
      <c r="M129" s="71">
        <v>80</v>
      </c>
      <c r="N129" s="41">
        <f>VLOOKUP(A129,'Mandato Smll'!$A$2:$C$215,2,0)</f>
        <v>0</v>
      </c>
      <c r="O129" s="58">
        <f t="shared" si="13"/>
        <v>0</v>
      </c>
      <c r="P129" s="42">
        <f t="shared" si="14"/>
        <v>0</v>
      </c>
      <c r="Q129" s="41">
        <f>VLOOKUP(A129,'Mandato Smll'!$A$2:$C$215,3,0)</f>
        <v>0</v>
      </c>
      <c r="R129" s="58">
        <f t="shared" si="15"/>
        <v>0</v>
      </c>
      <c r="S129" s="15">
        <v>-0.57899999999999996</v>
      </c>
      <c r="T129" s="15">
        <v>-0.77600000000000002</v>
      </c>
      <c r="U129" s="15">
        <v>-0.245</v>
      </c>
      <c r="V129" s="15">
        <v>-0.627</v>
      </c>
      <c r="W129" s="15">
        <v>-0.59699999999999998</v>
      </c>
      <c r="X129" s="15">
        <v>-0.65800000000000003</v>
      </c>
      <c r="Y129" s="15">
        <v>-0.629</v>
      </c>
      <c r="Z129" s="15">
        <v>-0.57899999999999996</v>
      </c>
      <c r="AA129" s="15">
        <v>0.154</v>
      </c>
      <c r="AB129" s="15">
        <v>0.156</v>
      </c>
      <c r="AC129" s="15">
        <v>0.54</v>
      </c>
      <c r="AD129" s="15">
        <v>0.52100000000000002</v>
      </c>
      <c r="AE129" s="15">
        <v>0.47599999999999998</v>
      </c>
      <c r="AF129" s="14">
        <v>-0.36099999999999999</v>
      </c>
      <c r="AG129" s="15">
        <v>-0.222</v>
      </c>
      <c r="AH129" s="15">
        <v>-0.755</v>
      </c>
      <c r="AI129" s="15">
        <v>0.16800000000000001</v>
      </c>
      <c r="AJ129" s="15">
        <v>-0.40699999999999997</v>
      </c>
      <c r="AK129" s="9">
        <v>0.28799999999999998</v>
      </c>
      <c r="AL129" s="4">
        <v>4.1000000000000002E-2</v>
      </c>
      <c r="AM129" s="4">
        <v>0.20399999999999999</v>
      </c>
      <c r="AN129" s="4">
        <v>-0.29499999999999998</v>
      </c>
      <c r="AO129" s="4">
        <v>-8.5000000000000006E-2</v>
      </c>
      <c r="AP129" s="4">
        <v>-0.42199999999999999</v>
      </c>
      <c r="AQ129" s="4">
        <v>-0.377</v>
      </c>
      <c r="AR129" s="4">
        <v>0.13600000000000001</v>
      </c>
      <c r="AS129" s="4">
        <v>7.6999999999999999E-2</v>
      </c>
      <c r="AT129" s="4">
        <v>-0.54200000000000004</v>
      </c>
      <c r="AU129" s="4">
        <v>0.24199999999999999</v>
      </c>
      <c r="AV129" s="4">
        <v>-0.22600000000000001</v>
      </c>
      <c r="AW129" s="4">
        <v>-0.42699999999999999</v>
      </c>
      <c r="AX129" s="4">
        <v>0.38800000000000001</v>
      </c>
      <c r="AY129" s="4">
        <v>0.17799999999999999</v>
      </c>
      <c r="AZ129" s="4">
        <v>0.747</v>
      </c>
      <c r="BA129" s="4">
        <v>0.27400000000000002</v>
      </c>
      <c r="BB129" s="4">
        <v>0.72299999999999998</v>
      </c>
      <c r="BC129" s="4">
        <v>2E-3</v>
      </c>
      <c r="BD129" s="4">
        <v>-0.191</v>
      </c>
      <c r="BE129" s="4">
        <v>0.155</v>
      </c>
      <c r="BF129" s="4">
        <v>0.104</v>
      </c>
      <c r="BG129" s="4">
        <v>0.33900000000000002</v>
      </c>
      <c r="BH129" s="4">
        <v>-0.312</v>
      </c>
      <c r="BI129" s="4">
        <v>-0.64600000000000002</v>
      </c>
      <c r="BJ129" s="4">
        <v>-0.39500000000000002</v>
      </c>
      <c r="BK129" s="4">
        <v>0.498</v>
      </c>
      <c r="BL129" s="4">
        <v>0.40799999999999997</v>
      </c>
      <c r="BM129" s="4"/>
    </row>
    <row r="130" spans="1:65" ht="15" thickBot="1" x14ac:dyDescent="0.35">
      <c r="A130" s="19" t="s">
        <v>180</v>
      </c>
      <c r="B130" s="53">
        <v>0</v>
      </c>
      <c r="C130" s="53">
        <f t="shared" si="10"/>
        <v>-2E-3</v>
      </c>
      <c r="D130" s="53">
        <f t="shared" si="11"/>
        <v>0</v>
      </c>
      <c r="E130" s="53">
        <f t="shared" si="12"/>
        <v>2E-3</v>
      </c>
      <c r="F130" s="15">
        <v>0.628</v>
      </c>
      <c r="G130" s="19">
        <v>0.76</v>
      </c>
      <c r="H130" s="24" t="s">
        <v>57</v>
      </c>
      <c r="I130" t="str">
        <f>VLOOKUP(A130,Setores!$A$2:$C$215,2,0)</f>
        <v>apparel</v>
      </c>
      <c r="J130" t="str">
        <f>VLOOKUP(A130,Setores!$A$2:$C$215,3,0)</f>
        <v>high_beta</v>
      </c>
      <c r="K130" s="2">
        <v>0</v>
      </c>
      <c r="L130" s="2">
        <v>-2E-3</v>
      </c>
      <c r="M130" s="71">
        <v>80</v>
      </c>
      <c r="N130" s="41">
        <f>VLOOKUP(A130,'Mandato Smll'!$A$2:$C$215,2,0)</f>
        <v>0</v>
      </c>
      <c r="O130" s="58">
        <f t="shared" si="13"/>
        <v>0</v>
      </c>
      <c r="P130" s="42">
        <f t="shared" si="14"/>
        <v>0</v>
      </c>
      <c r="Q130" s="41">
        <f>VLOOKUP(A130,'Mandato Smll'!$A$2:$C$215,3,0)</f>
        <v>0</v>
      </c>
      <c r="R130" s="58">
        <f t="shared" si="15"/>
        <v>0</v>
      </c>
      <c r="S130" s="15">
        <v>-0.35799999999999998</v>
      </c>
      <c r="T130" s="15">
        <v>-0.73499999999999999</v>
      </c>
      <c r="U130" s="15">
        <v>-0.22700000000000001</v>
      </c>
      <c r="V130" s="15">
        <v>-0.53800000000000003</v>
      </c>
      <c r="W130" s="15">
        <v>-0.65600000000000003</v>
      </c>
      <c r="X130" s="15">
        <v>-0.39200000000000002</v>
      </c>
      <c r="Y130" s="15">
        <v>-0.248</v>
      </c>
      <c r="Z130" s="15">
        <v>-0.74199999999999999</v>
      </c>
      <c r="AA130" s="15">
        <v>5.0999999999999997E-2</v>
      </c>
      <c r="AB130" s="15">
        <v>5.1999999999999998E-2</v>
      </c>
      <c r="AC130" s="15">
        <v>0.55400000000000005</v>
      </c>
      <c r="AD130" s="15">
        <v>0.46700000000000003</v>
      </c>
      <c r="AE130" s="15">
        <v>0.253</v>
      </c>
      <c r="AF130" s="14">
        <v>-0.20799999999999999</v>
      </c>
      <c r="AG130" s="15">
        <v>-0.68100000000000005</v>
      </c>
      <c r="AH130" s="15">
        <v>-0.84099999999999997</v>
      </c>
      <c r="AI130" s="15">
        <v>-0.57099999999999995</v>
      </c>
      <c r="AJ130" s="15">
        <v>-1.0999999999999999E-2</v>
      </c>
      <c r="AK130" s="9">
        <v>0.93</v>
      </c>
      <c r="AL130" s="4">
        <v>-0.46899999999999997</v>
      </c>
      <c r="AM130" s="4">
        <v>-0.76300000000000001</v>
      </c>
      <c r="AN130" s="4">
        <v>-0.97299999999999998</v>
      </c>
      <c r="AO130" s="4">
        <v>0.23699999999999999</v>
      </c>
      <c r="AP130" s="4">
        <v>-0.38100000000000001</v>
      </c>
      <c r="AQ130" s="4">
        <v>-0.12</v>
      </c>
      <c r="AR130" s="4">
        <v>5.2999999999999999E-2</v>
      </c>
      <c r="AS130" s="4">
        <v>0.125</v>
      </c>
      <c r="AT130" s="4">
        <v>-0.53900000000000003</v>
      </c>
      <c r="AU130" s="4">
        <v>0.78100000000000003</v>
      </c>
      <c r="AV130" s="4">
        <v>6.2E-2</v>
      </c>
      <c r="AW130" s="4">
        <v>0.623</v>
      </c>
      <c r="AX130" s="4">
        <v>0.38600000000000001</v>
      </c>
      <c r="AY130" s="4">
        <v>8.5000000000000006E-2</v>
      </c>
      <c r="AZ130" s="4">
        <v>0.89800000000000002</v>
      </c>
      <c r="BA130" s="4">
        <v>0.97699999999999998</v>
      </c>
      <c r="BB130" s="4">
        <v>0.42199999999999999</v>
      </c>
      <c r="BC130" s="4">
        <v>-0.60399999999999998</v>
      </c>
      <c r="BD130" s="4">
        <v>-0.57199999999999995</v>
      </c>
      <c r="BE130" s="4">
        <v>0.23499999999999999</v>
      </c>
      <c r="BF130" s="4">
        <v>-0.71099999999999997</v>
      </c>
      <c r="BG130" s="4">
        <v>-0.18</v>
      </c>
      <c r="BH130" s="4">
        <v>0.29199999999999998</v>
      </c>
      <c r="BI130" s="4">
        <v>-0.33600000000000002</v>
      </c>
      <c r="BJ130" s="4">
        <v>0.104</v>
      </c>
      <c r="BK130" s="4">
        <v>0.35099999999999998</v>
      </c>
      <c r="BL130" s="4">
        <v>0.71599999999999997</v>
      </c>
      <c r="BM130" s="4"/>
    </row>
    <row r="131" spans="1:65" ht="15" thickBot="1" x14ac:dyDescent="0.35">
      <c r="A131" s="19" t="s">
        <v>233</v>
      </c>
      <c r="B131" s="53">
        <v>0</v>
      </c>
      <c r="C131" s="53">
        <f t="shared" si="10"/>
        <v>-2.5000000000000001E-2</v>
      </c>
      <c r="D131" s="53">
        <f t="shared" si="11"/>
        <v>0</v>
      </c>
      <c r="E131" s="53">
        <f t="shared" si="12"/>
        <v>2.5000000000000001E-2</v>
      </c>
      <c r="F131" s="15">
        <v>0.627</v>
      </c>
      <c r="G131" s="19">
        <v>0.80400000000000005</v>
      </c>
      <c r="H131" s="24" t="s">
        <v>71</v>
      </c>
      <c r="I131" t="str">
        <f>VLOOKUP(A131,Setores!$A$2:$C$215,2,0)</f>
        <v>crude_oil</v>
      </c>
      <c r="J131" t="str">
        <f>VLOOKUP(A131,Setores!$A$2:$C$215,3,0)</f>
        <v>very_low_beta</v>
      </c>
      <c r="K131" s="2">
        <v>0</v>
      </c>
      <c r="L131" s="2">
        <v>-2.5000000000000001E-2</v>
      </c>
      <c r="M131" s="71">
        <v>53</v>
      </c>
      <c r="N131" s="41">
        <f>VLOOKUP(A131,'Mandato Smll'!$A$2:$C$215,2,0)</f>
        <v>0</v>
      </c>
      <c r="O131" s="58">
        <f t="shared" si="13"/>
        <v>0</v>
      </c>
      <c r="P131" s="42">
        <f t="shared" si="14"/>
        <v>0</v>
      </c>
      <c r="Q131" s="41">
        <f>VLOOKUP(A131,'Mandato Smll'!$A$2:$C$215,3,0)</f>
        <v>0</v>
      </c>
      <c r="R131" s="58">
        <f t="shared" si="15"/>
        <v>0</v>
      </c>
      <c r="S131" s="15">
        <v>-0.83399999999999996</v>
      </c>
      <c r="T131" s="15">
        <v>-8.6999999999999994E-2</v>
      </c>
      <c r="U131" s="15">
        <v>-0.97</v>
      </c>
      <c r="V131" s="15">
        <v>-0.72099999999999997</v>
      </c>
      <c r="W131" s="15">
        <v>-0.66100000000000003</v>
      </c>
      <c r="X131" s="15">
        <v>-0.73799999999999999</v>
      </c>
      <c r="Y131" s="15">
        <v>-0.755</v>
      </c>
      <c r="Z131" s="15">
        <v>-0.57399999999999995</v>
      </c>
      <c r="AA131" s="15">
        <v>0.17299999999999999</v>
      </c>
      <c r="AB131" s="15">
        <v>0.17399999999999999</v>
      </c>
      <c r="AC131" s="15">
        <v>0.76800000000000002</v>
      </c>
      <c r="AD131" s="15">
        <v>0.79800000000000004</v>
      </c>
      <c r="AE131" s="15">
        <v>0.64700000000000002</v>
      </c>
      <c r="AF131" s="14">
        <v>-0.749</v>
      </c>
      <c r="AG131" s="15">
        <v>-0.437</v>
      </c>
      <c r="AH131" s="15">
        <v>0.97399999999999998</v>
      </c>
      <c r="AI131" s="15">
        <v>-0.64900000000000002</v>
      </c>
      <c r="AJ131" s="15">
        <v>-0.158</v>
      </c>
      <c r="AK131" s="9">
        <v>-0.90700000000000003</v>
      </c>
      <c r="AL131" s="4">
        <v>0.105</v>
      </c>
      <c r="AM131" s="4">
        <v>-0.96099999999999997</v>
      </c>
      <c r="AN131" s="4">
        <v>4.2000000000000003E-2</v>
      </c>
      <c r="AO131" s="4">
        <v>0.41099999999999998</v>
      </c>
      <c r="AP131" s="4">
        <v>0.56100000000000005</v>
      </c>
      <c r="AQ131" s="4">
        <v>0.72</v>
      </c>
      <c r="AR131" s="4">
        <v>-0.45</v>
      </c>
      <c r="AS131" s="4">
        <v>-0.32700000000000001</v>
      </c>
      <c r="AT131" s="4">
        <v>-0.46899999999999997</v>
      </c>
      <c r="AU131" s="4">
        <v>-0.316</v>
      </c>
      <c r="AV131" s="4">
        <v>-0.17100000000000001</v>
      </c>
      <c r="AW131" s="89">
        <v>-0.33600000000000002</v>
      </c>
      <c r="AX131" s="4">
        <v>0.106</v>
      </c>
      <c r="AY131" s="4">
        <v>-0.31</v>
      </c>
      <c r="AZ131" s="4">
        <v>0.32800000000000001</v>
      </c>
      <c r="BA131" s="4">
        <v>-0.72199999999999998</v>
      </c>
      <c r="BB131" s="4">
        <v>-0.19</v>
      </c>
      <c r="BC131" s="4">
        <v>-0.36199999999999999</v>
      </c>
      <c r="BD131" s="4">
        <v>0.32300000000000001</v>
      </c>
      <c r="BE131" s="4">
        <v>-0.14599999999999999</v>
      </c>
      <c r="BF131" s="4">
        <v>-0.22600000000000001</v>
      </c>
      <c r="BG131" s="4">
        <v>0.56999999999999995</v>
      </c>
      <c r="BH131" s="4">
        <v>0.27900000000000003</v>
      </c>
      <c r="BI131" s="4">
        <v>0.26500000000000001</v>
      </c>
      <c r="BJ131" s="4">
        <v>-0.98299999999999998</v>
      </c>
      <c r="BK131" s="4">
        <v>-0.91900000000000004</v>
      </c>
      <c r="BL131" s="4">
        <v>0.19</v>
      </c>
      <c r="BM131" s="4"/>
    </row>
    <row r="132" spans="1:65" x14ac:dyDescent="0.3">
      <c r="A132" s="19" t="s">
        <v>168</v>
      </c>
      <c r="B132" s="53">
        <v>0</v>
      </c>
      <c r="C132" s="53">
        <f t="shared" si="10"/>
        <v>0</v>
      </c>
      <c r="D132" s="53">
        <f t="shared" si="11"/>
        <v>0</v>
      </c>
      <c r="E132" s="53">
        <f t="shared" si="12"/>
        <v>0</v>
      </c>
      <c r="F132" s="15">
        <v>0.626</v>
      </c>
      <c r="G132" s="19">
        <v>0.61899999999999999</v>
      </c>
      <c r="H132" s="24" t="s">
        <v>68</v>
      </c>
      <c r="I132" t="str">
        <f>VLOOKUP(A132,Setores!$A$2:$C$215,2,0)</f>
        <v>capital_goods</v>
      </c>
      <c r="J132" t="str">
        <f>VLOOKUP(A132,Setores!$A$2:$C$215,3,0)</f>
        <v>very_low_beta</v>
      </c>
      <c r="K132" s="2">
        <v>0</v>
      </c>
      <c r="L132" s="2">
        <v>0</v>
      </c>
      <c r="M132" s="71">
        <v>12</v>
      </c>
      <c r="N132" s="41">
        <f>VLOOKUP(A132,'Mandato Smll'!$A$2:$C$215,2,0)</f>
        <v>0</v>
      </c>
      <c r="O132" s="58">
        <f t="shared" si="13"/>
        <v>0</v>
      </c>
      <c r="P132" s="42">
        <f t="shared" si="14"/>
        <v>0</v>
      </c>
      <c r="Q132" s="41">
        <f>VLOOKUP(A132,'Mandato Smll'!$A$2:$C$215,3,0)</f>
        <v>0</v>
      </c>
      <c r="R132" s="58">
        <f t="shared" si="15"/>
        <v>0</v>
      </c>
      <c r="S132" s="15">
        <v>-0.67200000000000004</v>
      </c>
      <c r="T132" s="15">
        <v>-0.83</v>
      </c>
      <c r="U132" s="15">
        <v>-0.86799999999999999</v>
      </c>
      <c r="V132" s="15">
        <v>-0.63500000000000001</v>
      </c>
      <c r="W132" s="15">
        <v>-0.84899999999999998</v>
      </c>
      <c r="X132" s="15">
        <v>-0.443</v>
      </c>
      <c r="Y132" s="15">
        <v>-0.18</v>
      </c>
      <c r="Z132" s="15">
        <v>-0.64900000000000002</v>
      </c>
      <c r="AA132" s="15">
        <v>0.29099999999999998</v>
      </c>
      <c r="AB132" s="15">
        <v>0.29199999999999998</v>
      </c>
      <c r="AC132" s="15">
        <v>0.63600000000000001</v>
      </c>
      <c r="AD132" s="15">
        <v>0.57199999999999995</v>
      </c>
      <c r="AE132" s="15">
        <v>0.46400000000000002</v>
      </c>
      <c r="AF132" s="14">
        <v>-0.40300000000000002</v>
      </c>
      <c r="AG132" s="15">
        <v>-0.66200000000000003</v>
      </c>
      <c r="AH132" s="15">
        <v>-0.79400000000000004</v>
      </c>
      <c r="AI132" s="15">
        <v>-1</v>
      </c>
      <c r="AJ132" s="15">
        <v>-0.97499999999999998</v>
      </c>
      <c r="AK132" s="9">
        <v>-0.64100000000000001</v>
      </c>
      <c r="AL132" s="4">
        <v>-0.39100000000000001</v>
      </c>
      <c r="AM132" s="4">
        <v>-0.55900000000000005</v>
      </c>
      <c r="AN132" s="4">
        <v>-0.96899999999999997</v>
      </c>
      <c r="AO132" s="4">
        <v>0.56699999999999995</v>
      </c>
      <c r="AP132" s="4">
        <v>5.6000000000000001E-2</v>
      </c>
      <c r="AQ132" s="4">
        <v>-0.41799999999999998</v>
      </c>
      <c r="AR132" s="4">
        <v>0.17899999999999999</v>
      </c>
      <c r="AS132" s="4">
        <v>0.252</v>
      </c>
      <c r="AT132" s="4">
        <v>-0.52500000000000002</v>
      </c>
      <c r="AU132" s="4">
        <v>0.72799999999999998</v>
      </c>
      <c r="AV132" s="4">
        <v>-0.11</v>
      </c>
      <c r="AW132" s="4">
        <v>0.17</v>
      </c>
      <c r="AX132" s="4">
        <v>0.61399999999999999</v>
      </c>
      <c r="AY132" s="4">
        <v>0.53700000000000003</v>
      </c>
      <c r="AZ132" s="4">
        <v>0.94099999999999995</v>
      </c>
      <c r="BA132" s="4">
        <v>0.51800000000000002</v>
      </c>
      <c r="BB132" s="4">
        <v>0.218</v>
      </c>
      <c r="BC132" s="4">
        <v>0.189</v>
      </c>
      <c r="BD132" s="4">
        <v>0.26200000000000001</v>
      </c>
      <c r="BE132" s="4">
        <v>0.22700000000000001</v>
      </c>
      <c r="BF132" s="4">
        <v>0.157</v>
      </c>
      <c r="BG132" s="4">
        <v>0.38200000000000001</v>
      </c>
      <c r="BH132" s="4">
        <v>0.48599999999999999</v>
      </c>
      <c r="BI132" s="4">
        <v>-0.34699999999999998</v>
      </c>
      <c r="BJ132" s="4">
        <v>-1.7000000000000001E-2</v>
      </c>
      <c r="BK132" s="4">
        <v>-9.5000000000000001E-2</v>
      </c>
      <c r="BL132" s="4">
        <v>-1</v>
      </c>
      <c r="BM132" s="4"/>
    </row>
    <row r="133" spans="1:65" x14ac:dyDescent="0.3">
      <c r="A133" s="19" t="s">
        <v>209</v>
      </c>
      <c r="B133" s="53">
        <v>0</v>
      </c>
      <c r="C133" s="53">
        <f t="shared" si="10"/>
        <v>0</v>
      </c>
      <c r="D133" s="53">
        <f t="shared" si="11"/>
        <v>0</v>
      </c>
      <c r="E133" s="53">
        <f t="shared" si="12"/>
        <v>0</v>
      </c>
      <c r="F133" s="15">
        <v>0.61899999999999999</v>
      </c>
      <c r="G133" s="19">
        <v>0.83599999999999997</v>
      </c>
      <c r="H133" s="24" t="s">
        <v>55</v>
      </c>
      <c r="I133" t="str">
        <f>VLOOKUP(A133,Setores!$A$2:$C$215,2,0)</f>
        <v>utilities</v>
      </c>
      <c r="J133" t="str">
        <f>VLOOKUP(A133,Setores!$A$2:$C$215,3,0)</f>
        <v>high_beta</v>
      </c>
      <c r="K133" s="2">
        <v>0</v>
      </c>
      <c r="L133" s="2">
        <v>0</v>
      </c>
      <c r="M133" s="71">
        <v>80</v>
      </c>
      <c r="N133" s="41">
        <f>VLOOKUP(A133,'Mandato Smll'!$A$2:$C$215,2,0)</f>
        <v>0</v>
      </c>
      <c r="O133" s="58">
        <f t="shared" si="13"/>
        <v>0</v>
      </c>
      <c r="P133" s="42">
        <f t="shared" si="14"/>
        <v>0</v>
      </c>
      <c r="Q133" s="41">
        <f>VLOOKUP(A133,'Mandato Smll'!$A$2:$C$215,3,0)</f>
        <v>7.8629976633791503E-3</v>
      </c>
      <c r="R133" s="58">
        <f t="shared" si="15"/>
        <v>-7.8629976633791503E-3</v>
      </c>
      <c r="S133" s="15">
        <v>-0.69599999999999995</v>
      </c>
      <c r="T133" s="15">
        <v>-0.72499999999999998</v>
      </c>
      <c r="U133" s="15">
        <v>-0.92600000000000005</v>
      </c>
      <c r="V133" s="15">
        <v>-0.754</v>
      </c>
      <c r="W133" s="15">
        <v>-0.88400000000000001</v>
      </c>
      <c r="X133" s="15">
        <v>-0.42699999999999999</v>
      </c>
      <c r="Y133" s="15">
        <v>-0.20499999999999999</v>
      </c>
      <c r="Z133" s="15">
        <v>-0.73599999999999999</v>
      </c>
      <c r="AA133" s="15">
        <v>9.4E-2</v>
      </c>
      <c r="AB133" s="15">
        <v>9.9000000000000005E-2</v>
      </c>
      <c r="AC133" s="15">
        <v>0.77900000000000003</v>
      </c>
      <c r="AD133" s="15">
        <v>0.81399999999999995</v>
      </c>
      <c r="AE133" s="15">
        <v>0.56499999999999995</v>
      </c>
      <c r="AF133" s="14">
        <v>-1</v>
      </c>
      <c r="AG133" s="15">
        <v>-0.48799999999999999</v>
      </c>
      <c r="AH133" s="15">
        <v>-0.42599999999999999</v>
      </c>
      <c r="AI133" s="15">
        <v>-1</v>
      </c>
      <c r="AJ133" s="15">
        <v>-0.89400000000000002</v>
      </c>
      <c r="AK133" s="9">
        <v>-0.89600000000000002</v>
      </c>
      <c r="AL133" s="4">
        <v>-0.378</v>
      </c>
      <c r="AM133" s="4">
        <v>-0.746</v>
      </c>
      <c r="AN133" s="4">
        <v>-0.55300000000000005</v>
      </c>
      <c r="AO133" s="4">
        <v>-0.34100000000000003</v>
      </c>
      <c r="AP133" s="4">
        <v>0.161</v>
      </c>
      <c r="AQ133" s="4">
        <v>0.39800000000000002</v>
      </c>
      <c r="AR133" s="4">
        <v>0.24</v>
      </c>
      <c r="AS133" s="4">
        <v>0.82699999999999996</v>
      </c>
      <c r="AT133" s="4">
        <v>0.40500000000000003</v>
      </c>
      <c r="AU133" s="4">
        <v>-0.214</v>
      </c>
      <c r="AV133" s="4">
        <v>2E-3</v>
      </c>
      <c r="AW133" s="4">
        <v>-0.59099999999999997</v>
      </c>
      <c r="AX133" s="4">
        <v>0.52</v>
      </c>
      <c r="AY133" s="4">
        <v>-0.58199999999999996</v>
      </c>
      <c r="AZ133" s="4">
        <v>0.77900000000000003</v>
      </c>
      <c r="BA133" s="4">
        <v>0.502</v>
      </c>
      <c r="BB133" s="4">
        <v>0.79100000000000004</v>
      </c>
      <c r="BC133" s="4">
        <v>1.4999999999999999E-2</v>
      </c>
      <c r="BD133" s="4">
        <v>3.9E-2</v>
      </c>
      <c r="BE133" s="4">
        <v>0.49299999999999999</v>
      </c>
      <c r="BF133" s="4">
        <v>0.27300000000000002</v>
      </c>
      <c r="BG133" s="4">
        <v>0.14199999999999999</v>
      </c>
      <c r="BH133" s="4">
        <v>0.68300000000000005</v>
      </c>
      <c r="BI133" s="4">
        <v>-0.625</v>
      </c>
      <c r="BJ133" s="4">
        <v>0.154</v>
      </c>
      <c r="BK133" s="4">
        <v>0.17</v>
      </c>
      <c r="BL133" s="4">
        <v>-1</v>
      </c>
      <c r="BM133" s="4"/>
    </row>
    <row r="134" spans="1:65" x14ac:dyDescent="0.3">
      <c r="A134" s="19" t="s">
        <v>190</v>
      </c>
      <c r="B134" s="53">
        <v>0</v>
      </c>
      <c r="C134" s="53">
        <f t="shared" si="10"/>
        <v>-2E-3</v>
      </c>
      <c r="D134" s="53">
        <f t="shared" si="11"/>
        <v>0</v>
      </c>
      <c r="E134" s="53">
        <f t="shared" si="12"/>
        <v>2E-3</v>
      </c>
      <c r="F134" s="15">
        <v>0.61899999999999999</v>
      </c>
      <c r="G134" s="19">
        <v>0.435</v>
      </c>
      <c r="H134" s="24" t="s">
        <v>68</v>
      </c>
      <c r="I134" t="str">
        <f>VLOOKUP(A134,Setores!$A$2:$C$215,2,0)</f>
        <v>capital_goods</v>
      </c>
      <c r="J134" t="str">
        <f>VLOOKUP(A134,Setores!$A$2:$C$215,3,0)</f>
        <v>very_high_beta</v>
      </c>
      <c r="K134" s="2">
        <v>0</v>
      </c>
      <c r="L134" s="2">
        <v>-2E-3</v>
      </c>
      <c r="M134" s="71">
        <v>80</v>
      </c>
      <c r="N134" s="41">
        <f>VLOOKUP(A134,'Mandato Smll'!$A$2:$C$215,2,0)</f>
        <v>0</v>
      </c>
      <c r="O134" s="58">
        <f t="shared" si="13"/>
        <v>0</v>
      </c>
      <c r="P134" s="42">
        <f t="shared" si="14"/>
        <v>0</v>
      </c>
      <c r="Q134" s="41">
        <f>VLOOKUP(A134,'Mandato Smll'!$A$2:$C$215,3,0)</f>
        <v>0</v>
      </c>
      <c r="R134" s="58">
        <f t="shared" si="15"/>
        <v>0</v>
      </c>
      <c r="S134" s="15">
        <v>-0.55100000000000005</v>
      </c>
      <c r="T134" s="15">
        <v>-0.372</v>
      </c>
      <c r="U134" s="15">
        <v>-0.21099999999999999</v>
      </c>
      <c r="V134" s="15">
        <v>-0.77200000000000002</v>
      </c>
      <c r="W134" s="15">
        <v>-0.50900000000000001</v>
      </c>
      <c r="X134" s="15">
        <v>-0.67200000000000004</v>
      </c>
      <c r="Y134" s="15">
        <v>-0.61599999999999999</v>
      </c>
      <c r="Z134" s="15">
        <v>-0.53</v>
      </c>
      <c r="AA134" s="15">
        <v>-9.4E-2</v>
      </c>
      <c r="AB134" s="15">
        <v>-0.1</v>
      </c>
      <c r="AC134" s="15">
        <v>0.35</v>
      </c>
      <c r="AD134" s="15">
        <v>-7.2999999999999995E-2</v>
      </c>
      <c r="AE134" s="15">
        <v>0.499</v>
      </c>
      <c r="AF134" s="14">
        <v>-0.69499999999999995</v>
      </c>
      <c r="AG134" s="15">
        <v>-0.29299999999999998</v>
      </c>
      <c r="AH134" s="15">
        <v>-0.42699999999999999</v>
      </c>
      <c r="AI134" s="15">
        <v>0.19500000000000001</v>
      </c>
      <c r="AJ134" s="15">
        <v>0.60599999999999998</v>
      </c>
      <c r="AK134" s="9">
        <v>-0.69299999999999995</v>
      </c>
      <c r="AL134" s="4">
        <v>-0.44</v>
      </c>
      <c r="AM134" s="4">
        <v>0.252</v>
      </c>
      <c r="AN134" s="4">
        <v>-0.24199999999999999</v>
      </c>
      <c r="AO134" s="4">
        <v>0.58299999999999996</v>
      </c>
      <c r="AP134" s="4">
        <v>-0.107</v>
      </c>
      <c r="AQ134" s="4">
        <v>-0.13</v>
      </c>
      <c r="AR134" s="4">
        <v>-0.23200000000000001</v>
      </c>
      <c r="AS134" s="4">
        <v>0.21</v>
      </c>
      <c r="AT134" s="4">
        <v>-0.2</v>
      </c>
      <c r="AU134" s="4">
        <v>-0.23799999999999999</v>
      </c>
      <c r="AV134" s="4">
        <v>-0.215</v>
      </c>
      <c r="AW134" s="4">
        <v>-0.63100000000000001</v>
      </c>
      <c r="AX134" s="4">
        <v>-0.70699999999999996</v>
      </c>
      <c r="AY134" s="4">
        <v>-0.193</v>
      </c>
      <c r="AZ134" s="4">
        <v>0.37</v>
      </c>
      <c r="BA134" s="4">
        <v>-7.6999999999999999E-2</v>
      </c>
      <c r="BB134" s="4">
        <v>-0.2</v>
      </c>
      <c r="BC134" s="4">
        <v>-0.47399999999999998</v>
      </c>
      <c r="BD134" s="4">
        <v>-0.76800000000000002</v>
      </c>
      <c r="BE134" s="4">
        <v>0.104</v>
      </c>
      <c r="BF134" s="4">
        <v>1</v>
      </c>
      <c r="BG134" s="4">
        <v>0.53400000000000003</v>
      </c>
      <c r="BH134" s="4">
        <v>0.33600000000000002</v>
      </c>
      <c r="BI134" s="4">
        <v>0.501</v>
      </c>
      <c r="BJ134" s="4">
        <v>1</v>
      </c>
      <c r="BK134" s="4">
        <v>0.61799999999999999</v>
      </c>
      <c r="BL134" s="4">
        <v>0.51</v>
      </c>
      <c r="BM134" s="4"/>
    </row>
    <row r="135" spans="1:65" x14ac:dyDescent="0.3">
      <c r="A135" s="19" t="s">
        <v>232</v>
      </c>
      <c r="B135" s="53">
        <v>0</v>
      </c>
      <c r="C135" s="53">
        <f t="shared" si="10"/>
        <v>-6.0000000000000001E-3</v>
      </c>
      <c r="D135" s="53">
        <f t="shared" si="11"/>
        <v>0</v>
      </c>
      <c r="E135" s="53">
        <f t="shared" si="12"/>
        <v>6.0000000000000001E-3</v>
      </c>
      <c r="F135" s="15">
        <v>0.61799999999999999</v>
      </c>
      <c r="G135" s="19">
        <v>0.52800000000000002</v>
      </c>
      <c r="H135" s="24" t="s">
        <v>57</v>
      </c>
      <c r="I135" t="str">
        <f>VLOOKUP(A135,Setores!$A$2:$C$215,2,0)</f>
        <v>apparel</v>
      </c>
      <c r="J135" t="str">
        <f>VLOOKUP(A135,Setores!$A$2:$C$215,3,0)</f>
        <v>low_beta</v>
      </c>
      <c r="K135" s="2">
        <v>0</v>
      </c>
      <c r="L135" s="2">
        <v>-6.0000000000000001E-3</v>
      </c>
      <c r="M135" s="71">
        <v>77</v>
      </c>
      <c r="N135" s="41">
        <f>VLOOKUP(A135,'Mandato Smll'!$A$2:$C$215,2,0)</f>
        <v>0</v>
      </c>
      <c r="O135" s="58">
        <f t="shared" si="13"/>
        <v>0</v>
      </c>
      <c r="P135" s="42">
        <f t="shared" si="14"/>
        <v>0</v>
      </c>
      <c r="Q135" s="41">
        <f>VLOOKUP(A135,'Mandato Smll'!$A$2:$C$215,3,0)</f>
        <v>0</v>
      </c>
      <c r="R135" s="58">
        <f t="shared" si="15"/>
        <v>0</v>
      </c>
      <c r="S135" s="15">
        <v>-0.54</v>
      </c>
      <c r="T135" s="15">
        <v>-0.64500000000000002</v>
      </c>
      <c r="U135" s="15">
        <v>-0.313</v>
      </c>
      <c r="V135" s="15">
        <v>-0.37</v>
      </c>
      <c r="W135" s="15">
        <v>-0.34200000000000003</v>
      </c>
      <c r="X135" s="15">
        <v>-0.51200000000000001</v>
      </c>
      <c r="Y135" s="15">
        <v>-0.503</v>
      </c>
      <c r="Z135" s="15">
        <v>-0.61899999999999999</v>
      </c>
      <c r="AA135" s="15">
        <v>-5.3999999999999999E-2</v>
      </c>
      <c r="AB135" s="15">
        <v>-5.5E-2</v>
      </c>
      <c r="AC135" s="15">
        <v>0.64200000000000002</v>
      </c>
      <c r="AD135" s="15">
        <v>0.55700000000000005</v>
      </c>
      <c r="AE135" s="15">
        <v>0.219</v>
      </c>
      <c r="AF135" s="14">
        <v>0.94599999999999995</v>
      </c>
      <c r="AG135" s="15">
        <v>0.30599999999999999</v>
      </c>
      <c r="AH135" s="15">
        <v>-0.68100000000000005</v>
      </c>
      <c r="AI135" s="15">
        <v>0.13200000000000001</v>
      </c>
      <c r="AJ135" s="15">
        <v>-0.78400000000000003</v>
      </c>
      <c r="AK135" s="9">
        <v>-0.191</v>
      </c>
      <c r="AL135" s="4">
        <v>0.34599999999999997</v>
      </c>
      <c r="AM135" s="4">
        <v>3.3000000000000002E-2</v>
      </c>
      <c r="AN135" s="4">
        <v>0.378</v>
      </c>
      <c r="AO135" s="4">
        <v>1</v>
      </c>
      <c r="AP135" s="4">
        <v>-0.88500000000000001</v>
      </c>
      <c r="AQ135" s="4">
        <v>-0.41799999999999998</v>
      </c>
      <c r="AR135" s="4">
        <v>1.7999999999999999E-2</v>
      </c>
      <c r="AS135" s="4">
        <v>-0.42599999999999999</v>
      </c>
      <c r="AT135" s="4">
        <v>-0.75900000000000001</v>
      </c>
      <c r="AU135" s="4">
        <v>5.7000000000000002E-2</v>
      </c>
      <c r="AV135" s="4">
        <v>-0.26100000000000001</v>
      </c>
      <c r="AW135" s="4">
        <v>0.29199999999999998</v>
      </c>
      <c r="AX135" s="4">
        <v>-0.20699999999999999</v>
      </c>
      <c r="AY135" s="4">
        <v>-0.2</v>
      </c>
      <c r="AZ135" s="4">
        <v>0.79200000000000004</v>
      </c>
      <c r="BA135" s="4">
        <v>0.499</v>
      </c>
      <c r="BB135" s="4">
        <v>-0.60099999999999998</v>
      </c>
      <c r="BC135" s="4">
        <v>-0.51700000000000002</v>
      </c>
      <c r="BD135" s="4">
        <v>-0.17699999999999999</v>
      </c>
      <c r="BE135" s="4">
        <v>-0.10299999999999999</v>
      </c>
      <c r="BF135" s="4">
        <v>-0.04</v>
      </c>
      <c r="BG135" s="4">
        <v>0.749</v>
      </c>
      <c r="BH135" s="4">
        <v>0.19800000000000001</v>
      </c>
      <c r="BI135" s="4">
        <v>0.57099999999999995</v>
      </c>
      <c r="BJ135" s="4">
        <v>-0.32800000000000001</v>
      </c>
      <c r="BK135" s="4">
        <v>-0.76800000000000002</v>
      </c>
      <c r="BL135" s="4">
        <v>0.27100000000000002</v>
      </c>
      <c r="BM135" s="4"/>
    </row>
    <row r="136" spans="1:65" x14ac:dyDescent="0.3">
      <c r="A136" s="19" t="s">
        <v>177</v>
      </c>
      <c r="B136" s="53">
        <v>0</v>
      </c>
      <c r="C136" s="53">
        <f t="shared" si="10"/>
        <v>0</v>
      </c>
      <c r="D136" s="53">
        <f t="shared" si="11"/>
        <v>0</v>
      </c>
      <c r="E136" s="53">
        <f t="shared" si="12"/>
        <v>0</v>
      </c>
      <c r="F136" s="15">
        <v>0.61699999999999999</v>
      </c>
      <c r="G136" s="19">
        <v>0.77300000000000002</v>
      </c>
      <c r="H136" s="24" t="s">
        <v>71</v>
      </c>
      <c r="I136" t="str">
        <f>VLOOKUP(A136,Setores!$A$2:$C$215,2,0)</f>
        <v>basic_materials</v>
      </c>
      <c r="J136" t="str">
        <f>VLOOKUP(A136,Setores!$A$2:$C$215,3,0)</f>
        <v>low_beta</v>
      </c>
      <c r="K136" s="2">
        <v>0</v>
      </c>
      <c r="L136" s="2">
        <v>0</v>
      </c>
      <c r="M136" s="71">
        <v>80</v>
      </c>
      <c r="N136" s="41">
        <f>VLOOKUP(A136,'Mandato Smll'!$A$2:$C$215,2,0)</f>
        <v>0</v>
      </c>
      <c r="O136" s="58">
        <f t="shared" si="13"/>
        <v>0</v>
      </c>
      <c r="P136" s="42">
        <f t="shared" si="14"/>
        <v>0</v>
      </c>
      <c r="Q136" s="41">
        <f>VLOOKUP(A136,'Mandato Smll'!$A$2:$C$215,3,0)</f>
        <v>0</v>
      </c>
      <c r="R136" s="58">
        <f t="shared" si="15"/>
        <v>0</v>
      </c>
      <c r="S136" s="15">
        <v>-0.90200000000000002</v>
      </c>
      <c r="T136" s="15">
        <v>-0.88700000000000001</v>
      </c>
      <c r="U136" s="15">
        <v>-0.91</v>
      </c>
      <c r="V136" s="15">
        <v>-0.85799999999999998</v>
      </c>
      <c r="W136" s="15">
        <v>-0.89400000000000002</v>
      </c>
      <c r="X136" s="15">
        <v>-0.56299999999999994</v>
      </c>
      <c r="Y136" s="15">
        <v>-0.223</v>
      </c>
      <c r="Z136" s="15">
        <v>-0.66300000000000003</v>
      </c>
      <c r="AA136" s="15">
        <v>0.58599999999999997</v>
      </c>
      <c r="AB136" s="15">
        <v>0.58099999999999996</v>
      </c>
      <c r="AC136" s="15">
        <v>0.58199999999999996</v>
      </c>
      <c r="AD136" s="15">
        <v>0.69799999999999995</v>
      </c>
      <c r="AE136" s="15">
        <v>0.56000000000000005</v>
      </c>
      <c r="AF136" s="14">
        <v>-0.78400000000000003</v>
      </c>
      <c r="AG136" s="15">
        <v>-0.97599999999999998</v>
      </c>
      <c r="AH136" s="15">
        <v>-0.68899999999999995</v>
      </c>
      <c r="AI136" s="15">
        <v>-0.80400000000000005</v>
      </c>
      <c r="AJ136" s="15">
        <v>-0.84099999999999997</v>
      </c>
      <c r="AK136" s="9">
        <v>-0.98599999999999999</v>
      </c>
      <c r="AL136" s="4">
        <v>5.8999999999999997E-2</v>
      </c>
      <c r="AM136" s="4">
        <v>-1.6E-2</v>
      </c>
      <c r="AN136" s="4">
        <v>-0.41799999999999998</v>
      </c>
      <c r="AO136" s="4">
        <v>-0.185</v>
      </c>
      <c r="AP136" s="4">
        <v>2.9000000000000001E-2</v>
      </c>
      <c r="AQ136" s="4">
        <v>-0.63400000000000001</v>
      </c>
      <c r="AR136" s="4">
        <v>-0.82299999999999995</v>
      </c>
      <c r="AS136" s="4">
        <v>-0.45500000000000002</v>
      </c>
      <c r="AT136" s="4">
        <v>-0.40300000000000002</v>
      </c>
      <c r="AU136" s="4">
        <v>-0.108</v>
      </c>
      <c r="AV136" s="4">
        <v>-0.187</v>
      </c>
      <c r="AW136" s="4">
        <v>-0.56799999999999995</v>
      </c>
      <c r="AX136" s="4">
        <v>0.99199999999999999</v>
      </c>
      <c r="AY136" s="4">
        <v>-0.373</v>
      </c>
      <c r="AZ136" s="4">
        <v>0.627</v>
      </c>
      <c r="BA136" s="4">
        <v>-0.50900000000000001</v>
      </c>
      <c r="BB136" s="4">
        <v>0.16200000000000001</v>
      </c>
      <c r="BC136" s="4">
        <v>6.0999999999999999E-2</v>
      </c>
      <c r="BD136" s="4">
        <v>6.9000000000000006E-2</v>
      </c>
      <c r="BE136" s="4">
        <v>0.31900000000000001</v>
      </c>
      <c r="BF136" s="4">
        <v>8.9999999999999993E-3</v>
      </c>
      <c r="BG136" s="4">
        <v>0.251</v>
      </c>
      <c r="BH136" s="4">
        <v>1</v>
      </c>
      <c r="BI136" s="4">
        <v>-0.161</v>
      </c>
      <c r="BJ136" s="4">
        <v>-0.60299999999999998</v>
      </c>
      <c r="BK136" s="4">
        <v>0.85899999999999999</v>
      </c>
      <c r="BL136" s="4">
        <v>-0.26700000000000002</v>
      </c>
      <c r="BM136" s="4"/>
    </row>
    <row r="137" spans="1:65" x14ac:dyDescent="0.3">
      <c r="A137" s="19" t="s">
        <v>159</v>
      </c>
      <c r="B137" s="53">
        <v>0</v>
      </c>
      <c r="C137" s="53">
        <f t="shared" si="10"/>
        <v>0</v>
      </c>
      <c r="D137" s="53">
        <f t="shared" si="11"/>
        <v>0</v>
      </c>
      <c r="E137" s="53">
        <f t="shared" si="12"/>
        <v>0</v>
      </c>
      <c r="F137" s="15">
        <v>0.61699999999999999</v>
      </c>
      <c r="G137" s="19">
        <v>0.78500000000000003</v>
      </c>
      <c r="H137" s="24" t="s">
        <v>71</v>
      </c>
      <c r="I137" t="str">
        <f>VLOOKUP(A137,Setores!$A$2:$C$215,2,0)</f>
        <v>basic_materials</v>
      </c>
      <c r="J137" t="str">
        <f>VLOOKUP(A137,Setores!$A$2:$C$215,3,0)</f>
        <v>low_beta</v>
      </c>
      <c r="K137" s="2">
        <v>0</v>
      </c>
      <c r="L137" s="2">
        <v>0</v>
      </c>
      <c r="M137" s="71">
        <v>80</v>
      </c>
      <c r="N137" s="41">
        <f>VLOOKUP(A137,'Mandato Smll'!$A$2:$C$215,2,0)</f>
        <v>0</v>
      </c>
      <c r="O137" s="58">
        <f t="shared" si="13"/>
        <v>0</v>
      </c>
      <c r="P137" s="42">
        <f t="shared" si="14"/>
        <v>0</v>
      </c>
      <c r="Q137" s="41">
        <f>VLOOKUP(A137,'Mandato Smll'!$A$2:$C$215,3,0)</f>
        <v>0</v>
      </c>
      <c r="R137" s="58">
        <f t="shared" si="15"/>
        <v>0</v>
      </c>
      <c r="S137" s="15">
        <v>-0.88900000000000001</v>
      </c>
      <c r="T137" s="15">
        <v>-0.873</v>
      </c>
      <c r="U137" s="15">
        <v>-0.92200000000000004</v>
      </c>
      <c r="V137" s="15">
        <v>-0.85</v>
      </c>
      <c r="W137" s="15">
        <v>-0.89300000000000002</v>
      </c>
      <c r="X137" s="15">
        <v>-0.53400000000000003</v>
      </c>
      <c r="Y137" s="15">
        <v>-0.21099999999999999</v>
      </c>
      <c r="Z137" s="15">
        <v>-0.63500000000000001</v>
      </c>
      <c r="AA137" s="15">
        <v>0.48499999999999999</v>
      </c>
      <c r="AB137" s="15">
        <v>0.48</v>
      </c>
      <c r="AC137" s="15">
        <v>0.56399999999999995</v>
      </c>
      <c r="AD137" s="15">
        <v>0.69499999999999995</v>
      </c>
      <c r="AE137" s="15">
        <v>0.55800000000000005</v>
      </c>
      <c r="AF137" s="14">
        <v>-0.78300000000000003</v>
      </c>
      <c r="AG137" s="15">
        <v>-0.97599999999999998</v>
      </c>
      <c r="AH137" s="15">
        <v>-0.64200000000000002</v>
      </c>
      <c r="AI137" s="15">
        <v>-0.80400000000000005</v>
      </c>
      <c r="AJ137" s="15">
        <v>-0.80800000000000005</v>
      </c>
      <c r="AK137" s="9">
        <v>-0.98599999999999999</v>
      </c>
      <c r="AL137" s="4">
        <v>5.8999999999999997E-2</v>
      </c>
      <c r="AM137" s="4">
        <v>3.0000000000000001E-3</v>
      </c>
      <c r="AN137" s="4">
        <v>-0.41799999999999998</v>
      </c>
      <c r="AO137" s="4">
        <v>-0.187</v>
      </c>
      <c r="AP137" s="4">
        <v>5.7000000000000002E-2</v>
      </c>
      <c r="AQ137" s="4">
        <v>-0.59299999999999997</v>
      </c>
      <c r="AR137" s="4">
        <v>-0.82299999999999995</v>
      </c>
      <c r="AS137" s="4">
        <v>-0.45500000000000002</v>
      </c>
      <c r="AT137" s="4">
        <v>-0.40300000000000002</v>
      </c>
      <c r="AU137" s="4">
        <v>-0.108</v>
      </c>
      <c r="AV137" s="4">
        <v>-0.187</v>
      </c>
      <c r="AW137" s="4">
        <v>-0.56799999999999995</v>
      </c>
      <c r="AX137" s="4">
        <v>0.97199999999999998</v>
      </c>
      <c r="AY137" s="4">
        <v>-0.373</v>
      </c>
      <c r="AZ137" s="4">
        <v>0.627</v>
      </c>
      <c r="BA137" s="4">
        <v>-0.437</v>
      </c>
      <c r="BB137" s="4">
        <v>0.65200000000000002</v>
      </c>
      <c r="BC137" s="4">
        <v>6.0999999999999999E-2</v>
      </c>
      <c r="BD137" s="4">
        <v>6.9000000000000006E-2</v>
      </c>
      <c r="BE137" s="4">
        <v>0.33</v>
      </c>
      <c r="BF137" s="4">
        <v>0.04</v>
      </c>
      <c r="BG137" s="4">
        <v>0.47199999999999998</v>
      </c>
      <c r="BH137" s="4">
        <v>0.93100000000000005</v>
      </c>
      <c r="BI137" s="4">
        <v>-0.19600000000000001</v>
      </c>
      <c r="BJ137" s="4">
        <v>-0.57599999999999996</v>
      </c>
      <c r="BK137" s="4">
        <v>0.56499999999999995</v>
      </c>
      <c r="BL137" s="4">
        <v>-0.26700000000000002</v>
      </c>
      <c r="BM137" s="4"/>
    </row>
    <row r="138" spans="1:65" x14ac:dyDescent="0.3">
      <c r="A138" s="19" t="s">
        <v>158</v>
      </c>
      <c r="B138" s="53">
        <v>0</v>
      </c>
      <c r="C138" s="53">
        <f t="shared" ref="C138:C201" si="16">B138-E138</f>
        <v>-1.0999999999999999E-2</v>
      </c>
      <c r="D138" s="53">
        <f t="shared" ref="D138:D201" si="17">B138-K138</f>
        <v>0</v>
      </c>
      <c r="E138" s="53">
        <f t="shared" ref="E138:E201" si="18">K138-L138</f>
        <v>1.0999999999999999E-2</v>
      </c>
      <c r="F138" s="15">
        <v>0.61699999999999999</v>
      </c>
      <c r="G138" s="19">
        <v>1.1339999999999999</v>
      </c>
      <c r="H138" s="24" t="s">
        <v>71</v>
      </c>
      <c r="I138" t="str">
        <f>VLOOKUP(A138,Setores!$A$2:$C$215,2,0)</f>
        <v>food</v>
      </c>
      <c r="J138" t="str">
        <f>VLOOKUP(A138,Setores!$A$2:$C$215,3,0)</f>
        <v>very_low_beta</v>
      </c>
      <c r="K138" s="2">
        <v>0</v>
      </c>
      <c r="L138" s="2">
        <v>-1.0999999999999999E-2</v>
      </c>
      <c r="M138" s="71">
        <v>68</v>
      </c>
      <c r="N138" s="41">
        <f>VLOOKUP(A138,'Mandato Smll'!$A$2:$C$215,2,0)</f>
        <v>0</v>
      </c>
      <c r="O138" s="58">
        <f t="shared" ref="O138:O201" si="19">K138-N138</f>
        <v>0</v>
      </c>
      <c r="P138" s="42">
        <f t="shared" ref="P138:P201" si="20">B138-N138</f>
        <v>0</v>
      </c>
      <c r="Q138" s="41">
        <f>VLOOKUP(A138,'Mandato Smll'!$A$2:$C$215,3,0)</f>
        <v>0</v>
      </c>
      <c r="R138" s="58">
        <f t="shared" ref="R138:R201" si="21">K138-Q138</f>
        <v>0</v>
      </c>
      <c r="S138" s="15">
        <v>-0.89900000000000002</v>
      </c>
      <c r="T138" s="15">
        <v>-0.75800000000000001</v>
      </c>
      <c r="U138" s="15">
        <v>-0.96199999999999997</v>
      </c>
      <c r="V138" s="15">
        <v>-0.81299999999999994</v>
      </c>
      <c r="W138" s="15">
        <v>-0.85399999999999998</v>
      </c>
      <c r="X138" s="15">
        <v>-0.65400000000000003</v>
      </c>
      <c r="Y138" s="15">
        <v>-0.52300000000000002</v>
      </c>
      <c r="Z138" s="15">
        <v>-0.54500000000000004</v>
      </c>
      <c r="AA138" s="15">
        <v>0.45200000000000001</v>
      </c>
      <c r="AB138" s="15">
        <v>0.44900000000000001</v>
      </c>
      <c r="AC138" s="15">
        <v>0.51700000000000002</v>
      </c>
      <c r="AD138" s="15">
        <v>0.61099999999999999</v>
      </c>
      <c r="AE138" s="15">
        <v>0.63</v>
      </c>
      <c r="AF138" s="14">
        <v>-0.90300000000000002</v>
      </c>
      <c r="AG138" s="15">
        <v>-1</v>
      </c>
      <c r="AH138" s="15">
        <v>2.4E-2</v>
      </c>
      <c r="AI138" s="15">
        <v>-0.80100000000000005</v>
      </c>
      <c r="AJ138" s="15">
        <v>9.5000000000000001E-2</v>
      </c>
      <c r="AK138" s="9">
        <v>-0.88700000000000001</v>
      </c>
      <c r="AL138" s="4">
        <v>-0.3</v>
      </c>
      <c r="AM138" s="4">
        <v>-0.30299999999999999</v>
      </c>
      <c r="AN138" s="4">
        <v>-0.57099999999999995</v>
      </c>
      <c r="AO138" s="4">
        <v>-0.38500000000000001</v>
      </c>
      <c r="AP138" s="4">
        <v>0.41</v>
      </c>
      <c r="AQ138" s="4">
        <v>0.872</v>
      </c>
      <c r="AR138" s="4">
        <v>-0.39600000000000002</v>
      </c>
      <c r="AS138" s="4">
        <v>-0.30299999999999999</v>
      </c>
      <c r="AT138" s="4">
        <v>-0.42899999999999999</v>
      </c>
      <c r="AU138" s="4">
        <v>-5.8000000000000003E-2</v>
      </c>
      <c r="AV138" s="4">
        <v>-0.50800000000000001</v>
      </c>
      <c r="AW138" s="4">
        <v>-0.47199999999999998</v>
      </c>
      <c r="AX138" s="4">
        <v>1</v>
      </c>
      <c r="AY138" s="4">
        <v>-0.36</v>
      </c>
      <c r="AZ138" s="4">
        <v>0.36</v>
      </c>
      <c r="BA138" s="4">
        <v>-0.92</v>
      </c>
      <c r="BB138" s="4">
        <v>-0.38400000000000001</v>
      </c>
      <c r="BC138" s="4">
        <v>-0.32400000000000001</v>
      </c>
      <c r="BD138" s="4">
        <v>-0.70299999999999996</v>
      </c>
      <c r="BE138" s="4">
        <v>0.222</v>
      </c>
      <c r="BF138" s="4">
        <v>-0.23</v>
      </c>
      <c r="BG138" s="4">
        <v>0.96699999999999997</v>
      </c>
      <c r="BH138" s="4">
        <v>0.81699999999999995</v>
      </c>
      <c r="BI138" s="4">
        <v>-0.19600000000000001</v>
      </c>
      <c r="BJ138" s="4">
        <v>-0.57299999999999995</v>
      </c>
      <c r="BK138" s="4">
        <v>4.5999999999999999E-2</v>
      </c>
      <c r="BL138" s="4">
        <v>-8.7999999999999995E-2</v>
      </c>
      <c r="BM138" s="4"/>
    </row>
    <row r="139" spans="1:65" x14ac:dyDescent="0.3">
      <c r="A139" s="19" t="s">
        <v>162</v>
      </c>
      <c r="B139" s="53">
        <v>0</v>
      </c>
      <c r="C139" s="53">
        <f t="shared" si="16"/>
        <v>0</v>
      </c>
      <c r="D139" s="53">
        <f t="shared" si="17"/>
        <v>0</v>
      </c>
      <c r="E139" s="53">
        <f t="shared" si="18"/>
        <v>0</v>
      </c>
      <c r="F139" s="15">
        <v>0.61599999999999999</v>
      </c>
      <c r="G139" s="19">
        <v>0.76200000000000001</v>
      </c>
      <c r="H139" s="24" t="s">
        <v>57</v>
      </c>
      <c r="I139" t="str">
        <f>VLOOKUP(A139,Setores!$A$2:$C$215,2,0)</f>
        <v>banks</v>
      </c>
      <c r="J139" t="str">
        <f>VLOOKUP(A139,Setores!$A$2:$C$215,3,0)</f>
        <v>neutral_beta</v>
      </c>
      <c r="K139" s="2">
        <v>0</v>
      </c>
      <c r="L139" s="2">
        <v>0</v>
      </c>
      <c r="M139" s="71">
        <v>80</v>
      </c>
      <c r="N139" s="41">
        <f>VLOOKUP(A139,'Mandato Smll'!$A$2:$C$215,2,0)</f>
        <v>0</v>
      </c>
      <c r="O139" s="58">
        <f t="shared" si="19"/>
        <v>0</v>
      </c>
      <c r="P139" s="42">
        <f t="shared" si="20"/>
        <v>0</v>
      </c>
      <c r="Q139" s="41">
        <f>VLOOKUP(A139,'Mandato Smll'!$A$2:$C$215,3,0)</f>
        <v>0</v>
      </c>
      <c r="R139" s="58">
        <f t="shared" si="21"/>
        <v>0</v>
      </c>
      <c r="S139" s="15">
        <v>-0.78</v>
      </c>
      <c r="T139" s="15">
        <v>-0.86799999999999999</v>
      </c>
      <c r="U139" s="15">
        <v>-0.77900000000000003</v>
      </c>
      <c r="V139" s="15">
        <v>-0.77100000000000002</v>
      </c>
      <c r="W139" s="15">
        <v>-0.83599999999999997</v>
      </c>
      <c r="X139" s="15">
        <v>-0.56799999999999995</v>
      </c>
      <c r="Y139" s="15">
        <v>-0.23499999999999999</v>
      </c>
      <c r="Z139" s="15">
        <v>-0.77300000000000002</v>
      </c>
      <c r="AA139" s="15">
        <v>0.5</v>
      </c>
      <c r="AB139" s="15">
        <v>0.495</v>
      </c>
      <c r="AC139" s="15">
        <v>0.66200000000000003</v>
      </c>
      <c r="AD139" s="15">
        <v>0.60699999999999998</v>
      </c>
      <c r="AE139" s="15">
        <v>0.56699999999999995</v>
      </c>
      <c r="AF139" s="14">
        <v>-0.71599999999999997</v>
      </c>
      <c r="AG139" s="15">
        <v>0.186</v>
      </c>
      <c r="AH139" s="15">
        <v>-0.75700000000000001</v>
      </c>
      <c r="AI139" s="15">
        <v>-0.86799999999999999</v>
      </c>
      <c r="AJ139" s="15">
        <v>-1</v>
      </c>
      <c r="AK139" s="9">
        <v>-0.998</v>
      </c>
      <c r="AL139" s="4">
        <v>-0.247</v>
      </c>
      <c r="AM139" s="4">
        <v>-2E-3</v>
      </c>
      <c r="AN139" s="4">
        <v>8.1000000000000003E-2</v>
      </c>
      <c r="AO139" s="4">
        <v>0.22600000000000001</v>
      </c>
      <c r="AP139" s="4">
        <v>-0.53400000000000003</v>
      </c>
      <c r="AQ139" s="4">
        <v>-0.46600000000000003</v>
      </c>
      <c r="AR139" s="4">
        <v>9.6000000000000002E-2</v>
      </c>
      <c r="AS139" s="4">
        <v>0.255</v>
      </c>
      <c r="AT139" s="4">
        <v>0.245</v>
      </c>
      <c r="AU139" s="4">
        <v>-0.17899999999999999</v>
      </c>
      <c r="AV139" s="4">
        <v>-0.35499999999999998</v>
      </c>
      <c r="AW139" s="4">
        <v>-0.72399999999999998</v>
      </c>
      <c r="AX139" s="4">
        <v>0.434</v>
      </c>
      <c r="AY139" s="4">
        <v>-0.438</v>
      </c>
      <c r="AZ139" s="4">
        <v>5.7000000000000002E-2</v>
      </c>
      <c r="BA139" s="4">
        <v>-0.6</v>
      </c>
      <c r="BB139" s="4">
        <v>0.27600000000000002</v>
      </c>
      <c r="BC139" s="4">
        <v>-0.108</v>
      </c>
      <c r="BD139" s="4">
        <v>-0.26900000000000002</v>
      </c>
      <c r="BE139" s="4">
        <v>0.23699999999999999</v>
      </c>
      <c r="BF139" s="4">
        <v>-0.11</v>
      </c>
      <c r="BG139" s="4">
        <v>0.29699999999999999</v>
      </c>
      <c r="BH139" s="4">
        <v>0.97299999999999998</v>
      </c>
      <c r="BI139" s="4">
        <v>-0.16800000000000001</v>
      </c>
      <c r="BJ139" s="4">
        <v>-0.14599999999999999</v>
      </c>
      <c r="BK139" s="4">
        <v>1</v>
      </c>
      <c r="BL139" s="4">
        <v>-0.57699999999999996</v>
      </c>
      <c r="BM139" s="4"/>
    </row>
    <row r="140" spans="1:65" ht="15" thickBot="1" x14ac:dyDescent="0.35">
      <c r="A140" s="19" t="s">
        <v>253</v>
      </c>
      <c r="B140" s="53">
        <v>0</v>
      </c>
      <c r="C140" s="53">
        <f t="shared" si="16"/>
        <v>-3.0000000000000001E-3</v>
      </c>
      <c r="D140" s="53">
        <f t="shared" si="17"/>
        <v>0</v>
      </c>
      <c r="E140" s="53">
        <f t="shared" si="18"/>
        <v>3.0000000000000001E-3</v>
      </c>
      <c r="F140" s="15">
        <v>0.61099999999999999</v>
      </c>
      <c r="G140" s="19">
        <v>0.50700000000000001</v>
      </c>
      <c r="H140" s="24" t="s">
        <v>68</v>
      </c>
      <c r="I140" t="str">
        <f>VLOOKUP(A140,Setores!$A$2:$C$215,2,0)</f>
        <v>capital_goods</v>
      </c>
      <c r="J140" t="str">
        <f>VLOOKUP(A140,Setores!$A$2:$C$215,3,0)</f>
        <v>very_high_beta</v>
      </c>
      <c r="K140" s="2">
        <v>0</v>
      </c>
      <c r="L140" s="2">
        <v>-3.0000000000000001E-3</v>
      </c>
      <c r="M140" s="71">
        <v>80</v>
      </c>
      <c r="N140" s="41">
        <f>VLOOKUP(A140,'Mandato Smll'!$A$2:$C$215,2,0)</f>
        <v>0</v>
      </c>
      <c r="O140" s="58">
        <f t="shared" si="19"/>
        <v>0</v>
      </c>
      <c r="P140" s="42">
        <f t="shared" si="20"/>
        <v>0</v>
      </c>
      <c r="Q140" s="41">
        <f>VLOOKUP(A140,'Mandato Smll'!$A$2:$C$215,3,0)</f>
        <v>0</v>
      </c>
      <c r="R140" s="58">
        <f t="shared" si="21"/>
        <v>0</v>
      </c>
      <c r="S140" s="15">
        <v>-0.52400000000000002</v>
      </c>
      <c r="T140" s="15">
        <v>-0.433</v>
      </c>
      <c r="U140" s="15">
        <v>-8.6999999999999994E-2</v>
      </c>
      <c r="V140" s="15">
        <v>-0.72899999999999998</v>
      </c>
      <c r="W140" s="15">
        <v>-0.47599999999999998</v>
      </c>
      <c r="X140" s="15">
        <v>-0.69099999999999995</v>
      </c>
      <c r="Y140" s="15">
        <v>-0.68400000000000005</v>
      </c>
      <c r="Z140" s="15">
        <v>-0.86899999999999999</v>
      </c>
      <c r="AA140" s="15">
        <v>0.26400000000000001</v>
      </c>
      <c r="AB140" s="15">
        <v>0.26300000000000001</v>
      </c>
      <c r="AC140" s="15">
        <v>0.53900000000000003</v>
      </c>
      <c r="AD140" s="15">
        <v>0.54</v>
      </c>
      <c r="AE140" s="15">
        <v>0.42099999999999999</v>
      </c>
      <c r="AF140" s="14">
        <v>-0.41599999999999998</v>
      </c>
      <c r="AG140" s="15">
        <v>-2.9000000000000001E-2</v>
      </c>
      <c r="AH140" s="15">
        <v>-0.34</v>
      </c>
      <c r="AI140" s="15">
        <v>1</v>
      </c>
      <c r="AJ140" s="15">
        <v>-0.60099999999999998</v>
      </c>
      <c r="AK140" s="9">
        <v>-0.66300000000000003</v>
      </c>
      <c r="AL140" s="4">
        <v>0.85099999999999998</v>
      </c>
      <c r="AM140" s="4">
        <v>-0.63500000000000001</v>
      </c>
      <c r="AN140" s="4">
        <v>0.63</v>
      </c>
      <c r="AO140" s="4">
        <v>-0.309</v>
      </c>
      <c r="AP140" s="4">
        <v>-0.71899999999999997</v>
      </c>
      <c r="AQ140" s="4">
        <v>-0.53400000000000003</v>
      </c>
      <c r="AR140" s="4">
        <v>-0.187</v>
      </c>
      <c r="AS140" s="4">
        <v>-0.23499999999999999</v>
      </c>
      <c r="AT140" s="4">
        <v>-0.436</v>
      </c>
      <c r="AU140" s="4">
        <v>3.2000000000000001E-2</v>
      </c>
      <c r="AV140" s="4">
        <v>-0.47099999999999997</v>
      </c>
      <c r="AW140" s="4">
        <v>-0.51100000000000001</v>
      </c>
      <c r="AX140" s="4">
        <v>-1.9E-2</v>
      </c>
      <c r="AY140" s="4">
        <v>-0.20100000000000001</v>
      </c>
      <c r="AZ140" s="4">
        <v>0.56899999999999995</v>
      </c>
      <c r="BA140" s="4">
        <v>6.5000000000000002E-2</v>
      </c>
      <c r="BB140" s="4">
        <v>-0.52600000000000002</v>
      </c>
      <c r="BC140" s="4">
        <v>8.1000000000000003E-2</v>
      </c>
      <c r="BD140" s="4">
        <v>0.27800000000000002</v>
      </c>
      <c r="BE140" s="4">
        <v>0.01</v>
      </c>
      <c r="BF140" s="4">
        <v>-0.13100000000000001</v>
      </c>
      <c r="BG140" s="4">
        <v>-7.0000000000000001E-3</v>
      </c>
      <c r="BH140" s="4">
        <v>0.57699999999999996</v>
      </c>
      <c r="BI140" s="4">
        <v>0.31</v>
      </c>
      <c r="BJ140" s="4">
        <v>0.67600000000000005</v>
      </c>
      <c r="BK140" s="4">
        <v>0.496</v>
      </c>
      <c r="BL140" s="4">
        <v>0.38400000000000001</v>
      </c>
      <c r="BM140" s="4"/>
    </row>
    <row r="141" spans="1:65" ht="15" thickBot="1" x14ac:dyDescent="0.35">
      <c r="A141" s="19" t="s">
        <v>161</v>
      </c>
      <c r="B141" s="53">
        <v>0</v>
      </c>
      <c r="C141" s="53">
        <f t="shared" si="16"/>
        <v>0</v>
      </c>
      <c r="D141" s="53">
        <f t="shared" si="17"/>
        <v>0</v>
      </c>
      <c r="E141" s="53">
        <f t="shared" si="18"/>
        <v>0</v>
      </c>
      <c r="F141" s="15">
        <v>0.60799999999999998</v>
      </c>
      <c r="G141" s="19">
        <v>0.72199999999999998</v>
      </c>
      <c r="H141" s="24" t="s">
        <v>57</v>
      </c>
      <c r="I141" t="str">
        <f>VLOOKUP(A141,Setores!$A$2:$C$215,2,0)</f>
        <v>banks</v>
      </c>
      <c r="J141" t="str">
        <f>VLOOKUP(A141,Setores!$A$2:$C$215,3,0)</f>
        <v>neutral_beta</v>
      </c>
      <c r="K141" s="2">
        <v>0</v>
      </c>
      <c r="L141" s="2">
        <v>0</v>
      </c>
      <c r="M141" s="71">
        <v>80</v>
      </c>
      <c r="N141" s="41">
        <f>VLOOKUP(A141,'Mandato Smll'!$A$2:$C$215,2,0)</f>
        <v>0</v>
      </c>
      <c r="O141" s="58">
        <f t="shared" si="19"/>
        <v>0</v>
      </c>
      <c r="P141" s="42">
        <f t="shared" si="20"/>
        <v>0</v>
      </c>
      <c r="Q141" s="41">
        <f>VLOOKUP(A141,'Mandato Smll'!$A$2:$C$215,3,0)</f>
        <v>0</v>
      </c>
      <c r="R141" s="58">
        <f t="shared" si="21"/>
        <v>0</v>
      </c>
      <c r="S141" s="15">
        <v>-0.78700000000000003</v>
      </c>
      <c r="T141" s="15">
        <v>-0.87</v>
      </c>
      <c r="U141" s="15">
        <v>-0.78</v>
      </c>
      <c r="V141" s="15">
        <v>-0.78</v>
      </c>
      <c r="W141" s="15">
        <v>-0.84</v>
      </c>
      <c r="X141" s="15">
        <v>-0.61</v>
      </c>
      <c r="Y141" s="15">
        <v>-0.38100000000000001</v>
      </c>
      <c r="Z141" s="15">
        <v>-0.76800000000000002</v>
      </c>
      <c r="AA141" s="15">
        <v>0.46800000000000003</v>
      </c>
      <c r="AB141" s="15">
        <v>0.46400000000000002</v>
      </c>
      <c r="AC141" s="15">
        <v>0.63400000000000001</v>
      </c>
      <c r="AD141" s="15">
        <v>0.67100000000000004</v>
      </c>
      <c r="AE141" s="15">
        <v>0.56699999999999995</v>
      </c>
      <c r="AF141" s="14">
        <v>-0.73399999999999999</v>
      </c>
      <c r="AG141" s="15">
        <v>0.16800000000000001</v>
      </c>
      <c r="AH141" s="15">
        <v>-0.7</v>
      </c>
      <c r="AI141" s="15">
        <v>-0.871</v>
      </c>
      <c r="AJ141" s="15">
        <v>-1</v>
      </c>
      <c r="AK141" s="9">
        <v>-1</v>
      </c>
      <c r="AL141" s="4">
        <v>-0.22600000000000001</v>
      </c>
      <c r="AM141" s="4">
        <v>-1.4999999999999999E-2</v>
      </c>
      <c r="AN141" s="4">
        <v>7.9000000000000001E-2</v>
      </c>
      <c r="AO141" s="4">
        <v>0.20100000000000001</v>
      </c>
      <c r="AP141" s="4">
        <v>-0.47799999999999998</v>
      </c>
      <c r="AQ141" s="4">
        <v>-0.499</v>
      </c>
      <c r="AR141" s="4">
        <v>9.6000000000000002E-2</v>
      </c>
      <c r="AS141" s="4">
        <v>0.255</v>
      </c>
      <c r="AT141" s="4">
        <v>0.245</v>
      </c>
      <c r="AU141" s="4">
        <v>-0.19900000000000001</v>
      </c>
      <c r="AV141" s="4">
        <v>-0.52400000000000002</v>
      </c>
      <c r="AW141" s="89">
        <v>-0.74299999999999999</v>
      </c>
      <c r="AX141" s="4">
        <v>0.34100000000000003</v>
      </c>
      <c r="AY141" s="4">
        <v>-0.42099999999999999</v>
      </c>
      <c r="AZ141" s="4">
        <v>5.7000000000000002E-2</v>
      </c>
      <c r="BA141" s="4">
        <v>-0.437</v>
      </c>
      <c r="BB141" s="4">
        <v>0.19700000000000001</v>
      </c>
      <c r="BC141" s="4">
        <v>-0.158</v>
      </c>
      <c r="BD141" s="4">
        <v>-0.23</v>
      </c>
      <c r="BE141" s="4">
        <v>0.26</v>
      </c>
      <c r="BF141" s="4">
        <v>7.4999999999999997E-2</v>
      </c>
      <c r="BG141" s="4">
        <v>-0.124</v>
      </c>
      <c r="BH141" s="4">
        <v>0.92</v>
      </c>
      <c r="BI141" s="4">
        <v>-0.23</v>
      </c>
      <c r="BJ141" s="4">
        <v>-1.7999999999999999E-2</v>
      </c>
      <c r="BK141" s="4">
        <v>1</v>
      </c>
      <c r="BL141" s="4">
        <v>-0.57699999999999996</v>
      </c>
      <c r="BM141" s="4"/>
    </row>
    <row r="142" spans="1:65" x14ac:dyDescent="0.3">
      <c r="A142" s="19" t="s">
        <v>236</v>
      </c>
      <c r="B142" s="53">
        <v>0</v>
      </c>
      <c r="C142" s="53">
        <f t="shared" si="16"/>
        <v>-5.0000000000000001E-3</v>
      </c>
      <c r="D142" s="53">
        <f t="shared" si="17"/>
        <v>0</v>
      </c>
      <c r="E142" s="53">
        <f t="shared" si="18"/>
        <v>5.0000000000000001E-3</v>
      </c>
      <c r="F142" s="15">
        <v>0.60699999999999998</v>
      </c>
      <c r="G142" s="19">
        <v>0.73399999999999999</v>
      </c>
      <c r="H142" s="24" t="s">
        <v>68</v>
      </c>
      <c r="I142" t="str">
        <f>VLOOKUP(A142,Setores!$A$2:$C$215,2,0)</f>
        <v>building_materials</v>
      </c>
      <c r="J142" t="str">
        <f>VLOOKUP(A142,Setores!$A$2:$C$215,3,0)</f>
        <v>very_high_beta</v>
      </c>
      <c r="K142" s="2">
        <v>0</v>
      </c>
      <c r="L142" s="2">
        <v>-5.0000000000000001E-3</v>
      </c>
      <c r="M142" s="71">
        <v>80</v>
      </c>
      <c r="N142" s="41">
        <f>VLOOKUP(A142,'Mandato Smll'!$A$2:$C$215,2,0)</f>
        <v>0</v>
      </c>
      <c r="O142" s="58">
        <f t="shared" si="19"/>
        <v>0</v>
      </c>
      <c r="P142" s="42">
        <f t="shared" si="20"/>
        <v>0</v>
      </c>
      <c r="Q142" s="41">
        <f>VLOOKUP(A142,'Mandato Smll'!$A$2:$C$215,3,0)</f>
        <v>0</v>
      </c>
      <c r="R142" s="58">
        <f t="shared" si="21"/>
        <v>0</v>
      </c>
      <c r="S142" s="15">
        <v>-0.63400000000000001</v>
      </c>
      <c r="T142" s="15">
        <v>-0.41499999999999998</v>
      </c>
      <c r="U142" s="15">
        <v>-0.66300000000000003</v>
      </c>
      <c r="V142" s="15">
        <v>-0.76200000000000001</v>
      </c>
      <c r="W142" s="15">
        <v>-0.71299999999999997</v>
      </c>
      <c r="X142" s="15">
        <v>-0.77300000000000002</v>
      </c>
      <c r="Y142" s="15">
        <v>-0.77300000000000002</v>
      </c>
      <c r="Z142" s="15">
        <v>-0.77</v>
      </c>
      <c r="AA142" s="15">
        <v>0.107</v>
      </c>
      <c r="AB142" s="15">
        <v>0.104</v>
      </c>
      <c r="AC142" s="15">
        <v>0.64500000000000002</v>
      </c>
      <c r="AD142" s="15">
        <v>0.69799999999999995</v>
      </c>
      <c r="AE142" s="15">
        <v>0.63400000000000001</v>
      </c>
      <c r="AF142" s="14">
        <v>-0.46300000000000002</v>
      </c>
      <c r="AG142" s="15">
        <v>-0.74399999999999999</v>
      </c>
      <c r="AH142" s="15">
        <v>-0.248</v>
      </c>
      <c r="AI142" s="15">
        <v>-0.48499999999999999</v>
      </c>
      <c r="AJ142" s="15">
        <v>-0.312</v>
      </c>
      <c r="AK142" s="9">
        <v>-0.84199999999999997</v>
      </c>
      <c r="AL142" s="4">
        <v>6.8000000000000005E-2</v>
      </c>
      <c r="AM142" s="4">
        <v>-0.77900000000000003</v>
      </c>
      <c r="AN142" s="4">
        <v>6.9000000000000006E-2</v>
      </c>
      <c r="AO142" s="4">
        <v>-0.24</v>
      </c>
      <c r="AP142" s="4">
        <v>1.4999999999999999E-2</v>
      </c>
      <c r="AQ142" s="4">
        <v>-0.02</v>
      </c>
      <c r="AR142" s="4">
        <v>-0.71299999999999997</v>
      </c>
      <c r="AS142" s="4">
        <v>0.34599999999999997</v>
      </c>
      <c r="AT142" s="4">
        <v>0.30199999999999999</v>
      </c>
      <c r="AU142" s="4">
        <v>-0.129</v>
      </c>
      <c r="AV142" s="4">
        <v>-0.34399999999999997</v>
      </c>
      <c r="AW142" s="4">
        <v>-0.216</v>
      </c>
      <c r="AX142" s="4">
        <v>2.4E-2</v>
      </c>
      <c r="AY142" s="4">
        <v>-0.23899999999999999</v>
      </c>
      <c r="AZ142" s="4">
        <v>0.85299999999999998</v>
      </c>
      <c r="BA142" s="4">
        <v>0.14899999999999999</v>
      </c>
      <c r="BB142" s="4">
        <v>0.45100000000000001</v>
      </c>
      <c r="BC142" s="4">
        <v>-5.0000000000000001E-3</v>
      </c>
      <c r="BD142" s="4">
        <v>1.2999999999999999E-2</v>
      </c>
      <c r="BE142" s="4">
        <v>0.214</v>
      </c>
      <c r="BF142" s="4">
        <v>-0.11899999999999999</v>
      </c>
      <c r="BG142" s="4">
        <v>-0.155</v>
      </c>
      <c r="BH142" s="4">
        <v>1.4999999999999999E-2</v>
      </c>
      <c r="BI142" s="4">
        <v>0.17399999999999999</v>
      </c>
      <c r="BJ142" s="4">
        <v>0.76900000000000002</v>
      </c>
      <c r="BK142" s="4">
        <v>0.43</v>
      </c>
      <c r="BL142" s="4">
        <v>-0.14199999999999999</v>
      </c>
      <c r="BM142" s="4"/>
    </row>
    <row r="143" spans="1:65" x14ac:dyDescent="0.3">
      <c r="A143" s="19" t="s">
        <v>149</v>
      </c>
      <c r="B143" s="53">
        <v>0</v>
      </c>
      <c r="C143" s="53">
        <f t="shared" si="16"/>
        <v>-2E-3</v>
      </c>
      <c r="D143" s="53">
        <f t="shared" si="17"/>
        <v>0</v>
      </c>
      <c r="E143" s="53">
        <f t="shared" si="18"/>
        <v>2E-3</v>
      </c>
      <c r="F143" s="15">
        <v>0.60299999999999998</v>
      </c>
      <c r="G143" s="19">
        <v>0.439</v>
      </c>
      <c r="H143" s="24" t="s">
        <v>53</v>
      </c>
      <c r="I143" t="str">
        <f>VLOOKUP(A143,Setores!$A$2:$C$215,2,0)</f>
        <v>healthcare</v>
      </c>
      <c r="J143" t="str">
        <f>VLOOKUP(A143,Setores!$A$2:$C$215,3,0)</f>
        <v>very_high_beta</v>
      </c>
      <c r="K143" s="2">
        <v>0</v>
      </c>
      <c r="L143" s="2">
        <v>-2E-3</v>
      </c>
      <c r="M143" s="71">
        <v>80</v>
      </c>
      <c r="N143" s="41">
        <f>VLOOKUP(A143,'Mandato Smll'!$A$2:$C$215,2,0)</f>
        <v>0</v>
      </c>
      <c r="O143" s="58">
        <f t="shared" si="19"/>
        <v>0</v>
      </c>
      <c r="P143" s="42">
        <f t="shared" si="20"/>
        <v>0</v>
      </c>
      <c r="Q143" s="41">
        <f>VLOOKUP(A143,'Mandato Smll'!$A$2:$C$215,3,0)</f>
        <v>0</v>
      </c>
      <c r="R143" s="58">
        <f t="shared" si="21"/>
        <v>0</v>
      </c>
      <c r="S143" s="15">
        <v>-0.27500000000000002</v>
      </c>
      <c r="T143" s="15">
        <v>0.13600000000000001</v>
      </c>
      <c r="U143" s="15">
        <v>-0.14000000000000001</v>
      </c>
      <c r="V143" s="15">
        <v>-0.66300000000000003</v>
      </c>
      <c r="W143" s="15">
        <v>-0.3</v>
      </c>
      <c r="X143" s="15">
        <v>-0.72199999999999998</v>
      </c>
      <c r="Y143" s="15">
        <v>-0.66700000000000004</v>
      </c>
      <c r="Z143" s="15">
        <v>-0.876</v>
      </c>
      <c r="AA143" s="15">
        <v>-0.26100000000000001</v>
      </c>
      <c r="AB143" s="15">
        <v>-0.25800000000000001</v>
      </c>
      <c r="AC143" s="15">
        <v>0.26700000000000002</v>
      </c>
      <c r="AD143" s="15">
        <v>0.129</v>
      </c>
      <c r="AE143" s="15">
        <v>0.38800000000000001</v>
      </c>
      <c r="AF143" s="14">
        <v>-0.39300000000000002</v>
      </c>
      <c r="AG143" s="15">
        <v>-0.28899999999999998</v>
      </c>
      <c r="AH143" s="15">
        <v>-0.154</v>
      </c>
      <c r="AI143" s="15">
        <v>0.70799999999999996</v>
      </c>
      <c r="AJ143" s="15">
        <v>0.186</v>
      </c>
      <c r="AK143" s="9">
        <v>-0.23899999999999999</v>
      </c>
      <c r="AL143" s="4">
        <v>0.11600000000000001</v>
      </c>
      <c r="AM143" s="4">
        <v>-0.96199999999999997</v>
      </c>
      <c r="AN143" s="4">
        <v>0.34899999999999998</v>
      </c>
      <c r="AO143" s="4">
        <v>-0.23100000000000001</v>
      </c>
      <c r="AP143" s="4">
        <v>-0.46400000000000002</v>
      </c>
      <c r="AQ143" s="4">
        <v>-0.17799999999999999</v>
      </c>
      <c r="AR143" s="4">
        <v>-0.15</v>
      </c>
      <c r="AS143" s="4">
        <v>0.47399999999999998</v>
      </c>
      <c r="AT143" s="4">
        <v>0.438</v>
      </c>
      <c r="AU143" s="4">
        <v>-1E-3</v>
      </c>
      <c r="AV143" s="4">
        <v>0.32700000000000001</v>
      </c>
      <c r="AW143" s="4">
        <v>-0.152</v>
      </c>
      <c r="AX143" s="4">
        <v>-0.70399999999999996</v>
      </c>
      <c r="AY143" s="4">
        <v>-0.128</v>
      </c>
      <c r="AZ143" s="4">
        <v>0.49</v>
      </c>
      <c r="BA143" s="4">
        <v>-1</v>
      </c>
      <c r="BB143" s="4">
        <v>0.20899999999999999</v>
      </c>
      <c r="BC143" s="4">
        <v>0.22</v>
      </c>
      <c r="BD143" s="4">
        <v>0.248</v>
      </c>
      <c r="BE143" s="4">
        <v>0.34799999999999998</v>
      </c>
      <c r="BF143" s="4">
        <v>0.16800000000000001</v>
      </c>
      <c r="BG143" s="4">
        <v>-4.2999999999999997E-2</v>
      </c>
      <c r="BH143" s="4">
        <v>9.6000000000000002E-2</v>
      </c>
      <c r="BI143" s="4">
        <v>0.91200000000000003</v>
      </c>
      <c r="BJ143" s="4">
        <v>0.57899999999999996</v>
      </c>
      <c r="BK143" s="4">
        <v>-0.192</v>
      </c>
      <c r="BL143" s="4">
        <v>0.93</v>
      </c>
      <c r="BM143" s="4"/>
    </row>
    <row r="144" spans="1:65" x14ac:dyDescent="0.3">
      <c r="A144" s="19" t="s">
        <v>172</v>
      </c>
      <c r="B144" s="53">
        <v>0</v>
      </c>
      <c r="C144" s="53">
        <f t="shared" si="16"/>
        <v>0</v>
      </c>
      <c r="D144" s="53">
        <f t="shared" si="17"/>
        <v>0</v>
      </c>
      <c r="E144" s="53">
        <f t="shared" si="18"/>
        <v>0</v>
      </c>
      <c r="F144" s="15">
        <v>0.59299999999999997</v>
      </c>
      <c r="G144" s="19">
        <v>0.74</v>
      </c>
      <c r="H144" s="24" t="s">
        <v>71</v>
      </c>
      <c r="I144" t="str">
        <f>VLOOKUP(A144,Setores!$A$2:$C$215,2,0)</f>
        <v>basic_materials</v>
      </c>
      <c r="J144" t="str">
        <f>VLOOKUP(A144,Setores!$A$2:$C$215,3,0)</f>
        <v>low_beta</v>
      </c>
      <c r="K144" s="2">
        <v>0</v>
      </c>
      <c r="L144" s="2">
        <v>0</v>
      </c>
      <c r="M144" s="71">
        <v>37</v>
      </c>
      <c r="N144" s="41">
        <f>VLOOKUP(A144,'Mandato Smll'!$A$2:$C$215,2,0)</f>
        <v>0</v>
      </c>
      <c r="O144" s="58">
        <f t="shared" si="19"/>
        <v>0</v>
      </c>
      <c r="P144" s="42">
        <f t="shared" si="20"/>
        <v>0</v>
      </c>
      <c r="Q144" s="41">
        <f>VLOOKUP(A144,'Mandato Smll'!$A$2:$C$215,3,0)</f>
        <v>0</v>
      </c>
      <c r="R144" s="58">
        <f t="shared" si="21"/>
        <v>0</v>
      </c>
      <c r="S144" s="15">
        <v>-0.94799999999999995</v>
      </c>
      <c r="T144" s="15">
        <v>-0.90500000000000003</v>
      </c>
      <c r="U144" s="15">
        <v>-0.98199999999999998</v>
      </c>
      <c r="V144" s="15">
        <v>-0.874</v>
      </c>
      <c r="W144" s="15">
        <v>-0.92100000000000004</v>
      </c>
      <c r="X144" s="15">
        <v>-0.67100000000000004</v>
      </c>
      <c r="Y144" s="15">
        <v>-0.36199999999999999</v>
      </c>
      <c r="Z144" s="15">
        <v>-0.67200000000000004</v>
      </c>
      <c r="AA144" s="15">
        <v>0.54400000000000004</v>
      </c>
      <c r="AB144" s="15">
        <v>0.53800000000000003</v>
      </c>
      <c r="AC144" s="15">
        <v>0.59299999999999997</v>
      </c>
      <c r="AD144" s="15">
        <v>0.65400000000000003</v>
      </c>
      <c r="AE144" s="15">
        <v>0.503</v>
      </c>
      <c r="AF144" s="14">
        <v>-0.78300000000000003</v>
      </c>
      <c r="AG144" s="15">
        <v>-0.97499999999999998</v>
      </c>
      <c r="AH144" s="15">
        <v>-0.56899999999999995</v>
      </c>
      <c r="AI144" s="15">
        <v>-0.80400000000000005</v>
      </c>
      <c r="AJ144" s="15">
        <v>-0.75600000000000001</v>
      </c>
      <c r="AK144" s="9">
        <v>-0.98599999999999999</v>
      </c>
      <c r="AL144" s="4">
        <v>5.8999999999999997E-2</v>
      </c>
      <c r="AM144" s="4">
        <v>0</v>
      </c>
      <c r="AN144" s="4">
        <v>-0.41799999999999998</v>
      </c>
      <c r="AO144" s="4">
        <v>-0.185</v>
      </c>
      <c r="AP144" s="4">
        <v>0.08</v>
      </c>
      <c r="AQ144" s="4">
        <v>-0.623</v>
      </c>
      <c r="AR144" s="4">
        <v>-0.82299999999999995</v>
      </c>
      <c r="AS144" s="4">
        <v>-0.45500000000000002</v>
      </c>
      <c r="AT144" s="4">
        <v>-0.40300000000000002</v>
      </c>
      <c r="AU144" s="4">
        <v>-0.108</v>
      </c>
      <c r="AV144" s="4">
        <v>-0.187</v>
      </c>
      <c r="AW144" s="4">
        <v>-0.56799999999999995</v>
      </c>
      <c r="AX144" s="4">
        <v>0.95699999999999996</v>
      </c>
      <c r="AY144" s="4">
        <v>-0.373</v>
      </c>
      <c r="AZ144" s="4">
        <v>0.627</v>
      </c>
      <c r="BA144" s="4">
        <v>-0.58399999999999996</v>
      </c>
      <c r="BB144" s="4">
        <v>-0.60799999999999998</v>
      </c>
      <c r="BC144" s="4">
        <v>6.0999999999999999E-2</v>
      </c>
      <c r="BD144" s="4">
        <v>6.9000000000000006E-2</v>
      </c>
      <c r="BE144" s="4">
        <v>0.32400000000000001</v>
      </c>
      <c r="BF144" s="4">
        <v>8.7999999999999995E-2</v>
      </c>
      <c r="BG144" s="4">
        <v>0.42899999999999999</v>
      </c>
      <c r="BH144" s="4">
        <v>0.98399999999999999</v>
      </c>
      <c r="BI144" s="4">
        <v>-0.219</v>
      </c>
      <c r="BJ144" s="4">
        <v>-0.60099999999999998</v>
      </c>
      <c r="BK144" s="4">
        <v>-4.2999999999999997E-2</v>
      </c>
      <c r="BL144" s="4">
        <v>-0.26700000000000002</v>
      </c>
      <c r="BM144" s="4"/>
    </row>
    <row r="145" spans="1:65" x14ac:dyDescent="0.3">
      <c r="A145" s="19" t="s">
        <v>200</v>
      </c>
      <c r="B145" s="53">
        <v>0</v>
      </c>
      <c r="C145" s="53">
        <f t="shared" si="16"/>
        <v>0</v>
      </c>
      <c r="D145" s="53">
        <f t="shared" si="17"/>
        <v>0</v>
      </c>
      <c r="E145" s="53">
        <f t="shared" si="18"/>
        <v>0</v>
      </c>
      <c r="F145" s="15">
        <v>0.59099999999999997</v>
      </c>
      <c r="G145" s="19">
        <v>0.78100000000000003</v>
      </c>
      <c r="H145" s="24" t="s">
        <v>55</v>
      </c>
      <c r="I145" t="str">
        <f>VLOOKUP(A145,Setores!$A$2:$C$215,2,0)</f>
        <v>transportation</v>
      </c>
      <c r="J145" t="str">
        <f>VLOOKUP(A145,Setores!$A$2:$C$215,3,0)</f>
        <v>high_beta</v>
      </c>
      <c r="K145" s="2">
        <v>0</v>
      </c>
      <c r="L145" s="2">
        <v>0</v>
      </c>
      <c r="M145" s="71">
        <v>35</v>
      </c>
      <c r="N145" s="41">
        <f>VLOOKUP(A145,'Mandato Smll'!$A$2:$C$215,2,0)</f>
        <v>0</v>
      </c>
      <c r="O145" s="58">
        <f t="shared" si="19"/>
        <v>0</v>
      </c>
      <c r="P145" s="42">
        <f t="shared" si="20"/>
        <v>0</v>
      </c>
      <c r="Q145" s="41">
        <f>VLOOKUP(A145,'Mandato Smll'!$A$2:$C$215,3,0)</f>
        <v>0</v>
      </c>
      <c r="R145" s="58">
        <f t="shared" si="21"/>
        <v>0</v>
      </c>
      <c r="S145" s="15">
        <v>-0.73099999999999998</v>
      </c>
      <c r="T145" s="15">
        <v>-0.82099999999999995</v>
      </c>
      <c r="U145" s="15">
        <v>-0.91400000000000003</v>
      </c>
      <c r="V145" s="15">
        <v>-0.70899999999999996</v>
      </c>
      <c r="W145" s="15">
        <v>-0.874</v>
      </c>
      <c r="X145" s="15">
        <v>-0.40799999999999997</v>
      </c>
      <c r="Y145" s="15">
        <v>5.0000000000000001E-3</v>
      </c>
      <c r="Z145" s="15">
        <v>-0.78400000000000003</v>
      </c>
      <c r="AA145" s="15">
        <v>-2.1999999999999999E-2</v>
      </c>
      <c r="AB145" s="15">
        <v>-1.9E-2</v>
      </c>
      <c r="AC145" s="15">
        <v>0.59699999999999998</v>
      </c>
      <c r="AD145" s="15">
        <v>0.58099999999999996</v>
      </c>
      <c r="AE145" s="15">
        <v>0.432</v>
      </c>
      <c r="AF145" s="14">
        <v>-0.497</v>
      </c>
      <c r="AG145" s="15">
        <v>-0.59599999999999997</v>
      </c>
      <c r="AH145" s="15">
        <v>-0.57599999999999996</v>
      </c>
      <c r="AI145" s="15">
        <v>-0.91300000000000003</v>
      </c>
      <c r="AJ145" s="15">
        <v>-0.81399999999999995</v>
      </c>
      <c r="AK145" s="9">
        <v>-0.95</v>
      </c>
      <c r="AL145" s="4">
        <v>-0.223</v>
      </c>
      <c r="AM145" s="4">
        <v>-0.60199999999999998</v>
      </c>
      <c r="AN145" s="4">
        <v>-0.55500000000000005</v>
      </c>
      <c r="AO145" s="4">
        <v>-0.14699999999999999</v>
      </c>
      <c r="AP145" s="4">
        <v>-0.30599999999999999</v>
      </c>
      <c r="AQ145" s="4">
        <v>0.12</v>
      </c>
      <c r="AR145" s="4">
        <v>0.20799999999999999</v>
      </c>
      <c r="AS145" s="4">
        <v>0.26</v>
      </c>
      <c r="AT145" s="4">
        <v>0.1</v>
      </c>
      <c r="AU145" s="4">
        <v>0.122</v>
      </c>
      <c r="AV145" s="4">
        <v>0.251</v>
      </c>
      <c r="AW145" s="4">
        <v>7.0000000000000001E-3</v>
      </c>
      <c r="AX145" s="4">
        <v>0.33200000000000002</v>
      </c>
      <c r="AY145" s="4">
        <v>-0.69199999999999995</v>
      </c>
      <c r="AZ145" s="4">
        <v>0.74399999999999999</v>
      </c>
      <c r="BA145" s="4">
        <v>3.3000000000000002E-2</v>
      </c>
      <c r="BB145" s="4">
        <v>0.79300000000000004</v>
      </c>
      <c r="BC145" s="4">
        <v>-0.309</v>
      </c>
      <c r="BD145" s="4">
        <v>-0.255</v>
      </c>
      <c r="BE145" s="4">
        <v>0.33600000000000002</v>
      </c>
      <c r="BF145" s="4">
        <v>8.2000000000000003E-2</v>
      </c>
      <c r="BG145" s="4">
        <v>-0.28299999999999997</v>
      </c>
      <c r="BH145" s="4">
        <v>0.7</v>
      </c>
      <c r="BI145" s="4">
        <v>-0.28899999999999998</v>
      </c>
      <c r="BJ145" s="4">
        <v>0.53500000000000003</v>
      </c>
      <c r="BK145" s="4">
        <v>-0.14099999999999999</v>
      </c>
      <c r="BL145" s="4">
        <v>-0.68799999999999994</v>
      </c>
      <c r="BM145" s="4"/>
    </row>
    <row r="146" spans="1:65" x14ac:dyDescent="0.3">
      <c r="A146" s="19" t="s">
        <v>148</v>
      </c>
      <c r="B146" s="53">
        <v>0</v>
      </c>
      <c r="C146" s="53">
        <f t="shared" si="16"/>
        <v>-4.0000000000000001E-3</v>
      </c>
      <c r="D146" s="53">
        <f t="shared" si="17"/>
        <v>0</v>
      </c>
      <c r="E146" s="53">
        <f t="shared" si="18"/>
        <v>4.0000000000000001E-3</v>
      </c>
      <c r="F146" s="15">
        <v>0.59099999999999997</v>
      </c>
      <c r="G146" s="19">
        <v>0.57599999999999996</v>
      </c>
      <c r="H146" s="24" t="s">
        <v>68</v>
      </c>
      <c r="I146" t="str">
        <f>VLOOKUP(A146,Setores!$A$2:$C$215,2,0)</f>
        <v>capital_goods</v>
      </c>
      <c r="J146" t="str">
        <f>VLOOKUP(A146,Setores!$A$2:$C$215,3,0)</f>
        <v>high_beta</v>
      </c>
      <c r="K146" s="2">
        <v>0</v>
      </c>
      <c r="L146" s="2">
        <v>-4.0000000000000001E-3</v>
      </c>
      <c r="M146" s="71">
        <v>80</v>
      </c>
      <c r="N146" s="41">
        <f>VLOOKUP(A146,'Mandato Smll'!$A$2:$C$215,2,0)</f>
        <v>0</v>
      </c>
      <c r="O146" s="58">
        <f t="shared" si="19"/>
        <v>0</v>
      </c>
      <c r="P146" s="42">
        <f t="shared" si="20"/>
        <v>0</v>
      </c>
      <c r="Q146" s="41">
        <f>VLOOKUP(A146,'Mandato Smll'!$A$2:$C$215,3,0)</f>
        <v>0</v>
      </c>
      <c r="R146" s="58">
        <f t="shared" si="21"/>
        <v>0</v>
      </c>
      <c r="S146" s="15">
        <v>-0.73499999999999999</v>
      </c>
      <c r="T146" s="15">
        <v>-0.85699999999999998</v>
      </c>
      <c r="U146" s="15">
        <v>-0.60599999999999998</v>
      </c>
      <c r="V146" s="15">
        <v>-0.78500000000000003</v>
      </c>
      <c r="W146" s="15">
        <v>-0.83199999999999996</v>
      </c>
      <c r="X146" s="15">
        <v>-0.50900000000000001</v>
      </c>
      <c r="Y146" s="15">
        <v>-0.17699999999999999</v>
      </c>
      <c r="Z146" s="15">
        <v>-0.74399999999999999</v>
      </c>
      <c r="AA146" s="15">
        <v>8.6999999999999994E-2</v>
      </c>
      <c r="AB146" s="15">
        <v>8.6999999999999994E-2</v>
      </c>
      <c r="AC146" s="15">
        <v>0.41899999999999998</v>
      </c>
      <c r="AD146" s="15">
        <v>0.46700000000000003</v>
      </c>
      <c r="AE146" s="15">
        <v>0.441</v>
      </c>
      <c r="AF146" s="14">
        <v>-0.39300000000000002</v>
      </c>
      <c r="AG146" s="15">
        <v>-0.97499999999999998</v>
      </c>
      <c r="AH146" s="15">
        <v>-0.97199999999999998</v>
      </c>
      <c r="AI146" s="15">
        <v>-0.153</v>
      </c>
      <c r="AJ146" s="15">
        <v>-0.35899999999999999</v>
      </c>
      <c r="AK146" s="9">
        <v>0.129</v>
      </c>
      <c r="AL146" s="4">
        <v>-5.7000000000000002E-2</v>
      </c>
      <c r="AM146" s="4">
        <v>0.104</v>
      </c>
      <c r="AN146" s="4">
        <v>-0.67200000000000004</v>
      </c>
      <c r="AO146" s="4">
        <v>-0.16700000000000001</v>
      </c>
      <c r="AP146" s="4">
        <v>-0.68799999999999994</v>
      </c>
      <c r="AQ146" s="4">
        <v>-0.4</v>
      </c>
      <c r="AR146" s="4">
        <v>-0.69599999999999995</v>
      </c>
      <c r="AS146" s="4">
        <v>-2.5999999999999999E-2</v>
      </c>
      <c r="AT146" s="4">
        <v>-0.21</v>
      </c>
      <c r="AU146" s="4">
        <v>0.42299999999999999</v>
      </c>
      <c r="AV146" s="4">
        <v>-0.23300000000000001</v>
      </c>
      <c r="AW146" s="4">
        <v>6.5000000000000002E-2</v>
      </c>
      <c r="AX146" s="4">
        <v>0.35899999999999999</v>
      </c>
      <c r="AY146" s="4">
        <v>0.45600000000000002</v>
      </c>
      <c r="AZ146" s="4">
        <v>0.65200000000000002</v>
      </c>
      <c r="BA146" s="4">
        <v>0.4</v>
      </c>
      <c r="BB146" s="4">
        <v>-0.44900000000000001</v>
      </c>
      <c r="BC146" s="4">
        <v>-0.16600000000000001</v>
      </c>
      <c r="BD146" s="4">
        <v>-0.125</v>
      </c>
      <c r="BE146" s="4">
        <v>0.21099999999999999</v>
      </c>
      <c r="BF146" s="4">
        <v>-5.8000000000000003E-2</v>
      </c>
      <c r="BG146" s="4">
        <v>0.67500000000000004</v>
      </c>
      <c r="BH146" s="4">
        <v>0.90800000000000003</v>
      </c>
      <c r="BI146" s="4">
        <v>-0.33800000000000002</v>
      </c>
      <c r="BJ146" s="4">
        <v>0.40200000000000002</v>
      </c>
      <c r="BK146" s="4">
        <v>-0.36599999999999999</v>
      </c>
      <c r="BL146" s="4">
        <v>0.48499999999999999</v>
      </c>
      <c r="BM146" s="4"/>
    </row>
    <row r="147" spans="1:65" x14ac:dyDescent="0.3">
      <c r="A147" s="19" t="s">
        <v>193</v>
      </c>
      <c r="B147" s="53">
        <v>0</v>
      </c>
      <c r="C147" s="53">
        <f t="shared" si="16"/>
        <v>0</v>
      </c>
      <c r="D147" s="53">
        <f t="shared" si="17"/>
        <v>0</v>
      </c>
      <c r="E147" s="53">
        <f t="shared" si="18"/>
        <v>0</v>
      </c>
      <c r="F147" s="15">
        <v>0.58599999999999997</v>
      </c>
      <c r="G147" s="19">
        <v>0.81</v>
      </c>
      <c r="H147" s="24" t="s">
        <v>55</v>
      </c>
      <c r="I147" t="str">
        <f>VLOOKUP(A147,Setores!$A$2:$C$215,2,0)</f>
        <v>utilities</v>
      </c>
      <c r="J147" t="str">
        <f>VLOOKUP(A147,Setores!$A$2:$C$215,3,0)</f>
        <v>neutral_beta</v>
      </c>
      <c r="K147" s="2">
        <v>0</v>
      </c>
      <c r="L147" s="2">
        <v>0</v>
      </c>
      <c r="M147" s="71">
        <v>34</v>
      </c>
      <c r="N147" s="41">
        <f>VLOOKUP(A147,'Mandato Smll'!$A$2:$C$215,2,0)</f>
        <v>0</v>
      </c>
      <c r="O147" s="58">
        <f t="shared" si="19"/>
        <v>0</v>
      </c>
      <c r="P147" s="42">
        <f t="shared" si="20"/>
        <v>0</v>
      </c>
      <c r="Q147" s="41">
        <f>VLOOKUP(A147,'Mandato Smll'!$A$2:$C$215,3,0)</f>
        <v>0</v>
      </c>
      <c r="R147" s="58">
        <f t="shared" si="21"/>
        <v>0</v>
      </c>
      <c r="S147" s="15">
        <v>-0.89</v>
      </c>
      <c r="T147" s="15">
        <v>-0.81200000000000006</v>
      </c>
      <c r="U147" s="15">
        <v>-0.97599999999999998</v>
      </c>
      <c r="V147" s="15">
        <v>-0.83199999999999996</v>
      </c>
      <c r="W147" s="15">
        <v>-0.89700000000000002</v>
      </c>
      <c r="X147" s="15">
        <v>-0.65900000000000003</v>
      </c>
      <c r="Y147" s="15">
        <v>-0.38200000000000001</v>
      </c>
      <c r="Z147" s="15">
        <v>-0.67300000000000004</v>
      </c>
      <c r="AA147" s="15">
        <v>0.14399999999999999</v>
      </c>
      <c r="AB147" s="15">
        <v>0.14899999999999999</v>
      </c>
      <c r="AC147" s="15">
        <v>0.71399999999999997</v>
      </c>
      <c r="AD147" s="15">
        <v>0.75</v>
      </c>
      <c r="AE147" s="15">
        <v>0.48699999999999999</v>
      </c>
      <c r="AF147" s="14">
        <v>-0.88700000000000001</v>
      </c>
      <c r="AG147" s="15">
        <v>-0.85199999999999998</v>
      </c>
      <c r="AH147" s="15">
        <v>1.4999999999999999E-2</v>
      </c>
      <c r="AI147" s="15">
        <v>-0.90300000000000002</v>
      </c>
      <c r="AJ147" s="15">
        <v>-0.55400000000000005</v>
      </c>
      <c r="AK147" s="9">
        <v>-0.99</v>
      </c>
      <c r="AL147" s="4">
        <v>-0.27</v>
      </c>
      <c r="AM147" s="4">
        <v>-0.44</v>
      </c>
      <c r="AN147" s="4">
        <v>-0.436</v>
      </c>
      <c r="AO147" s="4">
        <v>-0.40400000000000003</v>
      </c>
      <c r="AP147" s="4">
        <v>8.6999999999999994E-2</v>
      </c>
      <c r="AQ147" s="4">
        <v>0.307</v>
      </c>
      <c r="AR147" s="4">
        <v>-0.219</v>
      </c>
      <c r="AS147" s="4">
        <v>-0.11799999999999999</v>
      </c>
      <c r="AT147" s="4">
        <v>-0.504</v>
      </c>
      <c r="AU147" s="4">
        <v>3.0000000000000001E-3</v>
      </c>
      <c r="AV147" s="4">
        <v>-0.216</v>
      </c>
      <c r="AW147" s="4">
        <v>-0.53400000000000003</v>
      </c>
      <c r="AX147" s="4">
        <v>0.47699999999999998</v>
      </c>
      <c r="AY147" s="4">
        <v>-0.68500000000000005</v>
      </c>
      <c r="AZ147" s="4">
        <v>0.90900000000000003</v>
      </c>
      <c r="BA147" s="4">
        <v>0.247</v>
      </c>
      <c r="BB147" s="4">
        <v>-3.0000000000000001E-3</v>
      </c>
      <c r="BC147" s="4">
        <v>-0.29099999999999998</v>
      </c>
      <c r="BD147" s="4">
        <v>-0.41799999999999998</v>
      </c>
      <c r="BE147" s="4">
        <v>0.29799999999999999</v>
      </c>
      <c r="BF147" s="4">
        <v>0.14099999999999999</v>
      </c>
      <c r="BG147" s="4">
        <v>8.1000000000000003E-2</v>
      </c>
      <c r="BH147" s="4">
        <v>0.92</v>
      </c>
      <c r="BI147" s="4">
        <v>-0.41599999999999998</v>
      </c>
      <c r="BJ147" s="4">
        <v>-2.4E-2</v>
      </c>
      <c r="BK147" s="4">
        <v>-0.19</v>
      </c>
      <c r="BL147" s="4">
        <v>-0.22900000000000001</v>
      </c>
      <c r="BM147" s="4"/>
    </row>
    <row r="148" spans="1:65" x14ac:dyDescent="0.3">
      <c r="A148" s="19" t="s">
        <v>140</v>
      </c>
      <c r="B148" s="53">
        <v>0</v>
      </c>
      <c r="C148" s="53">
        <f t="shared" si="16"/>
        <v>0</v>
      </c>
      <c r="D148" s="53">
        <f t="shared" si="17"/>
        <v>0</v>
      </c>
      <c r="E148" s="53">
        <f t="shared" si="18"/>
        <v>0</v>
      </c>
      <c r="F148" s="15">
        <v>0.58599999999999997</v>
      </c>
      <c r="G148" s="19">
        <v>0.40899999999999997</v>
      </c>
      <c r="H148" s="24" t="s">
        <v>71</v>
      </c>
      <c r="I148" t="str">
        <f>VLOOKUP(A148,Setores!$A$2:$C$215,2,0)</f>
        <v>food</v>
      </c>
      <c r="J148" t="str">
        <f>VLOOKUP(A148,Setores!$A$2:$C$215,3,0)</f>
        <v>very_low_beta</v>
      </c>
      <c r="K148" s="2">
        <v>0</v>
      </c>
      <c r="L148" s="2">
        <v>0</v>
      </c>
      <c r="M148" s="71">
        <v>39</v>
      </c>
      <c r="N148" s="41">
        <f>VLOOKUP(A148,'Mandato Smll'!$A$2:$C$215,2,0)</f>
        <v>0</v>
      </c>
      <c r="O148" s="58">
        <f t="shared" si="19"/>
        <v>0</v>
      </c>
      <c r="P148" s="42">
        <f t="shared" si="20"/>
        <v>0</v>
      </c>
      <c r="Q148" s="41">
        <f>VLOOKUP(A148,'Mandato Smll'!$A$2:$C$215,3,0)</f>
        <v>0</v>
      </c>
      <c r="R148" s="58">
        <f t="shared" si="21"/>
        <v>0</v>
      </c>
      <c r="S148" s="15">
        <v>-0.90800000000000003</v>
      </c>
      <c r="T148" s="15">
        <v>-0.94599999999999995</v>
      </c>
      <c r="U148" s="15">
        <v>-0.95599999999999996</v>
      </c>
      <c r="V148" s="15">
        <v>-0.79400000000000004</v>
      </c>
      <c r="W148" s="15">
        <v>-0.90600000000000003</v>
      </c>
      <c r="X148" s="15">
        <v>-0.58399999999999996</v>
      </c>
      <c r="Y148" s="15">
        <v>-0.57799999999999996</v>
      </c>
      <c r="Z148" s="15">
        <v>-0.42</v>
      </c>
      <c r="AA148" s="15">
        <v>0.14799999999999999</v>
      </c>
      <c r="AB148" s="15">
        <v>0.14499999999999999</v>
      </c>
      <c r="AC148" s="15">
        <v>0.59599999999999997</v>
      </c>
      <c r="AD148" s="15">
        <v>0.51100000000000001</v>
      </c>
      <c r="AE148" s="15">
        <v>0.35599999999999998</v>
      </c>
      <c r="AF148" s="14">
        <v>-0.69599999999999995</v>
      </c>
      <c r="AG148" s="15">
        <v>-0.35399999999999998</v>
      </c>
      <c r="AH148" s="15">
        <v>-0.6</v>
      </c>
      <c r="AI148" s="15">
        <v>-0.73299999999999998</v>
      </c>
      <c r="AJ148" s="15">
        <v>-0.84899999999999998</v>
      </c>
      <c r="AK148" s="9">
        <v>-0.99</v>
      </c>
      <c r="AL148" s="4">
        <v>9.2999999999999999E-2</v>
      </c>
      <c r="AM148" s="4">
        <v>0.96599999999999997</v>
      </c>
      <c r="AN148" s="4">
        <v>-0.51500000000000001</v>
      </c>
      <c r="AO148" s="4">
        <v>-0.35099999999999998</v>
      </c>
      <c r="AP148" s="4">
        <v>-0.51100000000000001</v>
      </c>
      <c r="AQ148" s="4">
        <v>0.45800000000000002</v>
      </c>
      <c r="AR148" s="4">
        <v>2.1000000000000001E-2</v>
      </c>
      <c r="AS148" s="4">
        <v>-0.22500000000000001</v>
      </c>
      <c r="AT148" s="4">
        <v>-0.107</v>
      </c>
      <c r="AU148" s="4">
        <v>-1.9E-2</v>
      </c>
      <c r="AV148" s="4">
        <v>-0.61199999999999999</v>
      </c>
      <c r="AW148" s="4">
        <v>-0.54800000000000004</v>
      </c>
      <c r="AX148" s="4">
        <v>-3.3000000000000002E-2</v>
      </c>
      <c r="AY148" s="4">
        <v>-0.60099999999999998</v>
      </c>
      <c r="AZ148" s="4">
        <v>0.67100000000000004</v>
      </c>
      <c r="BA148" s="4">
        <v>0.66400000000000003</v>
      </c>
      <c r="BB148" s="4">
        <v>-0.55800000000000005</v>
      </c>
      <c r="BC148" s="4">
        <v>0.34200000000000003</v>
      </c>
      <c r="BD148" s="4">
        <v>-5.0000000000000001E-3</v>
      </c>
      <c r="BE148" s="4">
        <v>0.161</v>
      </c>
      <c r="BF148" s="4">
        <v>0.39700000000000002</v>
      </c>
      <c r="BG148" s="4">
        <v>1</v>
      </c>
      <c r="BH148" s="4">
        <v>0.38400000000000001</v>
      </c>
      <c r="BI148" s="4">
        <v>-0.76100000000000001</v>
      </c>
      <c r="BJ148" s="4">
        <v>-0.54700000000000004</v>
      </c>
      <c r="BK148" s="4">
        <v>-0.36899999999999999</v>
      </c>
      <c r="BL148" s="4">
        <v>-0.51600000000000001</v>
      </c>
      <c r="BM148" s="4"/>
    </row>
    <row r="149" spans="1:65" x14ac:dyDescent="0.3">
      <c r="A149" s="19" t="s">
        <v>171</v>
      </c>
      <c r="B149" s="53">
        <v>0</v>
      </c>
      <c r="C149" s="53">
        <f t="shared" si="16"/>
        <v>0</v>
      </c>
      <c r="D149" s="53">
        <f t="shared" si="17"/>
        <v>0</v>
      </c>
      <c r="E149" s="53">
        <f t="shared" si="18"/>
        <v>0</v>
      </c>
      <c r="F149" s="15">
        <v>0.58299999999999996</v>
      </c>
      <c r="G149" s="19">
        <v>0.754</v>
      </c>
      <c r="H149" s="24" t="s">
        <v>57</v>
      </c>
      <c r="I149" t="str">
        <f>VLOOKUP(A149,Setores!$A$2:$C$215,2,0)</f>
        <v>banks</v>
      </c>
      <c r="J149" t="str">
        <f>VLOOKUP(A149,Setores!$A$2:$C$215,3,0)</f>
        <v>neutral_beta</v>
      </c>
      <c r="K149" s="2">
        <v>0</v>
      </c>
      <c r="L149" s="2">
        <v>0</v>
      </c>
      <c r="M149" s="71">
        <v>47</v>
      </c>
      <c r="N149" s="41">
        <f>VLOOKUP(A149,'Mandato Smll'!$A$2:$C$215,2,0)</f>
        <v>0</v>
      </c>
      <c r="O149" s="58">
        <f t="shared" si="19"/>
        <v>0</v>
      </c>
      <c r="P149" s="42">
        <f t="shared" si="20"/>
        <v>0</v>
      </c>
      <c r="Q149" s="41">
        <f>VLOOKUP(A149,'Mandato Smll'!$A$2:$C$215,3,0)</f>
        <v>0</v>
      </c>
      <c r="R149" s="58">
        <f t="shared" si="21"/>
        <v>0</v>
      </c>
      <c r="S149" s="15">
        <v>-0.83799999999999997</v>
      </c>
      <c r="T149" s="15">
        <v>-0.89200000000000002</v>
      </c>
      <c r="U149" s="15">
        <v>-0.88800000000000001</v>
      </c>
      <c r="V149" s="15">
        <v>-0.80900000000000005</v>
      </c>
      <c r="W149" s="15">
        <v>-0.88100000000000001</v>
      </c>
      <c r="X149" s="15">
        <v>-0.66400000000000003</v>
      </c>
      <c r="Y149" s="15">
        <v>-0.432</v>
      </c>
      <c r="Z149" s="15">
        <v>-0.79900000000000004</v>
      </c>
      <c r="AA149" s="15">
        <v>0.315</v>
      </c>
      <c r="AB149" s="15">
        <v>0.311</v>
      </c>
      <c r="AC149" s="15">
        <v>0.60599999999999998</v>
      </c>
      <c r="AD149" s="15">
        <v>0.67300000000000004</v>
      </c>
      <c r="AE149" s="15">
        <v>0.51</v>
      </c>
      <c r="AF149" s="14">
        <v>-0.74199999999999999</v>
      </c>
      <c r="AG149" s="15">
        <v>0.18</v>
      </c>
      <c r="AH149" s="15">
        <v>-0.72499999999999998</v>
      </c>
      <c r="AI149" s="15">
        <v>-0.86899999999999999</v>
      </c>
      <c r="AJ149" s="15">
        <v>-1</v>
      </c>
      <c r="AK149" s="9">
        <v>-1</v>
      </c>
      <c r="AL149" s="4">
        <v>-0.21199999999999999</v>
      </c>
      <c r="AM149" s="4">
        <v>-6.0000000000000001E-3</v>
      </c>
      <c r="AN149" s="4">
        <v>8.1000000000000003E-2</v>
      </c>
      <c r="AO149" s="4">
        <v>0.214</v>
      </c>
      <c r="AP149" s="4">
        <v>-0.499</v>
      </c>
      <c r="AQ149" s="4">
        <v>-0.56499999999999995</v>
      </c>
      <c r="AR149" s="4">
        <v>5.6000000000000001E-2</v>
      </c>
      <c r="AS149" s="4">
        <v>0.255</v>
      </c>
      <c r="AT149" s="4">
        <v>0.245</v>
      </c>
      <c r="AU149" s="4">
        <v>-0.19900000000000001</v>
      </c>
      <c r="AV149" s="4">
        <v>-0.52400000000000002</v>
      </c>
      <c r="AW149" s="4">
        <v>-0.76400000000000001</v>
      </c>
      <c r="AX149" s="4">
        <v>0.33</v>
      </c>
      <c r="AY149" s="4">
        <v>-0.438</v>
      </c>
      <c r="AZ149" s="4">
        <v>7.4999999999999997E-2</v>
      </c>
      <c r="BA149" s="4">
        <v>-0.56100000000000005</v>
      </c>
      <c r="BB149" s="4">
        <v>0.39600000000000002</v>
      </c>
      <c r="BC149" s="4">
        <v>-6.9000000000000006E-2</v>
      </c>
      <c r="BD149" s="4">
        <v>-0.21099999999999999</v>
      </c>
      <c r="BE149" s="4">
        <v>0.27</v>
      </c>
      <c r="BF149" s="4">
        <v>0.1</v>
      </c>
      <c r="BG149" s="4">
        <v>0.52200000000000002</v>
      </c>
      <c r="BH149" s="4">
        <v>0.94299999999999995</v>
      </c>
      <c r="BI149" s="4">
        <v>-0.19800000000000001</v>
      </c>
      <c r="BJ149" s="4">
        <v>-0.126</v>
      </c>
      <c r="BK149" s="4">
        <v>0.191</v>
      </c>
      <c r="BL149" s="4">
        <v>-0.57699999999999996</v>
      </c>
      <c r="BM149" s="4"/>
    </row>
    <row r="150" spans="1:65" x14ac:dyDescent="0.3">
      <c r="A150" s="19" t="s">
        <v>192</v>
      </c>
      <c r="B150" s="53">
        <v>0</v>
      </c>
      <c r="C150" s="53">
        <f t="shared" si="16"/>
        <v>0</v>
      </c>
      <c r="D150" s="53">
        <f t="shared" si="17"/>
        <v>0</v>
      </c>
      <c r="E150" s="53">
        <f t="shared" si="18"/>
        <v>0</v>
      </c>
      <c r="F150" s="15">
        <v>0.58199999999999996</v>
      </c>
      <c r="G150" s="19">
        <v>0.63300000000000001</v>
      </c>
      <c r="H150" s="24" t="s">
        <v>57</v>
      </c>
      <c r="I150" t="str">
        <f>VLOOKUP(A150,Setores!$A$2:$C$215,2,0)</f>
        <v>banks</v>
      </c>
      <c r="J150" t="str">
        <f>VLOOKUP(A150,Setores!$A$2:$C$215,3,0)</f>
        <v>neutral_beta</v>
      </c>
      <c r="K150" s="2">
        <v>0</v>
      </c>
      <c r="L150" s="2">
        <v>0</v>
      </c>
      <c r="M150" s="71">
        <v>13</v>
      </c>
      <c r="N150" s="41">
        <f>VLOOKUP(A150,'Mandato Smll'!$A$2:$C$215,2,0)</f>
        <v>0</v>
      </c>
      <c r="O150" s="58">
        <f t="shared" si="19"/>
        <v>0</v>
      </c>
      <c r="P150" s="42">
        <f t="shared" si="20"/>
        <v>0</v>
      </c>
      <c r="Q150" s="41">
        <f>VLOOKUP(A150,'Mandato Smll'!$A$2:$C$215,3,0)</f>
        <v>0</v>
      </c>
      <c r="R150" s="58">
        <f t="shared" si="21"/>
        <v>0</v>
      </c>
      <c r="S150" s="15">
        <v>-0.92600000000000005</v>
      </c>
      <c r="T150" s="15">
        <v>-0.85699999999999998</v>
      </c>
      <c r="U150" s="15">
        <v>-0.96599999999999997</v>
      </c>
      <c r="V150" s="15">
        <v>-0.85599999999999998</v>
      </c>
      <c r="W150" s="15">
        <v>-0.89</v>
      </c>
      <c r="X150" s="15">
        <v>-0.78300000000000003</v>
      </c>
      <c r="Y150" s="15">
        <v>-0.625</v>
      </c>
      <c r="Z150" s="15">
        <v>-0.73199999999999998</v>
      </c>
      <c r="AA150" s="15">
        <v>0.48399999999999999</v>
      </c>
      <c r="AB150" s="15">
        <v>0.48299999999999998</v>
      </c>
      <c r="AC150" s="15">
        <v>0.624</v>
      </c>
      <c r="AD150" s="15">
        <v>0.76400000000000001</v>
      </c>
      <c r="AE150" s="15">
        <v>0.51500000000000001</v>
      </c>
      <c r="AF150" s="14">
        <v>-0.79</v>
      </c>
      <c r="AG150" s="15">
        <v>-0.41</v>
      </c>
      <c r="AH150" s="15">
        <v>-0.155</v>
      </c>
      <c r="AI150" s="15">
        <v>-0.89600000000000002</v>
      </c>
      <c r="AJ150" s="15">
        <v>-1</v>
      </c>
      <c r="AK150" s="9">
        <v>-1</v>
      </c>
      <c r="AL150" s="4">
        <v>-2.8000000000000001E-2</v>
      </c>
      <c r="AM150" s="4">
        <v>-2.3E-2</v>
      </c>
      <c r="AN150" s="4">
        <v>0.42499999999999999</v>
      </c>
      <c r="AO150" s="4">
        <v>-0.502</v>
      </c>
      <c r="AP150" s="4">
        <v>-0.25</v>
      </c>
      <c r="AQ150" s="4">
        <v>-0.28100000000000003</v>
      </c>
      <c r="AR150" s="4">
        <v>-0.23799999999999999</v>
      </c>
      <c r="AS150" s="4">
        <v>3.1E-2</v>
      </c>
      <c r="AT150" s="4">
        <v>-0.25700000000000001</v>
      </c>
      <c r="AU150" s="4">
        <v>-0.189</v>
      </c>
      <c r="AV150" s="4">
        <v>-0.46899999999999997</v>
      </c>
      <c r="AW150" s="4">
        <v>-0.8</v>
      </c>
      <c r="AX150" s="4">
        <v>0.28799999999999998</v>
      </c>
      <c r="AY150" s="4">
        <v>-0.58399999999999996</v>
      </c>
      <c r="AZ150" s="4">
        <v>0.111</v>
      </c>
      <c r="BA150" s="4">
        <v>-0.22900000000000001</v>
      </c>
      <c r="BB150" s="4">
        <v>-0.60699999999999998</v>
      </c>
      <c r="BC150" s="4">
        <v>-0.17</v>
      </c>
      <c r="BD150" s="4">
        <v>-0.152</v>
      </c>
      <c r="BE150" s="4">
        <v>0.11799999999999999</v>
      </c>
      <c r="BF150" s="4">
        <v>0.26300000000000001</v>
      </c>
      <c r="BG150" s="4">
        <v>0.313</v>
      </c>
      <c r="BH150" s="4">
        <v>0.90800000000000003</v>
      </c>
      <c r="BI150" s="4">
        <v>-0.40400000000000003</v>
      </c>
      <c r="BJ150" s="4">
        <v>8.9999999999999993E-3</v>
      </c>
      <c r="BK150" s="4">
        <v>-0.32300000000000001</v>
      </c>
      <c r="BL150" s="4">
        <v>-0.63400000000000001</v>
      </c>
      <c r="BM150" s="4"/>
    </row>
    <row r="151" spans="1:65" x14ac:dyDescent="0.3">
      <c r="A151" s="19" t="s">
        <v>139</v>
      </c>
      <c r="B151" s="53">
        <v>0</v>
      </c>
      <c r="C151" s="53">
        <f t="shared" si="16"/>
        <v>0</v>
      </c>
      <c r="D151" s="53">
        <f t="shared" si="17"/>
        <v>0</v>
      </c>
      <c r="E151" s="53">
        <f t="shared" si="18"/>
        <v>0</v>
      </c>
      <c r="F151" s="15">
        <v>0.58099999999999996</v>
      </c>
      <c r="G151" s="19">
        <v>0.61499999999999999</v>
      </c>
      <c r="H151" s="24" t="s">
        <v>71</v>
      </c>
      <c r="I151" t="str">
        <f>VLOOKUP(A151,Setores!$A$2:$C$215,2,0)</f>
        <v>basic_materials</v>
      </c>
      <c r="J151" t="str">
        <f>VLOOKUP(A151,Setores!$A$2:$C$215,3,0)</f>
        <v>neutral_beta</v>
      </c>
      <c r="K151" s="2">
        <v>0</v>
      </c>
      <c r="L151" s="2">
        <v>0</v>
      </c>
      <c r="M151" s="71">
        <v>55</v>
      </c>
      <c r="N151" s="41">
        <f>VLOOKUP(A151,'Mandato Smll'!$A$2:$C$215,2,0)</f>
        <v>0</v>
      </c>
      <c r="O151" s="58">
        <f t="shared" si="19"/>
        <v>0</v>
      </c>
      <c r="P151" s="42">
        <f t="shared" si="20"/>
        <v>0</v>
      </c>
      <c r="Q151" s="41">
        <f>VLOOKUP(A151,'Mandato Smll'!$A$2:$C$215,3,0)</f>
        <v>0</v>
      </c>
      <c r="R151" s="58">
        <f t="shared" si="21"/>
        <v>0</v>
      </c>
      <c r="S151" s="15">
        <v>-0.84199999999999997</v>
      </c>
      <c r="T151" s="15">
        <v>-0.91900000000000004</v>
      </c>
      <c r="U151" s="15">
        <v>-0.90800000000000003</v>
      </c>
      <c r="V151" s="15">
        <v>-0.79100000000000004</v>
      </c>
      <c r="W151" s="15">
        <v>-0.90100000000000002</v>
      </c>
      <c r="X151" s="15">
        <v>-0.56200000000000006</v>
      </c>
      <c r="Y151" s="15">
        <v>-0.371</v>
      </c>
      <c r="Z151" s="15">
        <v>-0.67900000000000005</v>
      </c>
      <c r="AA151" s="15">
        <v>0.24</v>
      </c>
      <c r="AB151" s="15">
        <v>0.23799999999999999</v>
      </c>
      <c r="AC151" s="15">
        <v>0.47099999999999997</v>
      </c>
      <c r="AD151" s="15">
        <v>0.47599999999999998</v>
      </c>
      <c r="AE151" s="15">
        <v>0.41299999999999998</v>
      </c>
      <c r="AF151" s="14">
        <v>-0.78800000000000003</v>
      </c>
      <c r="AG151" s="15">
        <v>-0.51500000000000001</v>
      </c>
      <c r="AH151" s="15">
        <v>-1</v>
      </c>
      <c r="AI151" s="15">
        <v>-0.90200000000000002</v>
      </c>
      <c r="AJ151" s="15">
        <v>-1</v>
      </c>
      <c r="AK151" s="9">
        <v>-0.93100000000000005</v>
      </c>
      <c r="AL151" s="4">
        <v>-0.40200000000000002</v>
      </c>
      <c r="AM151" s="4">
        <v>0.499</v>
      </c>
      <c r="AN151" s="4">
        <v>-0.76800000000000002</v>
      </c>
      <c r="AO151" s="4">
        <v>-0.50800000000000001</v>
      </c>
      <c r="AP151" s="4">
        <v>-0.42299999999999999</v>
      </c>
      <c r="AQ151" s="4">
        <v>-0.28799999999999998</v>
      </c>
      <c r="AR151" s="4">
        <v>2.5999999999999999E-2</v>
      </c>
      <c r="AS151" s="4">
        <v>0.93100000000000005</v>
      </c>
      <c r="AT151" s="4">
        <v>0.28999999999999998</v>
      </c>
      <c r="AU151" s="4">
        <v>0.20699999999999999</v>
      </c>
      <c r="AV151" s="4">
        <v>-9.0999999999999998E-2</v>
      </c>
      <c r="AW151" s="4">
        <v>-0.33500000000000002</v>
      </c>
      <c r="AX151" s="4">
        <v>0.17599999999999999</v>
      </c>
      <c r="AY151" s="4">
        <v>0.29599999999999999</v>
      </c>
      <c r="AZ151" s="4">
        <v>1.7999999999999999E-2</v>
      </c>
      <c r="BA151" s="4">
        <v>-0.98399999999999999</v>
      </c>
      <c r="BB151" s="4">
        <v>0.51100000000000001</v>
      </c>
      <c r="BC151" s="4">
        <v>0.29199999999999998</v>
      </c>
      <c r="BD151" s="4">
        <v>-3.6999999999999998E-2</v>
      </c>
      <c r="BE151" s="4">
        <v>0.32900000000000001</v>
      </c>
      <c r="BF151" s="4">
        <v>-0.65200000000000002</v>
      </c>
      <c r="BG151" s="4">
        <v>-0.46200000000000002</v>
      </c>
      <c r="BH151" s="4">
        <v>0.34899999999999998</v>
      </c>
      <c r="BI151" s="4">
        <v>-0.23200000000000001</v>
      </c>
      <c r="BJ151" s="4">
        <v>-0.35199999999999998</v>
      </c>
      <c r="BK151" s="4">
        <v>0.374</v>
      </c>
      <c r="BL151" s="4">
        <v>-0.35699999999999998</v>
      </c>
      <c r="BM151" s="4"/>
    </row>
    <row r="152" spans="1:65" x14ac:dyDescent="0.3">
      <c r="A152" s="19" t="s">
        <v>601</v>
      </c>
      <c r="B152" s="53">
        <v>0</v>
      </c>
      <c r="C152" s="53">
        <f t="shared" si="16"/>
        <v>0</v>
      </c>
      <c r="D152" s="53">
        <f t="shared" si="17"/>
        <v>0</v>
      </c>
      <c r="E152" s="53">
        <f t="shared" si="18"/>
        <v>0</v>
      </c>
      <c r="F152" s="15">
        <v>0.57899999999999996</v>
      </c>
      <c r="G152" s="19">
        <v>0.496</v>
      </c>
      <c r="H152" s="24" t="s">
        <v>53</v>
      </c>
      <c r="I152" t="str">
        <f>VLOOKUP(A152,Setores!$A$2:$C$215,2,0)</f>
        <v>healthcare</v>
      </c>
      <c r="J152" t="str">
        <f>VLOOKUP(A152,Setores!$A$2:$C$215,3,0)</f>
        <v>neutral_beta</v>
      </c>
      <c r="K152" s="2">
        <v>0</v>
      </c>
      <c r="L152" s="2">
        <v>0</v>
      </c>
      <c r="M152" s="71">
        <v>80</v>
      </c>
      <c r="N152" s="41">
        <f>VLOOKUP(A152,'Mandato Smll'!$A$2:$C$215,2,0)</f>
        <v>0</v>
      </c>
      <c r="O152" s="58">
        <f t="shared" si="19"/>
        <v>0</v>
      </c>
      <c r="P152" s="42">
        <f t="shared" si="20"/>
        <v>0</v>
      </c>
      <c r="Q152" s="41">
        <f>VLOOKUP(A152,'Mandato Smll'!$A$2:$C$215,3,0)</f>
        <v>0</v>
      </c>
      <c r="R152" s="58">
        <f t="shared" si="21"/>
        <v>0</v>
      </c>
      <c r="S152" s="15">
        <v>-0.371</v>
      </c>
      <c r="T152" s="15">
        <v>-0.52600000000000002</v>
      </c>
      <c r="U152" s="15">
        <v>-0.40400000000000003</v>
      </c>
      <c r="V152" s="15">
        <v>-0.56999999999999995</v>
      </c>
      <c r="W152" s="15">
        <v>-0.629</v>
      </c>
      <c r="X152" s="15">
        <v>-0.63700000000000001</v>
      </c>
      <c r="Y152" s="15">
        <v>-0.61</v>
      </c>
      <c r="Z152" s="15">
        <v>-0.81100000000000005</v>
      </c>
      <c r="AA152" s="15">
        <v>-0.28499999999999998</v>
      </c>
      <c r="AB152" s="15">
        <v>-0.27600000000000002</v>
      </c>
      <c r="AC152" s="15">
        <v>0.42299999999999999</v>
      </c>
      <c r="AD152" s="15">
        <v>0.35199999999999998</v>
      </c>
      <c r="AE152" s="15">
        <v>0.246</v>
      </c>
      <c r="AF152" s="14">
        <v>-0.70699999999999996</v>
      </c>
      <c r="AG152" s="15">
        <v>-0.35199999999999998</v>
      </c>
      <c r="AH152" s="15">
        <v>-0.374</v>
      </c>
      <c r="AI152" s="15">
        <v>-0.55700000000000005</v>
      </c>
      <c r="AJ152" s="15">
        <v>-0.23</v>
      </c>
      <c r="AK152" s="9">
        <v>1</v>
      </c>
      <c r="AL152" s="4">
        <v>-0.73499999999999999</v>
      </c>
      <c r="AM152" s="4">
        <v>-1</v>
      </c>
      <c r="AN152" s="4">
        <v>-0.87</v>
      </c>
      <c r="AO152" s="4">
        <v>0.14799999999999999</v>
      </c>
      <c r="AP152" s="4">
        <v>7.1999999999999995E-2</v>
      </c>
      <c r="AQ152" s="4">
        <v>0.22600000000000001</v>
      </c>
      <c r="AR152" s="4">
        <v>0.85</v>
      </c>
      <c r="AS152" s="4">
        <v>1</v>
      </c>
      <c r="AT152" s="4">
        <v>1</v>
      </c>
      <c r="AU152" s="4">
        <v>-0.11</v>
      </c>
      <c r="AV152" s="4">
        <v>-0.621</v>
      </c>
      <c r="AW152" s="4">
        <v>0.12</v>
      </c>
      <c r="AX152" s="4">
        <v>0.109</v>
      </c>
      <c r="AY152" s="4">
        <v>-1.6E-2</v>
      </c>
      <c r="AZ152" s="4">
        <v>-0.27100000000000002</v>
      </c>
      <c r="BA152" s="4">
        <v>-1</v>
      </c>
      <c r="BB152" s="4">
        <v>0.56799999999999995</v>
      </c>
      <c r="BC152" s="4">
        <v>-0.70599999999999996</v>
      </c>
      <c r="BD152" s="4">
        <v>-0.64900000000000002</v>
      </c>
      <c r="BE152" s="4">
        <v>0.41399999999999998</v>
      </c>
      <c r="BF152" s="4">
        <v>-0.85499999999999998</v>
      </c>
      <c r="BG152" s="4">
        <v>2.4E-2</v>
      </c>
      <c r="BH152" s="4">
        <v>0.41099999999999998</v>
      </c>
      <c r="BI152" s="4">
        <v>-0.13600000000000001</v>
      </c>
      <c r="BJ152" s="4">
        <v>-0.13200000000000001</v>
      </c>
      <c r="BK152" s="4">
        <v>0.68200000000000005</v>
      </c>
      <c r="BL152" s="4">
        <v>0.66700000000000004</v>
      </c>
      <c r="BM152" s="4"/>
    </row>
    <row r="153" spans="1:65" x14ac:dyDescent="0.3">
      <c r="A153" s="19" t="s">
        <v>141</v>
      </c>
      <c r="B153" s="53">
        <v>0</v>
      </c>
      <c r="C153" s="53">
        <f t="shared" si="16"/>
        <v>-7.0000000000000001E-3</v>
      </c>
      <c r="D153" s="53">
        <f t="shared" si="17"/>
        <v>0</v>
      </c>
      <c r="E153" s="53">
        <f t="shared" si="18"/>
        <v>7.0000000000000001E-3</v>
      </c>
      <c r="F153" s="15">
        <v>0.57799999999999996</v>
      </c>
      <c r="G153" s="19">
        <v>0.502</v>
      </c>
      <c r="H153" s="24" t="s">
        <v>57</v>
      </c>
      <c r="I153" t="str">
        <f>VLOOKUP(A153,Setores!$A$2:$C$215,2,0)</f>
        <v>education</v>
      </c>
      <c r="J153" t="str">
        <f>VLOOKUP(A153,Setores!$A$2:$C$215,3,0)</f>
        <v>high_beta</v>
      </c>
      <c r="K153" s="2">
        <v>0</v>
      </c>
      <c r="L153" s="2">
        <v>-7.0000000000000001E-3</v>
      </c>
      <c r="M153" s="71">
        <v>74</v>
      </c>
      <c r="N153" s="41">
        <f>VLOOKUP(A153,'Mandato Smll'!$A$2:$C$215,2,0)</f>
        <v>0</v>
      </c>
      <c r="O153" s="58">
        <f t="shared" si="19"/>
        <v>0</v>
      </c>
      <c r="P153" s="42">
        <f t="shared" si="20"/>
        <v>0</v>
      </c>
      <c r="Q153" s="41">
        <f>VLOOKUP(A153,'Mandato Smll'!$A$2:$C$215,3,0)</f>
        <v>0</v>
      </c>
      <c r="R153" s="58">
        <f t="shared" si="21"/>
        <v>0</v>
      </c>
      <c r="S153" s="15">
        <v>-0.50900000000000001</v>
      </c>
      <c r="T153" s="15">
        <v>-0.71399999999999997</v>
      </c>
      <c r="U153" s="15">
        <v>-0.34399999999999997</v>
      </c>
      <c r="V153" s="15">
        <v>-0.45800000000000002</v>
      </c>
      <c r="W153" s="15">
        <v>-0.502</v>
      </c>
      <c r="X153" s="15">
        <v>-0.66300000000000003</v>
      </c>
      <c r="Y153" s="15">
        <v>-0.6</v>
      </c>
      <c r="Z153" s="15">
        <v>-0.79200000000000004</v>
      </c>
      <c r="AA153" s="15">
        <v>-0.33700000000000002</v>
      </c>
      <c r="AB153" s="15">
        <v>-0.33500000000000002</v>
      </c>
      <c r="AC153" s="15">
        <v>0.71199999999999997</v>
      </c>
      <c r="AD153" s="15">
        <v>0.6</v>
      </c>
      <c r="AE153" s="15">
        <v>0.217</v>
      </c>
      <c r="AF153" s="14">
        <v>9.8000000000000004E-2</v>
      </c>
      <c r="AG153" s="15">
        <v>0.23699999999999999</v>
      </c>
      <c r="AH153" s="15">
        <v>-0.69499999999999995</v>
      </c>
      <c r="AI153" s="15">
        <v>-4.3999999999999997E-2</v>
      </c>
      <c r="AJ153" s="15">
        <v>-0.56699999999999995</v>
      </c>
      <c r="AK153" s="9">
        <v>0.60799999999999998</v>
      </c>
      <c r="AL153" s="4">
        <v>0.251</v>
      </c>
      <c r="AM153" s="4">
        <v>-0.40600000000000003</v>
      </c>
      <c r="AN153" s="4">
        <v>-0.37</v>
      </c>
      <c r="AO153" s="4">
        <v>0.46100000000000002</v>
      </c>
      <c r="AP153" s="4">
        <v>-0.61099999999999999</v>
      </c>
      <c r="AQ153" s="4">
        <v>-0.39400000000000002</v>
      </c>
      <c r="AR153" s="4">
        <v>0.45800000000000002</v>
      </c>
      <c r="AS153" s="4">
        <v>-0.14799999999999999</v>
      </c>
      <c r="AT153" s="4">
        <v>-0.217</v>
      </c>
      <c r="AU153" s="4">
        <v>0.20699999999999999</v>
      </c>
      <c r="AV153" s="4">
        <v>2.5999999999999999E-2</v>
      </c>
      <c r="AW153" s="4">
        <v>0.34799999999999998</v>
      </c>
      <c r="AX153" s="4">
        <v>-0.40300000000000002</v>
      </c>
      <c r="AY153" s="4">
        <v>-0.51600000000000001</v>
      </c>
      <c r="AZ153" s="4">
        <v>0.72499999999999998</v>
      </c>
      <c r="BA153" s="4">
        <v>-0.29499999999999998</v>
      </c>
      <c r="BB153" s="4">
        <v>-0.115</v>
      </c>
      <c r="BC153" s="4">
        <v>0.20300000000000001</v>
      </c>
      <c r="BD153" s="4">
        <v>0.14299999999999999</v>
      </c>
      <c r="BE153" s="4">
        <v>0.186</v>
      </c>
      <c r="BF153" s="4">
        <v>0.34899999999999998</v>
      </c>
      <c r="BG153" s="4">
        <v>-0.91300000000000003</v>
      </c>
      <c r="BH153" s="4">
        <v>-1.0999999999999999E-2</v>
      </c>
      <c r="BI153" s="4">
        <v>0.186</v>
      </c>
      <c r="BJ153" s="4">
        <v>0.30399999999999999</v>
      </c>
      <c r="BK153" s="4">
        <v>-0.52700000000000002</v>
      </c>
      <c r="BL153" s="4">
        <v>0.05</v>
      </c>
      <c r="BM153" s="4"/>
    </row>
    <row r="154" spans="1:65" x14ac:dyDescent="0.3">
      <c r="A154" s="19" t="s">
        <v>133</v>
      </c>
      <c r="B154" s="53">
        <v>0</v>
      </c>
      <c r="C154" s="53">
        <f t="shared" si="16"/>
        <v>0</v>
      </c>
      <c r="D154" s="53">
        <f t="shared" si="17"/>
        <v>0</v>
      </c>
      <c r="E154" s="53">
        <f t="shared" si="18"/>
        <v>0</v>
      </c>
      <c r="F154" s="15">
        <v>0.57599999999999996</v>
      </c>
      <c r="G154" s="19">
        <v>0.70399999999999996</v>
      </c>
      <c r="H154" s="24" t="s">
        <v>68</v>
      </c>
      <c r="I154" t="str">
        <f>VLOOKUP(A154,Setores!$A$2:$C$215,2,0)</f>
        <v>capital_goods</v>
      </c>
      <c r="J154" t="str">
        <f>VLOOKUP(A154,Setores!$A$2:$C$215,3,0)</f>
        <v>very_low_beta</v>
      </c>
      <c r="K154" s="2">
        <v>0</v>
      </c>
      <c r="L154" s="2">
        <v>0</v>
      </c>
      <c r="M154" s="71">
        <v>80</v>
      </c>
      <c r="N154" s="41">
        <f>VLOOKUP(A154,'Mandato Smll'!$A$2:$C$215,2,0)</f>
        <v>0</v>
      </c>
      <c r="O154" s="58">
        <f t="shared" si="19"/>
        <v>0</v>
      </c>
      <c r="P154" s="42">
        <f t="shared" si="20"/>
        <v>0</v>
      </c>
      <c r="Q154" s="41">
        <f>VLOOKUP(A154,'Mandato Smll'!$A$2:$C$215,3,0)</f>
        <v>0</v>
      </c>
      <c r="R154" s="58">
        <f t="shared" si="21"/>
        <v>0</v>
      </c>
      <c r="S154" s="15">
        <v>-0.79200000000000004</v>
      </c>
      <c r="T154" s="15">
        <v>-0.79800000000000004</v>
      </c>
      <c r="U154" s="15">
        <v>-0.35699999999999998</v>
      </c>
      <c r="V154" s="15">
        <v>-0.85499999999999998</v>
      </c>
      <c r="W154" s="15">
        <v>-0.73899999999999999</v>
      </c>
      <c r="X154" s="15">
        <v>-0.73</v>
      </c>
      <c r="Y154" s="15">
        <v>-0.51500000000000001</v>
      </c>
      <c r="Z154" s="15">
        <v>-0.78300000000000003</v>
      </c>
      <c r="AA154" s="15">
        <v>0.216</v>
      </c>
      <c r="AB154" s="15">
        <v>0.215</v>
      </c>
      <c r="AC154" s="15">
        <v>0.35099999999999998</v>
      </c>
      <c r="AD154" s="15">
        <v>0.40699999999999997</v>
      </c>
      <c r="AE154" s="15">
        <v>0.41499999999999998</v>
      </c>
      <c r="AF154" s="14">
        <v>-0.56200000000000006</v>
      </c>
      <c r="AG154" s="15">
        <v>-0.80900000000000005</v>
      </c>
      <c r="AH154" s="15">
        <v>-0.81299999999999994</v>
      </c>
      <c r="AI154" s="15">
        <v>0.57199999999999995</v>
      </c>
      <c r="AJ154" s="15">
        <v>-0.432</v>
      </c>
      <c r="AK154" s="9">
        <v>-0.35499999999999998</v>
      </c>
      <c r="AL154" s="4">
        <v>-0.20799999999999999</v>
      </c>
      <c r="AM154" s="4">
        <v>0.14399999999999999</v>
      </c>
      <c r="AN154" s="4">
        <v>0.23100000000000001</v>
      </c>
      <c r="AO154" s="4">
        <v>0.05</v>
      </c>
      <c r="AP154" s="4">
        <v>-0.58799999999999997</v>
      </c>
      <c r="AQ154" s="4">
        <v>-0.66700000000000004</v>
      </c>
      <c r="AR154" s="4">
        <v>-0.54200000000000004</v>
      </c>
      <c r="AS154" s="4">
        <v>-0.63600000000000001</v>
      </c>
      <c r="AT154" s="4">
        <v>-0.81499999999999995</v>
      </c>
      <c r="AU154" s="4">
        <v>-0.15</v>
      </c>
      <c r="AV154" s="4">
        <v>-0.40300000000000002</v>
      </c>
      <c r="AW154" s="4">
        <v>-0.38500000000000001</v>
      </c>
      <c r="AX154" s="4">
        <v>0.64500000000000002</v>
      </c>
      <c r="AY154" s="4">
        <v>-0.14899999999999999</v>
      </c>
      <c r="AZ154" s="4">
        <v>0.83299999999999996</v>
      </c>
      <c r="BA154" s="4">
        <v>-0.63800000000000001</v>
      </c>
      <c r="BB154" s="4">
        <v>0.45200000000000001</v>
      </c>
      <c r="BC154" s="4">
        <v>-0.10299999999999999</v>
      </c>
      <c r="BD154" s="4">
        <v>-0.33700000000000002</v>
      </c>
      <c r="BE154" s="4">
        <v>9.2999999999999999E-2</v>
      </c>
      <c r="BF154" s="4">
        <v>-0.11600000000000001</v>
      </c>
      <c r="BG154" s="4">
        <v>1</v>
      </c>
      <c r="BH154" s="4">
        <v>0.68100000000000005</v>
      </c>
      <c r="BI154" s="4">
        <v>0.28999999999999998</v>
      </c>
      <c r="BJ154" s="4">
        <v>-0.128</v>
      </c>
      <c r="BK154" s="4">
        <v>0.81299999999999994</v>
      </c>
      <c r="BL154" s="4">
        <v>0.75600000000000001</v>
      </c>
      <c r="BM154" s="4"/>
    </row>
    <row r="155" spans="1:65" x14ac:dyDescent="0.3">
      <c r="A155" s="19" t="s">
        <v>208</v>
      </c>
      <c r="B155" s="53">
        <v>0</v>
      </c>
      <c r="C155" s="53">
        <f t="shared" si="16"/>
        <v>-5.0000000000000001E-3</v>
      </c>
      <c r="D155" s="53">
        <f t="shared" si="17"/>
        <v>0</v>
      </c>
      <c r="E155" s="53">
        <f t="shared" si="18"/>
        <v>5.0000000000000001E-3</v>
      </c>
      <c r="F155" s="15">
        <v>0.57399999999999995</v>
      </c>
      <c r="G155" s="19">
        <v>0.41499999999999998</v>
      </c>
      <c r="H155" s="24" t="s">
        <v>57</v>
      </c>
      <c r="I155" t="str">
        <f>VLOOKUP(A155,Setores!$A$2:$C$215,2,0)</f>
        <v>consumer_services</v>
      </c>
      <c r="J155" t="str">
        <f>VLOOKUP(A155,Setores!$A$2:$C$215,3,0)</f>
        <v>very_high_beta</v>
      </c>
      <c r="K155" s="2">
        <v>0</v>
      </c>
      <c r="L155" s="2">
        <v>-5.0000000000000001E-3</v>
      </c>
      <c r="M155" s="71">
        <v>80</v>
      </c>
      <c r="N155" s="41">
        <f>VLOOKUP(A155,'Mandato Smll'!$A$2:$C$215,2,0)</f>
        <v>0</v>
      </c>
      <c r="O155" s="58">
        <f t="shared" si="19"/>
        <v>0</v>
      </c>
      <c r="P155" s="42">
        <f t="shared" si="20"/>
        <v>0</v>
      </c>
      <c r="Q155" s="41">
        <f>VLOOKUP(A155,'Mandato Smll'!$A$2:$C$215,3,0)</f>
        <v>0</v>
      </c>
      <c r="R155" s="58">
        <f t="shared" si="21"/>
        <v>0</v>
      </c>
      <c r="S155" s="15">
        <v>-0.745</v>
      </c>
      <c r="T155" s="15">
        <v>-0.66200000000000003</v>
      </c>
      <c r="U155" s="15">
        <v>-0.81699999999999995</v>
      </c>
      <c r="V155" s="15">
        <v>-0.72</v>
      </c>
      <c r="W155" s="15">
        <v>-0.748</v>
      </c>
      <c r="X155" s="15">
        <v>-0.79900000000000004</v>
      </c>
      <c r="Y155" s="15">
        <v>-0.81200000000000006</v>
      </c>
      <c r="Z155" s="15">
        <v>-0.69699999999999995</v>
      </c>
      <c r="AA155" s="15">
        <v>0.03</v>
      </c>
      <c r="AB155" s="15">
        <v>2.3E-2</v>
      </c>
      <c r="AC155" s="15">
        <v>0.40200000000000002</v>
      </c>
      <c r="AD155" s="15">
        <v>0.46800000000000003</v>
      </c>
      <c r="AE155" s="15">
        <v>0.496</v>
      </c>
      <c r="AF155" s="14">
        <v>-0.38200000000000001</v>
      </c>
      <c r="AG155" s="15">
        <v>-0.28799999999999998</v>
      </c>
      <c r="AH155" s="15">
        <v>-0.32900000000000001</v>
      </c>
      <c r="AI155" s="15">
        <v>-0.40600000000000003</v>
      </c>
      <c r="AJ155" s="15">
        <v>0.20499999999999999</v>
      </c>
      <c r="AK155" s="9">
        <v>-0.76600000000000001</v>
      </c>
      <c r="AL155" s="4">
        <v>-0.122</v>
      </c>
      <c r="AM155" s="4">
        <v>-0.34300000000000003</v>
      </c>
      <c r="AN155" s="4">
        <v>-0.13</v>
      </c>
      <c r="AO155" s="4">
        <v>8.3000000000000004E-2</v>
      </c>
      <c r="AP155" s="4">
        <v>4.2000000000000003E-2</v>
      </c>
      <c r="AQ155" s="4">
        <v>-9.8000000000000004E-2</v>
      </c>
      <c r="AR155" s="4">
        <v>0.152</v>
      </c>
      <c r="AS155" s="4">
        <v>0.435</v>
      </c>
      <c r="AT155" s="4">
        <v>0.26200000000000001</v>
      </c>
      <c r="AU155" s="4">
        <v>8.9999999999999993E-3</v>
      </c>
      <c r="AV155" s="4">
        <v>-0.42599999999999999</v>
      </c>
      <c r="AW155" s="4">
        <v>-0.153</v>
      </c>
      <c r="AX155" s="4">
        <v>-0.93300000000000005</v>
      </c>
      <c r="AY155" s="4">
        <v>-0.47199999999999998</v>
      </c>
      <c r="AZ155" s="4">
        <v>-0.33100000000000002</v>
      </c>
      <c r="BA155" s="4">
        <v>0.29899999999999999</v>
      </c>
      <c r="BB155" s="4">
        <v>-0.27900000000000003</v>
      </c>
      <c r="BC155" s="4">
        <v>-0.26100000000000001</v>
      </c>
      <c r="BD155" s="4">
        <v>-0.51600000000000001</v>
      </c>
      <c r="BE155" s="4">
        <v>0.45600000000000002</v>
      </c>
      <c r="BF155" s="4">
        <v>0.94499999999999995</v>
      </c>
      <c r="BG155" s="4">
        <v>0.248</v>
      </c>
      <c r="BH155" s="4">
        <v>-4.0000000000000001E-3</v>
      </c>
      <c r="BI155" s="4">
        <v>-0.26400000000000001</v>
      </c>
      <c r="BJ155" s="4">
        <v>0.68</v>
      </c>
      <c r="BK155" s="4">
        <v>-0.65800000000000003</v>
      </c>
      <c r="BL155" s="4">
        <v>0.36199999999999999</v>
      </c>
      <c r="BM155" s="4"/>
    </row>
    <row r="156" spans="1:65" x14ac:dyDescent="0.3">
      <c r="A156" s="19" t="s">
        <v>189</v>
      </c>
      <c r="B156" s="53">
        <v>0</v>
      </c>
      <c r="C156" s="53">
        <f t="shared" si="16"/>
        <v>-7.0000000000000001E-3</v>
      </c>
      <c r="D156" s="53">
        <f t="shared" si="17"/>
        <v>0</v>
      </c>
      <c r="E156" s="53">
        <f t="shared" si="18"/>
        <v>7.0000000000000001E-3</v>
      </c>
      <c r="F156" s="15">
        <v>0.57399999999999995</v>
      </c>
      <c r="G156" s="19">
        <v>0.92900000000000005</v>
      </c>
      <c r="H156" s="24" t="s">
        <v>68</v>
      </c>
      <c r="I156" t="str">
        <f>VLOOKUP(A156,Setores!$A$2:$C$215,2,0)</f>
        <v>capital_goods</v>
      </c>
      <c r="J156" t="str">
        <f>VLOOKUP(A156,Setores!$A$2:$C$215,3,0)</f>
        <v>low_beta</v>
      </c>
      <c r="K156" s="2">
        <v>0</v>
      </c>
      <c r="L156" s="2">
        <v>-7.0000000000000001E-3</v>
      </c>
      <c r="M156" s="71">
        <v>80</v>
      </c>
      <c r="N156" s="41">
        <f>VLOOKUP(A156,'Mandato Smll'!$A$2:$C$215,2,0)</f>
        <v>0</v>
      </c>
      <c r="O156" s="58">
        <f t="shared" si="19"/>
        <v>0</v>
      </c>
      <c r="P156" s="42">
        <f t="shared" si="20"/>
        <v>0</v>
      </c>
      <c r="Q156" s="41">
        <f>VLOOKUP(A156,'Mandato Smll'!$A$2:$C$215,3,0)</f>
        <v>0</v>
      </c>
      <c r="R156" s="58">
        <f t="shared" si="21"/>
        <v>0</v>
      </c>
      <c r="S156" s="15">
        <v>-0.75800000000000001</v>
      </c>
      <c r="T156" s="15">
        <v>-0.92300000000000004</v>
      </c>
      <c r="U156" s="15">
        <v>-0.74299999999999999</v>
      </c>
      <c r="V156" s="15">
        <v>-0.76700000000000002</v>
      </c>
      <c r="W156" s="15">
        <v>-0.88800000000000001</v>
      </c>
      <c r="X156" s="15">
        <v>-0.56999999999999995</v>
      </c>
      <c r="Y156" s="15">
        <v>-0.32</v>
      </c>
      <c r="Z156" s="15">
        <v>-0.82799999999999996</v>
      </c>
      <c r="AA156" s="15">
        <v>0.193</v>
      </c>
      <c r="AB156" s="15">
        <v>0.192</v>
      </c>
      <c r="AC156" s="15">
        <v>0.51300000000000001</v>
      </c>
      <c r="AD156" s="15">
        <v>0.49199999999999999</v>
      </c>
      <c r="AE156" s="15">
        <v>0.36599999999999999</v>
      </c>
      <c r="AF156" s="14">
        <v>-0.501</v>
      </c>
      <c r="AG156" s="15">
        <v>-0.55900000000000005</v>
      </c>
      <c r="AH156" s="15">
        <v>-1</v>
      </c>
      <c r="AI156" s="15">
        <v>-0.68600000000000005</v>
      </c>
      <c r="AJ156" s="15">
        <v>-0.77600000000000002</v>
      </c>
      <c r="AK156" s="9">
        <v>-0.36699999999999999</v>
      </c>
      <c r="AL156" s="4">
        <v>-8.1000000000000003E-2</v>
      </c>
      <c r="AM156" s="4">
        <v>-0.57999999999999996</v>
      </c>
      <c r="AN156" s="4">
        <v>-0.77900000000000003</v>
      </c>
      <c r="AO156" s="4">
        <v>-4.9000000000000002E-2</v>
      </c>
      <c r="AP156" s="4">
        <v>-0.44600000000000001</v>
      </c>
      <c r="AQ156" s="4">
        <v>-0.214</v>
      </c>
      <c r="AR156" s="4">
        <v>0.13700000000000001</v>
      </c>
      <c r="AS156" s="4">
        <v>-7.6999999999999999E-2</v>
      </c>
      <c r="AT156" s="4">
        <v>-0.66500000000000004</v>
      </c>
      <c r="AU156" s="4">
        <v>0.28199999999999997</v>
      </c>
      <c r="AV156" s="4">
        <v>-0.27100000000000002</v>
      </c>
      <c r="AW156" s="4">
        <v>0.113</v>
      </c>
      <c r="AX156" s="4">
        <v>0.70399999999999996</v>
      </c>
      <c r="AY156" s="4">
        <v>-4.9000000000000002E-2</v>
      </c>
      <c r="AZ156" s="4">
        <v>0.69799999999999995</v>
      </c>
      <c r="BA156" s="4">
        <v>0.73399999999999999</v>
      </c>
      <c r="BB156" s="4">
        <v>-0.377</v>
      </c>
      <c r="BC156" s="4">
        <v>-9.5000000000000001E-2</v>
      </c>
      <c r="BD156" s="4">
        <v>0.35299999999999998</v>
      </c>
      <c r="BE156" s="4">
        <v>7.8E-2</v>
      </c>
      <c r="BF156" s="4">
        <v>-0.81799999999999995</v>
      </c>
      <c r="BG156" s="4">
        <v>-0.52400000000000002</v>
      </c>
      <c r="BH156" s="4">
        <v>0.79500000000000004</v>
      </c>
      <c r="BI156" s="4">
        <v>-0.60699999999999998</v>
      </c>
      <c r="BJ156" s="4">
        <v>9.0999999999999998E-2</v>
      </c>
      <c r="BK156" s="4">
        <v>0.67500000000000004</v>
      </c>
      <c r="BL156" s="4">
        <v>-7.6999999999999999E-2</v>
      </c>
      <c r="BM156" s="4"/>
    </row>
    <row r="157" spans="1:65" x14ac:dyDescent="0.3">
      <c r="A157" s="19" t="s">
        <v>204</v>
      </c>
      <c r="B157" s="53">
        <v>0</v>
      </c>
      <c r="C157" s="53">
        <f t="shared" si="16"/>
        <v>0</v>
      </c>
      <c r="D157" s="53">
        <f t="shared" si="17"/>
        <v>0</v>
      </c>
      <c r="E157" s="53">
        <f t="shared" si="18"/>
        <v>0</v>
      </c>
      <c r="F157" s="15">
        <v>0.56999999999999995</v>
      </c>
      <c r="G157" s="19">
        <v>0.71599999999999997</v>
      </c>
      <c r="H157" s="24" t="s">
        <v>55</v>
      </c>
      <c r="I157" t="str">
        <f>VLOOKUP(A157,Setores!$A$2:$C$215,2,0)</f>
        <v>utilities</v>
      </c>
      <c r="J157" t="str">
        <f>VLOOKUP(A157,Setores!$A$2:$C$215,3,0)</f>
        <v>low_beta</v>
      </c>
      <c r="K157" s="2">
        <v>0</v>
      </c>
      <c r="L157" s="2">
        <v>0</v>
      </c>
      <c r="M157" s="71">
        <v>7</v>
      </c>
      <c r="N157" s="41">
        <f>VLOOKUP(A157,'Mandato Smll'!$A$2:$C$215,2,0)</f>
        <v>0</v>
      </c>
      <c r="O157" s="58">
        <f t="shared" si="19"/>
        <v>0</v>
      </c>
      <c r="P157" s="42">
        <f t="shared" si="20"/>
        <v>0</v>
      </c>
      <c r="Q157" s="41">
        <f>VLOOKUP(A157,'Mandato Smll'!$A$2:$C$215,3,0)</f>
        <v>0</v>
      </c>
      <c r="R157" s="58">
        <f t="shared" si="21"/>
        <v>0</v>
      </c>
      <c r="S157" s="15">
        <v>-0.91</v>
      </c>
      <c r="T157" s="15">
        <v>-0.89400000000000002</v>
      </c>
      <c r="U157" s="15">
        <v>-1</v>
      </c>
      <c r="V157" s="15">
        <v>-0.80100000000000005</v>
      </c>
      <c r="W157" s="15">
        <v>-0.93200000000000005</v>
      </c>
      <c r="X157" s="15">
        <v>-0.72299999999999998</v>
      </c>
      <c r="Y157" s="15">
        <v>-0.46200000000000002</v>
      </c>
      <c r="Z157" s="15">
        <v>-0.746</v>
      </c>
      <c r="AA157" s="15">
        <v>0.18099999999999999</v>
      </c>
      <c r="AB157" s="15">
        <v>0.186</v>
      </c>
      <c r="AC157" s="15">
        <v>0.63500000000000001</v>
      </c>
      <c r="AD157" s="15">
        <v>0.60699999999999998</v>
      </c>
      <c r="AE157" s="15">
        <v>0.46800000000000003</v>
      </c>
      <c r="AF157" s="14">
        <v>-0.89</v>
      </c>
      <c r="AG157" s="15">
        <v>-0.61799999999999999</v>
      </c>
      <c r="AH157" s="15">
        <v>-0.2</v>
      </c>
      <c r="AI157" s="15">
        <v>-1</v>
      </c>
      <c r="AJ157" s="15">
        <v>-0.73099999999999998</v>
      </c>
      <c r="AK157" s="9">
        <v>-0.99</v>
      </c>
      <c r="AL157" s="4">
        <v>-0.56100000000000005</v>
      </c>
      <c r="AM157" s="4">
        <v>-0.69199999999999995</v>
      </c>
      <c r="AN157" s="4">
        <v>-0.73199999999999998</v>
      </c>
      <c r="AO157" s="4">
        <v>-0.29099999999999998</v>
      </c>
      <c r="AP157" s="4">
        <v>0.222</v>
      </c>
      <c r="AQ157" s="4">
        <v>0.33300000000000002</v>
      </c>
      <c r="AR157" s="4">
        <v>0.318</v>
      </c>
      <c r="AS157" s="4">
        <v>0.222</v>
      </c>
      <c r="AT157" s="4">
        <v>-2.7E-2</v>
      </c>
      <c r="AU157" s="4">
        <v>0.129</v>
      </c>
      <c r="AV157" s="4">
        <v>4.2999999999999997E-2</v>
      </c>
      <c r="AW157" s="4">
        <v>-0.32700000000000001</v>
      </c>
      <c r="AX157" s="4">
        <v>0.49</v>
      </c>
      <c r="AY157" s="4">
        <v>-0.39300000000000002</v>
      </c>
      <c r="AZ157" s="4">
        <v>0.65800000000000003</v>
      </c>
      <c r="BA157" s="4">
        <v>-0.19600000000000001</v>
      </c>
      <c r="BB157" s="4">
        <v>0.45200000000000001</v>
      </c>
      <c r="BC157" s="4">
        <v>-0.79</v>
      </c>
      <c r="BD157" s="4">
        <v>-0.84699999999999998</v>
      </c>
      <c r="BE157" s="4">
        <v>3.1E-2</v>
      </c>
      <c r="BF157" s="4">
        <v>-3.1E-2</v>
      </c>
      <c r="BG157" s="4">
        <v>-0.71</v>
      </c>
      <c r="BH157" s="4">
        <v>0.55400000000000005</v>
      </c>
      <c r="BI157" s="4">
        <v>-0.99299999999999999</v>
      </c>
      <c r="BJ157" s="4">
        <v>-0.26</v>
      </c>
      <c r="BK157" s="4">
        <v>-0.32500000000000001</v>
      </c>
      <c r="BL157" s="4">
        <v>-0.80200000000000005</v>
      </c>
      <c r="BM157" s="4"/>
    </row>
    <row r="158" spans="1:65" x14ac:dyDescent="0.3">
      <c r="A158" s="19" t="s">
        <v>241</v>
      </c>
      <c r="B158" s="53">
        <v>0</v>
      </c>
      <c r="C158" s="53">
        <f t="shared" si="16"/>
        <v>0</v>
      </c>
      <c r="D158" s="53">
        <f t="shared" si="17"/>
        <v>0</v>
      </c>
      <c r="E158" s="53">
        <f t="shared" si="18"/>
        <v>0</v>
      </c>
      <c r="F158" s="15">
        <v>0.56999999999999995</v>
      </c>
      <c r="G158" s="19">
        <v>0.52700000000000002</v>
      </c>
      <c r="H158" s="24" t="s">
        <v>57</v>
      </c>
      <c r="I158" t="str">
        <f>VLOOKUP(A158,Setores!$A$2:$C$215,2,0)</f>
        <v>transportation</v>
      </c>
      <c r="J158" t="str">
        <f>VLOOKUP(A158,Setores!$A$2:$C$215,3,0)</f>
        <v>neutral_beta</v>
      </c>
      <c r="K158" s="2">
        <v>0</v>
      </c>
      <c r="L158" s="2">
        <v>0</v>
      </c>
      <c r="M158" s="71">
        <v>30</v>
      </c>
      <c r="N158" s="41">
        <f>VLOOKUP(A158,'Mandato Smll'!$A$2:$C$215,2,0)</f>
        <v>0</v>
      </c>
      <c r="O158" s="58">
        <f t="shared" si="19"/>
        <v>0</v>
      </c>
      <c r="P158" s="42">
        <f t="shared" si="20"/>
        <v>0</v>
      </c>
      <c r="Q158" s="41">
        <f>VLOOKUP(A158,'Mandato Smll'!$A$2:$C$215,3,0)</f>
        <v>0</v>
      </c>
      <c r="R158" s="58">
        <f t="shared" si="21"/>
        <v>0</v>
      </c>
      <c r="S158" s="15">
        <v>-0.66700000000000004</v>
      </c>
      <c r="T158" s="15">
        <v>-0.78400000000000003</v>
      </c>
      <c r="U158" s="15">
        <v>-0.90900000000000003</v>
      </c>
      <c r="V158" s="15">
        <v>-0.70299999999999996</v>
      </c>
      <c r="W158" s="15">
        <v>-0.875</v>
      </c>
      <c r="X158" s="15">
        <v>-0.52700000000000002</v>
      </c>
      <c r="Y158" s="15">
        <v>-0.26</v>
      </c>
      <c r="Z158" s="15">
        <v>-0.81299999999999994</v>
      </c>
      <c r="AA158" s="15">
        <v>1E-3</v>
      </c>
      <c r="AB158" s="15">
        <v>0</v>
      </c>
      <c r="AC158" s="15">
        <v>0.45500000000000002</v>
      </c>
      <c r="AD158" s="15">
        <v>0.36899999999999999</v>
      </c>
      <c r="AE158" s="15">
        <v>0.29899999999999999</v>
      </c>
      <c r="AF158" s="14">
        <v>-0.76600000000000001</v>
      </c>
      <c r="AG158" s="15">
        <v>-4.2000000000000003E-2</v>
      </c>
      <c r="AH158" s="15">
        <v>-0.81499999999999995</v>
      </c>
      <c r="AI158" s="15">
        <v>-0.90200000000000002</v>
      </c>
      <c r="AJ158" s="15">
        <v>-0.92300000000000004</v>
      </c>
      <c r="AK158" s="9">
        <v>-0.88100000000000001</v>
      </c>
      <c r="AL158" s="4">
        <v>-0.23899999999999999</v>
      </c>
      <c r="AM158" s="4">
        <v>-0.60199999999999998</v>
      </c>
      <c r="AN158" s="4">
        <v>-0.67500000000000004</v>
      </c>
      <c r="AO158" s="4">
        <v>0.68</v>
      </c>
      <c r="AP158" s="4">
        <v>-0.30499999999999999</v>
      </c>
      <c r="AQ158" s="4">
        <v>0.13100000000000001</v>
      </c>
      <c r="AR158" s="4">
        <v>0.498</v>
      </c>
      <c r="AS158" s="4">
        <v>0.98799999999999999</v>
      </c>
      <c r="AT158" s="4">
        <v>0.36</v>
      </c>
      <c r="AU158" s="4">
        <v>-4.7E-2</v>
      </c>
      <c r="AV158" s="4">
        <v>0.192</v>
      </c>
      <c r="AW158" s="4">
        <v>-0.23200000000000001</v>
      </c>
      <c r="AX158" s="4">
        <v>0.23899999999999999</v>
      </c>
      <c r="AY158" s="4">
        <v>-0.42699999999999999</v>
      </c>
      <c r="AZ158" s="4">
        <v>0.65700000000000003</v>
      </c>
      <c r="BA158" s="4">
        <v>0.32900000000000001</v>
      </c>
      <c r="BB158" s="4">
        <v>0.314</v>
      </c>
      <c r="BC158" s="4">
        <v>-5.0000000000000001E-3</v>
      </c>
      <c r="BD158" s="4">
        <v>-0.48599999999999999</v>
      </c>
      <c r="BE158" s="4">
        <v>0.19500000000000001</v>
      </c>
      <c r="BF158" s="4">
        <v>-0.23799999999999999</v>
      </c>
      <c r="BG158" s="4">
        <v>-0.26400000000000001</v>
      </c>
      <c r="BH158" s="4">
        <v>0.438</v>
      </c>
      <c r="BI158" s="4">
        <v>4.3999999999999997E-2</v>
      </c>
      <c r="BJ158" s="4">
        <v>0.247</v>
      </c>
      <c r="BK158" s="4">
        <v>-0.35699999999999998</v>
      </c>
      <c r="BL158" s="4">
        <v>-0.65700000000000003</v>
      </c>
      <c r="BM158" s="4"/>
    </row>
    <row r="159" spans="1:65" x14ac:dyDescent="0.3">
      <c r="A159" s="19" t="s">
        <v>222</v>
      </c>
      <c r="B159" s="53">
        <v>0</v>
      </c>
      <c r="C159" s="53">
        <f t="shared" si="16"/>
        <v>0</v>
      </c>
      <c r="D159" s="53">
        <f t="shared" si="17"/>
        <v>0</v>
      </c>
      <c r="E159" s="53">
        <f t="shared" si="18"/>
        <v>0</v>
      </c>
      <c r="F159" s="15">
        <v>0.56899999999999995</v>
      </c>
      <c r="G159" s="19">
        <v>0.58099999999999996</v>
      </c>
      <c r="H159" s="24" t="s">
        <v>71</v>
      </c>
      <c r="I159" t="str">
        <f>VLOOKUP(A159,Setores!$A$2:$C$215,2,0)</f>
        <v>basic_materials</v>
      </c>
      <c r="J159" t="str">
        <f>VLOOKUP(A159,Setores!$A$2:$C$215,3,0)</f>
        <v>very_low_beta</v>
      </c>
      <c r="K159" s="2">
        <v>0</v>
      </c>
      <c r="L159" s="2">
        <v>0</v>
      </c>
      <c r="M159" s="71">
        <v>24</v>
      </c>
      <c r="N159" s="41">
        <f>VLOOKUP(A159,'Mandato Smll'!$A$2:$C$215,2,0)</f>
        <v>0</v>
      </c>
      <c r="O159" s="58">
        <f t="shared" si="19"/>
        <v>0</v>
      </c>
      <c r="P159" s="42">
        <f t="shared" si="20"/>
        <v>0</v>
      </c>
      <c r="Q159" s="41">
        <f>VLOOKUP(A159,'Mandato Smll'!$A$2:$C$215,3,0)</f>
        <v>0</v>
      </c>
      <c r="R159" s="58">
        <f t="shared" si="21"/>
        <v>0</v>
      </c>
      <c r="S159" s="15">
        <v>-0.95399999999999996</v>
      </c>
      <c r="T159" s="15">
        <v>-0.92500000000000004</v>
      </c>
      <c r="U159" s="15">
        <v>-1</v>
      </c>
      <c r="V159" s="15">
        <v>-0.87</v>
      </c>
      <c r="W159" s="15">
        <v>-0.94599999999999995</v>
      </c>
      <c r="X159" s="15">
        <v>-0.70699999999999996</v>
      </c>
      <c r="Y159" s="15">
        <v>-0.40500000000000003</v>
      </c>
      <c r="Z159" s="15">
        <v>-0.83799999999999997</v>
      </c>
      <c r="AA159" s="15">
        <v>0.59399999999999997</v>
      </c>
      <c r="AB159" s="15">
        <v>0.59</v>
      </c>
      <c r="AC159" s="15">
        <v>0.504</v>
      </c>
      <c r="AD159" s="15">
        <v>0.52</v>
      </c>
      <c r="AE159" s="15">
        <v>0.43099999999999999</v>
      </c>
      <c r="AF159" s="14">
        <v>-0.64300000000000002</v>
      </c>
      <c r="AG159" s="15">
        <v>-0.90600000000000003</v>
      </c>
      <c r="AH159" s="15">
        <v>-0.73199999999999998</v>
      </c>
      <c r="AI159" s="15">
        <v>-0.90200000000000002</v>
      </c>
      <c r="AJ159" s="15">
        <v>-1</v>
      </c>
      <c r="AK159" s="9">
        <v>-1</v>
      </c>
      <c r="AL159" s="4">
        <v>-2.3E-2</v>
      </c>
      <c r="AM159" s="4">
        <v>-0.57099999999999995</v>
      </c>
      <c r="AN159" s="4">
        <v>-0.35399999999999998</v>
      </c>
      <c r="AO159" s="4">
        <v>3.5000000000000003E-2</v>
      </c>
      <c r="AP159" s="4">
        <v>-0.14099999999999999</v>
      </c>
      <c r="AQ159" s="4">
        <v>-0.95199999999999996</v>
      </c>
      <c r="AR159" s="4">
        <v>-0.48199999999999998</v>
      </c>
      <c r="AS159" s="4">
        <v>-7.4999999999999997E-2</v>
      </c>
      <c r="AT159" s="4">
        <v>-0.12</v>
      </c>
      <c r="AU159" s="4">
        <v>0.17100000000000001</v>
      </c>
      <c r="AV159" s="4">
        <v>4.3999999999999997E-2</v>
      </c>
      <c r="AW159" s="4">
        <v>-0.35599999999999998</v>
      </c>
      <c r="AX159" s="4">
        <v>0.93899999999999995</v>
      </c>
      <c r="AY159" s="4">
        <v>-0.39700000000000002</v>
      </c>
      <c r="AZ159" s="4">
        <v>0.14899999999999999</v>
      </c>
      <c r="BA159" s="4">
        <v>-0.29099999999999998</v>
      </c>
      <c r="BB159" s="4">
        <v>-0.73899999999999999</v>
      </c>
      <c r="BC159" s="4">
        <v>-0.20799999999999999</v>
      </c>
      <c r="BD159" s="4">
        <v>-0.30499999999999999</v>
      </c>
      <c r="BE159" s="4">
        <v>0.219</v>
      </c>
      <c r="BF159" s="4">
        <v>-3.5000000000000003E-2</v>
      </c>
      <c r="BG159" s="4">
        <v>-1E-3</v>
      </c>
      <c r="BH159" s="4">
        <v>0.92800000000000005</v>
      </c>
      <c r="BI159" s="4">
        <v>-0.11600000000000001</v>
      </c>
      <c r="BJ159" s="4">
        <v>-0.71899999999999997</v>
      </c>
      <c r="BK159" s="4">
        <v>-0.33400000000000002</v>
      </c>
      <c r="BL159" s="4">
        <v>-0.65500000000000003</v>
      </c>
      <c r="BM159" s="4"/>
    </row>
    <row r="160" spans="1:65" x14ac:dyDescent="0.3">
      <c r="A160" s="19" t="s">
        <v>240</v>
      </c>
      <c r="B160" s="53">
        <v>0</v>
      </c>
      <c r="C160" s="53">
        <f t="shared" si="16"/>
        <v>0</v>
      </c>
      <c r="D160" s="53">
        <f t="shared" si="17"/>
        <v>0</v>
      </c>
      <c r="E160" s="53">
        <f t="shared" si="18"/>
        <v>0</v>
      </c>
      <c r="F160" s="15">
        <v>0.56799999999999995</v>
      </c>
      <c r="G160" s="19">
        <v>0.47599999999999998</v>
      </c>
      <c r="H160" s="24" t="s">
        <v>71</v>
      </c>
      <c r="I160" t="str">
        <f>VLOOKUP(A160,Setores!$A$2:$C$215,2,0)</f>
        <v>crude_oil</v>
      </c>
      <c r="J160" t="str">
        <f>VLOOKUP(A160,Setores!$A$2:$C$215,3,0)</f>
        <v>very_low_beta</v>
      </c>
      <c r="K160" s="2">
        <v>0</v>
      </c>
      <c r="L160" s="2">
        <v>0</v>
      </c>
      <c r="M160" s="71">
        <v>15</v>
      </c>
      <c r="N160" s="41">
        <f>VLOOKUP(A160,'Mandato Smll'!$A$2:$C$215,2,0)</f>
        <v>0</v>
      </c>
      <c r="O160" s="58">
        <f t="shared" si="19"/>
        <v>0</v>
      </c>
      <c r="P160" s="42">
        <f t="shared" si="20"/>
        <v>0</v>
      </c>
      <c r="Q160" s="41">
        <f>VLOOKUP(A160,'Mandato Smll'!$A$2:$C$215,3,0)</f>
        <v>0</v>
      </c>
      <c r="R160" s="58">
        <f t="shared" si="21"/>
        <v>0</v>
      </c>
      <c r="S160" s="15">
        <v>-0.94199999999999995</v>
      </c>
      <c r="T160" s="15">
        <v>-0.72499999999999998</v>
      </c>
      <c r="U160" s="15">
        <v>-1</v>
      </c>
      <c r="V160" s="15">
        <v>-0.85699999999999998</v>
      </c>
      <c r="W160" s="15">
        <v>-0.92500000000000004</v>
      </c>
      <c r="X160" s="15">
        <v>-0.82799999999999996</v>
      </c>
      <c r="Y160" s="15">
        <v>-0.81200000000000006</v>
      </c>
      <c r="Z160" s="15">
        <v>-0.64100000000000001</v>
      </c>
      <c r="AA160" s="15">
        <v>5.5E-2</v>
      </c>
      <c r="AB160" s="15">
        <v>6.4000000000000001E-2</v>
      </c>
      <c r="AC160" s="15">
        <v>0.48099999999999998</v>
      </c>
      <c r="AD160" s="15">
        <v>0.56100000000000005</v>
      </c>
      <c r="AE160" s="15">
        <v>0.58499999999999996</v>
      </c>
      <c r="AF160" s="14">
        <v>-1</v>
      </c>
      <c r="AG160" s="15">
        <v>-0.95899999999999996</v>
      </c>
      <c r="AH160" s="15">
        <v>0.32500000000000001</v>
      </c>
      <c r="AI160" s="15">
        <v>-1</v>
      </c>
      <c r="AJ160" s="15">
        <v>-0.45300000000000001</v>
      </c>
      <c r="AK160" s="9">
        <v>-1</v>
      </c>
      <c r="AL160" s="4">
        <v>-0.52</v>
      </c>
      <c r="AM160" s="4">
        <v>-1</v>
      </c>
      <c r="AN160" s="4">
        <v>-0.81599999999999995</v>
      </c>
      <c r="AO160" s="4">
        <v>-0.36399999999999999</v>
      </c>
      <c r="AP160" s="4">
        <v>0.91100000000000003</v>
      </c>
      <c r="AQ160" s="4">
        <v>0.95399999999999996</v>
      </c>
      <c r="AR160" s="4">
        <v>-0.65900000000000003</v>
      </c>
      <c r="AS160" s="4">
        <v>0.30499999999999999</v>
      </c>
      <c r="AT160" s="4">
        <v>4.0000000000000001E-3</v>
      </c>
      <c r="AU160" s="4">
        <v>8.0000000000000002E-3</v>
      </c>
      <c r="AV160" s="4">
        <v>-7.0999999999999994E-2</v>
      </c>
      <c r="AW160" s="4">
        <v>-0.77600000000000002</v>
      </c>
      <c r="AX160" s="4">
        <v>0.433</v>
      </c>
      <c r="AY160" s="4">
        <v>-0.438</v>
      </c>
      <c r="AZ160" s="4">
        <v>-0.112</v>
      </c>
      <c r="BA160" s="4">
        <v>6.8000000000000005E-2</v>
      </c>
      <c r="BB160" s="4">
        <v>0.61899999999999999</v>
      </c>
      <c r="BC160" s="4">
        <v>-0.63100000000000001</v>
      </c>
      <c r="BD160" s="4">
        <v>-0.77600000000000002</v>
      </c>
      <c r="BE160" s="4">
        <v>0.47899999999999998</v>
      </c>
      <c r="BF160" s="4">
        <v>-1</v>
      </c>
      <c r="BG160" s="4">
        <v>0.19400000000000001</v>
      </c>
      <c r="BH160" s="4">
        <v>2.9000000000000001E-2</v>
      </c>
      <c r="BI160" s="4">
        <v>-0.67200000000000004</v>
      </c>
      <c r="BJ160" s="4">
        <v>-1</v>
      </c>
      <c r="BK160" s="4">
        <v>-1</v>
      </c>
      <c r="BL160" s="4">
        <v>-0.40699999999999997</v>
      </c>
      <c r="BM160" s="4"/>
    </row>
    <row r="161" spans="1:65" x14ac:dyDescent="0.3">
      <c r="A161" s="19" t="s">
        <v>206</v>
      </c>
      <c r="B161" s="53">
        <v>0</v>
      </c>
      <c r="C161" s="53">
        <f t="shared" si="16"/>
        <v>0</v>
      </c>
      <c r="D161" s="53">
        <f t="shared" si="17"/>
        <v>0</v>
      </c>
      <c r="E161" s="53">
        <f t="shared" si="18"/>
        <v>0</v>
      </c>
      <c r="F161" s="15">
        <v>0.56699999999999995</v>
      </c>
      <c r="G161" s="19">
        <v>0.53600000000000003</v>
      </c>
      <c r="H161" s="24" t="s">
        <v>57</v>
      </c>
      <c r="I161" t="str">
        <f>VLOOKUP(A161,Setores!$A$2:$C$215,2,0)</f>
        <v>financial_services</v>
      </c>
      <c r="J161" t="str">
        <f>VLOOKUP(A161,Setores!$A$2:$C$215,3,0)</f>
        <v>very_high_beta</v>
      </c>
      <c r="K161" s="2">
        <v>0</v>
      </c>
      <c r="L161" s="2">
        <v>0</v>
      </c>
      <c r="M161" s="71">
        <v>80</v>
      </c>
      <c r="N161" s="41">
        <f>VLOOKUP(A161,'Mandato Smll'!$A$2:$C$215,2,0)</f>
        <v>0</v>
      </c>
      <c r="O161" s="58">
        <f t="shared" si="19"/>
        <v>0</v>
      </c>
      <c r="P161" s="42">
        <f t="shared" si="20"/>
        <v>0</v>
      </c>
      <c r="Q161" s="41">
        <f>VLOOKUP(A161,'Mandato Smll'!$A$2:$C$215,3,0)</f>
        <v>0</v>
      </c>
      <c r="R161" s="58">
        <f t="shared" si="21"/>
        <v>0</v>
      </c>
      <c r="S161" s="15">
        <v>-0.73599999999999999</v>
      </c>
      <c r="T161" s="15">
        <v>-0.8</v>
      </c>
      <c r="U161" s="15">
        <v>-0.87</v>
      </c>
      <c r="V161" s="15">
        <v>-0.80500000000000005</v>
      </c>
      <c r="W161" s="15">
        <v>-0.88800000000000001</v>
      </c>
      <c r="X161" s="15">
        <v>-0.63500000000000001</v>
      </c>
      <c r="Y161" s="15">
        <v>-0.499</v>
      </c>
      <c r="Z161" s="15">
        <v>-0.83899999999999997</v>
      </c>
      <c r="AA161" s="15">
        <v>-2.5999999999999999E-2</v>
      </c>
      <c r="AB161" s="15">
        <v>-2.5999999999999999E-2</v>
      </c>
      <c r="AC161" s="15">
        <v>0.64300000000000002</v>
      </c>
      <c r="AD161" s="15">
        <v>0.57599999999999996</v>
      </c>
      <c r="AE161" s="15">
        <v>0.41399999999999998</v>
      </c>
      <c r="AF161" s="14">
        <v>-0.85199999999999998</v>
      </c>
      <c r="AG161" s="15">
        <v>-0.14399999999999999</v>
      </c>
      <c r="AH161" s="15">
        <v>-0.73099999999999998</v>
      </c>
      <c r="AI161" s="15">
        <v>-0.90900000000000003</v>
      </c>
      <c r="AJ161" s="15">
        <v>-0.98499999999999999</v>
      </c>
      <c r="AK161" s="9">
        <v>-0.95399999999999996</v>
      </c>
      <c r="AL161" s="4">
        <v>-9.4E-2</v>
      </c>
      <c r="AM161" s="4">
        <v>-0.60499999999999998</v>
      </c>
      <c r="AN161" s="4">
        <v>-0.45</v>
      </c>
      <c r="AO161" s="4">
        <v>0.19800000000000001</v>
      </c>
      <c r="AP161" s="4">
        <v>-0.33100000000000002</v>
      </c>
      <c r="AQ161" s="4">
        <v>-1.4E-2</v>
      </c>
      <c r="AR161" s="4">
        <v>0.1</v>
      </c>
      <c r="AS161" s="4">
        <v>0.222</v>
      </c>
      <c r="AT161" s="4">
        <v>0.35899999999999999</v>
      </c>
      <c r="AU161" s="4">
        <v>-8.8999999999999996E-2</v>
      </c>
      <c r="AV161" s="4">
        <v>4.8000000000000001E-2</v>
      </c>
      <c r="AW161" s="4">
        <v>-0.68100000000000005</v>
      </c>
      <c r="AX161" s="4">
        <v>5.7000000000000002E-2</v>
      </c>
      <c r="AY161" s="4">
        <v>-0.214</v>
      </c>
      <c r="AZ161" s="4">
        <v>-0.115</v>
      </c>
      <c r="BA161" s="4">
        <v>0.59199999999999997</v>
      </c>
      <c r="BB161" s="4">
        <v>0.52200000000000002</v>
      </c>
      <c r="BC161" s="4">
        <v>-0.316</v>
      </c>
      <c r="BD161" s="4">
        <v>5.1999999999999998E-2</v>
      </c>
      <c r="BE161" s="4">
        <v>0.14899999999999999</v>
      </c>
      <c r="BF161" s="4">
        <v>8.5999999999999993E-2</v>
      </c>
      <c r="BG161" s="4">
        <v>5.8000000000000003E-2</v>
      </c>
      <c r="BH161" s="4">
        <v>0.54700000000000004</v>
      </c>
      <c r="BI161" s="4">
        <v>-5.8000000000000003E-2</v>
      </c>
      <c r="BJ161" s="4">
        <v>0.24299999999999999</v>
      </c>
      <c r="BK161" s="4">
        <v>0.189</v>
      </c>
      <c r="BL161" s="4">
        <v>-0.57499999999999996</v>
      </c>
      <c r="BM161" s="4"/>
    </row>
    <row r="162" spans="1:65" x14ac:dyDescent="0.3">
      <c r="A162" s="19" t="s">
        <v>234</v>
      </c>
      <c r="B162" s="53">
        <v>0</v>
      </c>
      <c r="C162" s="53">
        <f t="shared" si="16"/>
        <v>-1.2E-2</v>
      </c>
      <c r="D162" s="53">
        <f t="shared" si="17"/>
        <v>0</v>
      </c>
      <c r="E162" s="53">
        <f t="shared" si="18"/>
        <v>1.2E-2</v>
      </c>
      <c r="F162" s="15">
        <v>0.56399999999999995</v>
      </c>
      <c r="G162" s="19">
        <v>0.86599999999999999</v>
      </c>
      <c r="H162" s="24" t="s">
        <v>55</v>
      </c>
      <c r="I162" t="str">
        <f>VLOOKUP(A162,Setores!$A$2:$C$215,2,0)</f>
        <v>utilities</v>
      </c>
      <c r="J162" t="str">
        <f>VLOOKUP(A162,Setores!$A$2:$C$215,3,0)</f>
        <v>high_beta</v>
      </c>
      <c r="K162" s="2">
        <v>0</v>
      </c>
      <c r="L162" s="2">
        <v>-1.2E-2</v>
      </c>
      <c r="M162" s="71">
        <v>67</v>
      </c>
      <c r="N162" s="41">
        <f>VLOOKUP(A162,'Mandato Smll'!$A$2:$C$215,2,0)</f>
        <v>0</v>
      </c>
      <c r="O162" s="58">
        <f t="shared" si="19"/>
        <v>0</v>
      </c>
      <c r="P162" s="42">
        <f t="shared" si="20"/>
        <v>0</v>
      </c>
      <c r="Q162" s="41">
        <f>VLOOKUP(A162,'Mandato Smll'!$A$2:$C$215,3,0)</f>
        <v>0</v>
      </c>
      <c r="R162" s="58">
        <f t="shared" si="21"/>
        <v>0</v>
      </c>
      <c r="S162" s="15">
        <v>-0.93</v>
      </c>
      <c r="T162" s="15">
        <v>-0.85899999999999999</v>
      </c>
      <c r="U162" s="15">
        <v>-0.96599999999999997</v>
      </c>
      <c r="V162" s="15">
        <v>-0.89100000000000001</v>
      </c>
      <c r="W162" s="15">
        <v>-0.91400000000000003</v>
      </c>
      <c r="X162" s="15">
        <v>-0.76700000000000002</v>
      </c>
      <c r="Y162" s="15">
        <v>-0.63600000000000001</v>
      </c>
      <c r="Z162" s="15">
        <v>-0.64800000000000002</v>
      </c>
      <c r="AA162" s="15">
        <v>6.4000000000000001E-2</v>
      </c>
      <c r="AB162" s="15">
        <v>6.2E-2</v>
      </c>
      <c r="AC162" s="15">
        <v>0.47399999999999998</v>
      </c>
      <c r="AD162" s="15">
        <v>0.32600000000000001</v>
      </c>
      <c r="AE162" s="15">
        <v>0.52900000000000003</v>
      </c>
      <c r="AF162" s="14">
        <v>-0.96</v>
      </c>
      <c r="AG162" s="15">
        <v>-0.98899999999999999</v>
      </c>
      <c r="AH162" s="15">
        <v>-0.247</v>
      </c>
      <c r="AI162" s="15">
        <v>-0.91300000000000003</v>
      </c>
      <c r="AJ162" s="15">
        <v>-0.21299999999999999</v>
      </c>
      <c r="AK162" s="9">
        <v>-0.95399999999999996</v>
      </c>
      <c r="AL162" s="4">
        <v>-0.43099999999999999</v>
      </c>
      <c r="AM162" s="4">
        <v>-0.14499999999999999</v>
      </c>
      <c r="AN162" s="4">
        <v>-0.36199999999999999</v>
      </c>
      <c r="AO162" s="4">
        <v>-0.48899999999999999</v>
      </c>
      <c r="AP162" s="4">
        <v>0.29199999999999998</v>
      </c>
      <c r="AQ162" s="4">
        <v>0.79</v>
      </c>
      <c r="AR162" s="4">
        <v>-0.41099999999999998</v>
      </c>
      <c r="AS162" s="4">
        <v>-1</v>
      </c>
      <c r="AT162" s="4">
        <v>-0.48499999999999999</v>
      </c>
      <c r="AU162" s="4">
        <v>-0.499</v>
      </c>
      <c r="AV162" s="4">
        <v>-0.63400000000000001</v>
      </c>
      <c r="AW162" s="4">
        <v>-0.54600000000000004</v>
      </c>
      <c r="AX162" s="4">
        <v>0.58699999999999997</v>
      </c>
      <c r="AY162" s="4">
        <v>-0.73099999999999998</v>
      </c>
      <c r="AZ162" s="4">
        <v>-0.28499999999999998</v>
      </c>
      <c r="BA162" s="4">
        <v>-9.0999999999999998E-2</v>
      </c>
      <c r="BB162" s="4">
        <v>-0.35299999999999998</v>
      </c>
      <c r="BC162" s="4">
        <v>0.27200000000000002</v>
      </c>
      <c r="BD162" s="4">
        <v>-0.14199999999999999</v>
      </c>
      <c r="BE162" s="4">
        <v>0.316</v>
      </c>
      <c r="BF162" s="4">
        <v>-0.33400000000000002</v>
      </c>
      <c r="BG162" s="4">
        <v>0.48899999999999999</v>
      </c>
      <c r="BH162" s="4">
        <v>0.84899999999999998</v>
      </c>
      <c r="BI162" s="4">
        <v>-0.30299999999999999</v>
      </c>
      <c r="BJ162" s="4">
        <v>-5.0000000000000001E-3</v>
      </c>
      <c r="BK162" s="4">
        <v>0.13700000000000001</v>
      </c>
      <c r="BL162" s="4">
        <v>5.2999999999999999E-2</v>
      </c>
      <c r="BM162" s="4"/>
    </row>
    <row r="163" spans="1:65" x14ac:dyDescent="0.3">
      <c r="A163" s="19" t="s">
        <v>218</v>
      </c>
      <c r="B163" s="53">
        <v>0</v>
      </c>
      <c r="C163" s="53">
        <f t="shared" si="16"/>
        <v>0</v>
      </c>
      <c r="D163" s="53">
        <f t="shared" si="17"/>
        <v>0</v>
      </c>
      <c r="E163" s="53">
        <f t="shared" si="18"/>
        <v>0</v>
      </c>
      <c r="F163" s="15">
        <v>0.56299999999999994</v>
      </c>
      <c r="G163" s="19">
        <v>0.77800000000000002</v>
      </c>
      <c r="H163" s="24" t="s">
        <v>55</v>
      </c>
      <c r="I163" t="str">
        <f>VLOOKUP(A163,Setores!$A$2:$C$215,2,0)</f>
        <v>utilities</v>
      </c>
      <c r="J163" t="str">
        <f>VLOOKUP(A163,Setores!$A$2:$C$215,3,0)</f>
        <v>high_beta</v>
      </c>
      <c r="K163" s="2">
        <v>0</v>
      </c>
      <c r="L163" s="2">
        <v>0</v>
      </c>
      <c r="M163" s="71">
        <v>17</v>
      </c>
      <c r="N163" s="41">
        <f>VLOOKUP(A163,'Mandato Smll'!$A$2:$C$215,2,0)</f>
        <v>0</v>
      </c>
      <c r="O163" s="58">
        <f t="shared" si="19"/>
        <v>0</v>
      </c>
      <c r="P163" s="42">
        <f t="shared" si="20"/>
        <v>0</v>
      </c>
      <c r="Q163" s="41">
        <f>VLOOKUP(A163,'Mandato Smll'!$A$2:$C$215,3,0)</f>
        <v>0</v>
      </c>
      <c r="R163" s="58">
        <f t="shared" si="21"/>
        <v>0</v>
      </c>
      <c r="S163" s="15">
        <v>-0.86</v>
      </c>
      <c r="T163" s="15">
        <v>-0.89500000000000002</v>
      </c>
      <c r="U163" s="15">
        <v>-0.98099999999999998</v>
      </c>
      <c r="V163" s="15">
        <v>-0.81899999999999995</v>
      </c>
      <c r="W163" s="15">
        <v>-0.93700000000000006</v>
      </c>
      <c r="X163" s="15">
        <v>-0.63700000000000001</v>
      </c>
      <c r="Y163" s="15">
        <v>-0.42199999999999999</v>
      </c>
      <c r="Z163" s="15">
        <v>-0.80900000000000005</v>
      </c>
      <c r="AA163" s="15">
        <v>-1.2999999999999999E-2</v>
      </c>
      <c r="AB163" s="15">
        <v>-1.0999999999999999E-2</v>
      </c>
      <c r="AC163" s="15">
        <v>0.64400000000000002</v>
      </c>
      <c r="AD163" s="15">
        <v>0.59699999999999998</v>
      </c>
      <c r="AE163" s="15">
        <v>0.44500000000000001</v>
      </c>
      <c r="AF163" s="14">
        <v>-0.60699999999999998</v>
      </c>
      <c r="AG163" s="15">
        <v>-0.74199999999999999</v>
      </c>
      <c r="AH163" s="15">
        <v>-0.64200000000000002</v>
      </c>
      <c r="AI163" s="15">
        <v>-0.97199999999999998</v>
      </c>
      <c r="AJ163" s="15">
        <v>-0.81399999999999995</v>
      </c>
      <c r="AK163" s="9">
        <v>-1</v>
      </c>
      <c r="AL163" s="4">
        <v>-0.28599999999999998</v>
      </c>
      <c r="AM163" s="4">
        <v>-0.63500000000000001</v>
      </c>
      <c r="AN163" s="4">
        <v>-0.58399999999999996</v>
      </c>
      <c r="AO163" s="4">
        <v>-0.23699999999999999</v>
      </c>
      <c r="AP163" s="4">
        <v>-9.7000000000000003E-2</v>
      </c>
      <c r="AQ163" s="4">
        <v>0.26300000000000001</v>
      </c>
      <c r="AR163" s="4">
        <v>-6.4000000000000001E-2</v>
      </c>
      <c r="AS163" s="4">
        <v>0.19800000000000001</v>
      </c>
      <c r="AT163" s="4">
        <v>0.13500000000000001</v>
      </c>
      <c r="AU163" s="4">
        <v>-5.5E-2</v>
      </c>
      <c r="AV163" s="4">
        <v>-0.39100000000000001</v>
      </c>
      <c r="AW163" s="4">
        <v>-0.129</v>
      </c>
      <c r="AX163" s="4">
        <v>0.51600000000000001</v>
      </c>
      <c r="AY163" s="4">
        <v>-0.82799999999999996</v>
      </c>
      <c r="AZ163" s="4">
        <v>0.94399999999999995</v>
      </c>
      <c r="BA163" s="4">
        <v>0.33600000000000002</v>
      </c>
      <c r="BB163" s="4">
        <v>0.223</v>
      </c>
      <c r="BC163" s="4">
        <v>0.159</v>
      </c>
      <c r="BD163" s="4">
        <v>1.4999999999999999E-2</v>
      </c>
      <c r="BE163" s="4">
        <v>0.34200000000000003</v>
      </c>
      <c r="BF163" s="4">
        <v>-1.6E-2</v>
      </c>
      <c r="BG163" s="4">
        <v>0.254</v>
      </c>
      <c r="BH163" s="4">
        <v>0.86799999999999999</v>
      </c>
      <c r="BI163" s="4">
        <v>-0.45800000000000002</v>
      </c>
      <c r="BJ163" s="4">
        <v>1.0999999999999999E-2</v>
      </c>
      <c r="BK163" s="4">
        <v>-0.33300000000000002</v>
      </c>
      <c r="BL163" s="4">
        <v>-0.49</v>
      </c>
      <c r="BM163" s="4"/>
    </row>
    <row r="164" spans="1:65" x14ac:dyDescent="0.3">
      <c r="A164" s="19" t="s">
        <v>277</v>
      </c>
      <c r="B164" s="53">
        <v>0</v>
      </c>
      <c r="C164" s="53">
        <f t="shared" si="16"/>
        <v>0</v>
      </c>
      <c r="D164" s="53">
        <f t="shared" si="17"/>
        <v>0</v>
      </c>
      <c r="E164" s="53">
        <f t="shared" si="18"/>
        <v>0</v>
      </c>
      <c r="F164" s="15">
        <v>0.56299999999999994</v>
      </c>
      <c r="G164" s="19">
        <v>0.55900000000000005</v>
      </c>
      <c r="H164" s="24" t="s">
        <v>55</v>
      </c>
      <c r="I164" t="str">
        <f>VLOOKUP(A164,Setores!$A$2:$C$215,2,0)</f>
        <v>telecom</v>
      </c>
      <c r="J164" t="str">
        <f>VLOOKUP(A164,Setores!$A$2:$C$215,3,0)</f>
        <v>low_beta</v>
      </c>
      <c r="K164" s="2">
        <v>0</v>
      </c>
      <c r="L164" s="2">
        <v>0</v>
      </c>
      <c r="M164" s="71">
        <v>80</v>
      </c>
      <c r="N164" s="41">
        <f>VLOOKUP(A164,'Mandato Smll'!$A$2:$C$215,2,0)</f>
        <v>0</v>
      </c>
      <c r="O164" s="58">
        <f t="shared" si="19"/>
        <v>0</v>
      </c>
      <c r="P164" s="42">
        <f t="shared" si="20"/>
        <v>0</v>
      </c>
      <c r="Q164" s="41">
        <f>VLOOKUP(A164,'Mandato Smll'!$A$2:$C$215,3,0)</f>
        <v>0</v>
      </c>
      <c r="R164" s="58">
        <f t="shared" si="21"/>
        <v>0</v>
      </c>
      <c r="S164" s="15">
        <v>-0.77400000000000002</v>
      </c>
      <c r="T164" s="15">
        <v>-0.71</v>
      </c>
      <c r="U164" s="15">
        <v>-0.83399999999999996</v>
      </c>
      <c r="V164" s="15">
        <v>-0.85899999999999999</v>
      </c>
      <c r="W164" s="15">
        <v>-0.875</v>
      </c>
      <c r="X164" s="15">
        <v>-0.73499999999999999</v>
      </c>
      <c r="Y164" s="15">
        <v>-0.64800000000000002</v>
      </c>
      <c r="Z164" s="15">
        <v>-0.83099999999999996</v>
      </c>
      <c r="AA164" s="15">
        <v>5.5E-2</v>
      </c>
      <c r="AB164" s="15">
        <v>5.8000000000000003E-2</v>
      </c>
      <c r="AC164" s="15">
        <v>0.44400000000000001</v>
      </c>
      <c r="AD164" s="15">
        <v>0.23400000000000001</v>
      </c>
      <c r="AE164" s="15">
        <v>0.53400000000000003</v>
      </c>
      <c r="AF164" s="14">
        <v>-1</v>
      </c>
      <c r="AG164" s="15">
        <v>-1</v>
      </c>
      <c r="AH164" s="15">
        <v>-0.47499999999999998</v>
      </c>
      <c r="AI164" s="15">
        <v>-0.755</v>
      </c>
      <c r="AJ164" s="15">
        <v>-0.38800000000000001</v>
      </c>
      <c r="AK164" s="9">
        <v>-0.78800000000000003</v>
      </c>
      <c r="AL164" s="4">
        <v>-0.23300000000000001</v>
      </c>
      <c r="AM164" s="4">
        <v>-0.79700000000000004</v>
      </c>
      <c r="AN164" s="4">
        <v>-0.46700000000000003</v>
      </c>
      <c r="AO164" s="4">
        <v>-0.24099999999999999</v>
      </c>
      <c r="AP164" s="4">
        <v>3.0000000000000001E-3</v>
      </c>
      <c r="AQ164" s="4">
        <v>0.18</v>
      </c>
      <c r="AR164" s="4">
        <v>-0.105</v>
      </c>
      <c r="AS164" s="4">
        <v>0.25600000000000001</v>
      </c>
      <c r="AT164" s="4">
        <v>-0.217</v>
      </c>
      <c r="AU164" s="4">
        <v>-8.3000000000000004E-2</v>
      </c>
      <c r="AV164" s="4">
        <v>8.1000000000000003E-2</v>
      </c>
      <c r="AW164" s="4">
        <v>-0.68899999999999995</v>
      </c>
      <c r="AX164" s="4">
        <v>0.23400000000000001</v>
      </c>
      <c r="AY164" s="4">
        <v>0.125</v>
      </c>
      <c r="AZ164" s="4">
        <v>0.63600000000000001</v>
      </c>
      <c r="BA164" s="4">
        <v>8.5999999999999993E-2</v>
      </c>
      <c r="BB164" s="4">
        <v>0.64600000000000002</v>
      </c>
      <c r="BC164" s="4">
        <v>0.01</v>
      </c>
      <c r="BD164" s="4">
        <v>-0.108</v>
      </c>
      <c r="BE164" s="4">
        <v>0.44700000000000001</v>
      </c>
      <c r="BF164" s="4">
        <v>-0.28899999999999998</v>
      </c>
      <c r="BG164" s="4">
        <v>-0.252</v>
      </c>
      <c r="BH164" s="4">
        <v>0.245</v>
      </c>
      <c r="BI164" s="4">
        <v>1E-3</v>
      </c>
      <c r="BJ164" s="4">
        <v>-0.16</v>
      </c>
      <c r="BK164" s="4">
        <v>0.83799999999999997</v>
      </c>
      <c r="BL164" s="4">
        <v>-3.7999999999999999E-2</v>
      </c>
      <c r="BM164" s="4"/>
    </row>
    <row r="165" spans="1:65" x14ac:dyDescent="0.3">
      <c r="A165" s="19" t="s">
        <v>276</v>
      </c>
      <c r="B165" s="53">
        <v>0</v>
      </c>
      <c r="C165" s="53">
        <f t="shared" si="16"/>
        <v>0</v>
      </c>
      <c r="D165" s="53">
        <f t="shared" si="17"/>
        <v>0</v>
      </c>
      <c r="E165" s="53">
        <f t="shared" si="18"/>
        <v>0</v>
      </c>
      <c r="F165" s="15">
        <v>0.56200000000000006</v>
      </c>
      <c r="G165" s="19">
        <v>0.38400000000000001</v>
      </c>
      <c r="H165" s="24" t="s">
        <v>68</v>
      </c>
      <c r="I165" t="str">
        <f>VLOOKUP(A165,Setores!$A$2:$C$215,2,0)</f>
        <v>chemicals</v>
      </c>
      <c r="J165" t="str">
        <f>VLOOKUP(A165,Setores!$A$2:$C$215,3,0)</f>
        <v>very_high_beta</v>
      </c>
      <c r="K165" s="2">
        <v>0</v>
      </c>
      <c r="L165" s="2">
        <v>0</v>
      </c>
      <c r="M165" s="71">
        <v>80</v>
      </c>
      <c r="N165" s="41">
        <f>VLOOKUP(A165,'Mandato Smll'!$A$2:$C$215,2,0)</f>
        <v>0</v>
      </c>
      <c r="O165" s="58">
        <f t="shared" si="19"/>
        <v>0</v>
      </c>
      <c r="P165" s="42">
        <f t="shared" si="20"/>
        <v>0</v>
      </c>
      <c r="Q165" s="41">
        <f>VLOOKUP(A165,'Mandato Smll'!$A$2:$C$215,3,0)</f>
        <v>0</v>
      </c>
      <c r="R165" s="58">
        <f t="shared" si="21"/>
        <v>0</v>
      </c>
      <c r="S165" s="15">
        <v>-0.80800000000000005</v>
      </c>
      <c r="T165" s="15">
        <v>-0.81</v>
      </c>
      <c r="U165" s="15">
        <v>-0.81599999999999995</v>
      </c>
      <c r="V165" s="15">
        <v>-0.83499999999999996</v>
      </c>
      <c r="W165" s="15">
        <v>-0.85199999999999998</v>
      </c>
      <c r="X165" s="15">
        <v>-0.88900000000000001</v>
      </c>
      <c r="Y165" s="15">
        <v>-0.90700000000000003</v>
      </c>
      <c r="Z165" s="15">
        <v>-0.73399999999999999</v>
      </c>
      <c r="AA165" s="15">
        <v>3.4000000000000002E-2</v>
      </c>
      <c r="AB165" s="15">
        <v>2.9000000000000001E-2</v>
      </c>
      <c r="AC165" s="15">
        <v>0.13400000000000001</v>
      </c>
      <c r="AD165" s="15">
        <v>0.45700000000000002</v>
      </c>
      <c r="AE165" s="15">
        <v>0.61799999999999999</v>
      </c>
      <c r="AF165" s="14">
        <v>-0.79900000000000004</v>
      </c>
      <c r="AG165" s="15">
        <v>-1</v>
      </c>
      <c r="AH165" s="15">
        <v>-0.41099999999999998</v>
      </c>
      <c r="AI165" s="15">
        <v>-0.8</v>
      </c>
      <c r="AJ165" s="15">
        <v>0.26300000000000001</v>
      </c>
      <c r="AK165" s="9">
        <v>-0.65300000000000002</v>
      </c>
      <c r="AL165" s="4">
        <v>-0.28699999999999998</v>
      </c>
      <c r="AM165" s="4">
        <v>-0.71399999999999997</v>
      </c>
      <c r="AN165" s="4">
        <v>-0.72799999999999998</v>
      </c>
      <c r="AO165" s="4">
        <v>-0.90600000000000003</v>
      </c>
      <c r="AP165" s="4">
        <v>0.67900000000000005</v>
      </c>
      <c r="AQ165" s="4">
        <v>1</v>
      </c>
      <c r="AR165" s="4">
        <v>-0.41799999999999998</v>
      </c>
      <c r="AS165" s="4">
        <v>-0.54800000000000004</v>
      </c>
      <c r="AT165" s="4">
        <v>-0.32700000000000001</v>
      </c>
      <c r="AU165" s="4">
        <v>0.22600000000000001</v>
      </c>
      <c r="AV165" s="4">
        <v>-0.50700000000000001</v>
      </c>
      <c r="AW165" s="4">
        <v>-7.3999999999999996E-2</v>
      </c>
      <c r="AX165" s="4">
        <v>-0.72499999999999998</v>
      </c>
      <c r="AY165" s="4">
        <v>-4.2000000000000003E-2</v>
      </c>
      <c r="AZ165" s="4">
        <v>-0.40899999999999997</v>
      </c>
      <c r="BA165" s="4">
        <v>-0.17499999999999999</v>
      </c>
      <c r="BB165" s="4">
        <v>0.95</v>
      </c>
      <c r="BC165" s="4">
        <v>0.161</v>
      </c>
      <c r="BD165" s="4">
        <v>6.2E-2</v>
      </c>
      <c r="BE165" s="4">
        <v>0.84299999999999997</v>
      </c>
      <c r="BF165" s="4">
        <v>-0.21199999999999999</v>
      </c>
      <c r="BG165" s="4">
        <v>-1</v>
      </c>
      <c r="BH165" s="4">
        <v>-0.40200000000000002</v>
      </c>
      <c r="BI165" s="4">
        <v>-1</v>
      </c>
      <c r="BJ165" s="4">
        <v>0.58699999999999997</v>
      </c>
      <c r="BK165" s="4">
        <v>0.97899999999999998</v>
      </c>
      <c r="BL165" s="4">
        <v>0.437</v>
      </c>
      <c r="BM165" s="4"/>
    </row>
    <row r="166" spans="1:65" x14ac:dyDescent="0.3">
      <c r="A166" s="19" t="s">
        <v>220</v>
      </c>
      <c r="B166" s="53">
        <v>0</v>
      </c>
      <c r="C166" s="53">
        <f t="shared" si="16"/>
        <v>0</v>
      </c>
      <c r="D166" s="53">
        <f t="shared" si="17"/>
        <v>0</v>
      </c>
      <c r="E166" s="53">
        <f t="shared" si="18"/>
        <v>0</v>
      </c>
      <c r="F166" s="15">
        <v>0.56100000000000005</v>
      </c>
      <c r="G166" s="19">
        <v>0.58399999999999996</v>
      </c>
      <c r="H166" s="24" t="s">
        <v>57</v>
      </c>
      <c r="I166" t="str">
        <f>VLOOKUP(A166,Setores!$A$2:$C$215,2,0)</f>
        <v>consumer_services</v>
      </c>
      <c r="J166" t="str">
        <f>VLOOKUP(A166,Setores!$A$2:$C$215,3,0)</f>
        <v>very_high_beta</v>
      </c>
      <c r="K166" s="2">
        <v>0</v>
      </c>
      <c r="L166" s="2">
        <v>0</v>
      </c>
      <c r="M166" s="71">
        <v>19</v>
      </c>
      <c r="N166" s="41">
        <f>VLOOKUP(A166,'Mandato Smll'!$A$2:$C$215,2,0)</f>
        <v>0</v>
      </c>
      <c r="O166" s="58">
        <f t="shared" si="19"/>
        <v>0</v>
      </c>
      <c r="P166" s="42">
        <f t="shared" si="20"/>
        <v>0</v>
      </c>
      <c r="Q166" s="41">
        <f>VLOOKUP(A166,'Mandato Smll'!$A$2:$C$215,3,0)</f>
        <v>0</v>
      </c>
      <c r="R166" s="58">
        <f t="shared" si="21"/>
        <v>0</v>
      </c>
      <c r="S166" s="15">
        <v>-0.78200000000000003</v>
      </c>
      <c r="T166" s="15">
        <v>-0.82899999999999996</v>
      </c>
      <c r="U166" s="15">
        <v>-0.94699999999999995</v>
      </c>
      <c r="V166" s="15">
        <v>-0.72499999999999998</v>
      </c>
      <c r="W166" s="15">
        <v>-0.875</v>
      </c>
      <c r="X166" s="15">
        <v>-0.76600000000000001</v>
      </c>
      <c r="Y166" s="15">
        <v>-0.7</v>
      </c>
      <c r="Z166" s="15">
        <v>-0.745</v>
      </c>
      <c r="AA166" s="15">
        <v>-0.11799999999999999</v>
      </c>
      <c r="AB166" s="15">
        <v>-0.11899999999999999</v>
      </c>
      <c r="AC166" s="15">
        <v>0.64800000000000002</v>
      </c>
      <c r="AD166" s="15">
        <v>0.63300000000000001</v>
      </c>
      <c r="AE166" s="15">
        <v>0.40100000000000002</v>
      </c>
      <c r="AF166" s="14">
        <v>-0.35799999999999998</v>
      </c>
      <c r="AG166" s="15">
        <v>-0.52500000000000002</v>
      </c>
      <c r="AH166" s="15">
        <v>-0.67200000000000004</v>
      </c>
      <c r="AI166" s="15">
        <v>-0.97</v>
      </c>
      <c r="AJ166" s="15">
        <v>-0.86099999999999999</v>
      </c>
      <c r="AK166" s="9">
        <v>-1</v>
      </c>
      <c r="AL166" s="4">
        <v>-0.28799999999999998</v>
      </c>
      <c r="AM166" s="4">
        <v>-0.41799999999999998</v>
      </c>
      <c r="AN166" s="4">
        <v>-0.63800000000000001</v>
      </c>
      <c r="AO166" s="4">
        <v>0.317</v>
      </c>
      <c r="AP166" s="4">
        <v>8.0000000000000002E-3</v>
      </c>
      <c r="AQ166" s="4">
        <v>-0.05</v>
      </c>
      <c r="AR166" s="4">
        <v>4.4999999999999998E-2</v>
      </c>
      <c r="AS166" s="4">
        <v>0.48</v>
      </c>
      <c r="AT166" s="4">
        <v>0.42399999999999999</v>
      </c>
      <c r="AU166" s="4">
        <v>4.9000000000000002E-2</v>
      </c>
      <c r="AV166" s="4">
        <v>-0.22900000000000001</v>
      </c>
      <c r="AW166" s="4">
        <v>0.11899999999999999</v>
      </c>
      <c r="AX166" s="4">
        <v>-0.105</v>
      </c>
      <c r="AY166" s="4">
        <v>-0.24299999999999999</v>
      </c>
      <c r="AZ166" s="4">
        <v>0.504</v>
      </c>
      <c r="BA166" s="4">
        <v>-0.36899999999999999</v>
      </c>
      <c r="BB166" s="4">
        <v>0.53100000000000003</v>
      </c>
      <c r="BC166" s="4">
        <v>0.155</v>
      </c>
      <c r="BD166" s="4">
        <v>4.2000000000000003E-2</v>
      </c>
      <c r="BE166" s="4">
        <v>0.41</v>
      </c>
      <c r="BF166" s="4">
        <v>7.6999999999999999E-2</v>
      </c>
      <c r="BG166" s="4">
        <v>-0.34100000000000003</v>
      </c>
      <c r="BH166" s="4">
        <v>-5.7000000000000002E-2</v>
      </c>
      <c r="BI166" s="4">
        <v>-6.5000000000000002E-2</v>
      </c>
      <c r="BJ166" s="4">
        <v>0.47799999999999998</v>
      </c>
      <c r="BK166" s="4">
        <v>-0.54900000000000004</v>
      </c>
      <c r="BL166" s="4">
        <v>-0.65</v>
      </c>
      <c r="BM166" s="4"/>
    </row>
    <row r="167" spans="1:65" x14ac:dyDescent="0.3">
      <c r="A167" s="19" t="s">
        <v>225</v>
      </c>
      <c r="B167" s="53">
        <v>0</v>
      </c>
      <c r="C167" s="53">
        <f t="shared" si="16"/>
        <v>-5.0000000000000001E-3</v>
      </c>
      <c r="D167" s="53">
        <f t="shared" si="17"/>
        <v>0</v>
      </c>
      <c r="E167" s="53">
        <f t="shared" si="18"/>
        <v>5.0000000000000001E-3</v>
      </c>
      <c r="F167" s="15">
        <v>0.55900000000000005</v>
      </c>
      <c r="G167" s="19">
        <v>0.44800000000000001</v>
      </c>
      <c r="H167" s="24" t="s">
        <v>71</v>
      </c>
      <c r="I167" t="str">
        <f>VLOOKUP(A167,Setores!$A$2:$C$215,2,0)</f>
        <v>food</v>
      </c>
      <c r="J167" t="str">
        <f>VLOOKUP(A167,Setores!$A$2:$C$215,3,0)</f>
        <v>low_beta</v>
      </c>
      <c r="K167" s="2">
        <v>0</v>
      </c>
      <c r="L167" s="2">
        <v>-5.0000000000000001E-3</v>
      </c>
      <c r="M167" s="71">
        <v>78</v>
      </c>
      <c r="N167" s="41">
        <f>VLOOKUP(A167,'Mandato Smll'!$A$2:$C$215,2,0)</f>
        <v>0</v>
      </c>
      <c r="O167" s="58">
        <f t="shared" si="19"/>
        <v>0</v>
      </c>
      <c r="P167" s="42">
        <f t="shared" si="20"/>
        <v>0</v>
      </c>
      <c r="Q167" s="41">
        <f>VLOOKUP(A167,'Mandato Smll'!$A$2:$C$215,3,0)</f>
        <v>0</v>
      </c>
      <c r="R167" s="58">
        <f t="shared" si="21"/>
        <v>0</v>
      </c>
      <c r="S167" s="15">
        <v>-0.67600000000000005</v>
      </c>
      <c r="T167" s="15">
        <v>-0.77900000000000003</v>
      </c>
      <c r="U167" s="15">
        <v>-0.70899999999999996</v>
      </c>
      <c r="V167" s="15">
        <v>-0.52300000000000002</v>
      </c>
      <c r="W167" s="15">
        <v>-0.69699999999999995</v>
      </c>
      <c r="X167" s="15">
        <v>-0.67200000000000004</v>
      </c>
      <c r="Y167" s="15">
        <v>-0.77700000000000002</v>
      </c>
      <c r="Z167" s="15">
        <v>-0.83</v>
      </c>
      <c r="AA167" s="15">
        <v>-0.123</v>
      </c>
      <c r="AB167" s="15">
        <v>-0.123</v>
      </c>
      <c r="AC167" s="15">
        <v>0.312</v>
      </c>
      <c r="AD167" s="15">
        <v>0.50700000000000001</v>
      </c>
      <c r="AE167" s="15">
        <v>0.34</v>
      </c>
      <c r="AF167" s="14">
        <v>2.1000000000000001E-2</v>
      </c>
      <c r="AG167" s="15">
        <v>0.20399999999999999</v>
      </c>
      <c r="AH167" s="15">
        <v>-0.51200000000000001</v>
      </c>
      <c r="AI167" s="15">
        <v>0.16900000000000001</v>
      </c>
      <c r="AJ167" s="15">
        <v>-0.73</v>
      </c>
      <c r="AK167" s="9">
        <v>-0.79600000000000004</v>
      </c>
      <c r="AL167" s="4">
        <v>1</v>
      </c>
      <c r="AM167" s="4">
        <v>-0.503</v>
      </c>
      <c r="AN167" s="4">
        <v>-0.47099999999999997</v>
      </c>
      <c r="AO167" s="4">
        <v>8.4000000000000005E-2</v>
      </c>
      <c r="AP167" s="4">
        <v>-0.80300000000000005</v>
      </c>
      <c r="AQ167" s="4">
        <v>-0.65500000000000003</v>
      </c>
      <c r="AR167" s="4">
        <v>-0.128</v>
      </c>
      <c r="AS167" s="4">
        <v>0.249</v>
      </c>
      <c r="AT167" s="4">
        <v>0.20200000000000001</v>
      </c>
      <c r="AU167" s="4">
        <v>0.54900000000000004</v>
      </c>
      <c r="AV167" s="4">
        <v>-0.58199999999999996</v>
      </c>
      <c r="AW167" s="4">
        <v>-0.126</v>
      </c>
      <c r="AX167" s="4">
        <v>0.28100000000000003</v>
      </c>
      <c r="AY167" s="4">
        <v>-0.317</v>
      </c>
      <c r="AZ167" s="4">
        <v>-0.37</v>
      </c>
      <c r="BA167" s="4">
        <v>0.22900000000000001</v>
      </c>
      <c r="BB167" s="4">
        <v>-0.19700000000000001</v>
      </c>
      <c r="BC167" s="4">
        <v>-0.29199999999999998</v>
      </c>
      <c r="BD167" s="4">
        <v>0.24</v>
      </c>
      <c r="BE167" s="4">
        <v>0.247</v>
      </c>
      <c r="BF167" s="4">
        <v>-1</v>
      </c>
      <c r="BG167" s="4">
        <v>-0.54500000000000004</v>
      </c>
      <c r="BH167" s="4">
        <v>-0.39400000000000002</v>
      </c>
      <c r="BI167" s="4">
        <v>0.40799999999999997</v>
      </c>
      <c r="BJ167" s="4">
        <v>-0.184</v>
      </c>
      <c r="BK167" s="4">
        <v>-0.61599999999999999</v>
      </c>
      <c r="BL167" s="4">
        <v>0.184</v>
      </c>
      <c r="BM167" s="4"/>
    </row>
    <row r="168" spans="1:65" x14ac:dyDescent="0.3">
      <c r="A168" s="19" t="s">
        <v>246</v>
      </c>
      <c r="B168" s="53">
        <v>0</v>
      </c>
      <c r="C168" s="53">
        <f t="shared" si="16"/>
        <v>-2.4E-2</v>
      </c>
      <c r="D168" s="53">
        <f t="shared" si="17"/>
        <v>0</v>
      </c>
      <c r="E168" s="53">
        <f t="shared" si="18"/>
        <v>2.4E-2</v>
      </c>
      <c r="F168" s="15">
        <v>0.55800000000000005</v>
      </c>
      <c r="G168" s="19">
        <v>1.0609999999999999</v>
      </c>
      <c r="H168" s="24" t="s">
        <v>53</v>
      </c>
      <c r="I168" t="str">
        <f>VLOOKUP(A168,Setores!$A$2:$C$215,2,0)</f>
        <v>consumer_staples</v>
      </c>
      <c r="J168" t="str">
        <f>VLOOKUP(A168,Setores!$A$2:$C$215,3,0)</f>
        <v>high_beta</v>
      </c>
      <c r="K168" s="2">
        <v>0</v>
      </c>
      <c r="L168" s="2">
        <v>-2.4E-2</v>
      </c>
      <c r="M168" s="71">
        <v>54</v>
      </c>
      <c r="N168" s="41">
        <f>VLOOKUP(A168,'Mandato Smll'!$A$2:$C$215,2,0)</f>
        <v>0</v>
      </c>
      <c r="O168" s="58">
        <f t="shared" si="19"/>
        <v>0</v>
      </c>
      <c r="P168" s="42">
        <f t="shared" si="20"/>
        <v>0</v>
      </c>
      <c r="Q168" s="41">
        <f>VLOOKUP(A168,'Mandato Smll'!$A$2:$C$215,3,0)</f>
        <v>0</v>
      </c>
      <c r="R168" s="58">
        <f t="shared" si="21"/>
        <v>0</v>
      </c>
      <c r="S168" s="15">
        <v>-0.79900000000000004</v>
      </c>
      <c r="T168" s="15">
        <v>-0.70299999999999996</v>
      </c>
      <c r="U168" s="15">
        <v>-0.89</v>
      </c>
      <c r="V168" s="15">
        <v>-0.82799999999999996</v>
      </c>
      <c r="W168" s="15">
        <v>-0.86299999999999999</v>
      </c>
      <c r="X168" s="15">
        <v>-0.71199999999999997</v>
      </c>
      <c r="Y168" s="15">
        <v>-0.65100000000000002</v>
      </c>
      <c r="Z168" s="15">
        <v>-0.75</v>
      </c>
      <c r="AA168" s="15">
        <v>-7.1999999999999995E-2</v>
      </c>
      <c r="AB168" s="15">
        <v>-7.2999999999999995E-2</v>
      </c>
      <c r="AC168" s="15">
        <v>0.58299999999999996</v>
      </c>
      <c r="AD168" s="15">
        <v>0.66100000000000003</v>
      </c>
      <c r="AE168" s="15">
        <v>0.29399999999999998</v>
      </c>
      <c r="AF168" s="14">
        <v>-1</v>
      </c>
      <c r="AG168" s="15">
        <v>-0.39200000000000002</v>
      </c>
      <c r="AH168" s="15">
        <v>-0.45800000000000002</v>
      </c>
      <c r="AI168" s="15">
        <v>-0.93700000000000006</v>
      </c>
      <c r="AJ168" s="15">
        <v>-0.33600000000000002</v>
      </c>
      <c r="AK168" s="9">
        <v>-0.54700000000000004</v>
      </c>
      <c r="AL168" s="4">
        <v>-0.55900000000000005</v>
      </c>
      <c r="AM168" s="4">
        <v>-0.63700000000000001</v>
      </c>
      <c r="AN168" s="4">
        <v>-0.41699999999999998</v>
      </c>
      <c r="AO168" s="4">
        <v>0.151</v>
      </c>
      <c r="AP168" s="4">
        <v>0.253</v>
      </c>
      <c r="AQ168" s="4">
        <v>0.60799999999999998</v>
      </c>
      <c r="AR168" s="4">
        <v>1.2999999999999999E-2</v>
      </c>
      <c r="AS168" s="4">
        <v>0.29299999999999998</v>
      </c>
      <c r="AT168" s="4">
        <v>8.3000000000000004E-2</v>
      </c>
      <c r="AU168" s="4">
        <v>-0.26800000000000002</v>
      </c>
      <c r="AV168" s="4">
        <v>-0.47799999999999998</v>
      </c>
      <c r="AW168" s="4">
        <v>-0.48099999999999998</v>
      </c>
      <c r="AX168" s="4">
        <v>0.28299999999999997</v>
      </c>
      <c r="AY168" s="4">
        <v>-0.28799999999999998</v>
      </c>
      <c r="AZ168" s="4">
        <v>0.747</v>
      </c>
      <c r="BA168" s="4">
        <v>0.54500000000000004</v>
      </c>
      <c r="BB168" s="4">
        <v>-0.42</v>
      </c>
      <c r="BC168" s="4">
        <v>-9.2999999999999999E-2</v>
      </c>
      <c r="BD168" s="4">
        <v>8.6999999999999994E-2</v>
      </c>
      <c r="BE168" s="4">
        <v>-0.27100000000000002</v>
      </c>
      <c r="BF168" s="4">
        <v>-0.63700000000000001</v>
      </c>
      <c r="BG168" s="4">
        <v>1</v>
      </c>
      <c r="BH168" s="4">
        <v>0.58099999999999996</v>
      </c>
      <c r="BI168" s="4">
        <v>-0.113</v>
      </c>
      <c r="BJ168" s="4">
        <v>4.9000000000000002E-2</v>
      </c>
      <c r="BK168" s="4">
        <v>-0.104</v>
      </c>
      <c r="BL168" s="4">
        <v>-0.191</v>
      </c>
      <c r="BM168" s="4"/>
    </row>
    <row r="169" spans="1:65" x14ac:dyDescent="0.3">
      <c r="A169" s="19" t="s">
        <v>156</v>
      </c>
      <c r="B169" s="53">
        <v>0</v>
      </c>
      <c r="C169" s="53">
        <f t="shared" si="16"/>
        <v>-7.0000000000000001E-3</v>
      </c>
      <c r="D169" s="53">
        <f t="shared" si="17"/>
        <v>0</v>
      </c>
      <c r="E169" s="53">
        <f t="shared" si="18"/>
        <v>7.0000000000000001E-3</v>
      </c>
      <c r="F169" s="15">
        <v>0.55700000000000005</v>
      </c>
      <c r="G169" s="19">
        <v>0.67900000000000005</v>
      </c>
      <c r="H169" s="24" t="s">
        <v>55</v>
      </c>
      <c r="I169" t="str">
        <f>VLOOKUP(A169,Setores!$A$2:$C$215,2,0)</f>
        <v>transportation</v>
      </c>
      <c r="J169" t="str">
        <f>VLOOKUP(A169,Setores!$A$2:$C$215,3,0)</f>
        <v>very_high_beta</v>
      </c>
      <c r="K169" s="2">
        <v>0</v>
      </c>
      <c r="L169" s="2">
        <v>-7.0000000000000001E-3</v>
      </c>
      <c r="M169" s="71">
        <v>80</v>
      </c>
      <c r="N169" s="41">
        <f>VLOOKUP(A169,'Mandato Smll'!$A$2:$C$215,2,0)</f>
        <v>0</v>
      </c>
      <c r="O169" s="58">
        <f t="shared" si="19"/>
        <v>0</v>
      </c>
      <c r="P169" s="42">
        <f t="shared" si="20"/>
        <v>0</v>
      </c>
      <c r="Q169" s="41">
        <f>VLOOKUP(A169,'Mandato Smll'!$A$2:$C$215,3,0)</f>
        <v>0</v>
      </c>
      <c r="R169" s="58">
        <f t="shared" si="21"/>
        <v>0</v>
      </c>
      <c r="S169" s="15">
        <v>-0.76500000000000001</v>
      </c>
      <c r="T169" s="15">
        <v>-0.73299999999999998</v>
      </c>
      <c r="U169" s="15">
        <v>-0.80900000000000005</v>
      </c>
      <c r="V169" s="15">
        <v>-0.745</v>
      </c>
      <c r="W169" s="15">
        <v>-0.75600000000000001</v>
      </c>
      <c r="X169" s="15">
        <v>-0.70799999999999996</v>
      </c>
      <c r="Y169" s="15">
        <v>-0.60299999999999998</v>
      </c>
      <c r="Z169" s="15">
        <v>-0.74099999999999999</v>
      </c>
      <c r="AA169" s="15">
        <v>-0.19700000000000001</v>
      </c>
      <c r="AB169" s="15">
        <v>-0.19600000000000001</v>
      </c>
      <c r="AC169" s="15">
        <v>0.42099999999999999</v>
      </c>
      <c r="AD169" s="15">
        <v>0.64700000000000002</v>
      </c>
      <c r="AE169" s="15">
        <v>0.27400000000000002</v>
      </c>
      <c r="AF169" s="14">
        <v>-0.81299999999999994</v>
      </c>
      <c r="AG169" s="15">
        <v>0.105</v>
      </c>
      <c r="AH169" s="15">
        <v>9.0999999999999998E-2</v>
      </c>
      <c r="AI169" s="15">
        <v>-0.23400000000000001</v>
      </c>
      <c r="AJ169" s="15">
        <v>-0.40699999999999997</v>
      </c>
      <c r="AK169" s="9">
        <v>-0.84699999999999998</v>
      </c>
      <c r="AL169" s="4">
        <v>-5.0000000000000001E-3</v>
      </c>
      <c r="AM169" s="4">
        <v>-0.28299999999999997</v>
      </c>
      <c r="AN169" s="4">
        <v>6.0000000000000001E-3</v>
      </c>
      <c r="AO169" s="4">
        <v>0.58599999999999997</v>
      </c>
      <c r="AP169" s="4">
        <v>-0.438</v>
      </c>
      <c r="AQ169" s="4">
        <v>-0.24</v>
      </c>
      <c r="AR169" s="4">
        <v>0.25700000000000001</v>
      </c>
      <c r="AS169" s="4">
        <v>-0.24299999999999999</v>
      </c>
      <c r="AT169" s="4">
        <v>-0.68300000000000005</v>
      </c>
      <c r="AU169" s="4">
        <v>-6.4000000000000001E-2</v>
      </c>
      <c r="AV169" s="4">
        <v>0.14699999999999999</v>
      </c>
      <c r="AW169" s="4">
        <v>-0.54500000000000004</v>
      </c>
      <c r="AX169" s="4">
        <v>-0.35</v>
      </c>
      <c r="AY169" s="4">
        <v>-0.97299999999999998</v>
      </c>
      <c r="AZ169" s="4">
        <v>0.84599999999999997</v>
      </c>
      <c r="BA169" s="4">
        <v>0.39</v>
      </c>
      <c r="BB169" s="4">
        <v>0.56100000000000005</v>
      </c>
      <c r="BC169" s="4">
        <v>-0.55100000000000005</v>
      </c>
      <c r="BD169" s="4">
        <v>-0.79600000000000004</v>
      </c>
      <c r="BE169" s="4">
        <v>0.255</v>
      </c>
      <c r="BF169" s="4">
        <v>0.58599999999999997</v>
      </c>
      <c r="BG169" s="4">
        <v>-1</v>
      </c>
      <c r="BH169" s="4">
        <v>-0.105</v>
      </c>
      <c r="BI169" s="4">
        <v>-0.218</v>
      </c>
      <c r="BJ169" s="4">
        <v>0.90100000000000002</v>
      </c>
      <c r="BK169" s="4">
        <v>-0.27900000000000003</v>
      </c>
      <c r="BL169" s="4">
        <v>0.13100000000000001</v>
      </c>
      <c r="BM169" s="4"/>
    </row>
    <row r="170" spans="1:65" x14ac:dyDescent="0.3">
      <c r="A170" s="19" t="s">
        <v>227</v>
      </c>
      <c r="B170" s="53">
        <v>0</v>
      </c>
      <c r="C170" s="53">
        <f t="shared" si="16"/>
        <v>0</v>
      </c>
      <c r="D170" s="53">
        <f t="shared" si="17"/>
        <v>0</v>
      </c>
      <c r="E170" s="53">
        <f t="shared" si="18"/>
        <v>0</v>
      </c>
      <c r="F170" s="15">
        <v>0.55700000000000005</v>
      </c>
      <c r="G170" s="19">
        <v>0.47199999999999998</v>
      </c>
      <c r="H170" s="24" t="s">
        <v>71</v>
      </c>
      <c r="I170" t="str">
        <f>VLOOKUP(A170,Setores!$A$2:$C$215,2,0)</f>
        <v>food</v>
      </c>
      <c r="J170" t="str">
        <f>VLOOKUP(A170,Setores!$A$2:$C$215,3,0)</f>
        <v>very_low_beta</v>
      </c>
      <c r="K170" s="2">
        <v>0</v>
      </c>
      <c r="L170" s="2">
        <v>0</v>
      </c>
      <c r="M170" s="71">
        <v>80</v>
      </c>
      <c r="N170" s="41">
        <f>VLOOKUP(A170,'Mandato Smll'!$A$2:$C$215,2,0)</f>
        <v>0</v>
      </c>
      <c r="O170" s="58">
        <f t="shared" si="19"/>
        <v>0</v>
      </c>
      <c r="P170" s="42">
        <f t="shared" si="20"/>
        <v>0</v>
      </c>
      <c r="Q170" s="41">
        <f>VLOOKUP(A170,'Mandato Smll'!$A$2:$C$215,3,0)</f>
        <v>0</v>
      </c>
      <c r="R170" s="58">
        <f t="shared" si="21"/>
        <v>0</v>
      </c>
      <c r="S170" s="15">
        <v>-0.93400000000000005</v>
      </c>
      <c r="T170" s="15">
        <v>-0.91100000000000003</v>
      </c>
      <c r="U170" s="15">
        <v>-0.98599999999999999</v>
      </c>
      <c r="V170" s="15">
        <v>-0.88400000000000001</v>
      </c>
      <c r="W170" s="15">
        <v>-0.93899999999999995</v>
      </c>
      <c r="X170" s="15">
        <v>-0.73299999999999998</v>
      </c>
      <c r="Y170" s="15">
        <v>-0.66600000000000004</v>
      </c>
      <c r="Z170" s="15">
        <v>-0.78900000000000003</v>
      </c>
      <c r="AA170" s="15">
        <v>0.28799999999999998</v>
      </c>
      <c r="AB170" s="15">
        <v>0.29099999999999998</v>
      </c>
      <c r="AC170" s="15">
        <v>0.32</v>
      </c>
      <c r="AD170" s="15">
        <v>0.49199999999999999</v>
      </c>
      <c r="AE170" s="15">
        <v>0.47</v>
      </c>
      <c r="AF170" s="14">
        <v>-1</v>
      </c>
      <c r="AG170" s="15">
        <v>-0.82899999999999996</v>
      </c>
      <c r="AH170" s="15">
        <v>-0.33200000000000002</v>
      </c>
      <c r="AI170" s="15">
        <v>-0.97699999999999998</v>
      </c>
      <c r="AJ170" s="15">
        <v>-0.86199999999999999</v>
      </c>
      <c r="AK170" s="9">
        <v>-0.95799999999999996</v>
      </c>
      <c r="AL170" s="4">
        <v>-0.104</v>
      </c>
      <c r="AM170" s="4">
        <v>-0.51200000000000001</v>
      </c>
      <c r="AN170" s="4">
        <v>-0.57999999999999996</v>
      </c>
      <c r="AO170" s="4">
        <v>-0.16600000000000001</v>
      </c>
      <c r="AP170" s="4">
        <v>6.2E-2</v>
      </c>
      <c r="AQ170" s="4">
        <v>-0.04</v>
      </c>
      <c r="AR170" s="4">
        <v>-0.43099999999999999</v>
      </c>
      <c r="AS170" s="4">
        <v>-0.32200000000000001</v>
      </c>
      <c r="AT170" s="4">
        <v>-0.38300000000000001</v>
      </c>
      <c r="AU170" s="4">
        <v>0.48599999999999999</v>
      </c>
      <c r="AV170" s="4">
        <v>-0.63600000000000001</v>
      </c>
      <c r="AW170" s="4">
        <v>-0.88200000000000001</v>
      </c>
      <c r="AX170" s="4">
        <v>0.67700000000000005</v>
      </c>
      <c r="AY170" s="4">
        <v>-0.60399999999999998</v>
      </c>
      <c r="AZ170" s="4">
        <v>0.56100000000000005</v>
      </c>
      <c r="BA170" s="4">
        <v>4.0000000000000001E-3</v>
      </c>
      <c r="BB170" s="4">
        <v>0.14499999999999999</v>
      </c>
      <c r="BC170" s="4">
        <v>-0.158</v>
      </c>
      <c r="BD170" s="4">
        <v>-0.21099999999999999</v>
      </c>
      <c r="BE170" s="4">
        <v>0.17</v>
      </c>
      <c r="BF170" s="4">
        <v>0.67200000000000004</v>
      </c>
      <c r="BG170" s="4">
        <v>-0.10299999999999999</v>
      </c>
      <c r="BH170" s="4">
        <v>0.75900000000000001</v>
      </c>
      <c r="BI170" s="4">
        <v>-0.309</v>
      </c>
      <c r="BJ170" s="4">
        <v>-0.43</v>
      </c>
      <c r="BK170" s="4">
        <v>0.187</v>
      </c>
      <c r="BL170" s="4">
        <v>-0.86599999999999999</v>
      </c>
      <c r="BM170" s="4"/>
    </row>
    <row r="171" spans="1:65" x14ac:dyDescent="0.3">
      <c r="A171" s="19" t="s">
        <v>194</v>
      </c>
      <c r="B171" s="53">
        <v>0</v>
      </c>
      <c r="C171" s="53">
        <f t="shared" si="16"/>
        <v>-1.7999999999999999E-2</v>
      </c>
      <c r="D171" s="53">
        <f t="shared" si="17"/>
        <v>0</v>
      </c>
      <c r="E171" s="53">
        <f t="shared" si="18"/>
        <v>1.7999999999999999E-2</v>
      </c>
      <c r="F171" s="15">
        <v>0.55500000000000005</v>
      </c>
      <c r="G171" s="19">
        <v>0.998</v>
      </c>
      <c r="H171" s="24" t="s">
        <v>57</v>
      </c>
      <c r="I171" t="str">
        <f>VLOOKUP(A171,Setores!$A$2:$C$215,2,0)</f>
        <v>homebuilders</v>
      </c>
      <c r="J171" t="str">
        <f>VLOOKUP(A171,Setores!$A$2:$C$215,3,0)</f>
        <v>very_high_beta</v>
      </c>
      <c r="K171" s="2">
        <v>0</v>
      </c>
      <c r="L171" s="2">
        <v>-1.7999999999999999E-2</v>
      </c>
      <c r="M171" s="71">
        <v>58</v>
      </c>
      <c r="N171" s="41">
        <f>VLOOKUP(A171,'Mandato Smll'!$A$2:$C$215,2,0)</f>
        <v>0</v>
      </c>
      <c r="O171" s="58">
        <f t="shared" si="19"/>
        <v>0</v>
      </c>
      <c r="P171" s="42">
        <f t="shared" si="20"/>
        <v>0</v>
      </c>
      <c r="Q171" s="41">
        <f>VLOOKUP(A171,'Mandato Smll'!$A$2:$C$215,3,0)</f>
        <v>0</v>
      </c>
      <c r="R171" s="58">
        <f t="shared" si="21"/>
        <v>0</v>
      </c>
      <c r="S171" s="15">
        <v>-0.83699999999999997</v>
      </c>
      <c r="T171" s="15">
        <v>-0.91</v>
      </c>
      <c r="U171" s="15">
        <v>-0.91</v>
      </c>
      <c r="V171" s="15">
        <v>-0.78500000000000003</v>
      </c>
      <c r="W171" s="15">
        <v>-0.88800000000000001</v>
      </c>
      <c r="X171" s="15">
        <v>-0.66800000000000004</v>
      </c>
      <c r="Y171" s="15">
        <v>-0.46700000000000003</v>
      </c>
      <c r="Z171" s="15">
        <v>-0.77400000000000002</v>
      </c>
      <c r="AA171" s="15">
        <v>-0.122</v>
      </c>
      <c r="AB171" s="15">
        <v>-0.123</v>
      </c>
      <c r="AC171" s="15">
        <v>0.59599999999999997</v>
      </c>
      <c r="AD171" s="15">
        <v>0.56100000000000005</v>
      </c>
      <c r="AE171" s="15">
        <v>0.312</v>
      </c>
      <c r="AF171" s="14">
        <v>-0.55800000000000005</v>
      </c>
      <c r="AG171" s="15">
        <v>0.14000000000000001</v>
      </c>
      <c r="AH171" s="15">
        <v>-0.59199999999999997</v>
      </c>
      <c r="AI171" s="15">
        <v>-0.621</v>
      </c>
      <c r="AJ171" s="15">
        <v>-0.76100000000000001</v>
      </c>
      <c r="AK171" s="9">
        <v>-0.85099999999999998</v>
      </c>
      <c r="AL171" s="4">
        <v>-0.252</v>
      </c>
      <c r="AM171" s="4">
        <v>-7.0000000000000007E-2</v>
      </c>
      <c r="AN171" s="4">
        <v>-0.33100000000000002</v>
      </c>
      <c r="AO171" s="4">
        <v>0.184</v>
      </c>
      <c r="AP171" s="4">
        <v>-0.51700000000000002</v>
      </c>
      <c r="AQ171" s="4">
        <v>-0.54800000000000004</v>
      </c>
      <c r="AR171" s="4">
        <v>0.33600000000000002</v>
      </c>
      <c r="AS171" s="4">
        <v>9.4E-2</v>
      </c>
      <c r="AT171" s="4">
        <v>-0.441</v>
      </c>
      <c r="AU171" s="4">
        <v>-1.7000000000000001E-2</v>
      </c>
      <c r="AV171" s="4">
        <v>-0.188</v>
      </c>
      <c r="AW171" s="4">
        <v>-0.35799999999999998</v>
      </c>
      <c r="AX171" s="4">
        <v>-0.17599999999999999</v>
      </c>
      <c r="AY171" s="4">
        <v>-0.185</v>
      </c>
      <c r="AZ171" s="4">
        <v>0.81399999999999995</v>
      </c>
      <c r="BA171" s="4">
        <v>0.29499999999999998</v>
      </c>
      <c r="BB171" s="4">
        <v>0.436</v>
      </c>
      <c r="BC171" s="4">
        <v>-0.67800000000000005</v>
      </c>
      <c r="BD171" s="4">
        <v>-0.629</v>
      </c>
      <c r="BE171" s="4">
        <v>0.10299999999999999</v>
      </c>
      <c r="BF171" s="4">
        <v>0.51500000000000001</v>
      </c>
      <c r="BG171" s="4">
        <v>0.34399999999999997</v>
      </c>
      <c r="BH171" s="4">
        <v>0.64800000000000002</v>
      </c>
      <c r="BI171" s="4">
        <v>-0.50800000000000001</v>
      </c>
      <c r="BJ171" s="4">
        <v>0.67700000000000005</v>
      </c>
      <c r="BK171" s="4">
        <v>-0.78300000000000003</v>
      </c>
      <c r="BL171" s="4">
        <v>-0.379</v>
      </c>
      <c r="BM171" s="4"/>
    </row>
    <row r="172" spans="1:65" x14ac:dyDescent="0.3">
      <c r="A172" s="19" t="s">
        <v>252</v>
      </c>
      <c r="B172" s="53">
        <v>0</v>
      </c>
      <c r="C172" s="53">
        <f t="shared" si="16"/>
        <v>-3.4000000000000002E-2</v>
      </c>
      <c r="D172" s="53">
        <f t="shared" si="17"/>
        <v>0</v>
      </c>
      <c r="E172" s="53">
        <f t="shared" si="18"/>
        <v>3.4000000000000002E-2</v>
      </c>
      <c r="F172" s="15">
        <v>0.55200000000000005</v>
      </c>
      <c r="G172" s="19">
        <v>0.66700000000000004</v>
      </c>
      <c r="H172" s="24" t="s">
        <v>53</v>
      </c>
      <c r="I172" t="str">
        <f>VLOOKUP(A172,Setores!$A$2:$C$215,2,0)</f>
        <v>consumer_staples</v>
      </c>
      <c r="J172" t="str">
        <f>VLOOKUP(A172,Setores!$A$2:$C$215,3,0)</f>
        <v>very_high_beta</v>
      </c>
      <c r="K172" s="2">
        <v>0</v>
      </c>
      <c r="L172" s="2">
        <v>-3.4000000000000002E-2</v>
      </c>
      <c r="M172" s="71">
        <v>42</v>
      </c>
      <c r="N172" s="41">
        <f>VLOOKUP(A172,'Mandato Smll'!$A$2:$C$215,2,0)</f>
        <v>0</v>
      </c>
      <c r="O172" s="58">
        <f t="shared" si="19"/>
        <v>0</v>
      </c>
      <c r="P172" s="42">
        <f t="shared" si="20"/>
        <v>0</v>
      </c>
      <c r="Q172" s="41">
        <f>VLOOKUP(A172,'Mandato Smll'!$A$2:$C$215,3,0)</f>
        <v>0</v>
      </c>
      <c r="R172" s="58">
        <f t="shared" si="21"/>
        <v>0</v>
      </c>
      <c r="S172" s="15">
        <v>-0.745</v>
      </c>
      <c r="T172" s="15">
        <v>-0.80700000000000005</v>
      </c>
      <c r="U172" s="15">
        <v>-0.90400000000000003</v>
      </c>
      <c r="V172" s="15">
        <v>-0.73399999999999999</v>
      </c>
      <c r="W172" s="15">
        <v>-0.86699999999999999</v>
      </c>
      <c r="X172" s="15">
        <v>-0.71399999999999997</v>
      </c>
      <c r="Y172" s="15">
        <v>-0.67300000000000004</v>
      </c>
      <c r="Z172" s="15">
        <v>-0.86099999999999999</v>
      </c>
      <c r="AA172" s="15">
        <v>-0.17799999999999999</v>
      </c>
      <c r="AB172" s="15">
        <v>-0.17499999999999999</v>
      </c>
      <c r="AC172" s="15">
        <v>0.60899999999999999</v>
      </c>
      <c r="AD172" s="15">
        <v>0.66500000000000004</v>
      </c>
      <c r="AE172" s="15">
        <v>0.32400000000000001</v>
      </c>
      <c r="AF172" s="14">
        <v>-0.39400000000000002</v>
      </c>
      <c r="AG172" s="15">
        <v>-0.32600000000000001</v>
      </c>
      <c r="AH172" s="15">
        <v>-0.60299999999999998</v>
      </c>
      <c r="AI172" s="15">
        <v>-0.69399999999999995</v>
      </c>
      <c r="AJ172" s="15">
        <v>-0.77400000000000002</v>
      </c>
      <c r="AK172" s="9">
        <v>-0.9</v>
      </c>
      <c r="AL172" s="4">
        <v>0.39400000000000002</v>
      </c>
      <c r="AM172" s="4">
        <v>-0.86699999999999999</v>
      </c>
      <c r="AN172" s="4">
        <v>-0.65100000000000002</v>
      </c>
      <c r="AO172" s="4">
        <v>9.0999999999999998E-2</v>
      </c>
      <c r="AP172" s="4">
        <v>-0.26100000000000001</v>
      </c>
      <c r="AQ172" s="4">
        <v>4.5999999999999999E-2</v>
      </c>
      <c r="AR172" s="4">
        <v>-0.18099999999999999</v>
      </c>
      <c r="AS172" s="4">
        <v>0.872</v>
      </c>
      <c r="AT172" s="4">
        <v>0.17</v>
      </c>
      <c r="AU172" s="4">
        <v>0.47799999999999998</v>
      </c>
      <c r="AV172" s="4">
        <v>-0.6</v>
      </c>
      <c r="AW172" s="4">
        <v>-5.0999999999999997E-2</v>
      </c>
      <c r="AX172" s="4">
        <v>-9.1999999999999998E-2</v>
      </c>
      <c r="AY172" s="4">
        <v>-0.432</v>
      </c>
      <c r="AZ172" s="4">
        <v>0.84499999999999997</v>
      </c>
      <c r="BA172" s="4">
        <v>0.111</v>
      </c>
      <c r="BB172" s="4">
        <v>-4.0000000000000001E-3</v>
      </c>
      <c r="BC172" s="4">
        <v>-0.184</v>
      </c>
      <c r="BD172" s="4">
        <v>7.4999999999999997E-2</v>
      </c>
      <c r="BE172" s="4">
        <v>0.251</v>
      </c>
      <c r="BF172" s="4">
        <v>0.114</v>
      </c>
      <c r="BG172" s="4">
        <v>1</v>
      </c>
      <c r="BH172" s="4">
        <v>0.45200000000000001</v>
      </c>
      <c r="BI172" s="4">
        <v>0.121</v>
      </c>
      <c r="BJ172" s="4">
        <v>0.33400000000000002</v>
      </c>
      <c r="BK172" s="4">
        <v>-0.51800000000000002</v>
      </c>
      <c r="BL172" s="4">
        <v>-0.126</v>
      </c>
      <c r="BM172" s="4"/>
    </row>
    <row r="173" spans="1:65" x14ac:dyDescent="0.3">
      <c r="A173" s="19" t="s">
        <v>128</v>
      </c>
      <c r="B173" s="53">
        <v>0</v>
      </c>
      <c r="C173" s="53">
        <f t="shared" si="16"/>
        <v>0</v>
      </c>
      <c r="D173" s="53">
        <f t="shared" si="17"/>
        <v>0</v>
      </c>
      <c r="E173" s="53">
        <f t="shared" si="18"/>
        <v>0</v>
      </c>
      <c r="F173" s="15">
        <v>0.55000000000000004</v>
      </c>
      <c r="G173" s="19">
        <v>0.42899999999999999</v>
      </c>
      <c r="H173" s="24" t="s">
        <v>68</v>
      </c>
      <c r="I173" t="str">
        <f>VLOOKUP(A173,Setores!$A$2:$C$215,2,0)</f>
        <v>capital_goods</v>
      </c>
      <c r="J173" t="str">
        <f>VLOOKUP(A173,Setores!$A$2:$C$215,3,0)</f>
        <v>very_low_beta</v>
      </c>
      <c r="K173" s="2">
        <v>0</v>
      </c>
      <c r="L173" s="2">
        <v>0</v>
      </c>
      <c r="M173" s="71">
        <v>80</v>
      </c>
      <c r="N173" s="41">
        <f>VLOOKUP(A173,'Mandato Smll'!$A$2:$C$215,2,0)</f>
        <v>0</v>
      </c>
      <c r="O173" s="58">
        <f t="shared" si="19"/>
        <v>0</v>
      </c>
      <c r="P173" s="42">
        <f t="shared" si="20"/>
        <v>0</v>
      </c>
      <c r="Q173" s="41">
        <f>VLOOKUP(A173,'Mandato Smll'!$A$2:$C$215,3,0)</f>
        <v>0</v>
      </c>
      <c r="R173" s="58">
        <f t="shared" si="21"/>
        <v>0</v>
      </c>
      <c r="S173" s="15">
        <v>-0.83099999999999996</v>
      </c>
      <c r="T173" s="15">
        <v>-0.66100000000000003</v>
      </c>
      <c r="U173" s="15">
        <v>-0.56899999999999995</v>
      </c>
      <c r="V173" s="15">
        <v>-0.91300000000000003</v>
      </c>
      <c r="W173" s="15">
        <v>-0.80500000000000005</v>
      </c>
      <c r="X173" s="15">
        <v>-0.84</v>
      </c>
      <c r="Y173" s="15">
        <v>-0.751</v>
      </c>
      <c r="Z173" s="15">
        <v>-0.89400000000000002</v>
      </c>
      <c r="AA173" s="15">
        <v>-7.8E-2</v>
      </c>
      <c r="AB173" s="15">
        <v>-7.6999999999999999E-2</v>
      </c>
      <c r="AC173" s="15">
        <v>0.253</v>
      </c>
      <c r="AD173" s="15">
        <v>0.43</v>
      </c>
      <c r="AE173" s="15">
        <v>0.48899999999999999</v>
      </c>
      <c r="AF173" s="14">
        <v>-0.879</v>
      </c>
      <c r="AG173" s="15">
        <v>-1</v>
      </c>
      <c r="AH173" s="15">
        <v>-0.52500000000000002</v>
      </c>
      <c r="AI173" s="15">
        <v>-2.7E-2</v>
      </c>
      <c r="AJ173" s="15">
        <v>0.185</v>
      </c>
      <c r="AK173" s="9">
        <v>-0.22800000000000001</v>
      </c>
      <c r="AL173" s="4">
        <v>-0.41499999999999998</v>
      </c>
      <c r="AM173" s="4">
        <v>-0.69</v>
      </c>
      <c r="AN173" s="4">
        <v>0.108</v>
      </c>
      <c r="AO173" s="4">
        <v>-0.49</v>
      </c>
      <c r="AP173" s="4">
        <v>-0.20799999999999999</v>
      </c>
      <c r="AQ173" s="4">
        <v>3.2000000000000001E-2</v>
      </c>
      <c r="AR173" s="4">
        <v>-0.63100000000000001</v>
      </c>
      <c r="AS173" s="4">
        <v>-0.68799999999999994</v>
      </c>
      <c r="AT173" s="4">
        <v>-5.3999999999999999E-2</v>
      </c>
      <c r="AU173" s="4">
        <v>-0.28599999999999998</v>
      </c>
      <c r="AV173" s="4">
        <v>-0.45900000000000002</v>
      </c>
      <c r="AW173" s="4">
        <v>-0.67500000000000004</v>
      </c>
      <c r="AX173" s="4">
        <v>0.37</v>
      </c>
      <c r="AY173" s="4">
        <v>-0.312</v>
      </c>
      <c r="AZ173" s="4">
        <v>0.60199999999999998</v>
      </c>
      <c r="BA173" s="4">
        <v>-1</v>
      </c>
      <c r="BB173" s="4">
        <v>0.45200000000000001</v>
      </c>
      <c r="BC173" s="4">
        <v>6.7000000000000004E-2</v>
      </c>
      <c r="BD173" s="4">
        <v>-7.2999999999999995E-2</v>
      </c>
      <c r="BE173" s="4">
        <v>-4.9000000000000002E-2</v>
      </c>
      <c r="BF173" s="4">
        <v>-0.19500000000000001</v>
      </c>
      <c r="BG173" s="4">
        <v>0.66900000000000004</v>
      </c>
      <c r="BH173" s="4">
        <v>0.84499999999999997</v>
      </c>
      <c r="BI173" s="4">
        <v>0.60799999999999998</v>
      </c>
      <c r="BJ173" s="4">
        <v>-6.2E-2</v>
      </c>
      <c r="BK173" s="4">
        <v>0.79600000000000004</v>
      </c>
      <c r="BL173" s="4">
        <v>0.73199999999999998</v>
      </c>
      <c r="BM173" s="4"/>
    </row>
    <row r="174" spans="1:65" x14ac:dyDescent="0.3">
      <c r="A174" s="19" t="s">
        <v>247</v>
      </c>
      <c r="B174" s="53">
        <v>0</v>
      </c>
      <c r="C174" s="53">
        <f t="shared" si="16"/>
        <v>0</v>
      </c>
      <c r="D174" s="53">
        <f t="shared" si="17"/>
        <v>0</v>
      </c>
      <c r="E174" s="53">
        <f t="shared" si="18"/>
        <v>0</v>
      </c>
      <c r="F174" s="15">
        <v>0.54800000000000004</v>
      </c>
      <c r="G174" s="19">
        <v>0.39700000000000002</v>
      </c>
      <c r="H174" s="24" t="s">
        <v>57</v>
      </c>
      <c r="I174" t="str">
        <f>VLOOKUP(A174,Setores!$A$2:$C$215,2,0)</f>
        <v>financial_services</v>
      </c>
      <c r="J174" t="str">
        <f>VLOOKUP(A174,Setores!$A$2:$C$215,3,0)</f>
        <v>high_beta</v>
      </c>
      <c r="K174" s="2">
        <v>0</v>
      </c>
      <c r="L174" s="2">
        <v>0</v>
      </c>
      <c r="M174" s="71">
        <v>80</v>
      </c>
      <c r="N174" s="41">
        <f>VLOOKUP(A174,'Mandato Smll'!$A$2:$C$215,2,0)</f>
        <v>0</v>
      </c>
      <c r="O174" s="58">
        <f t="shared" si="19"/>
        <v>0</v>
      </c>
      <c r="P174" s="42">
        <f t="shared" si="20"/>
        <v>0</v>
      </c>
      <c r="Q174" s="41">
        <f>VLOOKUP(A174,'Mandato Smll'!$A$2:$C$215,3,0)</f>
        <v>0</v>
      </c>
      <c r="R174" s="58">
        <f t="shared" si="21"/>
        <v>0</v>
      </c>
      <c r="S174" s="15">
        <v>-0.71</v>
      </c>
      <c r="T174" s="15">
        <v>-0.87</v>
      </c>
      <c r="U174" s="15">
        <v>-0.68500000000000005</v>
      </c>
      <c r="V174" s="15">
        <v>-0.79700000000000004</v>
      </c>
      <c r="W174" s="15">
        <v>-0.86199999999999999</v>
      </c>
      <c r="X174" s="15">
        <v>-0.68100000000000005</v>
      </c>
      <c r="Y174" s="15">
        <v>-0.43</v>
      </c>
      <c r="Z174" s="15">
        <v>-0.91800000000000004</v>
      </c>
      <c r="AA174" s="15">
        <v>0.122</v>
      </c>
      <c r="AB174" s="15">
        <v>0.11899999999999999</v>
      </c>
      <c r="AC174" s="15">
        <v>-4.2000000000000003E-2</v>
      </c>
      <c r="AD174" s="15">
        <v>0.32400000000000001</v>
      </c>
      <c r="AE174" s="15">
        <v>0.22600000000000001</v>
      </c>
      <c r="AF174" s="14">
        <v>-0.96899999999999997</v>
      </c>
      <c r="AG174" s="15">
        <v>0.52900000000000003</v>
      </c>
      <c r="AH174" s="15">
        <v>-0.98799999999999999</v>
      </c>
      <c r="AI174" s="15">
        <v>-0.81200000000000006</v>
      </c>
      <c r="AJ174" s="15">
        <v>-1</v>
      </c>
      <c r="AK174" s="9">
        <v>-0.29599999999999999</v>
      </c>
      <c r="AL174" s="4">
        <v>-0.41499999999999998</v>
      </c>
      <c r="AM174" s="4">
        <v>-0.65700000000000003</v>
      </c>
      <c r="AN174" s="4">
        <v>-0.20399999999999999</v>
      </c>
      <c r="AO174" s="4">
        <v>0.33400000000000002</v>
      </c>
      <c r="AP174" s="4">
        <v>-0.873</v>
      </c>
      <c r="AQ174" s="4">
        <v>-0.92200000000000004</v>
      </c>
      <c r="AR174" s="4">
        <v>0.32800000000000001</v>
      </c>
      <c r="AS174" s="4">
        <v>0.99299999999999999</v>
      </c>
      <c r="AT174" s="4">
        <v>-0.123</v>
      </c>
      <c r="AU174" s="4">
        <v>0.17599999999999999</v>
      </c>
      <c r="AV174" s="4">
        <v>0.77300000000000002</v>
      </c>
      <c r="AW174" s="4">
        <v>-0.40699999999999997</v>
      </c>
      <c r="AX174" s="4">
        <v>-0.218</v>
      </c>
      <c r="AY174" s="4">
        <v>2.7E-2</v>
      </c>
      <c r="AZ174" s="4">
        <v>-0.13800000000000001</v>
      </c>
      <c r="BA174" s="4">
        <v>0.375</v>
      </c>
      <c r="BB174" s="4">
        <v>0.67300000000000004</v>
      </c>
      <c r="BC174" s="4">
        <v>-0.15</v>
      </c>
      <c r="BD174" s="4">
        <v>-0.28999999999999998</v>
      </c>
      <c r="BE174" s="4">
        <v>-0.11899999999999999</v>
      </c>
      <c r="BF174" s="4">
        <v>1</v>
      </c>
      <c r="BG174" s="4">
        <v>1</v>
      </c>
      <c r="BH174" s="4">
        <v>0.17100000000000001</v>
      </c>
      <c r="BI174" s="4">
        <v>-0.33700000000000002</v>
      </c>
      <c r="BJ174" s="4">
        <v>0.20300000000000001</v>
      </c>
      <c r="BK174" s="4">
        <v>0.53200000000000003</v>
      </c>
      <c r="BL174" s="4">
        <v>-0.109</v>
      </c>
      <c r="BM174" s="4"/>
    </row>
    <row r="175" spans="1:65" x14ac:dyDescent="0.3">
      <c r="A175" s="19" t="s">
        <v>176</v>
      </c>
      <c r="B175" s="53">
        <v>0</v>
      </c>
      <c r="C175" s="53">
        <f t="shared" si="16"/>
        <v>-7.0000000000000001E-3</v>
      </c>
      <c r="D175" s="53">
        <f t="shared" si="17"/>
        <v>0</v>
      </c>
      <c r="E175" s="53">
        <f t="shared" si="18"/>
        <v>7.0000000000000001E-3</v>
      </c>
      <c r="F175" s="15">
        <v>0.54500000000000004</v>
      </c>
      <c r="G175" s="19">
        <v>0.42</v>
      </c>
      <c r="H175" s="24" t="s">
        <v>57</v>
      </c>
      <c r="I175" t="str">
        <f>VLOOKUP(A175,Setores!$A$2:$C$215,2,0)</f>
        <v>apparel</v>
      </c>
      <c r="J175" t="str">
        <f>VLOOKUP(A175,Setores!$A$2:$C$215,3,0)</f>
        <v>very_high_beta</v>
      </c>
      <c r="K175" s="2">
        <v>0</v>
      </c>
      <c r="L175" s="2">
        <v>-7.0000000000000001E-3</v>
      </c>
      <c r="M175" s="71">
        <v>76</v>
      </c>
      <c r="N175" s="41">
        <f>VLOOKUP(A175,'Mandato Smll'!$A$2:$C$215,2,0)</f>
        <v>0</v>
      </c>
      <c r="O175" s="58">
        <f t="shared" si="19"/>
        <v>0</v>
      </c>
      <c r="P175" s="42">
        <f t="shared" si="20"/>
        <v>0</v>
      </c>
      <c r="Q175" s="41">
        <f>VLOOKUP(A175,'Mandato Smll'!$A$2:$C$215,3,0)</f>
        <v>0</v>
      </c>
      <c r="R175" s="58">
        <f t="shared" si="21"/>
        <v>0</v>
      </c>
      <c r="S175" s="15">
        <v>-0.54600000000000004</v>
      </c>
      <c r="T175" s="15">
        <v>-0.83699999999999997</v>
      </c>
      <c r="U175" s="15">
        <v>-0.439</v>
      </c>
      <c r="V175" s="15">
        <v>-0.34899999999999998</v>
      </c>
      <c r="W175" s="15">
        <v>-0.60399999999999998</v>
      </c>
      <c r="X175" s="15">
        <v>-0.70799999999999996</v>
      </c>
      <c r="Y175" s="15">
        <v>-0.73499999999999999</v>
      </c>
      <c r="Z175" s="15">
        <v>-0.84199999999999997</v>
      </c>
      <c r="AA175" s="15">
        <v>-0.316</v>
      </c>
      <c r="AB175" s="15">
        <v>-0.313</v>
      </c>
      <c r="AC175" s="15">
        <v>0.32500000000000001</v>
      </c>
      <c r="AD175" s="15">
        <v>-0.104</v>
      </c>
      <c r="AE175" s="15">
        <v>7.9000000000000001E-2</v>
      </c>
      <c r="AF175" s="14">
        <v>0.73599999999999999</v>
      </c>
      <c r="AG175" s="15">
        <v>0.17399999999999999</v>
      </c>
      <c r="AH175" s="15">
        <v>-0.66400000000000003</v>
      </c>
      <c r="AI175" s="15">
        <v>-0.24</v>
      </c>
      <c r="AJ175" s="15">
        <v>-0.53800000000000003</v>
      </c>
      <c r="AK175" s="9">
        <v>0.63800000000000001</v>
      </c>
      <c r="AL175" s="4">
        <v>0.39100000000000001</v>
      </c>
      <c r="AM175" s="4">
        <v>-0.72199999999999998</v>
      </c>
      <c r="AN175" s="4">
        <v>-0.25600000000000001</v>
      </c>
      <c r="AO175" s="4">
        <v>0.19600000000000001</v>
      </c>
      <c r="AP175" s="4">
        <v>-0.82</v>
      </c>
      <c r="AQ175" s="4">
        <v>4.4999999999999998E-2</v>
      </c>
      <c r="AR175" s="4">
        <v>0.60399999999999998</v>
      </c>
      <c r="AS175" s="4">
        <v>-0.309</v>
      </c>
      <c r="AT175" s="4">
        <v>-0.45100000000000001</v>
      </c>
      <c r="AU175" s="4">
        <v>0.29099999999999998</v>
      </c>
      <c r="AV175" s="4">
        <v>-0.19500000000000001</v>
      </c>
      <c r="AW175" s="4">
        <v>0.80100000000000005</v>
      </c>
      <c r="AX175" s="4">
        <v>-0.59799999999999998</v>
      </c>
      <c r="AY175" s="4">
        <v>8.8999999999999996E-2</v>
      </c>
      <c r="AZ175" s="4">
        <v>0.66200000000000003</v>
      </c>
      <c r="BA175" s="4">
        <v>8.4000000000000005E-2</v>
      </c>
      <c r="BB175" s="4">
        <v>-0.23699999999999999</v>
      </c>
      <c r="BC175" s="4">
        <v>-0.14599999999999999</v>
      </c>
      <c r="BD175" s="4">
        <v>-0.215</v>
      </c>
      <c r="BE175" s="4">
        <v>0.42899999999999999</v>
      </c>
      <c r="BF175" s="4">
        <v>0.151</v>
      </c>
      <c r="BG175" s="4">
        <v>-0.187</v>
      </c>
      <c r="BH175" s="4">
        <v>-0.215</v>
      </c>
      <c r="BI175" s="4">
        <v>-0.56999999999999995</v>
      </c>
      <c r="BJ175" s="4">
        <v>0.34599999999999997</v>
      </c>
      <c r="BK175" s="4">
        <v>-0.84799999999999998</v>
      </c>
      <c r="BL175" s="4">
        <v>0.39800000000000002</v>
      </c>
      <c r="BM175" s="4"/>
    </row>
    <row r="176" spans="1:65" x14ac:dyDescent="0.3">
      <c r="A176" s="19" t="s">
        <v>178</v>
      </c>
      <c r="B176" s="53">
        <v>0</v>
      </c>
      <c r="C176" s="53">
        <f t="shared" si="16"/>
        <v>0</v>
      </c>
      <c r="D176" s="53">
        <f t="shared" si="17"/>
        <v>0</v>
      </c>
      <c r="E176" s="53">
        <f t="shared" si="18"/>
        <v>0</v>
      </c>
      <c r="F176" s="15">
        <v>0.54400000000000004</v>
      </c>
      <c r="G176" s="19">
        <v>0.42799999999999999</v>
      </c>
      <c r="H176" s="24" t="s">
        <v>53</v>
      </c>
      <c r="I176" t="str">
        <f>VLOOKUP(A176,Setores!$A$2:$C$215,2,0)</f>
        <v>healthcare</v>
      </c>
      <c r="J176" t="str">
        <f>VLOOKUP(A176,Setores!$A$2:$C$215,3,0)</f>
        <v>low_beta</v>
      </c>
      <c r="K176" s="2">
        <v>0</v>
      </c>
      <c r="L176" s="2">
        <v>0</v>
      </c>
      <c r="M176" s="71">
        <v>25</v>
      </c>
      <c r="N176" s="41">
        <f>VLOOKUP(A176,'Mandato Smll'!$A$2:$C$215,2,0)</f>
        <v>0</v>
      </c>
      <c r="O176" s="58">
        <f t="shared" si="19"/>
        <v>0</v>
      </c>
      <c r="P176" s="42">
        <f t="shared" si="20"/>
        <v>0</v>
      </c>
      <c r="Q176" s="41">
        <f>VLOOKUP(A176,'Mandato Smll'!$A$2:$C$215,3,0)</f>
        <v>0</v>
      </c>
      <c r="R176" s="58">
        <f t="shared" si="21"/>
        <v>0</v>
      </c>
      <c r="S176" s="15">
        <v>-0.85299999999999998</v>
      </c>
      <c r="T176" s="15">
        <v>-0.92600000000000005</v>
      </c>
      <c r="U176" s="15">
        <v>-0.94799999999999995</v>
      </c>
      <c r="V176" s="15">
        <v>-0.81499999999999995</v>
      </c>
      <c r="W176" s="15">
        <v>-0.93300000000000005</v>
      </c>
      <c r="X176" s="15">
        <v>-0.71499999999999997</v>
      </c>
      <c r="Y176" s="15">
        <v>-0.53500000000000003</v>
      </c>
      <c r="Z176" s="15">
        <v>-0.84399999999999997</v>
      </c>
      <c r="AA176" s="15">
        <v>-8.4000000000000005E-2</v>
      </c>
      <c r="AB176" s="15">
        <v>-8.3000000000000004E-2</v>
      </c>
      <c r="AC176" s="15">
        <v>0.53</v>
      </c>
      <c r="AD176" s="15">
        <v>0.54100000000000004</v>
      </c>
      <c r="AE176" s="15">
        <v>0.252</v>
      </c>
      <c r="AF176" s="14">
        <v>-0.443</v>
      </c>
      <c r="AG176" s="15">
        <v>-0.88200000000000001</v>
      </c>
      <c r="AH176" s="15">
        <v>-0.84299999999999997</v>
      </c>
      <c r="AI176" s="15">
        <v>-0.97599999999999998</v>
      </c>
      <c r="AJ176" s="15">
        <v>-0.83799999999999997</v>
      </c>
      <c r="AK176" s="9">
        <v>-0.70899999999999996</v>
      </c>
      <c r="AL176" s="4">
        <v>-0.32400000000000001</v>
      </c>
      <c r="AM176" s="4">
        <v>-0.76</v>
      </c>
      <c r="AN176" s="4">
        <v>-0.91</v>
      </c>
      <c r="AO176" s="4">
        <v>0.40400000000000003</v>
      </c>
      <c r="AP176" s="4">
        <v>-0.219</v>
      </c>
      <c r="AQ176" s="4">
        <v>-0.61199999999999999</v>
      </c>
      <c r="AR176" s="4">
        <v>-4.9000000000000002E-2</v>
      </c>
      <c r="AS176" s="4">
        <v>0.159</v>
      </c>
      <c r="AT176" s="4">
        <v>-0.66400000000000003</v>
      </c>
      <c r="AU176" s="4">
        <v>0.52100000000000002</v>
      </c>
      <c r="AV176" s="4">
        <v>-0.42499999999999999</v>
      </c>
      <c r="AW176" s="4">
        <v>0.36699999999999999</v>
      </c>
      <c r="AX176" s="4">
        <v>0.31</v>
      </c>
      <c r="AY176" s="4">
        <v>-9.7000000000000003E-2</v>
      </c>
      <c r="AZ176" s="4">
        <v>0.94699999999999995</v>
      </c>
      <c r="BA176" s="4">
        <v>0.51</v>
      </c>
      <c r="BB176" s="4">
        <v>0.36799999999999999</v>
      </c>
      <c r="BC176" s="4">
        <v>-0.26600000000000001</v>
      </c>
      <c r="BD176" s="4">
        <v>-0.127</v>
      </c>
      <c r="BE176" s="4">
        <v>0.38600000000000001</v>
      </c>
      <c r="BF176" s="4">
        <v>0.30299999999999999</v>
      </c>
      <c r="BG176" s="4">
        <v>-0.12</v>
      </c>
      <c r="BH176" s="4">
        <v>0.64200000000000002</v>
      </c>
      <c r="BI176" s="4">
        <v>-5.2999999999999999E-2</v>
      </c>
      <c r="BJ176" s="4">
        <v>-0.28399999999999997</v>
      </c>
      <c r="BK176" s="4">
        <v>-0.254</v>
      </c>
      <c r="BL176" s="4">
        <v>-0.67700000000000005</v>
      </c>
      <c r="BM176" s="4"/>
    </row>
    <row r="177" spans="1:65" x14ac:dyDescent="0.3">
      <c r="A177" s="19" t="s">
        <v>197</v>
      </c>
      <c r="B177" s="53">
        <v>0</v>
      </c>
      <c r="C177" s="53">
        <f t="shared" si="16"/>
        <v>0</v>
      </c>
      <c r="D177" s="53">
        <f t="shared" si="17"/>
        <v>0</v>
      </c>
      <c r="E177" s="53">
        <f t="shared" si="18"/>
        <v>0</v>
      </c>
      <c r="F177" s="15">
        <v>0.54300000000000004</v>
      </c>
      <c r="G177" s="19">
        <v>0.60899999999999999</v>
      </c>
      <c r="H177" s="24" t="s">
        <v>53</v>
      </c>
      <c r="I177" t="str">
        <f>VLOOKUP(A177,Setores!$A$2:$C$215,2,0)</f>
        <v>healthcare</v>
      </c>
      <c r="J177" t="str">
        <f>VLOOKUP(A177,Setores!$A$2:$C$215,3,0)</f>
        <v>low_beta</v>
      </c>
      <c r="K177" s="2">
        <v>0</v>
      </c>
      <c r="L177" s="2">
        <v>0</v>
      </c>
      <c r="M177" s="71">
        <v>21</v>
      </c>
      <c r="N177" s="41">
        <f>VLOOKUP(A177,'Mandato Smll'!$A$2:$C$215,2,0)</f>
        <v>0</v>
      </c>
      <c r="O177" s="58">
        <f t="shared" si="19"/>
        <v>0</v>
      </c>
      <c r="P177" s="42">
        <f t="shared" si="20"/>
        <v>0</v>
      </c>
      <c r="Q177" s="41">
        <f>VLOOKUP(A177,'Mandato Smll'!$A$2:$C$215,3,0)</f>
        <v>0</v>
      </c>
      <c r="R177" s="58">
        <f t="shared" si="21"/>
        <v>0</v>
      </c>
      <c r="S177" s="15">
        <v>-0.82799999999999996</v>
      </c>
      <c r="T177" s="15">
        <v>-0.94399999999999995</v>
      </c>
      <c r="U177" s="15">
        <v>-0.92600000000000005</v>
      </c>
      <c r="V177" s="15">
        <v>-0.78200000000000003</v>
      </c>
      <c r="W177" s="15">
        <v>-0.92100000000000004</v>
      </c>
      <c r="X177" s="15">
        <v>-0.67300000000000004</v>
      </c>
      <c r="Y177" s="15">
        <v>-0.51100000000000001</v>
      </c>
      <c r="Z177" s="15">
        <v>-0.78600000000000003</v>
      </c>
      <c r="AA177" s="15">
        <v>-0.32100000000000001</v>
      </c>
      <c r="AB177" s="15">
        <v>-0.32100000000000001</v>
      </c>
      <c r="AC177" s="15">
        <v>0.58899999999999997</v>
      </c>
      <c r="AD177" s="15">
        <v>0.50900000000000001</v>
      </c>
      <c r="AE177" s="15">
        <v>0.23499999999999999</v>
      </c>
      <c r="AF177" s="14">
        <v>-0.501</v>
      </c>
      <c r="AG177" s="15">
        <v>-0.01</v>
      </c>
      <c r="AH177" s="15">
        <v>-0.97699999999999998</v>
      </c>
      <c r="AI177" s="15">
        <v>-0.94699999999999995</v>
      </c>
      <c r="AJ177" s="15">
        <v>-1</v>
      </c>
      <c r="AK177" s="9">
        <v>-0.97299999999999998</v>
      </c>
      <c r="AL177" s="4">
        <v>-0.5</v>
      </c>
      <c r="AM177" s="4">
        <v>-0.11799999999999999</v>
      </c>
      <c r="AN177" s="4">
        <v>-0.85399999999999998</v>
      </c>
      <c r="AO177" s="4">
        <v>0.316</v>
      </c>
      <c r="AP177" s="4">
        <v>-0.45</v>
      </c>
      <c r="AQ177" s="4">
        <v>-0.218</v>
      </c>
      <c r="AR177" s="4">
        <v>0.41499999999999998</v>
      </c>
      <c r="AS177" s="4">
        <v>0.27200000000000002</v>
      </c>
      <c r="AT177" s="4">
        <v>-0.34799999999999998</v>
      </c>
      <c r="AU177" s="4">
        <v>-1.2999999999999999E-2</v>
      </c>
      <c r="AV177" s="4">
        <v>-0.34300000000000003</v>
      </c>
      <c r="AW177" s="4">
        <v>-0.115</v>
      </c>
      <c r="AX177" s="4">
        <v>0.214</v>
      </c>
      <c r="AY177" s="4">
        <v>0.20499999999999999</v>
      </c>
      <c r="AZ177" s="4">
        <v>0.83899999999999997</v>
      </c>
      <c r="BA177" s="4">
        <v>0.25600000000000001</v>
      </c>
      <c r="BB177" s="4">
        <v>0.65600000000000003</v>
      </c>
      <c r="BC177" s="4">
        <v>2.3E-2</v>
      </c>
      <c r="BD177" s="4">
        <v>-0.247</v>
      </c>
      <c r="BE177" s="4">
        <v>0.22</v>
      </c>
      <c r="BF177" s="4">
        <v>0.222</v>
      </c>
      <c r="BG177" s="4">
        <v>0.437</v>
      </c>
      <c r="BH177" s="4">
        <v>0.32800000000000001</v>
      </c>
      <c r="BI177" s="4">
        <v>-0.217</v>
      </c>
      <c r="BJ177" s="4">
        <v>-0.20399999999999999</v>
      </c>
      <c r="BK177" s="4">
        <v>-0.14399999999999999</v>
      </c>
      <c r="BL177" s="4">
        <v>-0.874</v>
      </c>
      <c r="BM177" s="4"/>
    </row>
    <row r="178" spans="1:65" x14ac:dyDescent="0.3">
      <c r="A178" s="19" t="s">
        <v>169</v>
      </c>
      <c r="B178" s="53">
        <v>0</v>
      </c>
      <c r="C178" s="53">
        <f t="shared" si="16"/>
        <v>0</v>
      </c>
      <c r="D178" s="53">
        <f t="shared" si="17"/>
        <v>0</v>
      </c>
      <c r="E178" s="53">
        <f t="shared" si="18"/>
        <v>0</v>
      </c>
      <c r="F178" s="15">
        <v>0.54</v>
      </c>
      <c r="G178" s="19">
        <v>0.53900000000000003</v>
      </c>
      <c r="H178" s="24" t="s">
        <v>57</v>
      </c>
      <c r="I178" t="str">
        <f>VLOOKUP(A178,Setores!$A$2:$C$215,2,0)</f>
        <v>homebuilders</v>
      </c>
      <c r="J178" t="str">
        <f>VLOOKUP(A178,Setores!$A$2:$C$215,3,0)</f>
        <v>very_high_beta</v>
      </c>
      <c r="K178" s="2">
        <v>0</v>
      </c>
      <c r="L178" s="2">
        <v>0</v>
      </c>
      <c r="M178" s="71">
        <v>80</v>
      </c>
      <c r="N178" s="41">
        <f>VLOOKUP(A178,'Mandato Smll'!$A$2:$C$215,2,0)</f>
        <v>0</v>
      </c>
      <c r="O178" s="58">
        <f t="shared" si="19"/>
        <v>0</v>
      </c>
      <c r="P178" s="42">
        <f t="shared" si="20"/>
        <v>0</v>
      </c>
      <c r="Q178" s="41">
        <f>VLOOKUP(A178,'Mandato Smll'!$A$2:$C$215,3,0)</f>
        <v>0</v>
      </c>
      <c r="R178" s="58">
        <f t="shared" si="21"/>
        <v>0</v>
      </c>
      <c r="S178" s="15">
        <v>-0.77500000000000002</v>
      </c>
      <c r="T178" s="15">
        <v>-0.91300000000000003</v>
      </c>
      <c r="U178" s="15">
        <v>-0.747</v>
      </c>
      <c r="V178" s="15">
        <v>-0.82699999999999996</v>
      </c>
      <c r="W178" s="15">
        <v>-0.89300000000000002</v>
      </c>
      <c r="X178" s="15">
        <v>-0.70599999999999996</v>
      </c>
      <c r="Y178" s="15">
        <v>-0.60399999999999998</v>
      </c>
      <c r="Z178" s="15">
        <v>-0.88800000000000001</v>
      </c>
      <c r="AA178" s="15">
        <v>8.0000000000000002E-3</v>
      </c>
      <c r="AB178" s="15">
        <v>6.0000000000000001E-3</v>
      </c>
      <c r="AC178" s="15">
        <v>0.435</v>
      </c>
      <c r="AD178" s="15">
        <v>0.36499999999999999</v>
      </c>
      <c r="AE178" s="15">
        <v>0.14499999999999999</v>
      </c>
      <c r="AF178" s="14">
        <v>-0.94099999999999995</v>
      </c>
      <c r="AG178" s="15">
        <v>0.26700000000000002</v>
      </c>
      <c r="AH178" s="15">
        <v>-0.85</v>
      </c>
      <c r="AI178" s="15">
        <v>-0.746</v>
      </c>
      <c r="AJ178" s="15">
        <v>-0.94299999999999995</v>
      </c>
      <c r="AK178" s="9">
        <v>-0.46100000000000002</v>
      </c>
      <c r="AL178" s="4">
        <v>-0.252</v>
      </c>
      <c r="AM178" s="4">
        <v>-0.56499999999999995</v>
      </c>
      <c r="AN178" s="4">
        <v>-0.33100000000000002</v>
      </c>
      <c r="AO178" s="4">
        <v>0.38</v>
      </c>
      <c r="AP178" s="4">
        <v>-0.60199999999999998</v>
      </c>
      <c r="AQ178" s="4">
        <v>-0.621</v>
      </c>
      <c r="AR178" s="4">
        <v>0.375</v>
      </c>
      <c r="AS178" s="4">
        <v>0.29499999999999998</v>
      </c>
      <c r="AT178" s="4">
        <v>-0.19</v>
      </c>
      <c r="AU178" s="4">
        <v>-3.5000000000000003E-2</v>
      </c>
      <c r="AV178" s="4">
        <v>-0.188</v>
      </c>
      <c r="AW178" s="4">
        <v>-0.57299999999999995</v>
      </c>
      <c r="AX178" s="4">
        <v>0.06</v>
      </c>
      <c r="AY178" s="4">
        <v>-0.185</v>
      </c>
      <c r="AZ178" s="4">
        <v>0.63900000000000001</v>
      </c>
      <c r="BA178" s="4">
        <v>0.64800000000000002</v>
      </c>
      <c r="BB178" s="4">
        <v>0.32600000000000001</v>
      </c>
      <c r="BC178" s="4">
        <v>-0.26200000000000001</v>
      </c>
      <c r="BD178" s="4">
        <v>-0.54300000000000004</v>
      </c>
      <c r="BE178" s="4">
        <v>-1.7000000000000001E-2</v>
      </c>
      <c r="BF178" s="4">
        <v>0.42</v>
      </c>
      <c r="BG178" s="4">
        <v>0.33100000000000002</v>
      </c>
      <c r="BH178" s="4">
        <v>0.438</v>
      </c>
      <c r="BI178" s="4">
        <v>-0.501</v>
      </c>
      <c r="BJ178" s="4">
        <v>0.82699999999999996</v>
      </c>
      <c r="BK178" s="4">
        <v>0.54800000000000004</v>
      </c>
      <c r="BL178" s="4">
        <v>-0.379</v>
      </c>
      <c r="BM178" s="4"/>
    </row>
    <row r="179" spans="1:65" x14ac:dyDescent="0.3">
      <c r="A179" s="19" t="s">
        <v>238</v>
      </c>
      <c r="B179" s="53">
        <v>0</v>
      </c>
      <c r="C179" s="53">
        <f t="shared" si="16"/>
        <v>-5.0000000000000001E-3</v>
      </c>
      <c r="D179" s="53">
        <f t="shared" si="17"/>
        <v>0</v>
      </c>
      <c r="E179" s="53">
        <f t="shared" si="18"/>
        <v>5.0000000000000001E-3</v>
      </c>
      <c r="F179" s="15">
        <v>0.54</v>
      </c>
      <c r="G179" s="19">
        <v>0.53400000000000003</v>
      </c>
      <c r="H179" s="24" t="s">
        <v>68</v>
      </c>
      <c r="I179" t="str">
        <f>VLOOKUP(A179,Setores!$A$2:$C$215,2,0)</f>
        <v>capital_goods</v>
      </c>
      <c r="J179" t="str">
        <f>VLOOKUP(A179,Setores!$A$2:$C$215,3,0)</f>
        <v>high_beta</v>
      </c>
      <c r="K179" s="2">
        <v>0</v>
      </c>
      <c r="L179" s="2">
        <v>-5.0000000000000001E-3</v>
      </c>
      <c r="M179" s="71">
        <v>80</v>
      </c>
      <c r="N179" s="41">
        <f>VLOOKUP(A179,'Mandato Smll'!$A$2:$C$215,2,0)</f>
        <v>0</v>
      </c>
      <c r="O179" s="58">
        <f t="shared" si="19"/>
        <v>0</v>
      </c>
      <c r="P179" s="42">
        <f t="shared" si="20"/>
        <v>0</v>
      </c>
      <c r="Q179" s="41">
        <f>VLOOKUP(A179,'Mandato Smll'!$A$2:$C$215,3,0)</f>
        <v>0</v>
      </c>
      <c r="R179" s="58">
        <f t="shared" si="21"/>
        <v>0</v>
      </c>
      <c r="S179" s="15">
        <v>-0.77500000000000002</v>
      </c>
      <c r="T179" s="15">
        <v>-0.56999999999999995</v>
      </c>
      <c r="U179" s="15">
        <v>-0.68100000000000005</v>
      </c>
      <c r="V179" s="15">
        <v>-0.872</v>
      </c>
      <c r="W179" s="15">
        <v>-0.78700000000000003</v>
      </c>
      <c r="X179" s="15">
        <v>-0.82399999999999995</v>
      </c>
      <c r="Y179" s="15">
        <v>-0.81899999999999995</v>
      </c>
      <c r="Z179" s="15">
        <v>-0.81399999999999995</v>
      </c>
      <c r="AA179" s="15">
        <v>-0.36499999999999999</v>
      </c>
      <c r="AB179" s="15">
        <v>-0.36299999999999999</v>
      </c>
      <c r="AC179" s="15">
        <v>-8.2000000000000003E-2</v>
      </c>
      <c r="AD179" s="15">
        <v>0.504</v>
      </c>
      <c r="AE179" s="15">
        <v>0.35299999999999998</v>
      </c>
      <c r="AF179" s="14">
        <v>-0.90200000000000002</v>
      </c>
      <c r="AG179" s="15">
        <v>-0.748</v>
      </c>
      <c r="AH179" s="15">
        <v>0.09</v>
      </c>
      <c r="AI179" s="15">
        <v>4.5999999999999999E-2</v>
      </c>
      <c r="AJ179" s="15">
        <v>0.55100000000000005</v>
      </c>
      <c r="AK179" s="9">
        <v>-0.71699999999999997</v>
      </c>
      <c r="AL179" s="4">
        <v>8.5999999999999993E-2</v>
      </c>
      <c r="AM179" s="4">
        <v>-0.61899999999999999</v>
      </c>
      <c r="AN179" s="4">
        <v>-0.112</v>
      </c>
      <c r="AO179" s="4">
        <v>-0.50900000000000001</v>
      </c>
      <c r="AP179" s="4">
        <v>-0.14599999999999999</v>
      </c>
      <c r="AQ179" s="4">
        <v>0.873</v>
      </c>
      <c r="AR179" s="4">
        <v>-0.63200000000000001</v>
      </c>
      <c r="AS179" s="4">
        <v>-1</v>
      </c>
      <c r="AT179" s="4">
        <v>-0.81899999999999995</v>
      </c>
      <c r="AU179" s="4">
        <v>-0.29299999999999998</v>
      </c>
      <c r="AV179" s="4">
        <v>-0.71799999999999997</v>
      </c>
      <c r="AW179" s="4">
        <v>-0.77600000000000002</v>
      </c>
      <c r="AX179" s="4">
        <v>0.32700000000000001</v>
      </c>
      <c r="AY179" s="4">
        <v>-0.27</v>
      </c>
      <c r="AZ179" s="4">
        <v>0.40100000000000002</v>
      </c>
      <c r="BA179" s="4">
        <v>-5.0000000000000001E-3</v>
      </c>
      <c r="BB179" s="4">
        <v>4.0000000000000001E-3</v>
      </c>
      <c r="BC179" s="4">
        <v>0.71399999999999997</v>
      </c>
      <c r="BD179" s="4">
        <v>0.433</v>
      </c>
      <c r="BE179" s="4">
        <v>0.23499999999999999</v>
      </c>
      <c r="BF179" s="4">
        <v>8.9999999999999993E-3</v>
      </c>
      <c r="BG179" s="4">
        <v>0.11</v>
      </c>
      <c r="BH179" s="4">
        <v>0.35899999999999999</v>
      </c>
      <c r="BI179" s="4">
        <v>0.17699999999999999</v>
      </c>
      <c r="BJ179" s="4">
        <v>0.71699999999999997</v>
      </c>
      <c r="BK179" s="4">
        <v>-3.0000000000000001E-3</v>
      </c>
      <c r="BL179" s="4">
        <v>0.378</v>
      </c>
      <c r="BM179" s="4"/>
    </row>
    <row r="180" spans="1:65" x14ac:dyDescent="0.3">
      <c r="A180" s="19" t="s">
        <v>170</v>
      </c>
      <c r="B180" s="53">
        <v>0</v>
      </c>
      <c r="C180" s="53">
        <f t="shared" si="16"/>
        <v>-4.0000000000000001E-3</v>
      </c>
      <c r="D180" s="53">
        <f t="shared" si="17"/>
        <v>0</v>
      </c>
      <c r="E180" s="53">
        <f t="shared" si="18"/>
        <v>4.0000000000000001E-3</v>
      </c>
      <c r="F180" s="15">
        <v>0.53600000000000003</v>
      </c>
      <c r="G180" s="19">
        <v>0.48899999999999999</v>
      </c>
      <c r="H180" s="24" t="s">
        <v>57</v>
      </c>
      <c r="I180" t="str">
        <f>VLOOKUP(A180,Setores!$A$2:$C$215,2,0)</f>
        <v>consumer_durables</v>
      </c>
      <c r="J180" t="str">
        <f>VLOOKUP(A180,Setores!$A$2:$C$215,3,0)</f>
        <v>very_high_beta</v>
      </c>
      <c r="K180" s="2">
        <v>0</v>
      </c>
      <c r="L180" s="2">
        <v>-4.0000000000000001E-3</v>
      </c>
      <c r="M180" s="71">
        <v>80</v>
      </c>
      <c r="N180" s="41">
        <f>VLOOKUP(A180,'Mandato Smll'!$A$2:$C$215,2,0)</f>
        <v>0</v>
      </c>
      <c r="O180" s="58">
        <f t="shared" si="19"/>
        <v>0</v>
      </c>
      <c r="P180" s="42">
        <f t="shared" si="20"/>
        <v>0</v>
      </c>
      <c r="Q180" s="41">
        <f>VLOOKUP(A180,'Mandato Smll'!$A$2:$C$215,3,0)</f>
        <v>0</v>
      </c>
      <c r="R180" s="58">
        <f t="shared" si="21"/>
        <v>0</v>
      </c>
      <c r="S180" s="15">
        <v>-0.75</v>
      </c>
      <c r="T180" s="15">
        <v>-0.82699999999999996</v>
      </c>
      <c r="U180" s="15">
        <v>-0.75</v>
      </c>
      <c r="V180" s="15">
        <v>-0.78900000000000003</v>
      </c>
      <c r="W180" s="15">
        <v>-0.83399999999999996</v>
      </c>
      <c r="X180" s="15">
        <v>-0.81</v>
      </c>
      <c r="Y180" s="15">
        <v>-0.80600000000000005</v>
      </c>
      <c r="Z180" s="15">
        <v>-0.879</v>
      </c>
      <c r="AA180" s="15">
        <v>-0.26800000000000002</v>
      </c>
      <c r="AB180" s="15">
        <v>-0.26800000000000002</v>
      </c>
      <c r="AC180" s="15">
        <v>0.45800000000000002</v>
      </c>
      <c r="AD180" s="15">
        <v>0.42199999999999999</v>
      </c>
      <c r="AE180" s="15">
        <v>0.20200000000000001</v>
      </c>
      <c r="AF180" s="14">
        <v>-0.6</v>
      </c>
      <c r="AG180" s="15">
        <v>-0.17299999999999999</v>
      </c>
      <c r="AH180" s="15">
        <v>-0.625</v>
      </c>
      <c r="AI180" s="15">
        <v>-0.33100000000000002</v>
      </c>
      <c r="AJ180" s="15">
        <v>-0.21099999999999999</v>
      </c>
      <c r="AK180" s="9">
        <v>-0.28000000000000003</v>
      </c>
      <c r="AL180" s="4">
        <v>-0.28399999999999997</v>
      </c>
      <c r="AM180" s="4">
        <v>-0.57199999999999995</v>
      </c>
      <c r="AN180" s="4">
        <v>-0.34399999999999997</v>
      </c>
      <c r="AO180" s="4">
        <v>0.193</v>
      </c>
      <c r="AP180" s="4">
        <v>-0.56699999999999995</v>
      </c>
      <c r="AQ180" s="4">
        <v>0.115</v>
      </c>
      <c r="AR180" s="4">
        <v>0.35399999999999998</v>
      </c>
      <c r="AS180" s="4">
        <v>0.27400000000000002</v>
      </c>
      <c r="AT180" s="4">
        <v>0.17499999999999999</v>
      </c>
      <c r="AU180" s="4">
        <v>0.14199999999999999</v>
      </c>
      <c r="AV180" s="4">
        <v>-0.45100000000000001</v>
      </c>
      <c r="AW180" s="4">
        <v>-0.183</v>
      </c>
      <c r="AX180" s="4">
        <v>-0.40799999999999997</v>
      </c>
      <c r="AY180" s="4">
        <v>-0.42499999999999999</v>
      </c>
      <c r="AZ180" s="4">
        <v>0.65200000000000002</v>
      </c>
      <c r="BA180" s="4">
        <v>0.23499999999999999</v>
      </c>
      <c r="BB180" s="4">
        <v>0.42299999999999999</v>
      </c>
      <c r="BC180" s="4">
        <v>-0.309</v>
      </c>
      <c r="BD180" s="4">
        <v>-0.70299999999999996</v>
      </c>
      <c r="BE180" s="4">
        <v>0.21199999999999999</v>
      </c>
      <c r="BF180" s="4">
        <v>-0.113</v>
      </c>
      <c r="BG180" s="4">
        <v>0.11799999999999999</v>
      </c>
      <c r="BH180" s="4">
        <v>-3.3000000000000002E-2</v>
      </c>
      <c r="BI180" s="4">
        <v>-8.3000000000000004E-2</v>
      </c>
      <c r="BJ180" s="4">
        <v>0.29899999999999999</v>
      </c>
      <c r="BK180" s="4">
        <v>-0.17100000000000001</v>
      </c>
      <c r="BL180" s="4">
        <v>3.5000000000000003E-2</v>
      </c>
      <c r="BM180" s="4"/>
    </row>
    <row r="181" spans="1:65" x14ac:dyDescent="0.3">
      <c r="A181" s="19" t="s">
        <v>217</v>
      </c>
      <c r="B181" s="53">
        <v>0</v>
      </c>
      <c r="C181" s="53">
        <f t="shared" si="16"/>
        <v>0</v>
      </c>
      <c r="D181" s="53">
        <f t="shared" si="17"/>
        <v>0</v>
      </c>
      <c r="E181" s="53">
        <f t="shared" si="18"/>
        <v>0</v>
      </c>
      <c r="F181" s="15">
        <v>0.53500000000000003</v>
      </c>
      <c r="G181" s="19">
        <v>0.49299999999999999</v>
      </c>
      <c r="H181" s="24" t="s">
        <v>57</v>
      </c>
      <c r="I181" t="str">
        <f>VLOOKUP(A181,Setores!$A$2:$C$215,2,0)</f>
        <v>consumer_services</v>
      </c>
      <c r="J181" t="str">
        <f>VLOOKUP(A181,Setores!$A$2:$C$215,3,0)</f>
        <v>very_high_beta</v>
      </c>
      <c r="K181" s="2">
        <v>0</v>
      </c>
      <c r="L181" s="2">
        <v>0</v>
      </c>
      <c r="M181" s="71">
        <v>80</v>
      </c>
      <c r="N181" s="41">
        <f>VLOOKUP(A181,'Mandato Smll'!$A$2:$C$215,2,0)</f>
        <v>0</v>
      </c>
      <c r="O181" s="58">
        <f t="shared" si="19"/>
        <v>0</v>
      </c>
      <c r="P181" s="42">
        <f t="shared" si="20"/>
        <v>0</v>
      </c>
      <c r="Q181" s="41">
        <f>VLOOKUP(A181,'Mandato Smll'!$A$2:$C$215,3,0)</f>
        <v>0</v>
      </c>
      <c r="R181" s="58">
        <f t="shared" si="21"/>
        <v>0</v>
      </c>
      <c r="S181" s="15">
        <v>-0.75900000000000001</v>
      </c>
      <c r="T181" s="15">
        <v>-0.86399999999999999</v>
      </c>
      <c r="U181" s="15">
        <v>-0.84699999999999998</v>
      </c>
      <c r="V181" s="15">
        <v>-0.81799999999999995</v>
      </c>
      <c r="W181" s="15">
        <v>-0.9</v>
      </c>
      <c r="X181" s="15">
        <v>-0.79300000000000004</v>
      </c>
      <c r="Y181" s="15">
        <v>-0.75900000000000001</v>
      </c>
      <c r="Z181" s="15">
        <v>-0.88500000000000001</v>
      </c>
      <c r="AA181" s="15">
        <v>-0.16200000000000001</v>
      </c>
      <c r="AB181" s="15">
        <v>-0.16200000000000001</v>
      </c>
      <c r="AC181" s="15">
        <v>0.375</v>
      </c>
      <c r="AD181" s="15">
        <v>0.44</v>
      </c>
      <c r="AE181" s="15">
        <v>0.18</v>
      </c>
      <c r="AF181" s="14">
        <v>-0.97399999999999998</v>
      </c>
      <c r="AG181" s="15">
        <v>-0.17</v>
      </c>
      <c r="AH181" s="15">
        <v>-0.754</v>
      </c>
      <c r="AI181" s="15">
        <v>-0.98399999999999999</v>
      </c>
      <c r="AJ181" s="15">
        <v>-0.89900000000000002</v>
      </c>
      <c r="AK181" s="9">
        <v>-0.72</v>
      </c>
      <c r="AL181" s="4">
        <v>-0.28799999999999998</v>
      </c>
      <c r="AM181" s="4">
        <v>-0.72699999999999998</v>
      </c>
      <c r="AN181" s="4">
        <v>-0.63800000000000001</v>
      </c>
      <c r="AO181" s="4">
        <v>0.371</v>
      </c>
      <c r="AP181" s="4">
        <v>-0.33100000000000002</v>
      </c>
      <c r="AQ181" s="4">
        <v>-2.5999999999999999E-2</v>
      </c>
      <c r="AR181" s="4">
        <v>0.41099999999999998</v>
      </c>
      <c r="AS181" s="4">
        <v>0.47099999999999997</v>
      </c>
      <c r="AT181" s="4">
        <v>0.22700000000000001</v>
      </c>
      <c r="AU181" s="4">
        <v>4.5999999999999999E-2</v>
      </c>
      <c r="AV181" s="4">
        <v>-0.22900000000000001</v>
      </c>
      <c r="AW181" s="4">
        <v>-0.432</v>
      </c>
      <c r="AX181" s="4">
        <v>-4.2999999999999997E-2</v>
      </c>
      <c r="AY181" s="4">
        <v>-0.24299999999999999</v>
      </c>
      <c r="AZ181" s="4">
        <v>-6.8000000000000005E-2</v>
      </c>
      <c r="BA181" s="4">
        <v>0.13900000000000001</v>
      </c>
      <c r="BB181" s="4">
        <v>0.51300000000000001</v>
      </c>
      <c r="BC181" s="4">
        <v>-0.156</v>
      </c>
      <c r="BD181" s="4">
        <v>-0.05</v>
      </c>
      <c r="BE181" s="4">
        <v>0.17499999999999999</v>
      </c>
      <c r="BF181" s="4">
        <v>5.2999999999999999E-2</v>
      </c>
      <c r="BG181" s="4">
        <v>-0.26700000000000002</v>
      </c>
      <c r="BH181" s="4">
        <v>-6.6000000000000003E-2</v>
      </c>
      <c r="BI181" s="4">
        <v>-3.5000000000000003E-2</v>
      </c>
      <c r="BJ181" s="4">
        <v>0.505</v>
      </c>
      <c r="BK181" s="4">
        <v>0.60099999999999998</v>
      </c>
      <c r="BL181" s="4">
        <v>-0.65</v>
      </c>
      <c r="BM181" s="4"/>
    </row>
    <row r="182" spans="1:65" ht="15" thickBot="1" x14ac:dyDescent="0.35">
      <c r="A182" s="19" t="s">
        <v>257</v>
      </c>
      <c r="B182" s="53">
        <v>0</v>
      </c>
      <c r="C182" s="53">
        <f t="shared" si="16"/>
        <v>-5.0000000000000001E-3</v>
      </c>
      <c r="D182" s="53">
        <f t="shared" si="17"/>
        <v>0</v>
      </c>
      <c r="E182" s="53">
        <f t="shared" si="18"/>
        <v>5.0000000000000001E-3</v>
      </c>
      <c r="F182" s="15">
        <v>0.53400000000000003</v>
      </c>
      <c r="G182" s="19">
        <v>0.40200000000000002</v>
      </c>
      <c r="H182" s="24" t="s">
        <v>57</v>
      </c>
      <c r="I182" t="str">
        <f>VLOOKUP(A182,Setores!$A$2:$C$215,2,0)</f>
        <v>transportation</v>
      </c>
      <c r="J182" t="str">
        <f>VLOOKUP(A182,Setores!$A$2:$C$215,3,0)</f>
        <v>very_high_beta</v>
      </c>
      <c r="K182" s="2">
        <v>0</v>
      </c>
      <c r="L182" s="2">
        <v>-5.0000000000000001E-3</v>
      </c>
      <c r="M182" s="71">
        <v>79</v>
      </c>
      <c r="N182" s="41">
        <f>VLOOKUP(A182,'Mandato Smll'!$A$2:$C$215,2,0)</f>
        <v>0</v>
      </c>
      <c r="O182" s="58">
        <f t="shared" si="19"/>
        <v>0</v>
      </c>
      <c r="P182" s="42">
        <f t="shared" si="20"/>
        <v>0</v>
      </c>
      <c r="Q182" s="41">
        <f>VLOOKUP(A182,'Mandato Smll'!$A$2:$C$215,3,0)</f>
        <v>0</v>
      </c>
      <c r="R182" s="58">
        <f t="shared" si="21"/>
        <v>0</v>
      </c>
      <c r="S182" s="15">
        <v>-0.78300000000000003</v>
      </c>
      <c r="T182" s="15">
        <v>-0.68600000000000005</v>
      </c>
      <c r="U182" s="15">
        <v>-0.85</v>
      </c>
      <c r="V182" s="15">
        <v>-0.83899999999999997</v>
      </c>
      <c r="W182" s="15">
        <v>-0.84199999999999997</v>
      </c>
      <c r="X182" s="15">
        <v>-0.81200000000000006</v>
      </c>
      <c r="Y182" s="15">
        <v>-0.75700000000000001</v>
      </c>
      <c r="Z182" s="15">
        <v>-0.83399999999999996</v>
      </c>
      <c r="AA182" s="15">
        <v>-0.20499999999999999</v>
      </c>
      <c r="AB182" s="15">
        <v>-0.20799999999999999</v>
      </c>
      <c r="AC182" s="15">
        <v>0.25</v>
      </c>
      <c r="AD182" s="15">
        <v>-3.1E-2</v>
      </c>
      <c r="AE182" s="15">
        <v>0.245</v>
      </c>
      <c r="AF182" s="14">
        <v>-0.65900000000000003</v>
      </c>
      <c r="AG182" s="15">
        <v>-0.64900000000000002</v>
      </c>
      <c r="AH182" s="15">
        <v>-0.71399999999999997</v>
      </c>
      <c r="AI182" s="15">
        <v>-0.436</v>
      </c>
      <c r="AJ182" s="15">
        <v>-0.42699999999999999</v>
      </c>
      <c r="AK182" s="9">
        <v>-0.81100000000000005</v>
      </c>
      <c r="AL182" s="4">
        <v>-3.2000000000000001E-2</v>
      </c>
      <c r="AM182" s="4">
        <v>-0.41899999999999998</v>
      </c>
      <c r="AN182" s="4">
        <v>-0.17699999999999999</v>
      </c>
      <c r="AO182" s="4">
        <v>0.35499999999999998</v>
      </c>
      <c r="AP182" s="4">
        <v>-0.19800000000000001</v>
      </c>
      <c r="AQ182" s="4">
        <v>-0.192</v>
      </c>
      <c r="AR182" s="4">
        <v>-0.12</v>
      </c>
      <c r="AS182" s="4">
        <v>9.6000000000000002E-2</v>
      </c>
      <c r="AT182" s="4">
        <v>0.24399999999999999</v>
      </c>
      <c r="AU182" s="4">
        <v>1.4E-2</v>
      </c>
      <c r="AV182" s="4">
        <v>0.123</v>
      </c>
      <c r="AW182" s="4">
        <v>-0.39700000000000002</v>
      </c>
      <c r="AX182" s="4">
        <v>-0.68700000000000006</v>
      </c>
      <c r="AY182" s="4">
        <v>-0.36099999999999999</v>
      </c>
      <c r="AZ182" s="4">
        <v>-0.13800000000000001</v>
      </c>
      <c r="BA182" s="4">
        <v>0.125</v>
      </c>
      <c r="BB182" s="4">
        <v>-2.3E-2</v>
      </c>
      <c r="BC182" s="4">
        <v>-0.1</v>
      </c>
      <c r="BD182" s="4">
        <v>-8.4000000000000005E-2</v>
      </c>
      <c r="BE182" s="4">
        <v>0.13700000000000001</v>
      </c>
      <c r="BF182" s="4">
        <v>0.30199999999999999</v>
      </c>
      <c r="BG182" s="4">
        <v>-3.0000000000000001E-3</v>
      </c>
      <c r="BH182" s="4">
        <v>-1.7000000000000001E-2</v>
      </c>
      <c r="BI182" s="4">
        <v>0.47099999999999997</v>
      </c>
      <c r="BJ182" s="4">
        <v>0.97799999999999998</v>
      </c>
      <c r="BK182" s="4">
        <v>-0.64200000000000002</v>
      </c>
      <c r="BL182" s="4">
        <v>0.308</v>
      </c>
      <c r="BM182" s="4"/>
    </row>
    <row r="183" spans="1:65" ht="15" thickBot="1" x14ac:dyDescent="0.35">
      <c r="A183" s="19" t="s">
        <v>251</v>
      </c>
      <c r="B183" s="53">
        <v>0</v>
      </c>
      <c r="C183" s="53">
        <f t="shared" si="16"/>
        <v>0</v>
      </c>
      <c r="D183" s="53">
        <f t="shared" si="17"/>
        <v>0</v>
      </c>
      <c r="E183" s="53">
        <f t="shared" si="18"/>
        <v>0</v>
      </c>
      <c r="F183" s="15">
        <v>0.53400000000000003</v>
      </c>
      <c r="G183" s="19">
        <v>0.36499999999999999</v>
      </c>
      <c r="H183" s="24" t="s">
        <v>55</v>
      </c>
      <c r="I183" t="str">
        <f>VLOOKUP(A183,Setores!$A$2:$C$215,2,0)</f>
        <v>utilities</v>
      </c>
      <c r="J183" t="str">
        <f>VLOOKUP(A183,Setores!$A$2:$C$215,3,0)</f>
        <v>neutral_beta</v>
      </c>
      <c r="K183" s="2">
        <v>0</v>
      </c>
      <c r="L183" s="2">
        <v>0</v>
      </c>
      <c r="M183" s="71">
        <v>80</v>
      </c>
      <c r="N183" s="41">
        <f>VLOOKUP(A183,'Mandato Smll'!$A$2:$C$215,2,0)</f>
        <v>0</v>
      </c>
      <c r="O183" s="58">
        <f t="shared" si="19"/>
        <v>0</v>
      </c>
      <c r="P183" s="42">
        <f t="shared" si="20"/>
        <v>0</v>
      </c>
      <c r="Q183" s="41">
        <f>VLOOKUP(A183,'Mandato Smll'!$A$2:$C$215,3,0)</f>
        <v>0</v>
      </c>
      <c r="R183" s="58">
        <f t="shared" si="21"/>
        <v>0</v>
      </c>
      <c r="S183" s="15">
        <v>-0.67800000000000005</v>
      </c>
      <c r="T183" s="15">
        <v>-0.28199999999999997</v>
      </c>
      <c r="U183" s="15">
        <v>-0.155</v>
      </c>
      <c r="V183" s="15">
        <v>-0.874</v>
      </c>
      <c r="W183" s="15">
        <v>-0.58499999999999996</v>
      </c>
      <c r="X183" s="15">
        <v>-0.83499999999999996</v>
      </c>
      <c r="Y183" s="15">
        <v>-0.879</v>
      </c>
      <c r="Z183" s="15">
        <v>-0.93500000000000005</v>
      </c>
      <c r="AA183" s="15">
        <v>-0.26700000000000002</v>
      </c>
      <c r="AB183" s="15">
        <v>-0.26700000000000002</v>
      </c>
      <c r="AC183" s="15">
        <v>0.121</v>
      </c>
      <c r="AD183" s="15">
        <v>-0.27</v>
      </c>
      <c r="AE183" s="15">
        <v>0.14099999999999999</v>
      </c>
      <c r="AF183" s="14">
        <v>-0.61499999999999999</v>
      </c>
      <c r="AG183" s="15">
        <v>-0.20599999999999999</v>
      </c>
      <c r="AH183" s="15">
        <v>-0.32400000000000001</v>
      </c>
      <c r="AI183" s="15">
        <v>1</v>
      </c>
      <c r="AJ183" s="15">
        <v>-0.34</v>
      </c>
      <c r="AK183" s="9">
        <v>-0.57799999999999996</v>
      </c>
      <c r="AL183" s="4">
        <v>0.68600000000000005</v>
      </c>
      <c r="AM183" s="4">
        <v>-1</v>
      </c>
      <c r="AN183" s="4">
        <v>0.79800000000000004</v>
      </c>
      <c r="AO183" s="4">
        <v>-0.27200000000000002</v>
      </c>
      <c r="AP183" s="4">
        <v>-0.65300000000000002</v>
      </c>
      <c r="AQ183" s="4">
        <v>-0.66900000000000004</v>
      </c>
      <c r="AR183" s="4">
        <v>-0.45700000000000002</v>
      </c>
      <c r="AS183" s="4">
        <v>-0.68200000000000005</v>
      </c>
      <c r="AT183" s="4">
        <v>-0.437</v>
      </c>
      <c r="AU183" s="4">
        <v>-0.26400000000000001</v>
      </c>
      <c r="AV183" s="4">
        <v>-0.40500000000000003</v>
      </c>
      <c r="AW183" s="89">
        <v>-0.81499999999999995</v>
      </c>
      <c r="AX183" s="4">
        <v>-0.61499999999999999</v>
      </c>
      <c r="AY183" s="4">
        <v>-0.39300000000000002</v>
      </c>
      <c r="AZ183" s="4">
        <v>0.54100000000000004</v>
      </c>
      <c r="BA183" s="4">
        <v>0.875</v>
      </c>
      <c r="BB183" s="4">
        <v>0.67900000000000005</v>
      </c>
      <c r="BC183" s="4">
        <v>-0.376</v>
      </c>
      <c r="BD183" s="4">
        <v>0.16800000000000001</v>
      </c>
      <c r="BE183" s="4">
        <v>-7.0999999999999994E-2</v>
      </c>
      <c r="BF183" s="4">
        <v>-6.0999999999999999E-2</v>
      </c>
      <c r="BG183" s="4">
        <v>-1.4999999999999999E-2</v>
      </c>
      <c r="BH183" s="4">
        <v>0.08</v>
      </c>
      <c r="BI183" s="4">
        <v>0.97199999999999998</v>
      </c>
      <c r="BJ183" s="4">
        <v>-6.9000000000000006E-2</v>
      </c>
      <c r="BK183" s="4">
        <v>0.45400000000000001</v>
      </c>
      <c r="BL183" s="4">
        <v>1</v>
      </c>
      <c r="BM183" s="4"/>
    </row>
    <row r="184" spans="1:65" x14ac:dyDescent="0.3">
      <c r="A184" s="19" t="s">
        <v>231</v>
      </c>
      <c r="B184" s="53">
        <v>0</v>
      </c>
      <c r="C184" s="53">
        <f t="shared" si="16"/>
        <v>-6.0000000000000001E-3</v>
      </c>
      <c r="D184" s="53">
        <f t="shared" si="17"/>
        <v>0</v>
      </c>
      <c r="E184" s="53">
        <f t="shared" si="18"/>
        <v>6.0000000000000001E-3</v>
      </c>
      <c r="F184" s="15">
        <v>0.53400000000000003</v>
      </c>
      <c r="G184" s="19">
        <v>0.64600000000000002</v>
      </c>
      <c r="H184" s="24" t="s">
        <v>71</v>
      </c>
      <c r="I184" t="str">
        <f>VLOOKUP(A184,Setores!$A$2:$C$215,2,0)</f>
        <v>food</v>
      </c>
      <c r="J184" t="str">
        <f>VLOOKUP(A184,Setores!$A$2:$C$215,3,0)</f>
        <v>very_low_beta</v>
      </c>
      <c r="K184" s="2">
        <v>0</v>
      </c>
      <c r="L184" s="2">
        <v>-6.0000000000000001E-3</v>
      </c>
      <c r="M184" s="71">
        <v>80</v>
      </c>
      <c r="N184" s="41">
        <f>VLOOKUP(A184,'Mandato Smll'!$A$2:$C$215,2,0)</f>
        <v>0</v>
      </c>
      <c r="O184" s="58">
        <f t="shared" si="19"/>
        <v>0</v>
      </c>
      <c r="P184" s="42">
        <f t="shared" si="20"/>
        <v>0</v>
      </c>
      <c r="Q184" s="41">
        <f>VLOOKUP(A184,'Mandato Smll'!$A$2:$C$215,3,0)</f>
        <v>0</v>
      </c>
      <c r="R184" s="58">
        <f t="shared" si="21"/>
        <v>0</v>
      </c>
      <c r="S184" s="15">
        <v>-0.93100000000000005</v>
      </c>
      <c r="T184" s="15">
        <v>-0.92100000000000004</v>
      </c>
      <c r="U184" s="15">
        <v>-0.95699999999999996</v>
      </c>
      <c r="V184" s="15">
        <v>-0.91200000000000003</v>
      </c>
      <c r="W184" s="15">
        <v>-0.95099999999999996</v>
      </c>
      <c r="X184" s="15">
        <v>-0.84299999999999997</v>
      </c>
      <c r="Y184" s="15">
        <v>-0.85499999999999998</v>
      </c>
      <c r="Z184" s="15">
        <v>-0.86599999999999999</v>
      </c>
      <c r="AA184" s="15">
        <v>-9.6000000000000002E-2</v>
      </c>
      <c r="AB184" s="15">
        <v>-9.5000000000000001E-2</v>
      </c>
      <c r="AC184" s="15">
        <v>0.53600000000000003</v>
      </c>
      <c r="AD184" s="15">
        <v>0.52900000000000003</v>
      </c>
      <c r="AE184" s="15">
        <v>0.316</v>
      </c>
      <c r="AF184" s="14">
        <v>-0.94099999999999995</v>
      </c>
      <c r="AG184" s="15">
        <v>-0.93300000000000005</v>
      </c>
      <c r="AH184" s="15">
        <v>-0.47499999999999998</v>
      </c>
      <c r="AI184" s="15">
        <v>-0.83399999999999996</v>
      </c>
      <c r="AJ184" s="15">
        <v>-0.36199999999999999</v>
      </c>
      <c r="AK184" s="9">
        <v>-0.81299999999999994</v>
      </c>
      <c r="AL184" s="4">
        <v>-0.48199999999999998</v>
      </c>
      <c r="AM184" s="4">
        <v>-0.84599999999999997</v>
      </c>
      <c r="AN184" s="4">
        <v>-0.69699999999999995</v>
      </c>
      <c r="AO184" s="4">
        <v>-0.14499999999999999</v>
      </c>
      <c r="AP184" s="4">
        <v>4.0000000000000001E-3</v>
      </c>
      <c r="AQ184" s="4">
        <v>0.34899999999999998</v>
      </c>
      <c r="AR184" s="4">
        <v>-4.8000000000000001E-2</v>
      </c>
      <c r="AS184" s="4">
        <v>-0.40100000000000002</v>
      </c>
      <c r="AT184" s="4">
        <v>-0.71799999999999997</v>
      </c>
      <c r="AU184" s="4">
        <v>0.152</v>
      </c>
      <c r="AV184" s="4">
        <v>-0.55600000000000005</v>
      </c>
      <c r="AW184" s="4">
        <v>-0.52200000000000002</v>
      </c>
      <c r="AX184" s="4">
        <v>0.45200000000000001</v>
      </c>
      <c r="AY184" s="4">
        <v>-3.1E-2</v>
      </c>
      <c r="AZ184" s="4">
        <v>0.72799999999999998</v>
      </c>
      <c r="BA184" s="4">
        <v>0.59099999999999997</v>
      </c>
      <c r="BB184" s="4">
        <v>0.52700000000000002</v>
      </c>
      <c r="BC184" s="4">
        <v>-0.95199999999999996</v>
      </c>
      <c r="BD184" s="4">
        <v>-0.76800000000000002</v>
      </c>
      <c r="BE184" s="4">
        <v>-0.17799999999999999</v>
      </c>
      <c r="BF184" s="4">
        <v>-1</v>
      </c>
      <c r="BG184" s="4">
        <v>-0.98399999999999999</v>
      </c>
      <c r="BH184" s="4">
        <v>0</v>
      </c>
      <c r="BI184" s="4">
        <v>-0.314</v>
      </c>
      <c r="BJ184" s="4">
        <v>-0.316</v>
      </c>
      <c r="BK184" s="4">
        <v>0.35099999999999998</v>
      </c>
      <c r="BL184" s="4">
        <v>-7.6999999999999999E-2</v>
      </c>
      <c r="BM184" s="4"/>
    </row>
    <row r="185" spans="1:65" x14ac:dyDescent="0.3">
      <c r="A185" s="19" t="s">
        <v>187</v>
      </c>
      <c r="B185" s="53">
        <v>0</v>
      </c>
      <c r="C185" s="53">
        <f t="shared" si="16"/>
        <v>-6.0000000000000001E-3</v>
      </c>
      <c r="D185" s="53">
        <f t="shared" si="17"/>
        <v>0</v>
      </c>
      <c r="E185" s="53">
        <f t="shared" si="18"/>
        <v>6.0000000000000001E-3</v>
      </c>
      <c r="F185" s="15">
        <v>0.53300000000000003</v>
      </c>
      <c r="G185" s="19">
        <v>0.54700000000000004</v>
      </c>
      <c r="H185" s="24" t="s">
        <v>53</v>
      </c>
      <c r="I185" t="str">
        <f>VLOOKUP(A185,Setores!$A$2:$C$215,2,0)</f>
        <v>consumer_staples</v>
      </c>
      <c r="J185" t="str">
        <f>VLOOKUP(A185,Setores!$A$2:$C$215,3,0)</f>
        <v>very_low_beta</v>
      </c>
      <c r="K185" s="2">
        <v>0</v>
      </c>
      <c r="L185" s="2">
        <v>-6.0000000000000001E-3</v>
      </c>
      <c r="M185" s="71">
        <v>80</v>
      </c>
      <c r="N185" s="41">
        <f>VLOOKUP(A185,'Mandato Smll'!$A$2:$C$215,2,0)</f>
        <v>0</v>
      </c>
      <c r="O185" s="58">
        <f t="shared" si="19"/>
        <v>0</v>
      </c>
      <c r="P185" s="42">
        <f t="shared" si="20"/>
        <v>0</v>
      </c>
      <c r="Q185" s="41">
        <f>VLOOKUP(A185,'Mandato Smll'!$A$2:$C$215,3,0)</f>
        <v>0</v>
      </c>
      <c r="R185" s="58">
        <f t="shared" si="21"/>
        <v>0</v>
      </c>
      <c r="S185" s="15">
        <v>-0.86399999999999999</v>
      </c>
      <c r="T185" s="15">
        <v>-0.92300000000000004</v>
      </c>
      <c r="U185" s="15">
        <v>-0.85299999999999998</v>
      </c>
      <c r="V185" s="15">
        <v>-0.84299999999999997</v>
      </c>
      <c r="W185" s="15">
        <v>-0.89600000000000002</v>
      </c>
      <c r="X185" s="15">
        <v>-0.84299999999999997</v>
      </c>
      <c r="Y185" s="15">
        <v>-0.8</v>
      </c>
      <c r="Z185" s="15">
        <v>-0.90500000000000003</v>
      </c>
      <c r="AA185" s="15">
        <v>-4.7E-2</v>
      </c>
      <c r="AB185" s="15">
        <v>-4.7E-2</v>
      </c>
      <c r="AC185" s="15">
        <v>0.51200000000000001</v>
      </c>
      <c r="AD185" s="15">
        <v>0.52800000000000002</v>
      </c>
      <c r="AE185" s="15">
        <v>0.184</v>
      </c>
      <c r="AF185" s="14">
        <v>-0.501</v>
      </c>
      <c r="AG185" s="15">
        <v>-0.317</v>
      </c>
      <c r="AH185" s="15">
        <v>-0.83099999999999996</v>
      </c>
      <c r="AI185" s="15">
        <v>-0.67</v>
      </c>
      <c r="AJ185" s="15">
        <v>-0.93600000000000005</v>
      </c>
      <c r="AK185" s="9">
        <v>-0.58699999999999997</v>
      </c>
      <c r="AL185" s="4">
        <v>7.3999999999999996E-2</v>
      </c>
      <c r="AM185" s="4">
        <v>-0.52500000000000002</v>
      </c>
      <c r="AN185" s="4">
        <v>-0.14699999999999999</v>
      </c>
      <c r="AO185" s="4">
        <v>0.747</v>
      </c>
      <c r="AP185" s="4">
        <v>-0.69899999999999995</v>
      </c>
      <c r="AQ185" s="4">
        <v>-0.373</v>
      </c>
      <c r="AR185" s="4">
        <v>0.223</v>
      </c>
      <c r="AS185" s="4">
        <v>-0.17599999999999999</v>
      </c>
      <c r="AT185" s="4">
        <v>-0.86899999999999999</v>
      </c>
      <c r="AU185" s="4">
        <v>0.45300000000000001</v>
      </c>
      <c r="AV185" s="4">
        <v>-0.46899999999999997</v>
      </c>
      <c r="AW185" s="4">
        <v>-0.28599999999999998</v>
      </c>
      <c r="AX185" s="4">
        <v>0.06</v>
      </c>
      <c r="AY185" s="4">
        <v>0.189</v>
      </c>
      <c r="AZ185" s="4">
        <v>0.94899999999999995</v>
      </c>
      <c r="BA185" s="4">
        <v>9.7000000000000003E-2</v>
      </c>
      <c r="BB185" s="4">
        <v>2.3E-2</v>
      </c>
      <c r="BC185" s="4">
        <v>-0.52600000000000002</v>
      </c>
      <c r="BD185" s="4">
        <v>-0.312</v>
      </c>
      <c r="BE185" s="4">
        <v>6.7000000000000004E-2</v>
      </c>
      <c r="BF185" s="4">
        <v>-0.29799999999999999</v>
      </c>
      <c r="BG185" s="4">
        <v>-9.0999999999999998E-2</v>
      </c>
      <c r="BH185" s="4">
        <v>-0.16500000000000001</v>
      </c>
      <c r="BI185" s="4">
        <v>0.152</v>
      </c>
      <c r="BJ185" s="4">
        <v>-0.36</v>
      </c>
      <c r="BK185" s="4">
        <v>8.6999999999999994E-2</v>
      </c>
      <c r="BL185" s="4">
        <v>-7.2999999999999995E-2</v>
      </c>
      <c r="BM185" s="4"/>
    </row>
    <row r="186" spans="1:65" x14ac:dyDescent="0.3">
      <c r="A186" s="19" t="s">
        <v>157</v>
      </c>
      <c r="B186" s="53">
        <v>0</v>
      </c>
      <c r="C186" s="53">
        <f t="shared" si="16"/>
        <v>-8.0000000000000002E-3</v>
      </c>
      <c r="D186" s="53">
        <f t="shared" si="17"/>
        <v>0</v>
      </c>
      <c r="E186" s="53">
        <f t="shared" si="18"/>
        <v>8.0000000000000002E-3</v>
      </c>
      <c r="F186" s="15">
        <v>0.53200000000000003</v>
      </c>
      <c r="G186" s="19">
        <v>0.41299999999999998</v>
      </c>
      <c r="H186" s="24" t="s">
        <v>57</v>
      </c>
      <c r="I186" t="str">
        <f>VLOOKUP(A186,Setores!$A$2:$C$215,2,0)</f>
        <v>consumer_durables</v>
      </c>
      <c r="J186" t="str">
        <f>VLOOKUP(A186,Setores!$A$2:$C$215,3,0)</f>
        <v>high_beta</v>
      </c>
      <c r="K186" s="2">
        <v>0</v>
      </c>
      <c r="L186" s="2">
        <v>-8.0000000000000002E-3</v>
      </c>
      <c r="M186" s="71">
        <v>73</v>
      </c>
      <c r="N186" s="41">
        <f>VLOOKUP(A186,'Mandato Smll'!$A$2:$C$215,2,0)</f>
        <v>0</v>
      </c>
      <c r="O186" s="58">
        <f t="shared" si="19"/>
        <v>0</v>
      </c>
      <c r="P186" s="42">
        <f t="shared" si="20"/>
        <v>0</v>
      </c>
      <c r="Q186" s="41">
        <f>VLOOKUP(A186,'Mandato Smll'!$A$2:$C$215,3,0)</f>
        <v>0</v>
      </c>
      <c r="R186" s="58">
        <f t="shared" si="21"/>
        <v>0</v>
      </c>
      <c r="S186" s="15">
        <v>-0.67200000000000004</v>
      </c>
      <c r="T186" s="15">
        <v>-0.46</v>
      </c>
      <c r="U186" s="15">
        <v>-0.52900000000000003</v>
      </c>
      <c r="V186" s="15">
        <v>-0.56899999999999995</v>
      </c>
      <c r="W186" s="15">
        <v>-0.40899999999999997</v>
      </c>
      <c r="X186" s="15">
        <v>-0.77200000000000002</v>
      </c>
      <c r="Y186" s="15">
        <v>-0.752</v>
      </c>
      <c r="Z186" s="15">
        <v>-0.88</v>
      </c>
      <c r="AA186" s="15">
        <v>-0.28199999999999997</v>
      </c>
      <c r="AB186" s="15">
        <v>-0.28000000000000003</v>
      </c>
      <c r="AC186" s="15">
        <v>-0.20300000000000001</v>
      </c>
      <c r="AD186" s="15">
        <v>-1</v>
      </c>
      <c r="AE186" s="15">
        <v>0.23200000000000001</v>
      </c>
      <c r="AF186" s="14">
        <v>6.4000000000000001E-2</v>
      </c>
      <c r="AG186" s="15">
        <v>0.78900000000000003</v>
      </c>
      <c r="AH186" s="15">
        <v>-0.13900000000000001</v>
      </c>
      <c r="AI186" s="15">
        <v>0.19400000000000001</v>
      </c>
      <c r="AJ186" s="15">
        <v>-0.70699999999999996</v>
      </c>
      <c r="AK186" s="9">
        <v>-0.20899999999999999</v>
      </c>
      <c r="AL186" s="4">
        <v>0.69599999999999995</v>
      </c>
      <c r="AM186" s="4">
        <v>-0.93</v>
      </c>
      <c r="AN186" s="4">
        <v>0.20699999999999999</v>
      </c>
      <c r="AO186" s="4">
        <v>0.20200000000000001</v>
      </c>
      <c r="AP186" s="4">
        <v>-0.55800000000000005</v>
      </c>
      <c r="AQ186" s="4">
        <v>-0.56999999999999995</v>
      </c>
      <c r="AR186" s="4">
        <v>0.34799999999999998</v>
      </c>
      <c r="AS186" s="4">
        <v>-0.98399999999999999</v>
      </c>
      <c r="AT186" s="4">
        <v>-0.29199999999999998</v>
      </c>
      <c r="AU186" s="4">
        <v>0.29199999999999998</v>
      </c>
      <c r="AV186" s="4">
        <v>-0.16900000000000001</v>
      </c>
      <c r="AW186" s="4">
        <v>-0.20699999999999999</v>
      </c>
      <c r="AX186" s="4">
        <v>-0.78800000000000003</v>
      </c>
      <c r="AY186" s="4">
        <v>-0.22</v>
      </c>
      <c r="AZ186" s="4">
        <v>0.32100000000000001</v>
      </c>
      <c r="BA186" s="4">
        <v>-0.91200000000000003</v>
      </c>
      <c r="BB186" s="4">
        <v>-0.14599999999999999</v>
      </c>
      <c r="BC186" s="4">
        <v>0.11799999999999999</v>
      </c>
      <c r="BD186" s="4">
        <v>6.8000000000000005E-2</v>
      </c>
      <c r="BE186" s="4">
        <v>0.25700000000000001</v>
      </c>
      <c r="BF186" s="4">
        <v>0.80500000000000005</v>
      </c>
      <c r="BG186" s="4">
        <v>0.97099999999999997</v>
      </c>
      <c r="BH186" s="4">
        <v>0.38400000000000001</v>
      </c>
      <c r="BI186" s="4">
        <v>1</v>
      </c>
      <c r="BJ186" s="4">
        <v>0.123</v>
      </c>
      <c r="BK186" s="4">
        <v>-0.89600000000000002</v>
      </c>
      <c r="BL186" s="4">
        <v>-0.36499999999999999</v>
      </c>
      <c r="BM186" s="4"/>
    </row>
    <row r="187" spans="1:65" x14ac:dyDescent="0.3">
      <c r="A187" s="19" t="s">
        <v>223</v>
      </c>
      <c r="B187" s="53">
        <v>0</v>
      </c>
      <c r="C187" s="53">
        <f t="shared" si="16"/>
        <v>-3.0000000000000001E-3</v>
      </c>
      <c r="D187" s="53">
        <f t="shared" si="17"/>
        <v>0</v>
      </c>
      <c r="E187" s="53">
        <f t="shared" si="18"/>
        <v>3.0000000000000001E-3</v>
      </c>
      <c r="F187" s="15">
        <v>0.53100000000000003</v>
      </c>
      <c r="G187" s="19">
        <v>0.63300000000000001</v>
      </c>
      <c r="H187" s="24" t="s">
        <v>68</v>
      </c>
      <c r="I187" t="str">
        <f>VLOOKUP(A187,Setores!$A$2:$C$215,2,0)</f>
        <v>capital_goods</v>
      </c>
      <c r="J187" t="str">
        <f>VLOOKUP(A187,Setores!$A$2:$C$215,3,0)</f>
        <v>high_beta</v>
      </c>
      <c r="K187" s="2">
        <v>0</v>
      </c>
      <c r="L187" s="2">
        <v>-3.0000000000000001E-3</v>
      </c>
      <c r="M187" s="71">
        <v>80</v>
      </c>
      <c r="N187" s="41">
        <f>VLOOKUP(A187,'Mandato Smll'!$A$2:$C$215,2,0)</f>
        <v>0</v>
      </c>
      <c r="O187" s="58">
        <f t="shared" si="19"/>
        <v>0</v>
      </c>
      <c r="P187" s="42">
        <f t="shared" si="20"/>
        <v>0</v>
      </c>
      <c r="Q187" s="41">
        <f>VLOOKUP(A187,'Mandato Smll'!$A$2:$C$215,3,0)</f>
        <v>0</v>
      </c>
      <c r="R187" s="58">
        <f t="shared" si="21"/>
        <v>0</v>
      </c>
      <c r="S187" s="15">
        <v>-0.95199999999999996</v>
      </c>
      <c r="T187" s="15">
        <v>-0.90600000000000003</v>
      </c>
      <c r="U187" s="15">
        <v>-0.91800000000000004</v>
      </c>
      <c r="V187" s="15">
        <v>-0.92800000000000005</v>
      </c>
      <c r="W187" s="15">
        <v>-0.93</v>
      </c>
      <c r="X187" s="15">
        <v>-0.93799999999999994</v>
      </c>
      <c r="Y187" s="15">
        <v>-0.89300000000000002</v>
      </c>
      <c r="Z187" s="15">
        <v>-0.88600000000000001</v>
      </c>
      <c r="AA187" s="15">
        <v>5.3999999999999999E-2</v>
      </c>
      <c r="AB187" s="15">
        <v>4.7E-2</v>
      </c>
      <c r="AC187" s="15">
        <v>0.437</v>
      </c>
      <c r="AD187" s="15">
        <v>0.45200000000000001</v>
      </c>
      <c r="AE187" s="15">
        <v>0.27200000000000002</v>
      </c>
      <c r="AF187" s="14">
        <v>-0.96599999999999997</v>
      </c>
      <c r="AG187" s="15">
        <v>-1</v>
      </c>
      <c r="AH187" s="15">
        <v>-0.47899999999999998</v>
      </c>
      <c r="AI187" s="15">
        <v>-0.47699999999999998</v>
      </c>
      <c r="AJ187" s="15">
        <v>1</v>
      </c>
      <c r="AK187" s="9">
        <v>-0.58499999999999996</v>
      </c>
      <c r="AL187" s="4">
        <v>-0.34899999999999998</v>
      </c>
      <c r="AM187" s="4">
        <v>-0.96599999999999997</v>
      </c>
      <c r="AN187" s="4">
        <v>-0.66400000000000003</v>
      </c>
      <c r="AO187" s="4">
        <v>-0.42399999999999999</v>
      </c>
      <c r="AP187" s="4">
        <v>0.32100000000000001</v>
      </c>
      <c r="AQ187" s="4">
        <v>0.109</v>
      </c>
      <c r="AR187" s="4">
        <v>-0.86399999999999999</v>
      </c>
      <c r="AS187" s="4">
        <v>-0.89200000000000002</v>
      </c>
      <c r="AT187" s="4">
        <v>-0.311</v>
      </c>
      <c r="AU187" s="4">
        <v>1.4999999999999999E-2</v>
      </c>
      <c r="AV187" s="4">
        <v>-0.45400000000000001</v>
      </c>
      <c r="AW187" s="4">
        <v>-0.502</v>
      </c>
      <c r="AX187" s="4">
        <v>0.53600000000000003</v>
      </c>
      <c r="AY187" s="4">
        <v>-0.13400000000000001</v>
      </c>
      <c r="AZ187" s="4">
        <v>0.75700000000000001</v>
      </c>
      <c r="BA187" s="4">
        <v>-0.56699999999999995</v>
      </c>
      <c r="BB187" s="4">
        <v>-0.38700000000000001</v>
      </c>
      <c r="BC187" s="4">
        <v>-1</v>
      </c>
      <c r="BD187" s="4">
        <v>-0.68500000000000005</v>
      </c>
      <c r="BE187" s="4">
        <v>8.7999999999999995E-2</v>
      </c>
      <c r="BF187" s="4">
        <v>-0.20200000000000001</v>
      </c>
      <c r="BG187" s="4">
        <v>-1</v>
      </c>
      <c r="BH187" s="4">
        <v>0.10299999999999999</v>
      </c>
      <c r="BI187" s="4">
        <v>-0.61699999999999999</v>
      </c>
      <c r="BJ187" s="4">
        <v>0.25700000000000001</v>
      </c>
      <c r="BK187" s="4">
        <v>0.13400000000000001</v>
      </c>
      <c r="BL187" s="4">
        <v>0.55100000000000005</v>
      </c>
      <c r="BM187" s="4"/>
    </row>
    <row r="188" spans="1:65" x14ac:dyDescent="0.3">
      <c r="A188" s="19" t="s">
        <v>191</v>
      </c>
      <c r="B188" s="53">
        <v>0</v>
      </c>
      <c r="C188" s="53">
        <f t="shared" si="16"/>
        <v>0</v>
      </c>
      <c r="D188" s="53">
        <f t="shared" si="17"/>
        <v>0</v>
      </c>
      <c r="E188" s="53">
        <f t="shared" si="18"/>
        <v>0</v>
      </c>
      <c r="F188" s="15">
        <v>0.53</v>
      </c>
      <c r="G188" s="19">
        <v>0.628</v>
      </c>
      <c r="H188" s="24" t="s">
        <v>71</v>
      </c>
      <c r="I188" t="str">
        <f>VLOOKUP(A188,Setores!$A$2:$C$215,2,0)</f>
        <v>food</v>
      </c>
      <c r="J188" t="str">
        <f>VLOOKUP(A188,Setores!$A$2:$C$215,3,0)</f>
        <v>very_low_beta</v>
      </c>
      <c r="K188" s="2">
        <v>0</v>
      </c>
      <c r="L188" s="2">
        <v>0</v>
      </c>
      <c r="M188" s="71">
        <v>80</v>
      </c>
      <c r="N188" s="41">
        <f>VLOOKUP(A188,'Mandato Smll'!$A$2:$C$215,2,0)</f>
        <v>0</v>
      </c>
      <c r="O188" s="58">
        <f t="shared" si="19"/>
        <v>0</v>
      </c>
      <c r="P188" s="42">
        <f t="shared" si="20"/>
        <v>0</v>
      </c>
      <c r="Q188" s="41">
        <f>VLOOKUP(A188,'Mandato Smll'!$A$2:$C$215,3,0)</f>
        <v>0</v>
      </c>
      <c r="R188" s="58">
        <f t="shared" si="21"/>
        <v>0</v>
      </c>
      <c r="S188" s="15">
        <v>-0.97599999999999998</v>
      </c>
      <c r="T188" s="15">
        <v>-0.97099999999999997</v>
      </c>
      <c r="U188" s="15">
        <v>-0.92700000000000005</v>
      </c>
      <c r="V188" s="15">
        <v>-0.95099999999999996</v>
      </c>
      <c r="W188" s="15">
        <v>-0.95499999999999996</v>
      </c>
      <c r="X188" s="15">
        <v>-0.85199999999999998</v>
      </c>
      <c r="Y188" s="15">
        <v>-0.78300000000000003</v>
      </c>
      <c r="Z188" s="15">
        <v>-0.86599999999999999</v>
      </c>
      <c r="AA188" s="15">
        <v>3.5999999999999997E-2</v>
      </c>
      <c r="AB188" s="15">
        <v>3.3000000000000002E-2</v>
      </c>
      <c r="AC188" s="15">
        <v>9.0999999999999998E-2</v>
      </c>
      <c r="AD188" s="15">
        <v>8.5000000000000006E-2</v>
      </c>
      <c r="AE188" s="15">
        <v>0.38700000000000001</v>
      </c>
      <c r="AF188" s="14">
        <v>-0.95599999999999996</v>
      </c>
      <c r="AG188" s="15">
        <v>-1</v>
      </c>
      <c r="AH188" s="15">
        <v>-0.85099999999999998</v>
      </c>
      <c r="AI188" s="15">
        <v>-0.45400000000000001</v>
      </c>
      <c r="AJ188" s="15">
        <v>-0.17299999999999999</v>
      </c>
      <c r="AK188" s="9">
        <v>-0.60399999999999998</v>
      </c>
      <c r="AL188" s="4">
        <v>-0.41</v>
      </c>
      <c r="AM188" s="4">
        <v>-0.13</v>
      </c>
      <c r="AN188" s="4">
        <v>-0.35</v>
      </c>
      <c r="AO188" s="4">
        <v>-0.50800000000000001</v>
      </c>
      <c r="AP188" s="4">
        <v>-0.156</v>
      </c>
      <c r="AQ188" s="4">
        <v>2.4E-2</v>
      </c>
      <c r="AR188" s="4">
        <v>-0.315</v>
      </c>
      <c r="AS188" s="4">
        <v>-1</v>
      </c>
      <c r="AT188" s="4">
        <v>-0.70499999999999996</v>
      </c>
      <c r="AU188" s="4">
        <v>-0.36299999999999999</v>
      </c>
      <c r="AV188" s="4">
        <v>-0.82099999999999995</v>
      </c>
      <c r="AW188" s="4">
        <v>-0.78600000000000003</v>
      </c>
      <c r="AX188" s="4">
        <v>0.82099999999999995</v>
      </c>
      <c r="AY188" s="4">
        <v>-0.77500000000000002</v>
      </c>
      <c r="AZ188" s="4">
        <v>-0.24199999999999999</v>
      </c>
      <c r="BA188" s="4">
        <v>-0.90100000000000002</v>
      </c>
      <c r="BB188" s="4">
        <v>-0.17799999999999999</v>
      </c>
      <c r="BC188" s="4">
        <v>9.8000000000000004E-2</v>
      </c>
      <c r="BD188" s="4">
        <v>-0.214</v>
      </c>
      <c r="BE188" s="4">
        <v>0.20300000000000001</v>
      </c>
      <c r="BF188" s="4">
        <v>-0.43099999999999999</v>
      </c>
      <c r="BG188" s="4">
        <v>0.252</v>
      </c>
      <c r="BH188" s="4">
        <v>0.78500000000000003</v>
      </c>
      <c r="BI188" s="4">
        <v>-9.8000000000000004E-2</v>
      </c>
      <c r="BJ188" s="4">
        <v>-0.626</v>
      </c>
      <c r="BK188" s="4">
        <v>0.71599999999999997</v>
      </c>
      <c r="BL188" s="4">
        <v>0.51900000000000002</v>
      </c>
      <c r="BM188" s="4"/>
    </row>
    <row r="189" spans="1:65" x14ac:dyDescent="0.3">
      <c r="A189" s="19" t="s">
        <v>129</v>
      </c>
      <c r="B189" s="53">
        <v>0</v>
      </c>
      <c r="C189" s="53">
        <f t="shared" si="16"/>
        <v>0</v>
      </c>
      <c r="D189" s="53">
        <f t="shared" si="17"/>
        <v>0</v>
      </c>
      <c r="E189" s="53">
        <f t="shared" si="18"/>
        <v>0</v>
      </c>
      <c r="F189" s="15">
        <v>0.52800000000000002</v>
      </c>
      <c r="G189" s="19">
        <v>0.36199999999999999</v>
      </c>
      <c r="H189" s="24" t="s">
        <v>57</v>
      </c>
      <c r="I189" t="str">
        <f>VLOOKUP(A189,Setores!$A$2:$C$215,2,0)</f>
        <v>homebuilders</v>
      </c>
      <c r="J189" t="str">
        <f>VLOOKUP(A189,Setores!$A$2:$C$215,3,0)</f>
        <v>very_high_beta</v>
      </c>
      <c r="K189" s="2">
        <v>0</v>
      </c>
      <c r="L189" s="2">
        <v>0</v>
      </c>
      <c r="M189" s="71">
        <v>80</v>
      </c>
      <c r="N189" s="41">
        <f>VLOOKUP(A189,'Mandato Smll'!$A$2:$C$215,2,0)</f>
        <v>0</v>
      </c>
      <c r="O189" s="58">
        <f t="shared" si="19"/>
        <v>0</v>
      </c>
      <c r="P189" s="42">
        <f t="shared" si="20"/>
        <v>0</v>
      </c>
      <c r="Q189" s="41">
        <f>VLOOKUP(A189,'Mandato Smll'!$A$2:$C$215,3,0)</f>
        <v>0</v>
      </c>
      <c r="R189" s="58">
        <f t="shared" si="21"/>
        <v>0</v>
      </c>
      <c r="S189" s="15">
        <v>-0.82</v>
      </c>
      <c r="T189" s="15">
        <v>-0.51200000000000001</v>
      </c>
      <c r="U189" s="15">
        <v>-0.379</v>
      </c>
      <c r="V189" s="15">
        <v>-0.86</v>
      </c>
      <c r="W189" s="15">
        <v>-0.57199999999999995</v>
      </c>
      <c r="X189" s="15">
        <v>-0.93700000000000006</v>
      </c>
      <c r="Y189" s="15">
        <v>-0.94799999999999995</v>
      </c>
      <c r="Z189" s="15">
        <v>-0.83699999999999997</v>
      </c>
      <c r="AA189" s="15">
        <v>-0.123</v>
      </c>
      <c r="AB189" s="15">
        <v>-0.123</v>
      </c>
      <c r="AC189" s="15">
        <v>-0.13</v>
      </c>
      <c r="AD189" s="15">
        <v>9.4E-2</v>
      </c>
      <c r="AE189" s="15">
        <v>0.03</v>
      </c>
      <c r="AF189" s="14">
        <v>-0.65</v>
      </c>
      <c r="AG189" s="15">
        <v>-0.20399999999999999</v>
      </c>
      <c r="AH189" s="15">
        <v>2.7E-2</v>
      </c>
      <c r="AI189" s="15">
        <v>0.86599999999999999</v>
      </c>
      <c r="AJ189" s="15">
        <v>0.24099999999999999</v>
      </c>
      <c r="AK189" s="9">
        <v>-0.51600000000000001</v>
      </c>
      <c r="AL189" s="4">
        <v>-0.26900000000000002</v>
      </c>
      <c r="AM189" s="4">
        <v>-0.33</v>
      </c>
      <c r="AN189" s="4">
        <v>0.75600000000000001</v>
      </c>
      <c r="AO189" s="4">
        <v>-0.17299999999999999</v>
      </c>
      <c r="AP189" s="4">
        <v>-0.35</v>
      </c>
      <c r="AQ189" s="4">
        <v>-0.45900000000000002</v>
      </c>
      <c r="AR189" s="4">
        <v>-9.7000000000000003E-2</v>
      </c>
      <c r="AS189" s="4">
        <v>-2E-3</v>
      </c>
      <c r="AT189" s="4">
        <v>-0.30199999999999999</v>
      </c>
      <c r="AU189" s="4">
        <v>-0.34399999999999997</v>
      </c>
      <c r="AV189" s="4">
        <v>-0.35799999999999998</v>
      </c>
      <c r="AW189" s="4">
        <v>-0.74</v>
      </c>
      <c r="AX189" s="4">
        <v>-1</v>
      </c>
      <c r="AY189" s="4">
        <v>-0.70799999999999996</v>
      </c>
      <c r="AZ189" s="4">
        <v>-0.115</v>
      </c>
      <c r="BA189" s="4">
        <v>-0.26400000000000001</v>
      </c>
      <c r="BB189" s="4">
        <v>-0.751</v>
      </c>
      <c r="BC189" s="4">
        <v>0.20100000000000001</v>
      </c>
      <c r="BD189" s="4">
        <v>-0.28000000000000003</v>
      </c>
      <c r="BE189" s="4">
        <v>0.28599999999999998</v>
      </c>
      <c r="BF189" s="4">
        <v>-0.248</v>
      </c>
      <c r="BG189" s="4">
        <v>-0.49199999999999999</v>
      </c>
      <c r="BH189" s="4">
        <v>-0.64200000000000002</v>
      </c>
      <c r="BI189" s="4">
        <v>0.16600000000000001</v>
      </c>
      <c r="BJ189" s="4">
        <v>0.73699999999999999</v>
      </c>
      <c r="BK189" s="4">
        <v>0.219</v>
      </c>
      <c r="BL189" s="4">
        <v>0.92400000000000004</v>
      </c>
      <c r="BM189" s="4"/>
    </row>
    <row r="190" spans="1:65" x14ac:dyDescent="0.3">
      <c r="A190" s="19" t="s">
        <v>183</v>
      </c>
      <c r="B190" s="53">
        <v>0</v>
      </c>
      <c r="C190" s="53">
        <f t="shared" si="16"/>
        <v>-1.2999999999999999E-2</v>
      </c>
      <c r="D190" s="53">
        <f t="shared" si="17"/>
        <v>0</v>
      </c>
      <c r="E190" s="53">
        <f t="shared" si="18"/>
        <v>1.2999999999999999E-2</v>
      </c>
      <c r="F190" s="15">
        <v>0.52300000000000002</v>
      </c>
      <c r="G190" s="19">
        <v>0.91800000000000004</v>
      </c>
      <c r="H190" s="24" t="s">
        <v>68</v>
      </c>
      <c r="I190" t="str">
        <f>VLOOKUP(A190,Setores!$A$2:$C$215,2,0)</f>
        <v>capital_goods</v>
      </c>
      <c r="J190" t="str">
        <f>VLOOKUP(A190,Setores!$A$2:$C$215,3,0)</f>
        <v>neutral_beta</v>
      </c>
      <c r="K190" s="2">
        <v>0</v>
      </c>
      <c r="L190" s="2">
        <v>-1.2999999999999999E-2</v>
      </c>
      <c r="M190" s="71">
        <v>80</v>
      </c>
      <c r="N190" s="41">
        <f>VLOOKUP(A190,'Mandato Smll'!$A$2:$C$215,2,0)</f>
        <v>0</v>
      </c>
      <c r="O190" s="58">
        <f t="shared" si="19"/>
        <v>0</v>
      </c>
      <c r="P190" s="42">
        <f t="shared" si="20"/>
        <v>0</v>
      </c>
      <c r="Q190" s="41">
        <f>VLOOKUP(A190,'Mandato Smll'!$A$2:$C$215,3,0)</f>
        <v>0</v>
      </c>
      <c r="R190" s="58">
        <f t="shared" si="21"/>
        <v>0</v>
      </c>
      <c r="S190" s="15">
        <v>-0.89600000000000002</v>
      </c>
      <c r="T190" s="15">
        <v>-0.97899999999999998</v>
      </c>
      <c r="U190" s="15">
        <v>-0.93600000000000005</v>
      </c>
      <c r="V190" s="15">
        <v>-0.90300000000000002</v>
      </c>
      <c r="W190" s="15">
        <v>-0.97499999999999998</v>
      </c>
      <c r="X190" s="15">
        <v>-0.82099999999999995</v>
      </c>
      <c r="Y190" s="15">
        <v>-0.73199999999999998</v>
      </c>
      <c r="Z190" s="15">
        <v>-0.92800000000000005</v>
      </c>
      <c r="AA190" s="15">
        <v>-0.17299999999999999</v>
      </c>
      <c r="AB190" s="15">
        <v>-0.17100000000000001</v>
      </c>
      <c r="AC190" s="15">
        <v>0.33200000000000002</v>
      </c>
      <c r="AD190" s="15">
        <v>0.38500000000000001</v>
      </c>
      <c r="AE190" s="15">
        <v>0.14099999999999999</v>
      </c>
      <c r="AF190" s="14">
        <v>-0.71199999999999997</v>
      </c>
      <c r="AG190" s="15">
        <v>-0.71799999999999997</v>
      </c>
      <c r="AH190" s="15">
        <v>-1</v>
      </c>
      <c r="AI190" s="15">
        <v>-0.80300000000000005</v>
      </c>
      <c r="AJ190" s="15">
        <v>-0.87</v>
      </c>
      <c r="AK190" s="9">
        <v>-0.91400000000000003</v>
      </c>
      <c r="AL190" s="4">
        <v>-6.0999999999999999E-2</v>
      </c>
      <c r="AM190" s="4">
        <v>-0.72599999999999998</v>
      </c>
      <c r="AN190" s="4">
        <v>-0.75600000000000001</v>
      </c>
      <c r="AO190" s="4">
        <v>0.34100000000000003</v>
      </c>
      <c r="AP190" s="4">
        <v>-0.56100000000000005</v>
      </c>
      <c r="AQ190" s="4">
        <v>-0.77600000000000002</v>
      </c>
      <c r="AR190" s="4">
        <v>-4.8000000000000001E-2</v>
      </c>
      <c r="AS190" s="4">
        <v>8.7999999999999995E-2</v>
      </c>
      <c r="AT190" s="4">
        <v>-0.83399999999999996</v>
      </c>
      <c r="AU190" s="4">
        <v>0.34399999999999997</v>
      </c>
      <c r="AV190" s="4">
        <v>-0.52100000000000002</v>
      </c>
      <c r="AW190" s="4">
        <v>-0.311</v>
      </c>
      <c r="AX190" s="4">
        <v>0.308</v>
      </c>
      <c r="AY190" s="4">
        <v>0.06</v>
      </c>
      <c r="AZ190" s="4">
        <v>0.93300000000000005</v>
      </c>
      <c r="BA190" s="4">
        <v>0.52600000000000002</v>
      </c>
      <c r="BB190" s="4">
        <v>0.41699999999999998</v>
      </c>
      <c r="BC190" s="4">
        <v>-0.35099999999999998</v>
      </c>
      <c r="BD190" s="4">
        <v>8.0000000000000002E-3</v>
      </c>
      <c r="BE190" s="4">
        <v>0.13500000000000001</v>
      </c>
      <c r="BF190" s="4">
        <v>0.4</v>
      </c>
      <c r="BG190" s="4">
        <v>-0.61599999999999999</v>
      </c>
      <c r="BH190" s="4">
        <v>0.53300000000000003</v>
      </c>
      <c r="BI190" s="4">
        <v>-0.255</v>
      </c>
      <c r="BJ190" s="4">
        <v>0.14000000000000001</v>
      </c>
      <c r="BK190" s="4">
        <v>9.8000000000000004E-2</v>
      </c>
      <c r="BL190" s="4">
        <v>-0.25600000000000001</v>
      </c>
      <c r="BM190" s="4"/>
    </row>
    <row r="191" spans="1:65" x14ac:dyDescent="0.3">
      <c r="A191" s="19" t="s">
        <v>224</v>
      </c>
      <c r="B191" s="53">
        <v>0</v>
      </c>
      <c r="C191" s="53">
        <f t="shared" si="16"/>
        <v>-1E-3</v>
      </c>
      <c r="D191" s="53">
        <f t="shared" si="17"/>
        <v>0</v>
      </c>
      <c r="E191" s="53">
        <f t="shared" si="18"/>
        <v>1E-3</v>
      </c>
      <c r="F191" s="15">
        <v>0.52100000000000002</v>
      </c>
      <c r="G191" s="19">
        <v>0.432</v>
      </c>
      <c r="H191" s="24" t="s">
        <v>71</v>
      </c>
      <c r="I191" t="str">
        <f>VLOOKUP(A191,Setores!$A$2:$C$215,2,0)</f>
        <v>food</v>
      </c>
      <c r="J191" t="str">
        <f>VLOOKUP(A191,Setores!$A$2:$C$215,3,0)</f>
        <v>very_low_beta</v>
      </c>
      <c r="K191" s="2">
        <v>0</v>
      </c>
      <c r="L191" s="2">
        <v>-1E-3</v>
      </c>
      <c r="M191" s="71">
        <v>80</v>
      </c>
      <c r="N191" s="41">
        <f>VLOOKUP(A191,'Mandato Smll'!$A$2:$C$215,2,0)</f>
        <v>0</v>
      </c>
      <c r="O191" s="58">
        <f t="shared" si="19"/>
        <v>0</v>
      </c>
      <c r="P191" s="42">
        <f t="shared" si="20"/>
        <v>0</v>
      </c>
      <c r="Q191" s="41">
        <f>VLOOKUP(A191,'Mandato Smll'!$A$2:$C$215,3,0)</f>
        <v>0</v>
      </c>
      <c r="R191" s="58">
        <f t="shared" si="21"/>
        <v>0</v>
      </c>
      <c r="S191" s="15">
        <v>-0.96199999999999997</v>
      </c>
      <c r="T191" s="15">
        <v>-0.94299999999999995</v>
      </c>
      <c r="U191" s="15">
        <v>-0.90500000000000003</v>
      </c>
      <c r="V191" s="15">
        <v>-0.95499999999999996</v>
      </c>
      <c r="W191" s="15">
        <v>-0.95399999999999996</v>
      </c>
      <c r="X191" s="15">
        <v>-0.86599999999999999</v>
      </c>
      <c r="Y191" s="15">
        <v>-0.82099999999999995</v>
      </c>
      <c r="Z191" s="15">
        <v>-0.95599999999999996</v>
      </c>
      <c r="AA191" s="15">
        <v>0.10299999999999999</v>
      </c>
      <c r="AB191" s="15">
        <v>0.10299999999999999</v>
      </c>
      <c r="AC191" s="15">
        <v>-2.1999999999999999E-2</v>
      </c>
      <c r="AD191" s="15">
        <v>-0.33</v>
      </c>
      <c r="AE191" s="15">
        <v>0.32700000000000001</v>
      </c>
      <c r="AF191" s="14">
        <v>-0.89</v>
      </c>
      <c r="AG191" s="15">
        <v>-0.621</v>
      </c>
      <c r="AH191" s="15">
        <v>-0.96199999999999997</v>
      </c>
      <c r="AI191" s="15">
        <v>-9.7000000000000003E-2</v>
      </c>
      <c r="AJ191" s="15">
        <v>-0.496</v>
      </c>
      <c r="AK191" s="9">
        <v>-0.63400000000000001</v>
      </c>
      <c r="AL191" s="4">
        <v>-0.65800000000000003</v>
      </c>
      <c r="AM191" s="4">
        <v>-0.502</v>
      </c>
      <c r="AN191" s="4">
        <v>-1.7000000000000001E-2</v>
      </c>
      <c r="AO191" s="4">
        <v>-0.25800000000000001</v>
      </c>
      <c r="AP191" s="4">
        <v>-0.68700000000000006</v>
      </c>
      <c r="AQ191" s="4">
        <v>-0.51600000000000001</v>
      </c>
      <c r="AR191" s="4">
        <v>-0.41699999999999998</v>
      </c>
      <c r="AS191" s="4">
        <v>0.69699999999999995</v>
      </c>
      <c r="AT191" s="4">
        <v>0.34200000000000003</v>
      </c>
      <c r="AU191" s="4">
        <v>-0.223</v>
      </c>
      <c r="AV191" s="4">
        <v>-0.72699999999999998</v>
      </c>
      <c r="AW191" s="4">
        <v>-0.78100000000000003</v>
      </c>
      <c r="AX191" s="4">
        <v>0.55600000000000005</v>
      </c>
      <c r="AY191" s="4">
        <v>-0.128</v>
      </c>
      <c r="AZ191" s="4">
        <v>-0.42599999999999999</v>
      </c>
      <c r="BA191" s="4">
        <v>-0.79500000000000004</v>
      </c>
      <c r="BB191" s="4">
        <v>-0.93100000000000005</v>
      </c>
      <c r="BC191" s="4">
        <v>-0.32500000000000001</v>
      </c>
      <c r="BD191" s="4">
        <v>-0.7</v>
      </c>
      <c r="BE191" s="4">
        <v>-0.45</v>
      </c>
      <c r="BF191" s="4">
        <v>-4.0000000000000001E-3</v>
      </c>
      <c r="BG191" s="4">
        <v>0.12</v>
      </c>
      <c r="BH191" s="4">
        <v>0.78600000000000003</v>
      </c>
      <c r="BI191" s="4">
        <v>0.20599999999999999</v>
      </c>
      <c r="BJ191" s="4">
        <v>-0.52700000000000002</v>
      </c>
      <c r="BK191" s="4">
        <v>0.23699999999999999</v>
      </c>
      <c r="BL191" s="4">
        <v>0.83</v>
      </c>
      <c r="BM191" s="4"/>
    </row>
    <row r="192" spans="1:65" x14ac:dyDescent="0.3">
      <c r="A192" s="19" t="s">
        <v>207</v>
      </c>
      <c r="B192" s="53">
        <v>0</v>
      </c>
      <c r="C192" s="53">
        <f t="shared" si="16"/>
        <v>-2E-3</v>
      </c>
      <c r="D192" s="53">
        <f t="shared" si="17"/>
        <v>0</v>
      </c>
      <c r="E192" s="53">
        <f t="shared" si="18"/>
        <v>2E-3</v>
      </c>
      <c r="F192" s="15">
        <v>0.51900000000000002</v>
      </c>
      <c r="G192" s="19">
        <v>0.35699999999999998</v>
      </c>
      <c r="H192" s="24" t="s">
        <v>53</v>
      </c>
      <c r="I192" t="str">
        <f>VLOOKUP(A192,Setores!$A$2:$C$215,2,0)</f>
        <v>healthcare</v>
      </c>
      <c r="J192" t="str">
        <f>VLOOKUP(A192,Setores!$A$2:$C$215,3,0)</f>
        <v>very_high_beta</v>
      </c>
      <c r="K192" s="2">
        <v>0</v>
      </c>
      <c r="L192" s="2">
        <v>-2E-3</v>
      </c>
      <c r="M192" s="71">
        <v>80</v>
      </c>
      <c r="N192" s="41">
        <f>VLOOKUP(A192,'Mandato Smll'!$A$2:$C$215,2,0)</f>
        <v>0</v>
      </c>
      <c r="O192" s="58">
        <f t="shared" si="19"/>
        <v>0</v>
      </c>
      <c r="P192" s="42">
        <f t="shared" si="20"/>
        <v>0</v>
      </c>
      <c r="Q192" s="41">
        <f>VLOOKUP(A192,'Mandato Smll'!$A$2:$C$215,3,0)</f>
        <v>0</v>
      </c>
      <c r="R192" s="58">
        <f t="shared" si="21"/>
        <v>0</v>
      </c>
      <c r="S192" s="15">
        <v>-0.73299999999999998</v>
      </c>
      <c r="T192" s="15">
        <v>-0.34300000000000003</v>
      </c>
      <c r="U192" s="15">
        <v>-0.73199999999999998</v>
      </c>
      <c r="V192" s="15">
        <v>-0.84899999999999998</v>
      </c>
      <c r="W192" s="15">
        <v>-0.73799999999999999</v>
      </c>
      <c r="X192" s="15">
        <v>-0.93500000000000005</v>
      </c>
      <c r="Y192" s="15">
        <v>-0.96</v>
      </c>
      <c r="Z192" s="15">
        <v>-0.86</v>
      </c>
      <c r="AA192" s="15">
        <v>-0.47699999999999998</v>
      </c>
      <c r="AB192" s="15">
        <v>-0.47699999999999998</v>
      </c>
      <c r="AC192" s="15">
        <v>-8.5999999999999993E-2</v>
      </c>
      <c r="AD192" s="15">
        <v>-5.8000000000000003E-2</v>
      </c>
      <c r="AE192" s="15">
        <v>2.9000000000000001E-2</v>
      </c>
      <c r="AF192" s="14">
        <v>-0.79100000000000004</v>
      </c>
      <c r="AG192" s="15">
        <v>-0.60699999999999998</v>
      </c>
      <c r="AH192" s="15">
        <v>-0.24199999999999999</v>
      </c>
      <c r="AI192" s="15">
        <v>-0.498</v>
      </c>
      <c r="AJ192" s="15">
        <v>1.0999999999999999E-2</v>
      </c>
      <c r="AK192" s="9">
        <v>-0.83599999999999997</v>
      </c>
      <c r="AL192" s="4">
        <v>-0.124</v>
      </c>
      <c r="AM192" s="4">
        <v>-1</v>
      </c>
      <c r="AN192" s="4">
        <v>-0.126</v>
      </c>
      <c r="AO192" s="4">
        <v>-0.313</v>
      </c>
      <c r="AP192" s="4">
        <v>0.38400000000000001</v>
      </c>
      <c r="AQ192" s="4">
        <v>-0.433</v>
      </c>
      <c r="AR192" s="4">
        <v>-0.23100000000000001</v>
      </c>
      <c r="AS192" s="4">
        <v>0.71</v>
      </c>
      <c r="AT192" s="4">
        <v>0.28199999999999997</v>
      </c>
      <c r="AU192" s="4">
        <v>-0.27100000000000002</v>
      </c>
      <c r="AV192" s="4">
        <v>-0.57999999999999996</v>
      </c>
      <c r="AW192" s="4">
        <v>-0.59</v>
      </c>
      <c r="AX192" s="4">
        <v>-0.77400000000000002</v>
      </c>
      <c r="AY192" s="4">
        <v>-0.45600000000000002</v>
      </c>
      <c r="AZ192" s="4">
        <v>0.64</v>
      </c>
      <c r="BA192" s="4">
        <v>-0.67</v>
      </c>
      <c r="BB192" s="4">
        <v>0.81499999999999995</v>
      </c>
      <c r="BC192" s="4">
        <v>0.92700000000000005</v>
      </c>
      <c r="BD192" s="4">
        <v>0.50700000000000001</v>
      </c>
      <c r="BE192" s="4">
        <v>1</v>
      </c>
      <c r="BF192" s="4">
        <v>-1</v>
      </c>
      <c r="BG192" s="4">
        <v>-0.67200000000000004</v>
      </c>
      <c r="BH192" s="4">
        <v>-0.84299999999999997</v>
      </c>
      <c r="BI192" s="4">
        <v>1</v>
      </c>
      <c r="BJ192" s="4">
        <v>0.27500000000000002</v>
      </c>
      <c r="BK192" s="4">
        <v>0.61</v>
      </c>
      <c r="BL192" s="4">
        <v>0.11899999999999999</v>
      </c>
      <c r="BM192" s="4"/>
    </row>
    <row r="193" spans="1:65" x14ac:dyDescent="0.3">
      <c r="A193" s="19" t="s">
        <v>221</v>
      </c>
      <c r="B193" s="53">
        <v>0</v>
      </c>
      <c r="C193" s="53">
        <f t="shared" si="16"/>
        <v>-3.1E-2</v>
      </c>
      <c r="D193" s="53">
        <f t="shared" si="17"/>
        <v>0</v>
      </c>
      <c r="E193" s="53">
        <f t="shared" si="18"/>
        <v>3.1E-2</v>
      </c>
      <c r="F193" s="15">
        <v>0.51900000000000002</v>
      </c>
      <c r="G193" s="19">
        <v>0.92200000000000004</v>
      </c>
      <c r="H193" s="24" t="s">
        <v>57</v>
      </c>
      <c r="I193" t="str">
        <f>VLOOKUP(A193,Setores!$A$2:$C$215,2,0)</f>
        <v>consumer_services</v>
      </c>
      <c r="J193" t="str">
        <f>VLOOKUP(A193,Setores!$A$2:$C$215,3,0)</f>
        <v>neutral_beta</v>
      </c>
      <c r="K193" s="2">
        <v>0</v>
      </c>
      <c r="L193" s="2">
        <v>-3.1E-2</v>
      </c>
      <c r="M193" s="71">
        <v>44</v>
      </c>
      <c r="N193" s="41">
        <f>VLOOKUP(A193,'Mandato Smll'!$A$2:$C$215,2,0)</f>
        <v>0</v>
      </c>
      <c r="O193" s="58">
        <f t="shared" si="19"/>
        <v>0</v>
      </c>
      <c r="P193" s="42">
        <f t="shared" si="20"/>
        <v>0</v>
      </c>
      <c r="Q193" s="41">
        <f>VLOOKUP(A193,'Mandato Smll'!$A$2:$C$215,3,0)</f>
        <v>0</v>
      </c>
      <c r="R193" s="58">
        <f t="shared" si="21"/>
        <v>0</v>
      </c>
      <c r="S193" s="15">
        <v>-0.83499999999999996</v>
      </c>
      <c r="T193" s="15">
        <v>-0.92900000000000005</v>
      </c>
      <c r="U193" s="15">
        <v>-0.91</v>
      </c>
      <c r="V193" s="15">
        <v>-0.72299999999999998</v>
      </c>
      <c r="W193" s="15">
        <v>-0.88900000000000001</v>
      </c>
      <c r="X193" s="15">
        <v>-0.85399999999999998</v>
      </c>
      <c r="Y193" s="15">
        <v>-0.81399999999999995</v>
      </c>
      <c r="Z193" s="15">
        <v>-0.875</v>
      </c>
      <c r="AA193" s="15">
        <v>-0.33600000000000002</v>
      </c>
      <c r="AB193" s="15">
        <v>-0.33900000000000002</v>
      </c>
      <c r="AC193" s="15">
        <v>0.36899999999999999</v>
      </c>
      <c r="AD193" s="15">
        <v>0.36299999999999999</v>
      </c>
      <c r="AE193" s="15">
        <v>-0.04</v>
      </c>
      <c r="AF193" s="14">
        <v>-0.28000000000000003</v>
      </c>
      <c r="AG193" s="15">
        <v>3.4000000000000002E-2</v>
      </c>
      <c r="AH193" s="15">
        <v>-0.93100000000000005</v>
      </c>
      <c r="AI193" s="15">
        <v>-0.83099999999999996</v>
      </c>
      <c r="AJ193" s="15">
        <v>-0.83899999999999997</v>
      </c>
      <c r="AK193" s="9">
        <v>-0.47199999999999998</v>
      </c>
      <c r="AL193" s="4">
        <v>-0.27500000000000002</v>
      </c>
      <c r="AM193" s="4">
        <v>-0.48099999999999998</v>
      </c>
      <c r="AN193" s="4">
        <v>-0.67</v>
      </c>
      <c r="AO193" s="4">
        <v>0.46600000000000003</v>
      </c>
      <c r="AP193" s="4">
        <v>-0.64300000000000002</v>
      </c>
      <c r="AQ193" s="4">
        <v>-0.159</v>
      </c>
      <c r="AR193" s="4">
        <v>0.83699999999999997</v>
      </c>
      <c r="AS193" s="4">
        <v>0.39200000000000002</v>
      </c>
      <c r="AT193" s="4">
        <v>-0.17100000000000001</v>
      </c>
      <c r="AU193" s="4">
        <v>2.5999999999999999E-2</v>
      </c>
      <c r="AV193" s="4">
        <v>4.9000000000000002E-2</v>
      </c>
      <c r="AW193" s="4">
        <v>0.38700000000000001</v>
      </c>
      <c r="AX193" s="4">
        <v>6.0000000000000001E-3</v>
      </c>
      <c r="AY193" s="4">
        <v>7.3999999999999996E-2</v>
      </c>
      <c r="AZ193" s="4">
        <v>0.8</v>
      </c>
      <c r="BA193" s="4">
        <v>-9.5000000000000001E-2</v>
      </c>
      <c r="BB193" s="4">
        <v>-8.0000000000000002E-3</v>
      </c>
      <c r="BC193" s="4">
        <v>-0.49</v>
      </c>
      <c r="BD193" s="4">
        <v>-0.39400000000000002</v>
      </c>
      <c r="BE193" s="4">
        <v>-7.8E-2</v>
      </c>
      <c r="BF193" s="4">
        <v>-0.80800000000000005</v>
      </c>
      <c r="BG193" s="4">
        <v>-1</v>
      </c>
      <c r="BH193" s="4">
        <v>-0.76200000000000001</v>
      </c>
      <c r="BI193" s="4">
        <v>-1.4E-2</v>
      </c>
      <c r="BJ193" s="4">
        <v>-0.01</v>
      </c>
      <c r="BK193" s="4">
        <v>-0.59699999999999998</v>
      </c>
      <c r="BL193" s="4">
        <v>-0.112</v>
      </c>
      <c r="BM193" s="4"/>
    </row>
    <row r="194" spans="1:65" ht="15" thickBot="1" x14ac:dyDescent="0.35">
      <c r="A194" s="19" t="s">
        <v>235</v>
      </c>
      <c r="B194" s="53">
        <v>0</v>
      </c>
      <c r="C194" s="53">
        <f t="shared" si="16"/>
        <v>-8.0000000000000002E-3</v>
      </c>
      <c r="D194" s="53">
        <f t="shared" si="17"/>
        <v>0</v>
      </c>
      <c r="E194" s="53">
        <f t="shared" si="18"/>
        <v>8.0000000000000002E-3</v>
      </c>
      <c r="F194" s="15">
        <v>0.51800000000000002</v>
      </c>
      <c r="G194" s="19">
        <v>0.53</v>
      </c>
      <c r="H194" s="24" t="s">
        <v>57</v>
      </c>
      <c r="I194" t="str">
        <f>VLOOKUP(A194,Setores!$A$2:$C$215,2,0)</f>
        <v>apparel</v>
      </c>
      <c r="J194" t="str">
        <f>VLOOKUP(A194,Setores!$A$2:$C$215,3,0)</f>
        <v>neutral_beta</v>
      </c>
      <c r="K194" s="2">
        <v>0</v>
      </c>
      <c r="L194" s="2">
        <v>-8.0000000000000002E-3</v>
      </c>
      <c r="M194" s="71">
        <v>72</v>
      </c>
      <c r="N194" s="41">
        <f>VLOOKUP(A194,'Mandato Smll'!$A$2:$C$215,2,0)</f>
        <v>0</v>
      </c>
      <c r="O194" s="58">
        <f t="shared" si="19"/>
        <v>0</v>
      </c>
      <c r="P194" s="42">
        <f t="shared" si="20"/>
        <v>0</v>
      </c>
      <c r="Q194" s="41">
        <f>VLOOKUP(A194,'Mandato Smll'!$A$2:$C$215,3,0)</f>
        <v>0</v>
      </c>
      <c r="R194" s="58">
        <f t="shared" si="21"/>
        <v>0</v>
      </c>
      <c r="S194" s="15">
        <v>-0.82799999999999996</v>
      </c>
      <c r="T194" s="15">
        <v>-0.92100000000000004</v>
      </c>
      <c r="U194" s="15">
        <v>-0.81899999999999995</v>
      </c>
      <c r="V194" s="15">
        <v>-0.81399999999999995</v>
      </c>
      <c r="W194" s="15">
        <v>-0.89400000000000002</v>
      </c>
      <c r="X194" s="15">
        <v>-0.80600000000000005</v>
      </c>
      <c r="Y194" s="15">
        <v>-0.748</v>
      </c>
      <c r="Z194" s="15">
        <v>-0.89</v>
      </c>
      <c r="AA194" s="15">
        <v>-0.37</v>
      </c>
      <c r="AB194" s="15">
        <v>-0.36699999999999999</v>
      </c>
      <c r="AC194" s="15">
        <v>0.437</v>
      </c>
      <c r="AD194" s="15">
        <v>0.35499999999999998</v>
      </c>
      <c r="AE194" s="15">
        <v>-0.122</v>
      </c>
      <c r="AF194" s="14">
        <v>-0.20300000000000001</v>
      </c>
      <c r="AG194" s="15">
        <v>-0.627</v>
      </c>
      <c r="AH194" s="15">
        <v>-0.99</v>
      </c>
      <c r="AI194" s="15">
        <v>-0.66300000000000003</v>
      </c>
      <c r="AJ194" s="15">
        <v>-0.72799999999999998</v>
      </c>
      <c r="AK194" s="9">
        <v>0.501</v>
      </c>
      <c r="AL194" s="4">
        <v>-0.252</v>
      </c>
      <c r="AM194" s="4">
        <v>-0.67900000000000005</v>
      </c>
      <c r="AN194" s="4">
        <v>-0.73299999999999998</v>
      </c>
      <c r="AO194" s="4">
        <v>0.52100000000000002</v>
      </c>
      <c r="AP194" s="4">
        <v>-0.70199999999999996</v>
      </c>
      <c r="AQ194" s="4">
        <v>-0.42799999999999999</v>
      </c>
      <c r="AR194" s="4">
        <v>4.8000000000000001E-2</v>
      </c>
      <c r="AS194" s="4">
        <v>-4.2000000000000003E-2</v>
      </c>
      <c r="AT194" s="4">
        <v>-0.71099999999999997</v>
      </c>
      <c r="AU194" s="4">
        <v>0.35899999999999999</v>
      </c>
      <c r="AV194" s="4">
        <v>3.5999999999999997E-2</v>
      </c>
      <c r="AW194" s="4">
        <v>0.35399999999999998</v>
      </c>
      <c r="AX194" s="4">
        <v>-5.6000000000000001E-2</v>
      </c>
      <c r="AY194" s="4">
        <v>0.153</v>
      </c>
      <c r="AZ194" s="4">
        <v>0.55000000000000004</v>
      </c>
      <c r="BA194" s="4">
        <v>1</v>
      </c>
      <c r="BB194" s="4">
        <v>-9.8000000000000004E-2</v>
      </c>
      <c r="BC194" s="4">
        <v>-0.45800000000000002</v>
      </c>
      <c r="BD194" s="4">
        <v>-0.36199999999999999</v>
      </c>
      <c r="BE194" s="4">
        <v>0.15</v>
      </c>
      <c r="BF194" s="4">
        <v>5.2999999999999999E-2</v>
      </c>
      <c r="BG194" s="4">
        <v>0.747</v>
      </c>
      <c r="BH194" s="4">
        <v>-0.124</v>
      </c>
      <c r="BI194" s="4">
        <v>-0.182</v>
      </c>
      <c r="BJ194" s="4">
        <v>-0.104</v>
      </c>
      <c r="BK194" s="4">
        <v>-0.73099999999999998</v>
      </c>
      <c r="BL194" s="4">
        <v>-2E-3</v>
      </c>
      <c r="BM194" s="4"/>
    </row>
    <row r="195" spans="1:65" ht="15" thickBot="1" x14ac:dyDescent="0.35">
      <c r="A195" s="19" t="s">
        <v>219</v>
      </c>
      <c r="B195" s="53">
        <v>0</v>
      </c>
      <c r="C195" s="53">
        <f t="shared" si="16"/>
        <v>0</v>
      </c>
      <c r="D195" s="53">
        <f t="shared" si="17"/>
        <v>0</v>
      </c>
      <c r="E195" s="53">
        <f t="shared" si="18"/>
        <v>0</v>
      </c>
      <c r="F195" s="15">
        <v>0.51800000000000002</v>
      </c>
      <c r="G195" s="19">
        <v>0.41799999999999998</v>
      </c>
      <c r="H195" s="24" t="s">
        <v>57</v>
      </c>
      <c r="I195" t="str">
        <f>VLOOKUP(A195,Setores!$A$2:$C$215,2,0)</f>
        <v>banks</v>
      </c>
      <c r="J195" t="str">
        <f>VLOOKUP(A195,Setores!$A$2:$C$215,3,0)</f>
        <v>neutral_beta</v>
      </c>
      <c r="K195" s="2">
        <v>0</v>
      </c>
      <c r="L195" s="2">
        <v>0</v>
      </c>
      <c r="M195" s="71">
        <v>80</v>
      </c>
      <c r="N195" s="41">
        <f>VLOOKUP(A195,'Mandato Smll'!$A$2:$C$215,2,0)</f>
        <v>0</v>
      </c>
      <c r="O195" s="58">
        <f t="shared" si="19"/>
        <v>0</v>
      </c>
      <c r="P195" s="42">
        <f t="shared" si="20"/>
        <v>0</v>
      </c>
      <c r="Q195" s="41">
        <f>VLOOKUP(A195,'Mandato Smll'!$A$2:$C$215,3,0)</f>
        <v>0</v>
      </c>
      <c r="R195" s="58">
        <f t="shared" si="21"/>
        <v>0</v>
      </c>
      <c r="S195" s="15">
        <v>-0.85</v>
      </c>
      <c r="T195" s="15">
        <v>-0.95799999999999996</v>
      </c>
      <c r="U195" s="15">
        <v>-0.873</v>
      </c>
      <c r="V195" s="15">
        <v>-0.80300000000000005</v>
      </c>
      <c r="W195" s="15">
        <v>-0.91200000000000003</v>
      </c>
      <c r="X195" s="15">
        <v>-0.84099999999999997</v>
      </c>
      <c r="Y195" s="15">
        <v>-0.79</v>
      </c>
      <c r="Z195" s="15">
        <v>-0.93400000000000005</v>
      </c>
      <c r="AA195" s="15">
        <v>-0.191</v>
      </c>
      <c r="AB195" s="15">
        <v>-0.193</v>
      </c>
      <c r="AC195" s="15">
        <v>0.379</v>
      </c>
      <c r="AD195" s="15">
        <v>0.28000000000000003</v>
      </c>
      <c r="AE195" s="15">
        <v>-6.0999999999999999E-2</v>
      </c>
      <c r="AF195" s="14">
        <v>-0.40500000000000003</v>
      </c>
      <c r="AG195" s="15">
        <v>0.375</v>
      </c>
      <c r="AH195" s="15">
        <v>-0.96099999999999997</v>
      </c>
      <c r="AI195" s="15">
        <v>-0.81899999999999995</v>
      </c>
      <c r="AJ195" s="15">
        <v>-0.97199999999999998</v>
      </c>
      <c r="AK195" s="9">
        <v>-0.308</v>
      </c>
      <c r="AL195" s="4">
        <v>-0.20899999999999999</v>
      </c>
      <c r="AM195" s="4">
        <v>-0.84299999999999997</v>
      </c>
      <c r="AN195" s="4">
        <v>-0.35499999999999998</v>
      </c>
      <c r="AO195" s="4">
        <v>0.56699999999999995</v>
      </c>
      <c r="AP195" s="4">
        <v>-0.74299999999999999</v>
      </c>
      <c r="AQ195" s="4">
        <v>-0.55000000000000004</v>
      </c>
      <c r="AR195" s="4">
        <v>0.63500000000000001</v>
      </c>
      <c r="AS195" s="4">
        <v>0.34</v>
      </c>
      <c r="AT195" s="4">
        <v>-0.38800000000000001</v>
      </c>
      <c r="AU195" s="4">
        <v>-1.0999999999999999E-2</v>
      </c>
      <c r="AV195" s="4">
        <v>0.13400000000000001</v>
      </c>
      <c r="AW195" s="89">
        <v>2E-3</v>
      </c>
      <c r="AX195" s="4">
        <v>-0.30199999999999999</v>
      </c>
      <c r="AY195" s="4">
        <v>-0.29199999999999998</v>
      </c>
      <c r="AZ195" s="4">
        <v>0.871</v>
      </c>
      <c r="BA195" s="4">
        <v>0.44500000000000001</v>
      </c>
      <c r="BB195" s="4">
        <v>0.253</v>
      </c>
      <c r="BC195" s="4">
        <v>-0.67700000000000005</v>
      </c>
      <c r="BD195" s="4">
        <v>-0.39800000000000002</v>
      </c>
      <c r="BE195" s="4">
        <v>3.2000000000000001E-2</v>
      </c>
      <c r="BF195" s="4">
        <v>1</v>
      </c>
      <c r="BG195" s="4">
        <v>1</v>
      </c>
      <c r="BH195" s="4">
        <v>-0.217</v>
      </c>
      <c r="BI195" s="4">
        <v>-0.56799999999999995</v>
      </c>
      <c r="BJ195" s="4">
        <v>-0.13</v>
      </c>
      <c r="BK195" s="4">
        <v>-5.8000000000000003E-2</v>
      </c>
      <c r="BL195" s="4">
        <v>0.16500000000000001</v>
      </c>
      <c r="BM195" s="4"/>
    </row>
    <row r="196" spans="1:65" x14ac:dyDescent="0.3">
      <c r="A196" s="19" t="s">
        <v>248</v>
      </c>
      <c r="B196" s="53">
        <v>0</v>
      </c>
      <c r="C196" s="53">
        <f t="shared" si="16"/>
        <v>-7.0000000000000001E-3</v>
      </c>
      <c r="D196" s="53">
        <f t="shared" si="17"/>
        <v>0</v>
      </c>
      <c r="E196" s="53">
        <f t="shared" si="18"/>
        <v>7.0000000000000001E-3</v>
      </c>
      <c r="F196" s="15">
        <v>0.51600000000000001</v>
      </c>
      <c r="G196" s="19">
        <v>0.436</v>
      </c>
      <c r="H196" s="24" t="s">
        <v>57</v>
      </c>
      <c r="I196" t="str">
        <f>VLOOKUP(A196,Setores!$A$2:$C$215,2,0)</f>
        <v>homebuilders</v>
      </c>
      <c r="J196" t="str">
        <f>VLOOKUP(A196,Setores!$A$2:$C$215,3,0)</f>
        <v>high_beta</v>
      </c>
      <c r="K196" s="2">
        <v>0</v>
      </c>
      <c r="L196" s="2">
        <v>-7.0000000000000001E-3</v>
      </c>
      <c r="M196" s="71">
        <v>75</v>
      </c>
      <c r="N196" s="41">
        <f>VLOOKUP(A196,'Mandato Smll'!$A$2:$C$215,2,0)</f>
        <v>0</v>
      </c>
      <c r="O196" s="58">
        <f t="shared" si="19"/>
        <v>0</v>
      </c>
      <c r="P196" s="42">
        <f t="shared" si="20"/>
        <v>0</v>
      </c>
      <c r="Q196" s="41">
        <f>VLOOKUP(A196,'Mandato Smll'!$A$2:$C$215,3,0)</f>
        <v>0</v>
      </c>
      <c r="R196" s="58">
        <f t="shared" si="21"/>
        <v>0</v>
      </c>
      <c r="S196" s="15">
        <v>-0.77600000000000002</v>
      </c>
      <c r="T196" s="15">
        <v>-0.84299999999999997</v>
      </c>
      <c r="U196" s="15">
        <v>-0.82199999999999995</v>
      </c>
      <c r="V196" s="15">
        <v>-0.81799999999999995</v>
      </c>
      <c r="W196" s="15">
        <v>-0.86899999999999999</v>
      </c>
      <c r="X196" s="15">
        <v>-0.83799999999999997</v>
      </c>
      <c r="Y196" s="15">
        <v>-0.84599999999999997</v>
      </c>
      <c r="Z196" s="15">
        <v>-0.93600000000000005</v>
      </c>
      <c r="AA196" s="15">
        <v>-0.45200000000000001</v>
      </c>
      <c r="AB196" s="15">
        <v>-0.45400000000000001</v>
      </c>
      <c r="AC196" s="15">
        <v>0.32900000000000001</v>
      </c>
      <c r="AD196" s="15">
        <v>0.39600000000000002</v>
      </c>
      <c r="AE196" s="15">
        <v>-7.9000000000000001E-2</v>
      </c>
      <c r="AF196" s="14">
        <v>-0.19700000000000001</v>
      </c>
      <c r="AG196" s="15">
        <v>0.20899999999999999</v>
      </c>
      <c r="AH196" s="15">
        <v>-0.83299999999999996</v>
      </c>
      <c r="AI196" s="15">
        <v>-0.28100000000000003</v>
      </c>
      <c r="AJ196" s="15">
        <v>-0.51500000000000001</v>
      </c>
      <c r="AK196" s="9">
        <v>-0.74099999999999999</v>
      </c>
      <c r="AL196" s="4">
        <v>-1.2999999999999999E-2</v>
      </c>
      <c r="AM196" s="4">
        <v>-1</v>
      </c>
      <c r="AN196" s="4">
        <v>-5.5E-2</v>
      </c>
      <c r="AO196" s="4">
        <v>-0.13700000000000001</v>
      </c>
      <c r="AP196" s="4">
        <v>-0.59299999999999997</v>
      </c>
      <c r="AQ196" s="4">
        <v>-0.91100000000000003</v>
      </c>
      <c r="AR196" s="4">
        <v>-0.05</v>
      </c>
      <c r="AS196" s="4">
        <v>1</v>
      </c>
      <c r="AT196" s="4">
        <v>0.24199999999999999</v>
      </c>
      <c r="AU196" s="4">
        <v>-0.29599999999999999</v>
      </c>
      <c r="AV196" s="4">
        <v>-0.56499999999999995</v>
      </c>
      <c r="AW196" s="4">
        <v>-9.2999999999999999E-2</v>
      </c>
      <c r="AX196" s="4">
        <v>-0.435</v>
      </c>
      <c r="AY196" s="4">
        <v>-0.82899999999999996</v>
      </c>
      <c r="AZ196" s="4">
        <v>0.52400000000000002</v>
      </c>
      <c r="BA196" s="4">
        <v>0.63900000000000001</v>
      </c>
      <c r="BB196" s="4">
        <v>0.191</v>
      </c>
      <c r="BC196" s="4">
        <v>0.28100000000000003</v>
      </c>
      <c r="BD196" s="4">
        <v>0.1</v>
      </c>
      <c r="BE196" s="4">
        <v>0.46300000000000002</v>
      </c>
      <c r="BF196" s="4">
        <v>0.47</v>
      </c>
      <c r="BG196" s="4">
        <v>-0.54300000000000004</v>
      </c>
      <c r="BH196" s="4">
        <v>0.22500000000000001</v>
      </c>
      <c r="BI196" s="4">
        <v>0.19600000000000001</v>
      </c>
      <c r="BJ196" s="4">
        <v>0.58499999999999996</v>
      </c>
      <c r="BK196" s="4">
        <v>-0.70499999999999996</v>
      </c>
      <c r="BL196" s="4">
        <v>3.2000000000000001E-2</v>
      </c>
      <c r="BM196" s="4"/>
    </row>
    <row r="197" spans="1:65" x14ac:dyDescent="0.3">
      <c r="A197" s="19" t="s">
        <v>202</v>
      </c>
      <c r="B197" s="53">
        <v>0</v>
      </c>
      <c r="C197" s="53">
        <f t="shared" si="16"/>
        <v>-5.0000000000000001E-3</v>
      </c>
      <c r="D197" s="53">
        <f t="shared" si="17"/>
        <v>0</v>
      </c>
      <c r="E197" s="53">
        <f t="shared" si="18"/>
        <v>5.0000000000000001E-3</v>
      </c>
      <c r="F197" s="15">
        <v>0.51500000000000001</v>
      </c>
      <c r="G197" s="19">
        <v>0.47099999999999997</v>
      </c>
      <c r="H197" s="24" t="s">
        <v>57</v>
      </c>
      <c r="I197" t="str">
        <f>VLOOKUP(A197,Setores!$A$2:$C$215,2,0)</f>
        <v>transportation</v>
      </c>
      <c r="J197" t="str">
        <f>VLOOKUP(A197,Setores!$A$2:$C$215,3,0)</f>
        <v>neutral_beta</v>
      </c>
      <c r="K197" s="2">
        <v>0</v>
      </c>
      <c r="L197" s="2">
        <v>-5.0000000000000001E-3</v>
      </c>
      <c r="M197" s="71">
        <v>80</v>
      </c>
      <c r="N197" s="41">
        <f>VLOOKUP(A197,'Mandato Smll'!$A$2:$C$215,2,0)</f>
        <v>0</v>
      </c>
      <c r="O197" s="58">
        <f t="shared" si="19"/>
        <v>0</v>
      </c>
      <c r="P197" s="42">
        <f t="shared" si="20"/>
        <v>0</v>
      </c>
      <c r="Q197" s="41">
        <f>VLOOKUP(A197,'Mandato Smll'!$A$2:$C$215,3,0)</f>
        <v>0</v>
      </c>
      <c r="R197" s="58">
        <f t="shared" si="21"/>
        <v>0</v>
      </c>
      <c r="S197" s="15">
        <v>-0.876</v>
      </c>
      <c r="T197" s="15">
        <v>-0.94299999999999995</v>
      </c>
      <c r="U197" s="15">
        <v>-0.89200000000000002</v>
      </c>
      <c r="V197" s="15">
        <v>-0.89</v>
      </c>
      <c r="W197" s="15">
        <v>-0.94499999999999995</v>
      </c>
      <c r="X197" s="15">
        <v>-0.85099999999999998</v>
      </c>
      <c r="Y197" s="15">
        <v>-0.78400000000000003</v>
      </c>
      <c r="Z197" s="15">
        <v>-0.93400000000000005</v>
      </c>
      <c r="AA197" s="15">
        <v>-0.30199999999999999</v>
      </c>
      <c r="AB197" s="15">
        <v>-0.30499999999999999</v>
      </c>
      <c r="AC197" s="15">
        <v>0.30299999999999999</v>
      </c>
      <c r="AD197" s="15">
        <v>0.13600000000000001</v>
      </c>
      <c r="AE197" s="15">
        <v>1.7000000000000001E-2</v>
      </c>
      <c r="AF197" s="14">
        <v>-0.51400000000000001</v>
      </c>
      <c r="AG197" s="15">
        <v>-0.754</v>
      </c>
      <c r="AH197" s="15">
        <v>-0.91300000000000003</v>
      </c>
      <c r="AI197" s="15">
        <v>-0.68500000000000005</v>
      </c>
      <c r="AJ197" s="15">
        <v>-0.42099999999999999</v>
      </c>
      <c r="AK197" s="9">
        <v>-0.83499999999999996</v>
      </c>
      <c r="AL197" s="4">
        <v>-0.251</v>
      </c>
      <c r="AM197" s="4">
        <v>-1</v>
      </c>
      <c r="AN197" s="4">
        <v>-0.78800000000000003</v>
      </c>
      <c r="AO197" s="4">
        <v>0.107</v>
      </c>
      <c r="AP197" s="4">
        <v>-0.34899999999999998</v>
      </c>
      <c r="AQ197" s="4">
        <v>-0.107</v>
      </c>
      <c r="AR197" s="4">
        <v>-0.28399999999999997</v>
      </c>
      <c r="AS197" s="4">
        <v>-0.49</v>
      </c>
      <c r="AT197" s="4">
        <v>-0.25800000000000001</v>
      </c>
      <c r="AU197" s="4">
        <v>-0.19700000000000001</v>
      </c>
      <c r="AV197" s="4">
        <v>-0.41399999999999998</v>
      </c>
      <c r="AW197" s="4">
        <v>7.6999999999999999E-2</v>
      </c>
      <c r="AX197" s="4">
        <v>0.17499999999999999</v>
      </c>
      <c r="AY197" s="4">
        <v>-0.26900000000000002</v>
      </c>
      <c r="AZ197" s="4">
        <v>-0.78300000000000003</v>
      </c>
      <c r="BA197" s="4">
        <v>-0.27600000000000002</v>
      </c>
      <c r="BB197" s="4">
        <v>0.65800000000000003</v>
      </c>
      <c r="BC197" s="4">
        <v>-0.154</v>
      </c>
      <c r="BD197" s="4">
        <v>-0.23300000000000001</v>
      </c>
      <c r="BE197" s="4">
        <v>0.48699999999999999</v>
      </c>
      <c r="BF197" s="4">
        <v>0.19500000000000001</v>
      </c>
      <c r="BG197" s="4">
        <v>0.39900000000000002</v>
      </c>
      <c r="BH197" s="4">
        <v>0.45200000000000001</v>
      </c>
      <c r="BI197" s="4">
        <v>4.0000000000000001E-3</v>
      </c>
      <c r="BJ197" s="4">
        <v>0.153</v>
      </c>
      <c r="BK197" s="4">
        <v>0.58499999999999996</v>
      </c>
      <c r="BL197" s="4">
        <v>0.20599999999999999</v>
      </c>
      <c r="BM197" s="4"/>
    </row>
    <row r="198" spans="1:65" x14ac:dyDescent="0.3">
      <c r="A198" s="19" t="s">
        <v>195</v>
      </c>
      <c r="B198" s="53">
        <v>0</v>
      </c>
      <c r="C198" s="53">
        <f t="shared" si="16"/>
        <v>0</v>
      </c>
      <c r="D198" s="53">
        <f t="shared" si="17"/>
        <v>0</v>
      </c>
      <c r="E198" s="53">
        <f t="shared" si="18"/>
        <v>0</v>
      </c>
      <c r="F198" s="15">
        <v>0.51400000000000001</v>
      </c>
      <c r="G198" s="19">
        <v>0.44500000000000001</v>
      </c>
      <c r="H198" s="24" t="s">
        <v>57</v>
      </c>
      <c r="I198" t="str">
        <f>VLOOKUP(A198,Setores!$A$2:$C$215,2,0)</f>
        <v>banks</v>
      </c>
      <c r="J198" t="str">
        <f>VLOOKUP(A198,Setores!$A$2:$C$215,3,0)</f>
        <v>very_low_beta</v>
      </c>
      <c r="K198" s="2">
        <v>0</v>
      </c>
      <c r="L198" s="2">
        <v>0</v>
      </c>
      <c r="M198" s="71">
        <v>80</v>
      </c>
      <c r="N198" s="41">
        <f>VLOOKUP(A198,'Mandato Smll'!$A$2:$C$215,2,0)</f>
        <v>0</v>
      </c>
      <c r="O198" s="58">
        <f t="shared" si="19"/>
        <v>0</v>
      </c>
      <c r="P198" s="42">
        <f t="shared" si="20"/>
        <v>0</v>
      </c>
      <c r="Q198" s="41">
        <f>VLOOKUP(A198,'Mandato Smll'!$A$2:$C$215,3,0)</f>
        <v>0</v>
      </c>
      <c r="R198" s="58">
        <f t="shared" si="21"/>
        <v>0</v>
      </c>
      <c r="S198" s="15">
        <v>-0.94799999999999995</v>
      </c>
      <c r="T198" s="15">
        <v>-0.99099999999999999</v>
      </c>
      <c r="U198" s="15">
        <v>-0.997</v>
      </c>
      <c r="V198" s="15">
        <v>-0.93799999999999994</v>
      </c>
      <c r="W198" s="15">
        <v>-1</v>
      </c>
      <c r="X198" s="15">
        <v>-0.85199999999999998</v>
      </c>
      <c r="Y198" s="15">
        <v>-0.69</v>
      </c>
      <c r="Z198" s="15">
        <v>-0.97799999999999998</v>
      </c>
      <c r="AA198" s="15">
        <v>-0.115</v>
      </c>
      <c r="AB198" s="15">
        <v>-0.11</v>
      </c>
      <c r="AC198" s="15">
        <v>4.0000000000000001E-3</v>
      </c>
      <c r="AD198" s="15">
        <v>0.19400000000000001</v>
      </c>
      <c r="AE198" s="15">
        <v>9.6000000000000002E-2</v>
      </c>
      <c r="AF198" s="14">
        <v>-1</v>
      </c>
      <c r="AG198" s="15">
        <v>-0.71799999999999997</v>
      </c>
      <c r="AH198" s="15">
        <v>-1</v>
      </c>
      <c r="AI198" s="15">
        <v>-1</v>
      </c>
      <c r="AJ198" s="15">
        <v>-1</v>
      </c>
      <c r="AK198" s="9">
        <v>-0.85699999999999998</v>
      </c>
      <c r="AL198" s="4">
        <v>-0.38</v>
      </c>
      <c r="AM198" s="4">
        <v>-1</v>
      </c>
      <c r="AN198" s="4">
        <v>-0.80100000000000005</v>
      </c>
      <c r="AO198" s="4">
        <v>0.311</v>
      </c>
      <c r="AP198" s="4">
        <v>-0.66500000000000004</v>
      </c>
      <c r="AQ198" s="4">
        <v>-0.84699999999999998</v>
      </c>
      <c r="AR198" s="4">
        <v>0.27900000000000003</v>
      </c>
      <c r="AS198" s="4">
        <v>0.30599999999999999</v>
      </c>
      <c r="AT198" s="4">
        <v>0.28699999999999998</v>
      </c>
      <c r="AU198" s="4">
        <v>0.152</v>
      </c>
      <c r="AV198" s="4">
        <v>2.5000000000000001E-2</v>
      </c>
      <c r="AW198" s="4">
        <v>-0.623</v>
      </c>
      <c r="AX198" s="4">
        <v>0</v>
      </c>
      <c r="AY198" s="4">
        <v>5.8999999999999997E-2</v>
      </c>
      <c r="AZ198" s="4">
        <v>-1.0999999999999999E-2</v>
      </c>
      <c r="BA198" s="4">
        <v>2.1999999999999999E-2</v>
      </c>
      <c r="BB198" s="4">
        <v>0.55300000000000005</v>
      </c>
      <c r="BC198" s="4">
        <v>-0.50900000000000001</v>
      </c>
      <c r="BD198" s="4">
        <v>-0.58699999999999997</v>
      </c>
      <c r="BE198" s="4">
        <v>-0.25600000000000001</v>
      </c>
      <c r="BF198" s="4">
        <v>0.26</v>
      </c>
      <c r="BG198" s="4">
        <v>0.435</v>
      </c>
      <c r="BH198" s="4">
        <v>0.90300000000000002</v>
      </c>
      <c r="BI198" s="4">
        <v>-0.35899999999999999</v>
      </c>
      <c r="BJ198" s="4">
        <v>-0.61099999999999999</v>
      </c>
      <c r="BK198" s="4">
        <v>0.21</v>
      </c>
      <c r="BL198" s="4">
        <v>-0.38600000000000001</v>
      </c>
      <c r="BM198" s="4"/>
    </row>
    <row r="199" spans="1:65" x14ac:dyDescent="0.3">
      <c r="A199" s="19" t="s">
        <v>254</v>
      </c>
      <c r="B199" s="53">
        <v>0</v>
      </c>
      <c r="C199" s="53">
        <f t="shared" si="16"/>
        <v>-3.1E-2</v>
      </c>
      <c r="D199" s="53">
        <f t="shared" si="17"/>
        <v>0</v>
      </c>
      <c r="E199" s="53">
        <f t="shared" si="18"/>
        <v>3.1E-2</v>
      </c>
      <c r="F199" s="15">
        <v>0.51200000000000001</v>
      </c>
      <c r="G199" s="19">
        <v>0.60799999999999998</v>
      </c>
      <c r="H199" s="24" t="s">
        <v>57</v>
      </c>
      <c r="I199" t="str">
        <f>VLOOKUP(A199,Setores!$A$2:$C$215,2,0)</f>
        <v>consumer_services</v>
      </c>
      <c r="J199" t="str">
        <f>VLOOKUP(A199,Setores!$A$2:$C$215,3,0)</f>
        <v>very_high_beta</v>
      </c>
      <c r="K199" s="2">
        <v>0</v>
      </c>
      <c r="L199" s="2">
        <v>-3.1E-2</v>
      </c>
      <c r="M199" s="71">
        <v>45</v>
      </c>
      <c r="N199" s="41">
        <f>VLOOKUP(A199,'Mandato Smll'!$A$2:$C$215,2,0)</f>
        <v>0</v>
      </c>
      <c r="O199" s="58">
        <f t="shared" si="19"/>
        <v>0</v>
      </c>
      <c r="P199" s="42">
        <f t="shared" si="20"/>
        <v>0</v>
      </c>
      <c r="Q199" s="41">
        <f>VLOOKUP(A199,'Mandato Smll'!$A$2:$C$215,3,0)</f>
        <v>0</v>
      </c>
      <c r="R199" s="58">
        <f t="shared" si="21"/>
        <v>0</v>
      </c>
      <c r="S199" s="15">
        <v>-0.92700000000000005</v>
      </c>
      <c r="T199" s="15">
        <v>-0.91300000000000003</v>
      </c>
      <c r="U199" s="15">
        <v>-0.92700000000000005</v>
      </c>
      <c r="V199" s="15">
        <v>-0.9</v>
      </c>
      <c r="W199" s="15">
        <v>-0.91900000000000004</v>
      </c>
      <c r="X199" s="15">
        <v>-0.89700000000000002</v>
      </c>
      <c r="Y199" s="15">
        <v>-0.84599999999999997</v>
      </c>
      <c r="Z199" s="15">
        <v>-0.95899999999999996</v>
      </c>
      <c r="AA199" s="15">
        <v>-0.53</v>
      </c>
      <c r="AB199" s="15">
        <v>-0.52900000000000003</v>
      </c>
      <c r="AC199" s="15">
        <v>0.54900000000000004</v>
      </c>
      <c r="AD199" s="15">
        <v>0.42899999999999999</v>
      </c>
      <c r="AE199" s="15">
        <v>8.9999999999999993E-3</v>
      </c>
      <c r="AF199" s="14">
        <v>-5.8000000000000003E-2</v>
      </c>
      <c r="AG199" s="15">
        <v>-0.186</v>
      </c>
      <c r="AH199" s="15">
        <v>-0.72</v>
      </c>
      <c r="AI199" s="15">
        <v>-0.55000000000000004</v>
      </c>
      <c r="AJ199" s="15">
        <v>-1</v>
      </c>
      <c r="AK199" s="9">
        <v>-0.98899999999999999</v>
      </c>
      <c r="AL199" s="4">
        <v>0.27700000000000002</v>
      </c>
      <c r="AM199" s="4">
        <v>-0.80900000000000005</v>
      </c>
      <c r="AN199" s="4">
        <v>0.154</v>
      </c>
      <c r="AO199" s="4">
        <v>-0.34300000000000003</v>
      </c>
      <c r="AP199" s="4">
        <v>-0.81499999999999995</v>
      </c>
      <c r="AQ199" s="4">
        <v>-0.58499999999999996</v>
      </c>
      <c r="AR199" s="4">
        <v>-0.189</v>
      </c>
      <c r="AS199" s="4">
        <v>-0.61199999999999999</v>
      </c>
      <c r="AT199" s="4">
        <v>-0.42199999999999999</v>
      </c>
      <c r="AU199" s="4">
        <v>-0.43099999999999999</v>
      </c>
      <c r="AV199" s="4">
        <v>-0.16200000000000001</v>
      </c>
      <c r="AW199" s="4">
        <v>-0.26100000000000001</v>
      </c>
      <c r="AX199" s="4">
        <v>-0.41899999999999998</v>
      </c>
      <c r="AY199" s="4">
        <v>-0.33100000000000002</v>
      </c>
      <c r="AZ199" s="4">
        <v>0.30399999999999999</v>
      </c>
      <c r="BA199" s="4">
        <v>-0.27300000000000002</v>
      </c>
      <c r="BB199" s="4">
        <v>-3.7999999999999999E-2</v>
      </c>
      <c r="BC199" s="4">
        <v>0.32800000000000001</v>
      </c>
      <c r="BD199" s="4">
        <v>4.4999999999999998E-2</v>
      </c>
      <c r="BE199" s="4">
        <v>0.08</v>
      </c>
      <c r="BF199" s="4">
        <v>0.35899999999999999</v>
      </c>
      <c r="BG199" s="4">
        <v>-0.10299999999999999</v>
      </c>
      <c r="BH199" s="4">
        <v>0.39900000000000002</v>
      </c>
      <c r="BI199" s="4">
        <v>0.65300000000000002</v>
      </c>
      <c r="BJ199" s="4">
        <v>0.35599999999999998</v>
      </c>
      <c r="BK199" s="4">
        <v>-0.622</v>
      </c>
      <c r="BL199" s="4">
        <v>-0.26900000000000002</v>
      </c>
      <c r="BM199" s="4"/>
    </row>
    <row r="200" spans="1:65" x14ac:dyDescent="0.3">
      <c r="A200" s="19" t="s">
        <v>230</v>
      </c>
      <c r="B200" s="53">
        <v>0</v>
      </c>
      <c r="C200" s="53">
        <f t="shared" si="16"/>
        <v>-1.4E-2</v>
      </c>
      <c r="D200" s="53">
        <f t="shared" si="17"/>
        <v>0</v>
      </c>
      <c r="E200" s="53">
        <f t="shared" si="18"/>
        <v>1.4E-2</v>
      </c>
      <c r="F200" s="15">
        <v>0.50800000000000001</v>
      </c>
      <c r="G200" s="19">
        <v>0.46899999999999997</v>
      </c>
      <c r="H200" s="24" t="s">
        <v>71</v>
      </c>
      <c r="I200" t="str">
        <f>VLOOKUP(A200,Setores!$A$2:$C$215,2,0)</f>
        <v>basic_materials</v>
      </c>
      <c r="J200" t="str">
        <f>VLOOKUP(A200,Setores!$A$2:$C$215,3,0)</f>
        <v>very_high_beta</v>
      </c>
      <c r="K200" s="2">
        <v>0</v>
      </c>
      <c r="L200" s="2">
        <v>-1.4E-2</v>
      </c>
      <c r="M200" s="71">
        <v>64</v>
      </c>
      <c r="N200" s="41">
        <f>VLOOKUP(A200,'Mandato Smll'!$A$2:$C$215,2,0)</f>
        <v>0</v>
      </c>
      <c r="O200" s="58">
        <f t="shared" si="19"/>
        <v>0</v>
      </c>
      <c r="P200" s="42">
        <f t="shared" si="20"/>
        <v>0</v>
      </c>
      <c r="Q200" s="41">
        <f>VLOOKUP(A200,'Mandato Smll'!$A$2:$C$215,3,0)</f>
        <v>0</v>
      </c>
      <c r="R200" s="58">
        <f t="shared" si="21"/>
        <v>0</v>
      </c>
      <c r="S200" s="15">
        <v>-1</v>
      </c>
      <c r="T200" s="15">
        <v>-0.98</v>
      </c>
      <c r="U200" s="15">
        <v>-1</v>
      </c>
      <c r="V200" s="15">
        <v>-0.996</v>
      </c>
      <c r="W200" s="15">
        <v>-0.998</v>
      </c>
      <c r="X200" s="15">
        <v>-0.95699999999999996</v>
      </c>
      <c r="Y200" s="15">
        <v>-0.93899999999999995</v>
      </c>
      <c r="Z200" s="15">
        <v>-0.96099999999999997</v>
      </c>
      <c r="AA200" s="15">
        <v>-0.48799999999999999</v>
      </c>
      <c r="AB200" s="15">
        <v>-0.48799999999999999</v>
      </c>
      <c r="AC200" s="15">
        <v>0.23899999999999999</v>
      </c>
      <c r="AD200" s="15">
        <v>0.46400000000000002</v>
      </c>
      <c r="AE200" s="15">
        <v>0.129</v>
      </c>
      <c r="AF200" s="14">
        <v>-0.95699999999999996</v>
      </c>
      <c r="AG200" s="15">
        <v>-0.92300000000000004</v>
      </c>
      <c r="AH200" s="15">
        <v>-0.97399999999999998</v>
      </c>
      <c r="AI200" s="15">
        <v>-0.79800000000000004</v>
      </c>
      <c r="AJ200" s="15">
        <v>-0.92800000000000005</v>
      </c>
      <c r="AK200" s="9">
        <v>-0.93700000000000006</v>
      </c>
      <c r="AL200" s="4">
        <v>-0.64500000000000002</v>
      </c>
      <c r="AM200" s="4">
        <v>-0.11</v>
      </c>
      <c r="AN200" s="4">
        <v>0.186</v>
      </c>
      <c r="AO200" s="4">
        <v>-0.73199999999999998</v>
      </c>
      <c r="AP200" s="4">
        <v>-0.61099999999999999</v>
      </c>
      <c r="AQ200" s="4">
        <v>-0.66900000000000004</v>
      </c>
      <c r="AR200" s="4">
        <v>-0.68100000000000005</v>
      </c>
      <c r="AS200" s="4">
        <v>0.42</v>
      </c>
      <c r="AT200" s="4">
        <v>-3.2000000000000001E-2</v>
      </c>
      <c r="AU200" s="4">
        <v>-0.36699999999999999</v>
      </c>
      <c r="AV200" s="4">
        <v>-0.57499999999999996</v>
      </c>
      <c r="AW200" s="4">
        <v>-0.81499999999999995</v>
      </c>
      <c r="AX200" s="4">
        <v>-0.42899999999999999</v>
      </c>
      <c r="AY200" s="4">
        <v>-0.70099999999999996</v>
      </c>
      <c r="AZ200" s="4">
        <v>0.63</v>
      </c>
      <c r="BA200" s="4">
        <v>-1</v>
      </c>
      <c r="BB200" s="4">
        <v>0.32900000000000001</v>
      </c>
      <c r="BC200" s="4">
        <v>3.5999999999999997E-2</v>
      </c>
      <c r="BD200" s="4">
        <v>-0.02</v>
      </c>
      <c r="BE200" s="4">
        <v>0.20799999999999999</v>
      </c>
      <c r="BF200" s="4">
        <v>-0.70299999999999996</v>
      </c>
      <c r="BG200" s="4">
        <v>-0.437</v>
      </c>
      <c r="BH200" s="4">
        <v>-3.4000000000000002E-2</v>
      </c>
      <c r="BI200" s="4">
        <v>0.50800000000000001</v>
      </c>
      <c r="BJ200" s="4">
        <v>0.35699999999999998</v>
      </c>
      <c r="BK200" s="4">
        <v>-0.32800000000000001</v>
      </c>
      <c r="BL200" s="4">
        <v>9.9000000000000005E-2</v>
      </c>
      <c r="BM200" s="4"/>
    </row>
    <row r="201" spans="1:65" x14ac:dyDescent="0.3">
      <c r="A201" s="19" t="s">
        <v>212</v>
      </c>
      <c r="B201" s="53">
        <v>0</v>
      </c>
      <c r="C201" s="53">
        <f t="shared" si="16"/>
        <v>-2E-3</v>
      </c>
      <c r="D201" s="53">
        <f t="shared" si="17"/>
        <v>0</v>
      </c>
      <c r="E201" s="53">
        <f t="shared" si="18"/>
        <v>2E-3</v>
      </c>
      <c r="F201" s="15">
        <v>0.50700000000000001</v>
      </c>
      <c r="G201" s="19">
        <v>0.38200000000000001</v>
      </c>
      <c r="H201" s="24" t="s">
        <v>57</v>
      </c>
      <c r="I201" t="str">
        <f>VLOOKUP(A201,Setores!$A$2:$C$215,2,0)</f>
        <v>homebuilders</v>
      </c>
      <c r="J201" t="str">
        <f>VLOOKUP(A201,Setores!$A$2:$C$215,3,0)</f>
        <v>low_beta</v>
      </c>
      <c r="K201" s="2">
        <v>0</v>
      </c>
      <c r="L201" s="2">
        <v>-2E-3</v>
      </c>
      <c r="M201" s="71">
        <v>80</v>
      </c>
      <c r="N201" s="41">
        <f>VLOOKUP(A201,'Mandato Smll'!$A$2:$C$215,2,0)</f>
        <v>0</v>
      </c>
      <c r="O201" s="58">
        <f t="shared" si="19"/>
        <v>0</v>
      </c>
      <c r="P201" s="42">
        <f t="shared" si="20"/>
        <v>0</v>
      </c>
      <c r="Q201" s="41">
        <f>VLOOKUP(A201,'Mandato Smll'!$A$2:$C$215,3,0)</f>
        <v>0</v>
      </c>
      <c r="R201" s="58">
        <f t="shared" si="21"/>
        <v>0</v>
      </c>
      <c r="S201" s="15">
        <v>-0.97499999999999998</v>
      </c>
      <c r="T201" s="15">
        <v>-1</v>
      </c>
      <c r="U201" s="15">
        <v>-0.94199999999999995</v>
      </c>
      <c r="V201" s="15">
        <v>-0.95</v>
      </c>
      <c r="W201" s="15">
        <v>-0.98699999999999999</v>
      </c>
      <c r="X201" s="15">
        <v>-0.93500000000000005</v>
      </c>
      <c r="Y201" s="15">
        <v>-0.89600000000000002</v>
      </c>
      <c r="Z201" s="15">
        <v>-0.94499999999999995</v>
      </c>
      <c r="AA201" s="15">
        <v>-0.317</v>
      </c>
      <c r="AB201" s="15">
        <v>-0.314</v>
      </c>
      <c r="AC201" s="15">
        <v>0.214</v>
      </c>
      <c r="AD201" s="15">
        <v>0.27700000000000002</v>
      </c>
      <c r="AE201" s="15">
        <v>-4.1000000000000002E-2</v>
      </c>
      <c r="AF201" s="14">
        <v>-0.83899999999999997</v>
      </c>
      <c r="AG201" s="15">
        <v>-0.67200000000000004</v>
      </c>
      <c r="AH201" s="15">
        <v>-1</v>
      </c>
      <c r="AI201" s="15">
        <v>-0.38800000000000001</v>
      </c>
      <c r="AJ201" s="15">
        <v>-0.57599999999999996</v>
      </c>
      <c r="AK201" s="9">
        <v>-0.432</v>
      </c>
      <c r="AL201" s="4">
        <v>-0.113</v>
      </c>
      <c r="AM201" s="4">
        <v>-0.32600000000000001</v>
      </c>
      <c r="AN201" s="4">
        <v>-0.65400000000000003</v>
      </c>
      <c r="AO201" s="4">
        <v>-0.25800000000000001</v>
      </c>
      <c r="AP201" s="4">
        <v>-0.76400000000000001</v>
      </c>
      <c r="AQ201" s="4">
        <v>-0.72099999999999997</v>
      </c>
      <c r="AR201" s="4">
        <v>-4.4999999999999998E-2</v>
      </c>
      <c r="AS201" s="4">
        <v>-0.375</v>
      </c>
      <c r="AT201" s="4">
        <v>-0.74399999999999999</v>
      </c>
      <c r="AU201" s="4">
        <v>0.42299999999999999</v>
      </c>
      <c r="AV201" s="4">
        <v>-0.374</v>
      </c>
      <c r="AW201" s="4">
        <v>-0.64</v>
      </c>
      <c r="AX201" s="4">
        <v>-0.19600000000000001</v>
      </c>
      <c r="AY201" s="4">
        <v>0.40100000000000002</v>
      </c>
      <c r="AZ201" s="4">
        <v>0.68100000000000005</v>
      </c>
      <c r="BA201" s="4">
        <v>0.38</v>
      </c>
      <c r="BB201" s="4">
        <v>-0.497</v>
      </c>
      <c r="BC201" s="4">
        <v>-0.56799999999999995</v>
      </c>
      <c r="BD201" s="4">
        <v>-0.3</v>
      </c>
      <c r="BE201" s="4">
        <v>-0.23799999999999999</v>
      </c>
      <c r="BF201" s="4">
        <v>0.76400000000000001</v>
      </c>
      <c r="BG201" s="4">
        <v>0.60799999999999998</v>
      </c>
      <c r="BH201" s="4">
        <v>-8.4000000000000005E-2</v>
      </c>
      <c r="BI201" s="4">
        <v>-0.61399999999999999</v>
      </c>
      <c r="BJ201" s="4">
        <v>0.29099999999999998</v>
      </c>
      <c r="BK201" s="4">
        <v>-0.41899999999999998</v>
      </c>
      <c r="BL201" s="4">
        <v>0.23499999999999999</v>
      </c>
      <c r="BM201" s="4"/>
    </row>
    <row r="202" spans="1:65" x14ac:dyDescent="0.3">
      <c r="A202" s="19" t="s">
        <v>181</v>
      </c>
      <c r="B202" s="53">
        <v>0</v>
      </c>
      <c r="C202" s="53">
        <f t="shared" ref="C202:C219" si="22">B202-E202</f>
        <v>0</v>
      </c>
      <c r="D202" s="53">
        <f t="shared" ref="D202:D219" si="23">B202-K202</f>
        <v>0</v>
      </c>
      <c r="E202" s="53">
        <f t="shared" ref="E202:E219" si="24">K202-L202</f>
        <v>0</v>
      </c>
      <c r="F202" s="15">
        <v>0.50600000000000001</v>
      </c>
      <c r="G202" s="19">
        <v>0.38700000000000001</v>
      </c>
      <c r="H202" s="24" t="s">
        <v>68</v>
      </c>
      <c r="I202" t="str">
        <f>VLOOKUP(A202,Setores!$A$2:$C$215,2,0)</f>
        <v>capital_goods</v>
      </c>
      <c r="J202" t="str">
        <f>VLOOKUP(A202,Setores!$A$2:$C$215,3,0)</f>
        <v>very_high_beta</v>
      </c>
      <c r="K202" s="2">
        <v>0</v>
      </c>
      <c r="L202" s="2">
        <v>0</v>
      </c>
      <c r="M202" s="71">
        <v>14</v>
      </c>
      <c r="N202" s="41">
        <f>VLOOKUP(A202,'Mandato Smll'!$A$2:$C$215,2,0)</f>
        <v>0</v>
      </c>
      <c r="O202" s="58">
        <f t="shared" ref="O202:O219" si="25">K202-N202</f>
        <v>0</v>
      </c>
      <c r="P202" s="42">
        <f t="shared" ref="P202:P219" si="26">B202-N202</f>
        <v>0</v>
      </c>
      <c r="Q202" s="41">
        <f>VLOOKUP(A202,'Mandato Smll'!$A$2:$C$215,3,0)</f>
        <v>0</v>
      </c>
      <c r="R202" s="58">
        <f t="shared" ref="R202:R219" si="27">K202-Q202</f>
        <v>0</v>
      </c>
      <c r="S202" s="15">
        <v>-0.89200000000000002</v>
      </c>
      <c r="T202" s="15">
        <v>-0.999</v>
      </c>
      <c r="U202" s="15">
        <v>-0.97899999999999998</v>
      </c>
      <c r="V202" s="15">
        <v>-0.86599999999999999</v>
      </c>
      <c r="W202" s="15">
        <v>-0.98799999999999999</v>
      </c>
      <c r="X202" s="15">
        <v>-0.86199999999999999</v>
      </c>
      <c r="Y202" s="15">
        <v>-0.83399999999999996</v>
      </c>
      <c r="Z202" s="15">
        <v>-0.92300000000000004</v>
      </c>
      <c r="AA202" s="15">
        <v>-0.35299999999999998</v>
      </c>
      <c r="AB202" s="15">
        <v>-0.35299999999999998</v>
      </c>
      <c r="AC202" s="15">
        <v>0.28499999999999998</v>
      </c>
      <c r="AD202" s="15">
        <v>0.254</v>
      </c>
      <c r="AE202" s="15">
        <v>-0.25900000000000001</v>
      </c>
      <c r="AF202" s="14">
        <v>-0.57199999999999995</v>
      </c>
      <c r="AG202" s="15">
        <v>-0.64700000000000002</v>
      </c>
      <c r="AH202" s="15">
        <v>-0.98399999999999999</v>
      </c>
      <c r="AI202" s="15">
        <v>-1</v>
      </c>
      <c r="AJ202" s="15">
        <v>-1</v>
      </c>
      <c r="AK202" s="9">
        <v>-0.72899999999999998</v>
      </c>
      <c r="AL202" s="4">
        <v>-0.34599999999999997</v>
      </c>
      <c r="AM202" s="4">
        <v>-0.94</v>
      </c>
      <c r="AN202" s="4">
        <v>-0.82199999999999995</v>
      </c>
      <c r="AO202" s="4">
        <v>0.32600000000000001</v>
      </c>
      <c r="AP202" s="4">
        <v>-0.27300000000000002</v>
      </c>
      <c r="AQ202" s="4">
        <v>-0.314</v>
      </c>
      <c r="AR202" s="4">
        <v>0.45500000000000002</v>
      </c>
      <c r="AS202" s="4">
        <v>-0.27700000000000002</v>
      </c>
      <c r="AT202" s="4">
        <v>-0.40799999999999997</v>
      </c>
      <c r="AU202" s="4">
        <v>-6.6000000000000003E-2</v>
      </c>
      <c r="AV202" s="4">
        <v>-0.64900000000000002</v>
      </c>
      <c r="AW202" s="4">
        <v>0.221</v>
      </c>
      <c r="AX202" s="4">
        <v>0.36199999999999999</v>
      </c>
      <c r="AY202" s="4">
        <v>9.4E-2</v>
      </c>
      <c r="AZ202" s="4">
        <v>0.26</v>
      </c>
      <c r="BA202" s="4">
        <v>0.63</v>
      </c>
      <c r="BB202" s="4">
        <v>0.28799999999999998</v>
      </c>
      <c r="BC202" s="4">
        <v>8.4000000000000005E-2</v>
      </c>
      <c r="BD202" s="4">
        <v>0.253</v>
      </c>
      <c r="BE202" s="4">
        <v>0.34599999999999997</v>
      </c>
      <c r="BF202" s="4">
        <v>0.24</v>
      </c>
      <c r="BG202" s="4">
        <v>0.92300000000000004</v>
      </c>
      <c r="BH202" s="4">
        <v>-0.1</v>
      </c>
      <c r="BI202" s="4">
        <v>-1</v>
      </c>
      <c r="BJ202" s="4">
        <v>0.79800000000000004</v>
      </c>
      <c r="BK202" s="4">
        <v>-0.42399999999999999</v>
      </c>
      <c r="BL202" s="4">
        <v>-0.80200000000000005</v>
      </c>
      <c r="BM202" s="4"/>
    </row>
    <row r="203" spans="1:65" x14ac:dyDescent="0.3">
      <c r="A203" s="19" t="s">
        <v>213</v>
      </c>
      <c r="B203" s="53">
        <v>0</v>
      </c>
      <c r="C203" s="53">
        <f t="shared" si="22"/>
        <v>-0.05</v>
      </c>
      <c r="D203" s="53">
        <f t="shared" si="23"/>
        <v>0</v>
      </c>
      <c r="E203" s="53">
        <f t="shared" si="24"/>
        <v>0.05</v>
      </c>
      <c r="F203" s="15">
        <v>0.505</v>
      </c>
      <c r="G203" s="19">
        <v>0.88700000000000001</v>
      </c>
      <c r="H203" s="24" t="s">
        <v>57</v>
      </c>
      <c r="I203" t="str">
        <f>VLOOKUP(A203,Setores!$A$2:$C$215,2,0)</f>
        <v>tech</v>
      </c>
      <c r="J203" t="str">
        <f>VLOOKUP(A203,Setores!$A$2:$C$215,3,0)</f>
        <v>neutral_beta</v>
      </c>
      <c r="K203" s="2">
        <v>0</v>
      </c>
      <c r="L203" s="2">
        <v>-0.05</v>
      </c>
      <c r="M203" s="71">
        <v>32</v>
      </c>
      <c r="N203" s="41">
        <f>VLOOKUP(A203,'Mandato Smll'!$A$2:$C$215,2,0)</f>
        <v>0</v>
      </c>
      <c r="O203" s="58">
        <f t="shared" si="25"/>
        <v>0</v>
      </c>
      <c r="P203" s="42">
        <f t="shared" si="26"/>
        <v>0</v>
      </c>
      <c r="Q203" s="41">
        <f>VLOOKUP(A203,'Mandato Smll'!$A$2:$C$215,3,0)</f>
        <v>0</v>
      </c>
      <c r="R203" s="58">
        <f t="shared" si="27"/>
        <v>0</v>
      </c>
      <c r="S203" s="15">
        <v>-0.95099999999999996</v>
      </c>
      <c r="T203" s="15">
        <v>-1</v>
      </c>
      <c r="U203" s="15">
        <v>-0.98499999999999999</v>
      </c>
      <c r="V203" s="15">
        <v>-0.88600000000000001</v>
      </c>
      <c r="W203" s="15">
        <v>-0.98199999999999998</v>
      </c>
      <c r="X203" s="15">
        <v>-0.90500000000000003</v>
      </c>
      <c r="Y203" s="15">
        <v>-0.82399999999999995</v>
      </c>
      <c r="Z203" s="15">
        <v>-0.95099999999999996</v>
      </c>
      <c r="AA203" s="15">
        <v>-0.375</v>
      </c>
      <c r="AB203" s="15">
        <v>-0.372</v>
      </c>
      <c r="AC203" s="15">
        <v>0.34899999999999998</v>
      </c>
      <c r="AD203" s="15">
        <v>0.36499999999999999</v>
      </c>
      <c r="AE203" s="15">
        <v>-0.22800000000000001</v>
      </c>
      <c r="AF203" s="14">
        <v>-0.60899999999999999</v>
      </c>
      <c r="AG203" s="15">
        <v>-0.57799999999999996</v>
      </c>
      <c r="AH203" s="15">
        <v>-1</v>
      </c>
      <c r="AI203" s="15">
        <v>-0.94799999999999995</v>
      </c>
      <c r="AJ203" s="15">
        <v>-1</v>
      </c>
      <c r="AK203" s="9">
        <v>-0.437</v>
      </c>
      <c r="AL203" s="4">
        <v>-0.60399999999999998</v>
      </c>
      <c r="AM203" s="4">
        <v>-0.749</v>
      </c>
      <c r="AN203" s="4">
        <v>-0.92300000000000004</v>
      </c>
      <c r="AO203" s="4">
        <v>0.53500000000000003</v>
      </c>
      <c r="AP203" s="4">
        <v>-0.88500000000000001</v>
      </c>
      <c r="AQ203" s="4">
        <v>-0.40600000000000003</v>
      </c>
      <c r="AR203" s="4">
        <v>0.36899999999999999</v>
      </c>
      <c r="AS203" s="4">
        <v>0.20899999999999999</v>
      </c>
      <c r="AT203" s="4">
        <v>0.154</v>
      </c>
      <c r="AU203" s="4">
        <v>0.25600000000000001</v>
      </c>
      <c r="AV203" s="4">
        <v>0.154</v>
      </c>
      <c r="AW203" s="4">
        <v>0.16800000000000001</v>
      </c>
      <c r="AX203" s="4">
        <v>0.21299999999999999</v>
      </c>
      <c r="AY203" s="4">
        <v>-0.41699999999999998</v>
      </c>
      <c r="AZ203" s="4">
        <v>0.876</v>
      </c>
      <c r="BA203" s="4">
        <v>0.59299999999999997</v>
      </c>
      <c r="BB203" s="4">
        <v>-0.309</v>
      </c>
      <c r="BC203" s="4">
        <v>-0.85299999999999998</v>
      </c>
      <c r="BD203" s="4">
        <v>-1</v>
      </c>
      <c r="BE203" s="4">
        <v>-0.497</v>
      </c>
      <c r="BF203" s="4">
        <v>-0.26200000000000001</v>
      </c>
      <c r="BG203" s="4">
        <v>-1</v>
      </c>
      <c r="BH203" s="4">
        <v>-0.371</v>
      </c>
      <c r="BI203" s="4">
        <v>-0.20899999999999999</v>
      </c>
      <c r="BJ203" s="4">
        <v>-0.11600000000000001</v>
      </c>
      <c r="BK203" s="4">
        <v>-0.311</v>
      </c>
      <c r="BL203" s="4">
        <v>-0.621</v>
      </c>
      <c r="BM203" s="4"/>
    </row>
    <row r="204" spans="1:65" x14ac:dyDescent="0.3">
      <c r="A204" s="19" t="s">
        <v>249</v>
      </c>
      <c r="B204" s="53">
        <v>0</v>
      </c>
      <c r="C204" s="53">
        <f t="shared" si="22"/>
        <v>0</v>
      </c>
      <c r="D204" s="53">
        <f t="shared" si="23"/>
        <v>0</v>
      </c>
      <c r="E204" s="53">
        <f t="shared" si="24"/>
        <v>0</v>
      </c>
      <c r="F204" s="15">
        <v>0.501</v>
      </c>
      <c r="G204" s="19">
        <v>0.34200000000000003</v>
      </c>
      <c r="H204" s="24" t="s">
        <v>71</v>
      </c>
      <c r="I204" t="str">
        <f>VLOOKUP(A204,Setores!$A$2:$C$215,2,0)</f>
        <v>basic_materials</v>
      </c>
      <c r="J204" t="str">
        <f>VLOOKUP(A204,Setores!$A$2:$C$215,3,0)</f>
        <v>very_high_beta</v>
      </c>
      <c r="K204" s="2">
        <v>0</v>
      </c>
      <c r="L204" s="2">
        <v>0</v>
      </c>
      <c r="M204" s="71">
        <v>80</v>
      </c>
      <c r="N204" s="41">
        <f>VLOOKUP(A204,'Mandato Smll'!$A$2:$C$215,2,0)</f>
        <v>0</v>
      </c>
      <c r="O204" s="58">
        <f t="shared" si="25"/>
        <v>0</v>
      </c>
      <c r="P204" s="42">
        <f t="shared" si="26"/>
        <v>0</v>
      </c>
      <c r="Q204" s="41">
        <f>VLOOKUP(A204,'Mandato Smll'!$A$2:$C$215,3,0)</f>
        <v>0</v>
      </c>
      <c r="R204" s="58">
        <f t="shared" si="27"/>
        <v>0</v>
      </c>
      <c r="S204" s="15">
        <v>-0.85399999999999998</v>
      </c>
      <c r="T204" s="15">
        <v>-0.56799999999999995</v>
      </c>
      <c r="U204" s="15">
        <v>-0.79800000000000004</v>
      </c>
      <c r="V204" s="15">
        <v>-0.91900000000000004</v>
      </c>
      <c r="W204" s="15">
        <v>-0.83099999999999996</v>
      </c>
      <c r="X204" s="15">
        <v>-0.93899999999999995</v>
      </c>
      <c r="Y204" s="15">
        <v>-0.97199999999999998</v>
      </c>
      <c r="Z204" s="15">
        <v>-0.84099999999999997</v>
      </c>
      <c r="AA204" s="15">
        <v>-0.39</v>
      </c>
      <c r="AB204" s="15">
        <v>-0.40100000000000002</v>
      </c>
      <c r="AC204" s="15">
        <v>-1</v>
      </c>
      <c r="AD204" s="15">
        <v>-1</v>
      </c>
      <c r="AE204" s="15">
        <v>-5.6000000000000001E-2</v>
      </c>
      <c r="AF204" s="14">
        <v>-1</v>
      </c>
      <c r="AG204" s="15">
        <v>-1</v>
      </c>
      <c r="AH204" s="15">
        <v>-0.34399999999999997</v>
      </c>
      <c r="AI204" s="15">
        <v>-0.63900000000000001</v>
      </c>
      <c r="AJ204" s="15">
        <v>1</v>
      </c>
      <c r="AK204" s="9">
        <v>-0.66100000000000003</v>
      </c>
      <c r="AL204" s="4">
        <v>-0.55300000000000005</v>
      </c>
      <c r="AM204" s="4">
        <v>-1</v>
      </c>
      <c r="AN204" s="4">
        <v>-0.41299999999999998</v>
      </c>
      <c r="AO204" s="4">
        <v>-0.40500000000000003</v>
      </c>
      <c r="AP204" s="4">
        <v>0.79800000000000004</v>
      </c>
      <c r="AQ204" s="4">
        <v>0.91600000000000004</v>
      </c>
      <c r="AR204" s="4">
        <v>-0.66800000000000004</v>
      </c>
      <c r="AS204" s="4">
        <v>-1</v>
      </c>
      <c r="AT204" s="4">
        <v>-2.5999999999999999E-2</v>
      </c>
      <c r="AU204" s="4">
        <v>-0.67700000000000005</v>
      </c>
      <c r="AV204" s="4">
        <v>-0.02</v>
      </c>
      <c r="AW204" s="4">
        <v>-0.52400000000000002</v>
      </c>
      <c r="AX204" s="4">
        <v>-0.77800000000000002</v>
      </c>
      <c r="AY204" s="4">
        <v>-9.9000000000000005E-2</v>
      </c>
      <c r="AZ204" s="4">
        <v>-0.56200000000000006</v>
      </c>
      <c r="BA204" s="4">
        <v>-0.88600000000000001</v>
      </c>
      <c r="BB204" s="4">
        <v>0.875</v>
      </c>
      <c r="BC204" s="4">
        <v>0.49199999999999999</v>
      </c>
      <c r="BD204" s="4">
        <v>0.17699999999999999</v>
      </c>
      <c r="BE204" s="4">
        <v>0.73799999999999999</v>
      </c>
      <c r="BF204" s="4">
        <v>-0.63</v>
      </c>
      <c r="BG204" s="4">
        <v>-0.10299999999999999</v>
      </c>
      <c r="BH204" s="4">
        <v>-1</v>
      </c>
      <c r="BI204" s="4">
        <v>0.155</v>
      </c>
      <c r="BJ204" s="4">
        <v>0.36099999999999999</v>
      </c>
      <c r="BK204" s="4">
        <v>0.83599999999999997</v>
      </c>
      <c r="BL204" s="4">
        <v>0.72599999999999998</v>
      </c>
      <c r="BM204" s="4"/>
    </row>
    <row r="205" spans="1:65" x14ac:dyDescent="0.3">
      <c r="A205" s="19" t="s">
        <v>245</v>
      </c>
      <c r="B205" s="53">
        <v>0</v>
      </c>
      <c r="C205" s="53">
        <f t="shared" si="22"/>
        <v>-4.0000000000000001E-3</v>
      </c>
      <c r="D205" s="53">
        <f t="shared" si="23"/>
        <v>0</v>
      </c>
      <c r="E205" s="53">
        <f t="shared" si="24"/>
        <v>4.0000000000000001E-3</v>
      </c>
      <c r="F205" s="15">
        <v>0.5</v>
      </c>
      <c r="G205" s="19">
        <v>0.371</v>
      </c>
      <c r="H205" s="24" t="s">
        <v>57</v>
      </c>
      <c r="I205" t="str">
        <f>VLOOKUP(A205,Setores!$A$2:$C$215,2,0)</f>
        <v>consumer_services</v>
      </c>
      <c r="J205" t="str">
        <f>VLOOKUP(A205,Setores!$A$2:$C$215,3,0)</f>
        <v>very_high_beta</v>
      </c>
      <c r="K205" s="2">
        <v>0</v>
      </c>
      <c r="L205" s="2">
        <v>-4.0000000000000001E-3</v>
      </c>
      <c r="M205" s="71">
        <v>80</v>
      </c>
      <c r="N205" s="41">
        <f>VLOOKUP(A205,'Mandato Smll'!$A$2:$C$215,2,0)</f>
        <v>0</v>
      </c>
      <c r="O205" s="58">
        <f t="shared" si="25"/>
        <v>0</v>
      </c>
      <c r="P205" s="42">
        <f t="shared" si="26"/>
        <v>0</v>
      </c>
      <c r="Q205" s="41">
        <f>VLOOKUP(A205,'Mandato Smll'!$A$2:$C$215,3,0)</f>
        <v>0</v>
      </c>
      <c r="R205" s="58">
        <f t="shared" si="27"/>
        <v>0</v>
      </c>
      <c r="S205" s="15">
        <v>-0.97</v>
      </c>
      <c r="T205" s="15">
        <v>-0.91900000000000004</v>
      </c>
      <c r="U205" s="15">
        <v>-0.90900000000000003</v>
      </c>
      <c r="V205" s="15">
        <v>-0.94499999999999995</v>
      </c>
      <c r="W205" s="15">
        <v>-0.92200000000000004</v>
      </c>
      <c r="X205" s="15">
        <v>-0.98099999999999998</v>
      </c>
      <c r="Y205" s="15">
        <v>-0.98099999999999998</v>
      </c>
      <c r="Z205" s="15">
        <v>-0.94799999999999995</v>
      </c>
      <c r="AA205" s="15">
        <v>-0.14199999999999999</v>
      </c>
      <c r="AB205" s="15">
        <v>-0.14799999999999999</v>
      </c>
      <c r="AC205" s="15">
        <v>-0.33200000000000002</v>
      </c>
      <c r="AD205" s="15">
        <v>-0.30599999999999999</v>
      </c>
      <c r="AE205" s="15">
        <v>-0.14399999999999999</v>
      </c>
      <c r="AF205" s="14">
        <v>-0.38100000000000001</v>
      </c>
      <c r="AG205" s="15">
        <v>-0.71</v>
      </c>
      <c r="AH205" s="15">
        <v>-0.59399999999999997</v>
      </c>
      <c r="AI205" s="15">
        <v>-0.38700000000000001</v>
      </c>
      <c r="AJ205" s="15">
        <v>-0.55400000000000005</v>
      </c>
      <c r="AK205" s="9">
        <v>-0.84199999999999997</v>
      </c>
      <c r="AL205" s="4">
        <v>0.114</v>
      </c>
      <c r="AM205" s="4">
        <v>-0.90400000000000003</v>
      </c>
      <c r="AN205" s="4">
        <v>0.38100000000000001</v>
      </c>
      <c r="AO205" s="4">
        <v>-6.9000000000000006E-2</v>
      </c>
      <c r="AP205" s="4">
        <v>-0.33100000000000002</v>
      </c>
      <c r="AQ205" s="4">
        <v>-0.56000000000000005</v>
      </c>
      <c r="AR205" s="4">
        <v>-0.54400000000000004</v>
      </c>
      <c r="AS205" s="4">
        <v>-1</v>
      </c>
      <c r="AT205" s="4">
        <v>-0.78900000000000003</v>
      </c>
      <c r="AU205" s="4">
        <v>-0.121</v>
      </c>
      <c r="AV205" s="4">
        <v>-0.379</v>
      </c>
      <c r="AW205" s="4">
        <v>-0.26200000000000001</v>
      </c>
      <c r="AX205" s="4">
        <v>-0.81899999999999995</v>
      </c>
      <c r="AY205" s="4">
        <v>-0.48099999999999998</v>
      </c>
      <c r="AZ205" s="4">
        <v>0.46200000000000002</v>
      </c>
      <c r="BA205" s="4">
        <v>0.48599999999999999</v>
      </c>
      <c r="BB205" s="4">
        <v>-0.73</v>
      </c>
      <c r="BC205" s="4">
        <v>-1E-3</v>
      </c>
      <c r="BD205" s="4">
        <v>-0.41099999999999998</v>
      </c>
      <c r="BE205" s="4">
        <v>0.249</v>
      </c>
      <c r="BF205" s="4">
        <v>0.30199999999999999</v>
      </c>
      <c r="BG205" s="4">
        <v>-0.96</v>
      </c>
      <c r="BH205" s="4">
        <v>-0.54800000000000004</v>
      </c>
      <c r="BI205" s="4">
        <v>0.17399999999999999</v>
      </c>
      <c r="BJ205" s="4">
        <v>0.56499999999999995</v>
      </c>
      <c r="BK205" s="4">
        <v>-7.1999999999999995E-2</v>
      </c>
      <c r="BL205" s="4">
        <v>0.29099999999999998</v>
      </c>
      <c r="BM205" s="4"/>
    </row>
    <row r="206" spans="1:65" x14ac:dyDescent="0.3">
      <c r="A206" s="19" t="s">
        <v>243</v>
      </c>
      <c r="B206" s="53">
        <v>0</v>
      </c>
      <c r="C206" s="53">
        <f t="shared" si="22"/>
        <v>-1.0999999999999999E-2</v>
      </c>
      <c r="D206" s="53">
        <f t="shared" si="23"/>
        <v>0</v>
      </c>
      <c r="E206" s="53">
        <f t="shared" si="24"/>
        <v>1.0999999999999999E-2</v>
      </c>
      <c r="F206" s="15">
        <v>0.499</v>
      </c>
      <c r="G206" s="19">
        <v>0.36199999999999999</v>
      </c>
      <c r="H206" s="24" t="s">
        <v>53</v>
      </c>
      <c r="I206" t="str">
        <f>VLOOKUP(A206,Setores!$A$2:$C$215,2,0)</f>
        <v>healthcare</v>
      </c>
      <c r="J206" t="str">
        <f>VLOOKUP(A206,Setores!$A$2:$C$215,3,0)</f>
        <v>very_high_beta</v>
      </c>
      <c r="K206" s="2">
        <v>0</v>
      </c>
      <c r="L206" s="2">
        <v>-1.0999999999999999E-2</v>
      </c>
      <c r="M206" s="71">
        <v>69</v>
      </c>
      <c r="N206" s="41">
        <f>VLOOKUP(A206,'Mandato Smll'!$A$2:$C$215,2,0)</f>
        <v>0</v>
      </c>
      <c r="O206" s="58">
        <f t="shared" si="25"/>
        <v>0</v>
      </c>
      <c r="P206" s="42">
        <f t="shared" si="26"/>
        <v>0</v>
      </c>
      <c r="Q206" s="41">
        <f>VLOOKUP(A206,'Mandato Smll'!$A$2:$C$215,3,0)</f>
        <v>0</v>
      </c>
      <c r="R206" s="58">
        <f t="shared" si="27"/>
        <v>0</v>
      </c>
      <c r="S206" s="15">
        <v>-0.71299999999999997</v>
      </c>
      <c r="T206" s="15">
        <v>-0.251</v>
      </c>
      <c r="U206" s="15">
        <v>-0.73299999999999998</v>
      </c>
      <c r="V206" s="15">
        <v>-0.78300000000000003</v>
      </c>
      <c r="W206" s="15">
        <v>-0.65800000000000003</v>
      </c>
      <c r="X206" s="15">
        <v>-0.89900000000000002</v>
      </c>
      <c r="Y206" s="15">
        <v>-0.94499999999999995</v>
      </c>
      <c r="Z206" s="15">
        <v>-0.92200000000000004</v>
      </c>
      <c r="AA206" s="15">
        <v>-0.57999999999999996</v>
      </c>
      <c r="AB206" s="15">
        <v>-0.57999999999999996</v>
      </c>
      <c r="AC206" s="15">
        <v>-0.28699999999999998</v>
      </c>
      <c r="AD206" s="15">
        <v>-0.54600000000000004</v>
      </c>
      <c r="AE206" s="15">
        <v>-0.52600000000000002</v>
      </c>
      <c r="AF206" s="14">
        <v>-0.41299999999999998</v>
      </c>
      <c r="AG206" s="15">
        <v>0.22</v>
      </c>
      <c r="AH206" s="15">
        <v>0.123</v>
      </c>
      <c r="AI206" s="15">
        <v>-0.214</v>
      </c>
      <c r="AJ206" s="15">
        <v>-0.35599999999999998</v>
      </c>
      <c r="AK206" s="9">
        <v>-0.80900000000000005</v>
      </c>
      <c r="AL206" s="4">
        <v>0.45300000000000001</v>
      </c>
      <c r="AM206" s="4">
        <v>-1</v>
      </c>
      <c r="AN206" s="4">
        <v>0.85699999999999998</v>
      </c>
      <c r="AO206" s="4">
        <v>-0.29199999999999998</v>
      </c>
      <c r="AP206" s="4">
        <v>-0.76500000000000001</v>
      </c>
      <c r="AQ206" s="4">
        <v>0.93600000000000005</v>
      </c>
      <c r="AR206" s="4">
        <v>8.0000000000000002E-3</v>
      </c>
      <c r="AS206" s="4">
        <v>-0.36299999999999999</v>
      </c>
      <c r="AT206" s="4">
        <v>-1.4E-2</v>
      </c>
      <c r="AU206" s="4">
        <v>-0.26</v>
      </c>
      <c r="AV206" s="4">
        <v>-0.33</v>
      </c>
      <c r="AW206" s="4">
        <v>-0.41299999999999998</v>
      </c>
      <c r="AX206" s="4">
        <v>-0.81200000000000006</v>
      </c>
      <c r="AY206" s="4">
        <v>-0.36299999999999999</v>
      </c>
      <c r="AZ206" s="4">
        <v>0.40799999999999997</v>
      </c>
      <c r="BA206" s="4">
        <v>0.52800000000000002</v>
      </c>
      <c r="BB206" s="4">
        <v>0.17</v>
      </c>
      <c r="BC206" s="4">
        <v>0.26100000000000001</v>
      </c>
      <c r="BD206" s="4">
        <v>-5.1999999999999998E-2</v>
      </c>
      <c r="BE206" s="4">
        <v>9.2999999999999999E-2</v>
      </c>
      <c r="BF206" s="4">
        <v>-0.627</v>
      </c>
      <c r="BG206" s="4">
        <v>0.10199999999999999</v>
      </c>
      <c r="BH206" s="4">
        <v>-0.90900000000000003</v>
      </c>
      <c r="BI206" s="4">
        <v>1</v>
      </c>
      <c r="BJ206" s="4">
        <v>0.28499999999999998</v>
      </c>
      <c r="BK206" s="4">
        <v>-0.85399999999999998</v>
      </c>
      <c r="BL206" s="4">
        <v>-2.5999999999999999E-2</v>
      </c>
      <c r="BM206" s="4"/>
    </row>
    <row r="207" spans="1:65" x14ac:dyDescent="0.3">
      <c r="A207" s="19" t="s">
        <v>258</v>
      </c>
      <c r="B207" s="53">
        <v>0</v>
      </c>
      <c r="C207" s="53">
        <f t="shared" si="22"/>
        <v>-1E-3</v>
      </c>
      <c r="D207" s="53">
        <f t="shared" si="23"/>
        <v>0</v>
      </c>
      <c r="E207" s="53">
        <f t="shared" si="24"/>
        <v>1E-3</v>
      </c>
      <c r="F207" s="15">
        <v>0.497</v>
      </c>
      <c r="G207" s="19">
        <v>0.35399999999999998</v>
      </c>
      <c r="H207" s="24" t="s">
        <v>57</v>
      </c>
      <c r="I207" t="str">
        <f>VLOOKUP(A207,Setores!$A$2:$C$215,2,0)</f>
        <v>consumer_durables</v>
      </c>
      <c r="J207" t="str">
        <f>VLOOKUP(A207,Setores!$A$2:$C$215,3,0)</f>
        <v>very_high_beta</v>
      </c>
      <c r="K207" s="2">
        <v>0</v>
      </c>
      <c r="L207" s="2">
        <v>-1E-3</v>
      </c>
      <c r="M207" s="71">
        <v>80</v>
      </c>
      <c r="N207" s="41">
        <f>VLOOKUP(A207,'Mandato Smll'!$A$2:$C$215,2,0)</f>
        <v>0</v>
      </c>
      <c r="O207" s="58">
        <f t="shared" si="25"/>
        <v>0</v>
      </c>
      <c r="P207" s="42">
        <f t="shared" si="26"/>
        <v>0</v>
      </c>
      <c r="Q207" s="41">
        <f>VLOOKUP(A207,'Mandato Smll'!$A$2:$C$215,3,0)</f>
        <v>0</v>
      </c>
      <c r="R207" s="58">
        <f t="shared" si="27"/>
        <v>0</v>
      </c>
      <c r="S207" s="15">
        <v>-0.76600000000000001</v>
      </c>
      <c r="T207" s="15">
        <v>-0.60099999999999998</v>
      </c>
      <c r="U207" s="15">
        <v>-0.38200000000000001</v>
      </c>
      <c r="V207" s="15">
        <v>-0.90200000000000002</v>
      </c>
      <c r="W207" s="15">
        <v>-0.76300000000000001</v>
      </c>
      <c r="X207" s="15">
        <v>-0.92400000000000004</v>
      </c>
      <c r="Y207" s="15">
        <v>-0.94399999999999995</v>
      </c>
      <c r="Z207" s="15">
        <v>-0.94599999999999995</v>
      </c>
      <c r="AA207" s="15">
        <v>-0.68700000000000006</v>
      </c>
      <c r="AB207" s="15">
        <v>-0.68500000000000005</v>
      </c>
      <c r="AC207" s="15">
        <v>-0.20200000000000001</v>
      </c>
      <c r="AD207" s="15">
        <v>-0.97399999999999998</v>
      </c>
      <c r="AE207" s="15">
        <v>-0.32</v>
      </c>
      <c r="AF207" s="14">
        <v>-0.76800000000000002</v>
      </c>
      <c r="AG207" s="15">
        <v>-0.41399999999999998</v>
      </c>
      <c r="AH207" s="15">
        <v>-0.45900000000000002</v>
      </c>
      <c r="AI207" s="15">
        <v>1</v>
      </c>
      <c r="AJ207" s="15">
        <v>3.5000000000000003E-2</v>
      </c>
      <c r="AK207" s="9">
        <v>-0.49</v>
      </c>
      <c r="AL207" s="4">
        <v>0.498</v>
      </c>
      <c r="AM207" s="4">
        <v>-0.68799999999999994</v>
      </c>
      <c r="AN207" s="4">
        <v>-2.7E-2</v>
      </c>
      <c r="AO207" s="4">
        <v>-0.308</v>
      </c>
      <c r="AP207" s="4">
        <v>-0.66</v>
      </c>
      <c r="AQ207" s="4">
        <v>-0.35699999999999998</v>
      </c>
      <c r="AR207" s="4">
        <v>-0.43</v>
      </c>
      <c r="AS207" s="4">
        <v>-0.30299999999999999</v>
      </c>
      <c r="AT207" s="4">
        <v>-0.23200000000000001</v>
      </c>
      <c r="AU207" s="4">
        <v>-0.28699999999999998</v>
      </c>
      <c r="AV207" s="4">
        <v>-0.35799999999999998</v>
      </c>
      <c r="AW207" s="4">
        <v>-0.71199999999999997</v>
      </c>
      <c r="AX207" s="4">
        <v>-0.78500000000000003</v>
      </c>
      <c r="AY207" s="4">
        <v>0.39300000000000002</v>
      </c>
      <c r="AZ207" s="4">
        <v>-6.4000000000000001E-2</v>
      </c>
      <c r="BA207" s="4">
        <v>-0.27400000000000002</v>
      </c>
      <c r="BB207" s="4">
        <v>-0.34</v>
      </c>
      <c r="BC207" s="4">
        <v>0.624</v>
      </c>
      <c r="BD207" s="4">
        <v>1</v>
      </c>
      <c r="BE207" s="4">
        <v>-8.9999999999999993E-3</v>
      </c>
      <c r="BF207" s="4">
        <v>1</v>
      </c>
      <c r="BG207" s="4">
        <v>1</v>
      </c>
      <c r="BH207" s="4">
        <v>-0.42399999999999999</v>
      </c>
      <c r="BI207" s="4">
        <v>0.747</v>
      </c>
      <c r="BJ207" s="4">
        <v>0.623</v>
      </c>
      <c r="BK207" s="4">
        <v>-0.21</v>
      </c>
      <c r="BL207" s="4">
        <v>1</v>
      </c>
      <c r="BM207" s="4"/>
    </row>
    <row r="208" spans="1:65" x14ac:dyDescent="0.3">
      <c r="A208" s="19" t="s">
        <v>260</v>
      </c>
      <c r="B208" s="53">
        <v>0</v>
      </c>
      <c r="C208" s="53">
        <f t="shared" si="22"/>
        <v>0</v>
      </c>
      <c r="D208" s="53">
        <f t="shared" si="23"/>
        <v>0</v>
      </c>
      <c r="E208" s="53">
        <f t="shared" si="24"/>
        <v>0</v>
      </c>
      <c r="F208" s="15">
        <v>0.49199999999999999</v>
      </c>
      <c r="G208" s="19">
        <v>0.33600000000000002</v>
      </c>
      <c r="H208" s="24" t="s">
        <v>57</v>
      </c>
      <c r="I208" t="str">
        <f>VLOOKUP(A208,Setores!$A$2:$C$215,2,0)</f>
        <v>consumer_services</v>
      </c>
      <c r="J208" t="str">
        <f>VLOOKUP(A208,Setores!$A$2:$C$215,3,0)</f>
        <v>high_beta</v>
      </c>
      <c r="K208" s="2">
        <v>0</v>
      </c>
      <c r="L208" s="2">
        <v>0</v>
      </c>
      <c r="M208" s="71">
        <v>80</v>
      </c>
      <c r="N208" s="41">
        <f>VLOOKUP(A208,'Mandato Smll'!$A$2:$C$215,2,0)</f>
        <v>0</v>
      </c>
      <c r="O208" s="58">
        <f t="shared" si="25"/>
        <v>0</v>
      </c>
      <c r="P208" s="42">
        <f t="shared" si="26"/>
        <v>0</v>
      </c>
      <c r="Q208" s="41">
        <f>VLOOKUP(A208,'Mandato Smll'!$A$2:$C$215,3,0)</f>
        <v>0</v>
      </c>
      <c r="R208" s="58">
        <f t="shared" si="27"/>
        <v>0</v>
      </c>
      <c r="S208" s="15">
        <v>-0.96699999999999997</v>
      </c>
      <c r="T208" s="15">
        <v>-0.93799999999999994</v>
      </c>
      <c r="U208" s="15">
        <v>-0.89100000000000001</v>
      </c>
      <c r="V208" s="15">
        <v>-0.98199999999999998</v>
      </c>
      <c r="W208" s="15">
        <v>-0.95799999999999996</v>
      </c>
      <c r="X208" s="15">
        <v>-0.97499999999999998</v>
      </c>
      <c r="Y208" s="15">
        <v>-0.96699999999999997</v>
      </c>
      <c r="Z208" s="15">
        <v>-0.99</v>
      </c>
      <c r="AA208" s="15">
        <v>-0.77800000000000002</v>
      </c>
      <c r="AB208" s="15">
        <v>-0.77500000000000002</v>
      </c>
      <c r="AC208" s="15">
        <v>-0.36899999999999999</v>
      </c>
      <c r="AD208" s="15">
        <v>-0.33700000000000002</v>
      </c>
      <c r="AE208" s="15">
        <v>-0.115</v>
      </c>
      <c r="AF208" s="14">
        <v>-0.84799999999999998</v>
      </c>
      <c r="AG208" s="15">
        <v>-0.68200000000000005</v>
      </c>
      <c r="AH208" s="15">
        <v>-0.73399999999999999</v>
      </c>
      <c r="AI208" s="15">
        <v>-6.2E-2</v>
      </c>
      <c r="AJ208" s="15">
        <v>-0.74299999999999999</v>
      </c>
      <c r="AK208" s="9">
        <v>-0.86299999999999999</v>
      </c>
      <c r="AL208" s="4">
        <v>0.51</v>
      </c>
      <c r="AM208" s="4">
        <v>-0.57799999999999996</v>
      </c>
      <c r="AN208" s="4">
        <v>-0.307</v>
      </c>
      <c r="AO208" s="4">
        <v>-0.309</v>
      </c>
      <c r="AP208" s="4">
        <v>-0.83</v>
      </c>
      <c r="AQ208" s="4">
        <v>-0.26200000000000001</v>
      </c>
      <c r="AR208" s="4">
        <v>-0.92200000000000004</v>
      </c>
      <c r="AS208" s="4">
        <v>-0.51600000000000001</v>
      </c>
      <c r="AT208" s="4">
        <v>-0.13200000000000001</v>
      </c>
      <c r="AU208" s="4">
        <v>-0.41399999999999998</v>
      </c>
      <c r="AV208" s="4">
        <v>-0.79400000000000004</v>
      </c>
      <c r="AW208" s="4">
        <v>-0.81499999999999995</v>
      </c>
      <c r="AX208" s="4">
        <v>-0.63700000000000001</v>
      </c>
      <c r="AY208" s="4">
        <v>-0.33200000000000002</v>
      </c>
      <c r="AZ208" s="4">
        <v>-0.10299999999999999</v>
      </c>
      <c r="BA208" s="4">
        <v>-0.61899999999999999</v>
      </c>
      <c r="BB208" s="4">
        <v>-9.4E-2</v>
      </c>
      <c r="BC208" s="4">
        <v>0.63</v>
      </c>
      <c r="BD208" s="4">
        <v>0.111</v>
      </c>
      <c r="BE208" s="4">
        <v>-7.1999999999999995E-2</v>
      </c>
      <c r="BF208" s="4">
        <v>0.54500000000000004</v>
      </c>
      <c r="BG208" s="4">
        <v>0.14099999999999999</v>
      </c>
      <c r="BH208" s="4">
        <v>9.4E-2</v>
      </c>
      <c r="BI208" s="4">
        <v>1</v>
      </c>
      <c r="BJ208" s="4">
        <v>0.111</v>
      </c>
      <c r="BK208" s="4">
        <v>0.32700000000000001</v>
      </c>
      <c r="BL208" s="4">
        <v>0.22800000000000001</v>
      </c>
      <c r="BM208" s="4"/>
    </row>
    <row r="209" spans="1:65" x14ac:dyDescent="0.3">
      <c r="A209" s="19" t="s">
        <v>242</v>
      </c>
      <c r="B209" s="53">
        <v>0</v>
      </c>
      <c r="C209" s="53">
        <f t="shared" si="22"/>
        <v>-1E-3</v>
      </c>
      <c r="D209" s="53">
        <f t="shared" si="23"/>
        <v>0</v>
      </c>
      <c r="E209" s="53">
        <f t="shared" si="24"/>
        <v>1E-3</v>
      </c>
      <c r="F209" s="15">
        <v>0.49199999999999999</v>
      </c>
      <c r="G209" s="19">
        <v>0.33700000000000002</v>
      </c>
      <c r="H209" s="24" t="s">
        <v>57</v>
      </c>
      <c r="I209" t="str">
        <f>VLOOKUP(A209,Setores!$A$2:$C$215,2,0)</f>
        <v>consumer_durables</v>
      </c>
      <c r="J209" t="str">
        <f>VLOOKUP(A209,Setores!$A$2:$C$215,3,0)</f>
        <v>very_high_beta</v>
      </c>
      <c r="K209" s="2">
        <v>0</v>
      </c>
      <c r="L209" s="2">
        <v>-1E-3</v>
      </c>
      <c r="M209" s="71">
        <v>80</v>
      </c>
      <c r="N209" s="41">
        <f>VLOOKUP(A209,'Mandato Smll'!$A$2:$C$215,2,0)</f>
        <v>0</v>
      </c>
      <c r="O209" s="58">
        <f t="shared" si="25"/>
        <v>0</v>
      </c>
      <c r="P209" s="42">
        <f t="shared" si="26"/>
        <v>0</v>
      </c>
      <c r="Q209" s="41">
        <f>VLOOKUP(A209,'Mandato Smll'!$A$2:$C$215,3,0)</f>
        <v>0</v>
      </c>
      <c r="R209" s="58">
        <f t="shared" si="27"/>
        <v>0</v>
      </c>
      <c r="S209" s="15">
        <v>-0.80200000000000005</v>
      </c>
      <c r="T209" s="15">
        <v>-0.76600000000000001</v>
      </c>
      <c r="U209" s="15">
        <v>-0.53300000000000003</v>
      </c>
      <c r="V209" s="15">
        <v>-0.88200000000000001</v>
      </c>
      <c r="W209" s="15">
        <v>-0.79600000000000004</v>
      </c>
      <c r="X209" s="15">
        <v>-0.93200000000000005</v>
      </c>
      <c r="Y209" s="15">
        <v>-0.93200000000000005</v>
      </c>
      <c r="Z209" s="15">
        <v>-0.99299999999999999</v>
      </c>
      <c r="AA209" s="15">
        <v>-0.74099999999999999</v>
      </c>
      <c r="AB209" s="15">
        <v>-0.74099999999999999</v>
      </c>
      <c r="AC209" s="15">
        <v>-0.66400000000000003</v>
      </c>
      <c r="AD209" s="15">
        <v>-0.91800000000000004</v>
      </c>
      <c r="AE209" s="15">
        <v>-0.312</v>
      </c>
      <c r="AF209" s="14">
        <v>-0.624</v>
      </c>
      <c r="AG209" s="15">
        <v>4.9000000000000002E-2</v>
      </c>
      <c r="AH209" s="15">
        <v>-0.59</v>
      </c>
      <c r="AI209" s="15">
        <v>0.624</v>
      </c>
      <c r="AJ209" s="15">
        <v>-0.4</v>
      </c>
      <c r="AK209" s="9">
        <v>-0.56699999999999995</v>
      </c>
      <c r="AL209" s="4">
        <v>0.85299999999999998</v>
      </c>
      <c r="AM209" s="4">
        <v>-1</v>
      </c>
      <c r="AN209" s="4">
        <v>-3.7999999999999999E-2</v>
      </c>
      <c r="AO209" s="4">
        <v>-0.23699999999999999</v>
      </c>
      <c r="AP209" s="4">
        <v>-0.87</v>
      </c>
      <c r="AQ209" s="4">
        <v>-0.49</v>
      </c>
      <c r="AR209" s="4">
        <v>-0.32600000000000001</v>
      </c>
      <c r="AS209" s="4">
        <v>-0.42899999999999999</v>
      </c>
      <c r="AT209" s="4">
        <v>0.159</v>
      </c>
      <c r="AU209" s="4">
        <v>-0.246</v>
      </c>
      <c r="AV209" s="4">
        <v>-0.27700000000000002</v>
      </c>
      <c r="AW209" s="4">
        <v>-0.41399999999999998</v>
      </c>
      <c r="AX209" s="4">
        <v>-0.98099999999999998</v>
      </c>
      <c r="AY209" s="4">
        <v>-0.80500000000000005</v>
      </c>
      <c r="AZ209" s="4">
        <v>-0.92200000000000004</v>
      </c>
      <c r="BA209" s="4">
        <v>-1</v>
      </c>
      <c r="BB209" s="4">
        <v>0.14099999999999999</v>
      </c>
      <c r="BC209" s="4">
        <v>0.66300000000000003</v>
      </c>
      <c r="BD209" s="4">
        <v>0.85299999999999998</v>
      </c>
      <c r="BE209" s="4">
        <v>0.28199999999999997</v>
      </c>
      <c r="BF209" s="4">
        <v>1</v>
      </c>
      <c r="BG209" s="4">
        <v>4.4999999999999998E-2</v>
      </c>
      <c r="BH209" s="4">
        <v>-0.193</v>
      </c>
      <c r="BI209" s="4">
        <v>1</v>
      </c>
      <c r="BJ209" s="4">
        <v>0.56499999999999995</v>
      </c>
      <c r="BK209" s="4">
        <v>0.14000000000000001</v>
      </c>
      <c r="BL209" s="4">
        <v>0.25800000000000001</v>
      </c>
      <c r="BM209" s="4"/>
    </row>
    <row r="210" spans="1:65" x14ac:dyDescent="0.3">
      <c r="A210" s="19" t="s">
        <v>255</v>
      </c>
      <c r="B210" s="53">
        <v>0</v>
      </c>
      <c r="C210" s="53">
        <f t="shared" si="22"/>
        <v>0</v>
      </c>
      <c r="D210" s="53">
        <f t="shared" si="23"/>
        <v>0</v>
      </c>
      <c r="E210" s="53">
        <f t="shared" si="24"/>
        <v>0</v>
      </c>
      <c r="F210" s="15">
        <v>0.48899999999999999</v>
      </c>
      <c r="G210" s="19">
        <v>0.51</v>
      </c>
      <c r="H210" s="24" t="s">
        <v>57</v>
      </c>
      <c r="I210" t="str">
        <f>VLOOKUP(A210,Setores!$A$2:$C$215,2,0)</f>
        <v>education</v>
      </c>
      <c r="J210" t="str">
        <f>VLOOKUP(A210,Setores!$A$2:$C$215,3,0)</f>
        <v>neutral_beta</v>
      </c>
      <c r="K210" s="2">
        <v>0</v>
      </c>
      <c r="L210" s="2">
        <v>0</v>
      </c>
      <c r="M210" s="71">
        <v>80</v>
      </c>
      <c r="N210" s="41">
        <f>VLOOKUP(A210,'Mandato Smll'!$A$2:$C$215,2,0)</f>
        <v>0</v>
      </c>
      <c r="O210" s="58">
        <f t="shared" si="25"/>
        <v>0</v>
      </c>
      <c r="P210" s="42">
        <f t="shared" si="26"/>
        <v>0</v>
      </c>
      <c r="Q210" s="41">
        <f>VLOOKUP(A210,'Mandato Smll'!$A$2:$C$215,3,0)</f>
        <v>0</v>
      </c>
      <c r="R210" s="58">
        <f t="shared" si="27"/>
        <v>0</v>
      </c>
      <c r="S210" s="15">
        <v>-0.86499999999999999</v>
      </c>
      <c r="T210" s="15">
        <v>-0.96099999999999997</v>
      </c>
      <c r="U210" s="15">
        <v>-0.86199999999999999</v>
      </c>
      <c r="V210" s="15">
        <v>-0.92100000000000004</v>
      </c>
      <c r="W210" s="15">
        <v>-0.97</v>
      </c>
      <c r="X210" s="15">
        <v>-0.89200000000000002</v>
      </c>
      <c r="Y210" s="15">
        <v>-0.86599999999999999</v>
      </c>
      <c r="Z210" s="15">
        <v>-0.96499999999999997</v>
      </c>
      <c r="AA210" s="15">
        <v>-0.89</v>
      </c>
      <c r="AB210" s="15">
        <v>-0.89300000000000002</v>
      </c>
      <c r="AC210" s="15">
        <v>0.111</v>
      </c>
      <c r="AD210" s="15">
        <v>5.0000000000000001E-3</v>
      </c>
      <c r="AE210" s="15">
        <v>-0.63400000000000001</v>
      </c>
      <c r="AF210" s="14">
        <v>-1</v>
      </c>
      <c r="AG210" s="15">
        <v>-2.5999999999999999E-2</v>
      </c>
      <c r="AH210" s="15">
        <v>-1</v>
      </c>
      <c r="AI210" s="15">
        <v>-0.77400000000000002</v>
      </c>
      <c r="AJ210" s="15">
        <v>0.48899999999999999</v>
      </c>
      <c r="AK210" s="9">
        <v>-0.60899999999999999</v>
      </c>
      <c r="AL210" s="4">
        <v>-1</v>
      </c>
      <c r="AM210" s="4">
        <v>-0.75800000000000001</v>
      </c>
      <c r="AN210" s="4">
        <v>-0.83499999999999996</v>
      </c>
      <c r="AO210" s="4">
        <v>0.2</v>
      </c>
      <c r="AP210" s="4">
        <v>-0.81899999999999995</v>
      </c>
      <c r="AQ210" s="4">
        <v>0.63200000000000001</v>
      </c>
      <c r="AR210" s="4">
        <v>0.57799999999999996</v>
      </c>
      <c r="AS210" s="4">
        <v>0.28199999999999997</v>
      </c>
      <c r="AT210" s="4">
        <v>0.17799999999999999</v>
      </c>
      <c r="AU210" s="4">
        <v>-1</v>
      </c>
      <c r="AV210" s="4">
        <v>-0.02</v>
      </c>
      <c r="AW210" s="4">
        <v>-0.39300000000000002</v>
      </c>
      <c r="AX210" s="4">
        <v>-1.7999999999999999E-2</v>
      </c>
      <c r="AY210" s="4">
        <v>-0.34699999999999998</v>
      </c>
      <c r="AZ210" s="4">
        <v>-0.13</v>
      </c>
      <c r="BA210" s="4">
        <v>0.39</v>
      </c>
      <c r="BB210" s="4">
        <v>0.71899999999999997</v>
      </c>
      <c r="BC210" s="4">
        <v>-0.60899999999999999</v>
      </c>
      <c r="BD210" s="4">
        <v>-0.27700000000000002</v>
      </c>
      <c r="BE210" s="4">
        <v>-0.308</v>
      </c>
      <c r="BF210" s="4">
        <v>-0.66900000000000004</v>
      </c>
      <c r="BG210" s="4">
        <v>-0.45200000000000001</v>
      </c>
      <c r="BH210" s="4">
        <v>-0.26900000000000002</v>
      </c>
      <c r="BI210" s="4">
        <v>-0.44500000000000001</v>
      </c>
      <c r="BJ210" s="4">
        <v>-0.188</v>
      </c>
      <c r="BK210" s="4">
        <v>0.54700000000000004</v>
      </c>
      <c r="BL210" s="4">
        <v>0.17799999999999999</v>
      </c>
      <c r="BM210" s="4"/>
    </row>
    <row r="211" spans="1:65" x14ac:dyDescent="0.3">
      <c r="A211" s="19" t="s">
        <v>256</v>
      </c>
      <c r="B211" s="53">
        <v>0</v>
      </c>
      <c r="C211" s="53">
        <f t="shared" si="22"/>
        <v>0</v>
      </c>
      <c r="D211" s="53">
        <f t="shared" si="23"/>
        <v>0</v>
      </c>
      <c r="E211" s="53">
        <f t="shared" si="24"/>
        <v>0</v>
      </c>
      <c r="F211" s="15">
        <v>0.48499999999999999</v>
      </c>
      <c r="G211" s="19">
        <v>0.35299999999999998</v>
      </c>
      <c r="H211" s="24" t="s">
        <v>68</v>
      </c>
      <c r="I211" t="str">
        <f>VLOOKUP(A211,Setores!$A$2:$C$215,2,0)</f>
        <v>building_materials</v>
      </c>
      <c r="J211" t="str">
        <f>VLOOKUP(A211,Setores!$A$2:$C$215,3,0)</f>
        <v>very_low_beta</v>
      </c>
      <c r="K211" s="2">
        <v>0</v>
      </c>
      <c r="L211" s="2">
        <v>0</v>
      </c>
      <c r="M211" s="71">
        <v>80</v>
      </c>
      <c r="N211" s="41">
        <f>VLOOKUP(A211,'Mandato Smll'!$A$2:$C$215,2,0)</f>
        <v>0</v>
      </c>
      <c r="O211" s="58">
        <f t="shared" si="25"/>
        <v>0</v>
      </c>
      <c r="P211" s="42">
        <f t="shared" si="26"/>
        <v>0</v>
      </c>
      <c r="Q211" s="41">
        <f>VLOOKUP(A211,'Mandato Smll'!$A$2:$C$215,3,0)</f>
        <v>0</v>
      </c>
      <c r="R211" s="58">
        <f t="shared" si="27"/>
        <v>0</v>
      </c>
      <c r="S211" s="15">
        <v>-1</v>
      </c>
      <c r="T211" s="15">
        <v>-1</v>
      </c>
      <c r="U211" s="15">
        <v>-0.92900000000000005</v>
      </c>
      <c r="V211" s="15">
        <v>-1</v>
      </c>
      <c r="W211" s="15">
        <v>-1</v>
      </c>
      <c r="X211" s="15">
        <v>-1</v>
      </c>
      <c r="Y211" s="15">
        <v>-0.995</v>
      </c>
      <c r="Z211" s="15">
        <v>-1</v>
      </c>
      <c r="AA211" s="15">
        <v>-1</v>
      </c>
      <c r="AB211" s="15">
        <v>-1</v>
      </c>
      <c r="AC211" s="15">
        <v>-7.1999999999999995E-2</v>
      </c>
      <c r="AD211" s="15">
        <v>-6.3E-2</v>
      </c>
      <c r="AE211" s="15">
        <v>-0.441</v>
      </c>
      <c r="AF211" s="14">
        <v>-1</v>
      </c>
      <c r="AG211" s="15">
        <v>-1</v>
      </c>
      <c r="AH211" s="15">
        <v>-1</v>
      </c>
      <c r="AI211" s="15">
        <v>-0.60199999999999998</v>
      </c>
      <c r="AJ211" s="15">
        <v>-0.49299999999999999</v>
      </c>
      <c r="AK211" s="9">
        <v>-0.57799999999999996</v>
      </c>
      <c r="AL211" s="4">
        <v>-0.56000000000000005</v>
      </c>
      <c r="AM211" s="4">
        <v>-1</v>
      </c>
      <c r="AN211" s="4">
        <v>-0.45100000000000001</v>
      </c>
      <c r="AO211" s="4">
        <v>-1</v>
      </c>
      <c r="AP211" s="4">
        <v>-0.95299999999999996</v>
      </c>
      <c r="AQ211" s="4">
        <v>-0.95099999999999996</v>
      </c>
      <c r="AR211" s="4">
        <v>-0.71399999999999997</v>
      </c>
      <c r="AS211" s="4">
        <v>-5.2999999999999999E-2</v>
      </c>
      <c r="AT211" s="4">
        <v>-0.109</v>
      </c>
      <c r="AU211" s="4">
        <v>-0.56299999999999994</v>
      </c>
      <c r="AV211" s="4">
        <v>-0.66500000000000004</v>
      </c>
      <c r="AW211" s="4">
        <v>-1</v>
      </c>
      <c r="AX211" s="4">
        <v>-0.28100000000000003</v>
      </c>
      <c r="AY211" s="4">
        <v>-0.314</v>
      </c>
      <c r="AZ211" s="4">
        <v>-0.39300000000000002</v>
      </c>
      <c r="BA211" s="4">
        <v>-0.15</v>
      </c>
      <c r="BB211" s="4">
        <v>3.3000000000000002E-2</v>
      </c>
      <c r="BC211" s="4">
        <v>0.46600000000000003</v>
      </c>
      <c r="BD211" s="4">
        <v>0.26600000000000001</v>
      </c>
      <c r="BE211" s="4">
        <v>9.9000000000000005E-2</v>
      </c>
      <c r="BF211" s="4">
        <v>0.63500000000000001</v>
      </c>
      <c r="BG211" s="4">
        <v>4.1000000000000002E-2</v>
      </c>
      <c r="BH211" s="4">
        <v>6.3E-2</v>
      </c>
      <c r="BI211" s="4">
        <v>0.67200000000000004</v>
      </c>
      <c r="BJ211" s="4">
        <v>-7.2999999999999995E-2</v>
      </c>
      <c r="BK211" s="4">
        <v>0.88700000000000001</v>
      </c>
      <c r="BL211" s="4">
        <v>1</v>
      </c>
      <c r="BM211" s="4"/>
    </row>
    <row r="212" spans="1:65" x14ac:dyDescent="0.3">
      <c r="A212" s="19" t="s">
        <v>198</v>
      </c>
      <c r="B212" s="53">
        <v>0</v>
      </c>
      <c r="C212" s="53">
        <f t="shared" si="22"/>
        <v>-2E-3</v>
      </c>
      <c r="D212" s="53">
        <f t="shared" si="23"/>
        <v>0</v>
      </c>
      <c r="E212" s="53">
        <f t="shared" si="24"/>
        <v>2E-3</v>
      </c>
      <c r="F212" s="15">
        <v>0.48199999999999998</v>
      </c>
      <c r="G212" s="19">
        <v>0.33600000000000002</v>
      </c>
      <c r="H212" s="24" t="s">
        <v>57</v>
      </c>
      <c r="I212" t="str">
        <f>VLOOKUP(A212,Setores!$A$2:$C$215,2,0)</f>
        <v>consumer_services</v>
      </c>
      <c r="J212" t="str">
        <f>VLOOKUP(A212,Setores!$A$2:$C$215,3,0)</f>
        <v>high_beta</v>
      </c>
      <c r="K212" s="2">
        <v>0</v>
      </c>
      <c r="L212" s="2">
        <v>-2E-3</v>
      </c>
      <c r="M212" s="71">
        <v>80</v>
      </c>
      <c r="N212" s="41">
        <f>VLOOKUP(A212,'Mandato Smll'!$A$2:$C$215,2,0)</f>
        <v>0</v>
      </c>
      <c r="O212" s="58">
        <f t="shared" si="25"/>
        <v>0</v>
      </c>
      <c r="P212" s="42">
        <f t="shared" si="26"/>
        <v>0</v>
      </c>
      <c r="Q212" s="41">
        <f>VLOOKUP(A212,'Mandato Smll'!$A$2:$C$215,3,0)</f>
        <v>0</v>
      </c>
      <c r="R212" s="58">
        <f t="shared" si="27"/>
        <v>0</v>
      </c>
      <c r="S212" s="15">
        <v>-0.83</v>
      </c>
      <c r="T212" s="15">
        <v>-0.82799999999999996</v>
      </c>
      <c r="U212" s="15">
        <v>-0.64800000000000002</v>
      </c>
      <c r="V212" s="15">
        <v>-0.81100000000000005</v>
      </c>
      <c r="W212" s="15">
        <v>-0.76400000000000001</v>
      </c>
      <c r="X212" s="15">
        <v>-0.95599999999999996</v>
      </c>
      <c r="Y212" s="15">
        <v>-0.96199999999999997</v>
      </c>
      <c r="Z212" s="15">
        <v>-0.93799999999999994</v>
      </c>
      <c r="AA212" s="15">
        <v>-0.93899999999999995</v>
      </c>
      <c r="AB212" s="15">
        <v>-0.94</v>
      </c>
      <c r="AC212" s="15">
        <v>-0.219</v>
      </c>
      <c r="AD212" s="15">
        <v>-0.24</v>
      </c>
      <c r="AE212" s="15">
        <v>-1</v>
      </c>
      <c r="AF212" s="14">
        <v>-0.36</v>
      </c>
      <c r="AG212" s="15">
        <v>-0.14000000000000001</v>
      </c>
      <c r="AH212" s="15">
        <v>-0.82499999999999996</v>
      </c>
      <c r="AI212" s="15">
        <v>-0.183</v>
      </c>
      <c r="AJ212" s="15">
        <v>-0.14899999999999999</v>
      </c>
      <c r="AK212" s="9">
        <v>1</v>
      </c>
      <c r="AL212" s="4">
        <v>6.7000000000000004E-2</v>
      </c>
      <c r="AM212" s="4">
        <v>-1</v>
      </c>
      <c r="AN212" s="4">
        <v>-0.67800000000000005</v>
      </c>
      <c r="AO212" s="4">
        <v>0.311</v>
      </c>
      <c r="AP212" s="4">
        <v>-0.122</v>
      </c>
      <c r="AQ212" s="4">
        <v>-0.55000000000000004</v>
      </c>
      <c r="AR212" s="4">
        <v>0.745</v>
      </c>
      <c r="AS212" s="4">
        <v>-1</v>
      </c>
      <c r="AT212" s="4">
        <v>-0.56799999999999995</v>
      </c>
      <c r="AU212" s="4">
        <v>-0.126</v>
      </c>
      <c r="AV212" s="4">
        <v>-0.183</v>
      </c>
      <c r="AW212" s="4">
        <v>0.42</v>
      </c>
      <c r="AX212" s="4">
        <v>-0.93100000000000005</v>
      </c>
      <c r="AY212" s="4">
        <v>-0.26800000000000002</v>
      </c>
      <c r="AZ212" s="4">
        <v>-1</v>
      </c>
      <c r="BA212" s="4">
        <v>-1</v>
      </c>
      <c r="BB212" s="4">
        <v>6.6000000000000003E-2</v>
      </c>
      <c r="BC212" s="4">
        <v>5.8000000000000003E-2</v>
      </c>
      <c r="BD212" s="4">
        <v>0.48399999999999999</v>
      </c>
      <c r="BE212" s="4">
        <v>0.47099999999999997</v>
      </c>
      <c r="BF212" s="4">
        <v>-0.41299999999999998</v>
      </c>
      <c r="BG212" s="4">
        <v>-1</v>
      </c>
      <c r="BH212" s="4">
        <v>-1</v>
      </c>
      <c r="BI212" s="4">
        <v>0.71</v>
      </c>
      <c r="BJ212" s="4">
        <v>0.14000000000000001</v>
      </c>
      <c r="BK212" s="4">
        <v>-0.64800000000000002</v>
      </c>
      <c r="BL212" s="4">
        <v>0.82599999999999996</v>
      </c>
      <c r="BM212" s="4"/>
    </row>
    <row r="213" spans="1:65" x14ac:dyDescent="0.3">
      <c r="A213" s="19" t="s">
        <v>261</v>
      </c>
      <c r="B213" s="53">
        <v>0</v>
      </c>
      <c r="C213" s="53">
        <f t="shared" si="22"/>
        <v>-8.9999999999999993E-3</v>
      </c>
      <c r="D213" s="53">
        <f t="shared" si="23"/>
        <v>0</v>
      </c>
      <c r="E213" s="53">
        <f t="shared" si="24"/>
        <v>8.9999999999999993E-3</v>
      </c>
      <c r="F213" s="15">
        <v>0.47799999999999998</v>
      </c>
      <c r="G213" s="19">
        <v>0.34300000000000003</v>
      </c>
      <c r="H213" s="24" t="s">
        <v>68</v>
      </c>
      <c r="I213" t="str">
        <f>VLOOKUP(A213,Setores!$A$2:$C$215,2,0)</f>
        <v>chemicals</v>
      </c>
      <c r="J213" t="str">
        <f>VLOOKUP(A213,Setores!$A$2:$C$215,3,0)</f>
        <v>very_low_beta</v>
      </c>
      <c r="K213" s="2">
        <v>0</v>
      </c>
      <c r="L213" s="2">
        <v>-8.9999999999999993E-3</v>
      </c>
      <c r="M213" s="71">
        <v>71</v>
      </c>
      <c r="N213" s="41">
        <f>VLOOKUP(A213,'Mandato Smll'!$A$2:$C$215,2,0)</f>
        <v>0</v>
      </c>
      <c r="O213" s="58">
        <f t="shared" si="25"/>
        <v>0</v>
      </c>
      <c r="P213" s="42">
        <f t="shared" si="26"/>
        <v>0</v>
      </c>
      <c r="Q213" s="41">
        <f>VLOOKUP(A213,'Mandato Smll'!$A$2:$C$215,3,0)</f>
        <v>0</v>
      </c>
      <c r="R213" s="58">
        <f t="shared" si="27"/>
        <v>0</v>
      </c>
      <c r="S213" s="15">
        <v>-1</v>
      </c>
      <c r="T213" s="15">
        <v>-0.94299999999999995</v>
      </c>
      <c r="U213" s="15">
        <v>-1</v>
      </c>
      <c r="V213" s="15">
        <v>-1</v>
      </c>
      <c r="W213" s="15">
        <v>-1</v>
      </c>
      <c r="X213" s="15">
        <v>-1</v>
      </c>
      <c r="Y213" s="15">
        <v>-1</v>
      </c>
      <c r="Z213" s="15">
        <v>-0.97299999999999998</v>
      </c>
      <c r="AA213" s="15">
        <v>-0.94099999999999995</v>
      </c>
      <c r="AB213" s="15">
        <v>-0.93500000000000005</v>
      </c>
      <c r="AC213" s="15">
        <v>-1</v>
      </c>
      <c r="AD213" s="15">
        <v>-0.73499999999999999</v>
      </c>
      <c r="AE213" s="15">
        <v>-0.55900000000000005</v>
      </c>
      <c r="AF213" s="14">
        <v>-1</v>
      </c>
      <c r="AG213" s="15">
        <v>-1</v>
      </c>
      <c r="AH213" s="15">
        <v>-0.872</v>
      </c>
      <c r="AI213" s="15">
        <v>-0.96399999999999997</v>
      </c>
      <c r="AJ213" s="15">
        <v>-0.29599999999999999</v>
      </c>
      <c r="AK213" s="9">
        <v>-0.93400000000000005</v>
      </c>
      <c r="AL213" s="4">
        <v>-0.79300000000000004</v>
      </c>
      <c r="AM213" s="4">
        <v>-1</v>
      </c>
      <c r="AN213" s="4">
        <v>-0.64800000000000002</v>
      </c>
      <c r="AO213" s="4">
        <v>-0.69699999999999995</v>
      </c>
      <c r="AP213" s="4">
        <v>0.42299999999999999</v>
      </c>
      <c r="AQ213" s="4">
        <v>0.41899999999999998</v>
      </c>
      <c r="AR213" s="4">
        <v>-0.441</v>
      </c>
      <c r="AS213" s="4">
        <v>0.79200000000000004</v>
      </c>
      <c r="AT213" s="4">
        <v>0.123</v>
      </c>
      <c r="AU213" s="4">
        <v>-0.60799999999999998</v>
      </c>
      <c r="AV213" s="4">
        <v>-0.95699999999999996</v>
      </c>
      <c r="AW213" s="4">
        <v>-1</v>
      </c>
      <c r="AX213" s="4">
        <v>-0.55800000000000005</v>
      </c>
      <c r="AY213" s="4">
        <v>-0.42499999999999999</v>
      </c>
      <c r="AZ213" s="4">
        <v>-0.35</v>
      </c>
      <c r="BA213" s="4">
        <v>-0.95699999999999996</v>
      </c>
      <c r="BB213" s="4">
        <v>-4.2999999999999997E-2</v>
      </c>
      <c r="BC213" s="4">
        <v>0.745</v>
      </c>
      <c r="BD213" s="4">
        <v>0.36099999999999999</v>
      </c>
      <c r="BE213" s="4">
        <v>0.40500000000000003</v>
      </c>
      <c r="BF213" s="4">
        <v>-1</v>
      </c>
      <c r="BG213" s="4">
        <v>-1</v>
      </c>
      <c r="BH213" s="4">
        <v>-1</v>
      </c>
      <c r="BI213" s="4">
        <v>0.71299999999999997</v>
      </c>
      <c r="BJ213" s="4">
        <v>-0.77400000000000002</v>
      </c>
      <c r="BK213" s="4">
        <v>-6.9000000000000006E-2</v>
      </c>
      <c r="BL213" s="4">
        <v>-0.315</v>
      </c>
      <c r="BM213" s="4"/>
    </row>
    <row r="214" spans="1:65" x14ac:dyDescent="0.3">
      <c r="A214" s="19" t="s">
        <v>263</v>
      </c>
      <c r="B214" s="53">
        <v>0</v>
      </c>
      <c r="C214" s="53">
        <f t="shared" si="22"/>
        <v>0</v>
      </c>
      <c r="D214" s="53">
        <f t="shared" si="23"/>
        <v>0</v>
      </c>
      <c r="E214" s="53">
        <f t="shared" si="24"/>
        <v>0</v>
      </c>
      <c r="F214" s="15">
        <v>0.47699999999999998</v>
      </c>
      <c r="G214" s="19">
        <v>0.32600000000000001</v>
      </c>
      <c r="H214" s="24" t="s">
        <v>68</v>
      </c>
      <c r="I214" t="str">
        <f>VLOOKUP(A214,Setores!$A$2:$C$215,2,0)</f>
        <v>capital_goods</v>
      </c>
      <c r="J214" t="str">
        <f>VLOOKUP(A214,Setores!$A$2:$C$215,3,0)</f>
        <v>very_low_beta</v>
      </c>
      <c r="K214" s="2">
        <v>0</v>
      </c>
      <c r="L214" s="2">
        <v>0</v>
      </c>
      <c r="M214" s="71">
        <v>80</v>
      </c>
      <c r="N214" s="41">
        <f>VLOOKUP(A214,'Mandato Smll'!$A$2:$C$215,2,0)</f>
        <v>0</v>
      </c>
      <c r="O214" s="58">
        <f t="shared" si="25"/>
        <v>0</v>
      </c>
      <c r="P214" s="42">
        <f t="shared" si="26"/>
        <v>0</v>
      </c>
      <c r="Q214" s="41">
        <f>VLOOKUP(A214,'Mandato Smll'!$A$2:$C$215,3,0)</f>
        <v>0</v>
      </c>
      <c r="R214" s="58">
        <f t="shared" si="27"/>
        <v>0</v>
      </c>
      <c r="S214" s="15">
        <v>-1</v>
      </c>
      <c r="T214" s="15">
        <v>-1</v>
      </c>
      <c r="U214" s="15">
        <v>-1</v>
      </c>
      <c r="V214" s="15">
        <v>-1</v>
      </c>
      <c r="W214" s="15">
        <v>-1</v>
      </c>
      <c r="X214" s="15">
        <v>-1</v>
      </c>
      <c r="Y214" s="15">
        <v>-1</v>
      </c>
      <c r="Z214" s="15">
        <v>-1</v>
      </c>
      <c r="AA214" s="15">
        <v>-1</v>
      </c>
      <c r="AB214" s="15">
        <v>-1</v>
      </c>
      <c r="AC214" s="15">
        <v>-1</v>
      </c>
      <c r="AD214" s="15">
        <v>-1</v>
      </c>
      <c r="AE214" s="15">
        <v>-1</v>
      </c>
      <c r="AF214" s="14">
        <v>-1</v>
      </c>
      <c r="AG214" s="15">
        <v>-1</v>
      </c>
      <c r="AH214" s="15">
        <v>-1</v>
      </c>
      <c r="AI214" s="15">
        <v>-0.59599999999999997</v>
      </c>
      <c r="AJ214" s="15">
        <v>0.66100000000000003</v>
      </c>
      <c r="AK214" s="9">
        <v>-0.57799999999999996</v>
      </c>
      <c r="AL214" s="4">
        <v>-0.96599999999999997</v>
      </c>
      <c r="AM214" s="4">
        <v>-1</v>
      </c>
      <c r="AN214" s="4">
        <v>-1</v>
      </c>
      <c r="AO214" s="4">
        <v>-0.51400000000000001</v>
      </c>
      <c r="AP214" s="4">
        <v>0.187</v>
      </c>
      <c r="AQ214" s="4">
        <v>-1</v>
      </c>
      <c r="AR214" s="4">
        <v>-0.59399999999999997</v>
      </c>
      <c r="AS214" s="4">
        <v>1.0999999999999999E-2</v>
      </c>
      <c r="AT214" s="4">
        <v>0.23599999999999999</v>
      </c>
      <c r="AU214" s="4">
        <v>-1</v>
      </c>
      <c r="AV214" s="4">
        <v>-1</v>
      </c>
      <c r="AW214" s="4">
        <v>-1</v>
      </c>
      <c r="AX214" s="4">
        <v>-0.32800000000000001</v>
      </c>
      <c r="AY214" s="4">
        <v>-0.70799999999999996</v>
      </c>
      <c r="AZ214" s="4">
        <v>-0.45600000000000002</v>
      </c>
      <c r="BA214" s="4">
        <v>-1</v>
      </c>
      <c r="BB214" s="4">
        <v>0.32900000000000001</v>
      </c>
      <c r="BC214" s="4">
        <v>0.32100000000000001</v>
      </c>
      <c r="BD214" s="4">
        <v>-0.28799999999999998</v>
      </c>
      <c r="BE214" s="4">
        <v>0.34200000000000003</v>
      </c>
      <c r="BF214" s="4">
        <v>1</v>
      </c>
      <c r="BG214" s="4">
        <v>-1</v>
      </c>
      <c r="BH214" s="4">
        <v>-1</v>
      </c>
      <c r="BI214" s="4">
        <v>0.74199999999999999</v>
      </c>
      <c r="BJ214" s="4">
        <v>-0.27900000000000003</v>
      </c>
      <c r="BK214" s="4">
        <v>-0.50900000000000001</v>
      </c>
      <c r="BL214" s="4">
        <v>1</v>
      </c>
      <c r="BM214" s="4"/>
    </row>
    <row r="215" spans="1:65" x14ac:dyDescent="0.3">
      <c r="A215" s="19" t="s">
        <v>175</v>
      </c>
      <c r="B215" s="53">
        <v>0</v>
      </c>
      <c r="C215" s="53">
        <f t="shared" si="22"/>
        <v>0</v>
      </c>
      <c r="D215" s="53">
        <f t="shared" si="23"/>
        <v>0</v>
      </c>
      <c r="E215" s="53">
        <f t="shared" si="24"/>
        <v>0</v>
      </c>
      <c r="F215" s="15">
        <v>0.47699999999999998</v>
      </c>
      <c r="G215" s="19">
        <v>0.33100000000000002</v>
      </c>
      <c r="H215" s="24" t="s">
        <v>53</v>
      </c>
      <c r="I215" t="str">
        <f>VLOOKUP(A215,Setores!$A$2:$C$215,2,0)</f>
        <v>consumer_staples</v>
      </c>
      <c r="J215" t="str">
        <f>VLOOKUP(A215,Setores!$A$2:$C$215,3,0)</f>
        <v>very_high_beta</v>
      </c>
      <c r="K215" s="2">
        <v>0</v>
      </c>
      <c r="L215" s="2">
        <v>0</v>
      </c>
      <c r="M215" s="71">
        <v>80</v>
      </c>
      <c r="N215" s="41">
        <f>VLOOKUP(A215,'Mandato Smll'!$A$2:$C$215,2,0)</f>
        <v>0</v>
      </c>
      <c r="O215" s="58">
        <f t="shared" si="25"/>
        <v>0</v>
      </c>
      <c r="P215" s="42">
        <f t="shared" si="26"/>
        <v>0</v>
      </c>
      <c r="Q215" s="41">
        <f>VLOOKUP(A215,'Mandato Smll'!$A$2:$C$215,3,0)</f>
        <v>0</v>
      </c>
      <c r="R215" s="58">
        <f t="shared" si="27"/>
        <v>0</v>
      </c>
      <c r="S215" s="15">
        <v>-0.92700000000000005</v>
      </c>
      <c r="T215" s="15">
        <v>-0.95</v>
      </c>
      <c r="U215" s="15">
        <v>-0.80100000000000005</v>
      </c>
      <c r="V215" s="15">
        <v>-0.92800000000000005</v>
      </c>
      <c r="W215" s="15">
        <v>-0.91100000000000003</v>
      </c>
      <c r="X215" s="15">
        <v>-0.99299999999999999</v>
      </c>
      <c r="Y215" s="15">
        <v>-1</v>
      </c>
      <c r="Z215" s="15">
        <v>-1</v>
      </c>
      <c r="AA215" s="15">
        <v>-1</v>
      </c>
      <c r="AB215" s="15">
        <v>-1</v>
      </c>
      <c r="AC215" s="15">
        <v>-0.62</v>
      </c>
      <c r="AD215" s="15">
        <v>-0.98699999999999999</v>
      </c>
      <c r="AE215" s="15">
        <v>-1</v>
      </c>
      <c r="AF215" s="14">
        <v>-0.47899999999999998</v>
      </c>
      <c r="AG215" s="15">
        <v>-2.1999999999999999E-2</v>
      </c>
      <c r="AH215" s="15">
        <v>-0.69799999999999995</v>
      </c>
      <c r="AI215" s="15">
        <v>0.60899999999999999</v>
      </c>
      <c r="AJ215" s="15">
        <v>-0.38300000000000001</v>
      </c>
      <c r="AK215" s="9">
        <v>-0.29799999999999999</v>
      </c>
      <c r="AL215" s="4">
        <v>0.59499999999999997</v>
      </c>
      <c r="AM215" s="4">
        <v>-1</v>
      </c>
      <c r="AN215" s="4">
        <v>-0.22500000000000001</v>
      </c>
      <c r="AO215" s="4">
        <v>-0.33200000000000002</v>
      </c>
      <c r="AP215" s="4">
        <v>-0.82899999999999996</v>
      </c>
      <c r="AQ215" s="4">
        <v>-0.60299999999999998</v>
      </c>
      <c r="AR215" s="4">
        <v>-0.20699999999999999</v>
      </c>
      <c r="AS215" s="4">
        <v>-1</v>
      </c>
      <c r="AT215" s="4">
        <v>-0.53800000000000003</v>
      </c>
      <c r="AU215" s="4">
        <v>-0.48899999999999999</v>
      </c>
      <c r="AV215" s="4">
        <v>-0.81899999999999995</v>
      </c>
      <c r="AW215" s="4">
        <v>-9.6000000000000002E-2</v>
      </c>
      <c r="AX215" s="4">
        <v>-0.62</v>
      </c>
      <c r="AY215" s="4">
        <v>-0.437</v>
      </c>
      <c r="AZ215" s="4">
        <v>-0.501</v>
      </c>
      <c r="BA215" s="4">
        <v>-0.60599999999999998</v>
      </c>
      <c r="BB215" s="4">
        <v>0.38100000000000001</v>
      </c>
      <c r="BC215" s="4">
        <v>0.70199999999999996</v>
      </c>
      <c r="BD215" s="4">
        <v>0.53100000000000003</v>
      </c>
      <c r="BE215" s="4">
        <v>0.33200000000000002</v>
      </c>
      <c r="BF215" s="4">
        <v>-0.34300000000000003</v>
      </c>
      <c r="BG215" s="4">
        <v>-0.34</v>
      </c>
      <c r="BH215" s="4">
        <v>-0.94</v>
      </c>
      <c r="BI215" s="4">
        <v>0.35799999999999998</v>
      </c>
      <c r="BJ215" s="4">
        <v>0.58699999999999997</v>
      </c>
      <c r="BK215" s="4">
        <v>-0.59499999999999997</v>
      </c>
      <c r="BL215" s="4">
        <v>0.752</v>
      </c>
      <c r="BM215" s="4"/>
    </row>
    <row r="216" spans="1:65" x14ac:dyDescent="0.3">
      <c r="A216" s="19" t="s">
        <v>259</v>
      </c>
      <c r="B216" s="53">
        <v>0</v>
      </c>
      <c r="C216" s="53">
        <f t="shared" si="22"/>
        <v>-1E-3</v>
      </c>
      <c r="D216" s="53">
        <f t="shared" si="23"/>
        <v>0</v>
      </c>
      <c r="E216" s="53">
        <f t="shared" si="24"/>
        <v>1E-3</v>
      </c>
      <c r="F216" s="15">
        <v>0.47699999999999998</v>
      </c>
      <c r="G216" s="19">
        <v>0.32700000000000001</v>
      </c>
      <c r="H216" s="24" t="s">
        <v>57</v>
      </c>
      <c r="I216" t="str">
        <f>VLOOKUP(A216,Setores!$A$2:$C$215,2,0)</f>
        <v>homebuilders</v>
      </c>
      <c r="J216" t="str">
        <f>VLOOKUP(A216,Setores!$A$2:$C$215,3,0)</f>
        <v>low_beta</v>
      </c>
      <c r="K216" s="2">
        <v>0</v>
      </c>
      <c r="L216" s="2">
        <v>-1E-3</v>
      </c>
      <c r="M216" s="71">
        <v>80</v>
      </c>
      <c r="N216" s="41">
        <f>VLOOKUP(A216,'Mandato Smll'!$A$2:$C$215,2,0)</f>
        <v>0</v>
      </c>
      <c r="O216" s="58">
        <f t="shared" si="25"/>
        <v>0</v>
      </c>
      <c r="P216" s="42">
        <f t="shared" si="26"/>
        <v>0</v>
      </c>
      <c r="Q216" s="41">
        <f>VLOOKUP(A216,'Mandato Smll'!$A$2:$C$215,3,0)</f>
        <v>0</v>
      </c>
      <c r="R216" s="58">
        <f t="shared" si="27"/>
        <v>0</v>
      </c>
      <c r="S216" s="15">
        <v>-1</v>
      </c>
      <c r="T216" s="15">
        <v>-1</v>
      </c>
      <c r="U216" s="15">
        <v>-0.96599999999999997</v>
      </c>
      <c r="V216" s="15">
        <v>-1</v>
      </c>
      <c r="W216" s="15">
        <v>-1</v>
      </c>
      <c r="X216" s="15">
        <v>-1</v>
      </c>
      <c r="Y216" s="15">
        <v>-1</v>
      </c>
      <c r="Z216" s="15">
        <v>-1</v>
      </c>
      <c r="AA216" s="15">
        <v>-0.98299999999999998</v>
      </c>
      <c r="AB216" s="15">
        <v>-0.97899999999999998</v>
      </c>
      <c r="AC216" s="15">
        <v>-1</v>
      </c>
      <c r="AD216" s="15">
        <v>0.23400000000000001</v>
      </c>
      <c r="AE216" s="15">
        <v>-1</v>
      </c>
      <c r="AF216" s="14">
        <v>-0.91</v>
      </c>
      <c r="AG216" s="15">
        <v>-1</v>
      </c>
      <c r="AH216" s="15">
        <v>-0.96499999999999997</v>
      </c>
      <c r="AI216" s="15">
        <v>0.186</v>
      </c>
      <c r="AJ216" s="15">
        <v>-0.55300000000000005</v>
      </c>
      <c r="AK216" s="9">
        <v>-0.57799999999999996</v>
      </c>
      <c r="AL216" s="4">
        <v>-0.79200000000000004</v>
      </c>
      <c r="AM216" s="4">
        <v>-1</v>
      </c>
      <c r="AN216" s="4">
        <v>1</v>
      </c>
      <c r="AO216" s="4">
        <v>-0.93899999999999995</v>
      </c>
      <c r="AP216" s="4">
        <v>-1</v>
      </c>
      <c r="AQ216" s="4">
        <v>-1</v>
      </c>
      <c r="AR216" s="4">
        <v>-0.94699999999999995</v>
      </c>
      <c r="AS216" s="4">
        <v>-0.76600000000000001</v>
      </c>
      <c r="AT216" s="4">
        <v>-0.28799999999999998</v>
      </c>
      <c r="AU216" s="4">
        <v>-0.80100000000000005</v>
      </c>
      <c r="AV216" s="4">
        <v>-1</v>
      </c>
      <c r="AW216" s="4">
        <v>-1</v>
      </c>
      <c r="AX216" s="4">
        <v>-0.63300000000000001</v>
      </c>
      <c r="AY216" s="4">
        <v>-0.745</v>
      </c>
      <c r="AZ216" s="4">
        <v>-0.71</v>
      </c>
      <c r="BA216" s="4">
        <v>-1</v>
      </c>
      <c r="BB216" s="4">
        <v>-0.22900000000000001</v>
      </c>
      <c r="BC216" s="4">
        <v>0.54300000000000004</v>
      </c>
      <c r="BD216" s="4">
        <v>0.214</v>
      </c>
      <c r="BE216" s="4">
        <v>0.11799999999999999</v>
      </c>
      <c r="BF216" s="4">
        <v>0.157</v>
      </c>
      <c r="BG216" s="4">
        <v>6.8000000000000005E-2</v>
      </c>
      <c r="BH216" s="4">
        <v>-0.92200000000000004</v>
      </c>
      <c r="BI216" s="4">
        <v>1</v>
      </c>
      <c r="BJ216" s="4">
        <v>-1E-3</v>
      </c>
      <c r="BK216" s="4">
        <v>-0.13800000000000001</v>
      </c>
      <c r="BL216" s="4">
        <v>1</v>
      </c>
      <c r="BM216" s="4"/>
    </row>
    <row r="217" spans="1:65" x14ac:dyDescent="0.3">
      <c r="A217" s="19" t="s">
        <v>239</v>
      </c>
      <c r="B217" s="53">
        <v>0</v>
      </c>
      <c r="C217" s="53">
        <f t="shared" si="22"/>
        <v>-1E-3</v>
      </c>
      <c r="D217" s="53">
        <f t="shared" si="23"/>
        <v>0</v>
      </c>
      <c r="E217" s="53">
        <f t="shared" si="24"/>
        <v>1E-3</v>
      </c>
      <c r="F217" s="15">
        <v>0.47699999999999998</v>
      </c>
      <c r="G217" s="19">
        <v>0.32900000000000001</v>
      </c>
      <c r="H217" s="24" t="s">
        <v>57</v>
      </c>
      <c r="I217" t="str">
        <f>VLOOKUP(A217,Setores!$A$2:$C$215,2,0)</f>
        <v>tech</v>
      </c>
      <c r="J217" t="str">
        <f>VLOOKUP(A217,Setores!$A$2:$C$215,3,0)</f>
        <v>high_beta</v>
      </c>
      <c r="K217" s="2">
        <v>0</v>
      </c>
      <c r="L217" s="2">
        <v>-1E-3</v>
      </c>
      <c r="M217" s="71">
        <v>80</v>
      </c>
      <c r="N217" s="41">
        <f>VLOOKUP(A217,'Mandato Smll'!$A$2:$C$215,2,0)</f>
        <v>0</v>
      </c>
      <c r="O217" s="58">
        <f t="shared" si="25"/>
        <v>0</v>
      </c>
      <c r="P217" s="42">
        <f t="shared" si="26"/>
        <v>0</v>
      </c>
      <c r="Q217" s="41">
        <f>VLOOKUP(A217,'Mandato Smll'!$A$2:$C$215,3,0)</f>
        <v>0</v>
      </c>
      <c r="R217" s="58">
        <f t="shared" si="27"/>
        <v>0</v>
      </c>
      <c r="S217" s="15">
        <v>-0.88600000000000001</v>
      </c>
      <c r="T217" s="15">
        <v>-0.86299999999999999</v>
      </c>
      <c r="U217" s="15">
        <v>-0.63400000000000001</v>
      </c>
      <c r="V217" s="15">
        <v>-0.94599999999999995</v>
      </c>
      <c r="W217" s="15">
        <v>-0.89500000000000002</v>
      </c>
      <c r="X217" s="15">
        <v>-0.96</v>
      </c>
      <c r="Y217" s="15">
        <v>-0.97799999999999998</v>
      </c>
      <c r="Z217" s="15">
        <v>-0.97</v>
      </c>
      <c r="AA217" s="15">
        <v>-1</v>
      </c>
      <c r="AB217" s="15">
        <v>-1</v>
      </c>
      <c r="AC217" s="15">
        <v>-0.88200000000000001</v>
      </c>
      <c r="AD217" s="15">
        <v>-1</v>
      </c>
      <c r="AE217" s="15">
        <v>-0.83099999999999996</v>
      </c>
      <c r="AF217" s="14">
        <v>-0.77800000000000002</v>
      </c>
      <c r="AG217" s="15">
        <v>-0.77300000000000002</v>
      </c>
      <c r="AH217" s="15">
        <v>-0.70599999999999996</v>
      </c>
      <c r="AI217" s="15">
        <v>-0.39700000000000002</v>
      </c>
      <c r="AJ217" s="15">
        <v>1</v>
      </c>
      <c r="AK217" s="9">
        <v>1</v>
      </c>
      <c r="AL217" s="4">
        <v>-0.80300000000000005</v>
      </c>
      <c r="AM217" s="4">
        <v>-1</v>
      </c>
      <c r="AN217" s="4">
        <v>-0.47</v>
      </c>
      <c r="AO217" s="4">
        <v>-0.32400000000000001</v>
      </c>
      <c r="AP217" s="4">
        <v>-0.35899999999999999</v>
      </c>
      <c r="AQ217" s="4">
        <v>0.81499999999999995</v>
      </c>
      <c r="AR217" s="4">
        <v>0.26700000000000002</v>
      </c>
      <c r="AS217" s="4">
        <v>-1</v>
      </c>
      <c r="AT217" s="4">
        <v>-0.51400000000000001</v>
      </c>
      <c r="AU217" s="4">
        <v>-0.64300000000000002</v>
      </c>
      <c r="AV217" s="4">
        <v>-0.84399999999999997</v>
      </c>
      <c r="AW217" s="4">
        <v>-0.107</v>
      </c>
      <c r="AX217" s="4">
        <v>-0.66400000000000003</v>
      </c>
      <c r="AY217" s="4">
        <v>0.17399999999999999</v>
      </c>
      <c r="AZ217" s="4">
        <v>-0.247</v>
      </c>
      <c r="BA217" s="4">
        <v>-0.25800000000000001</v>
      </c>
      <c r="BB217" s="4">
        <v>-0.121</v>
      </c>
      <c r="BC217" s="4">
        <v>-0.53900000000000003</v>
      </c>
      <c r="BD217" s="4">
        <v>-0.54500000000000004</v>
      </c>
      <c r="BE217" s="4">
        <v>0.34300000000000003</v>
      </c>
      <c r="BF217" s="4">
        <v>-0.92300000000000004</v>
      </c>
      <c r="BG217" s="4">
        <v>-0.54100000000000004</v>
      </c>
      <c r="BH217" s="4">
        <v>-0.20499999999999999</v>
      </c>
      <c r="BI217" s="4">
        <v>0.29399999999999998</v>
      </c>
      <c r="BJ217" s="4">
        <v>0.21199999999999999</v>
      </c>
      <c r="BK217" s="4">
        <v>-0.188</v>
      </c>
      <c r="BL217" s="4">
        <v>0.92</v>
      </c>
      <c r="BM217" s="4"/>
    </row>
    <row r="218" spans="1:65" x14ac:dyDescent="0.3">
      <c r="A218" s="19" t="s">
        <v>267</v>
      </c>
      <c r="B218" s="53">
        <v>0</v>
      </c>
      <c r="C218" s="53">
        <f t="shared" si="22"/>
        <v>-4.0000000000000001E-3</v>
      </c>
      <c r="D218" s="53">
        <f t="shared" si="23"/>
        <v>0</v>
      </c>
      <c r="E218" s="53">
        <f t="shared" si="24"/>
        <v>4.0000000000000001E-3</v>
      </c>
      <c r="F218" s="15">
        <v>0.47699999999999998</v>
      </c>
      <c r="G218" s="19">
        <v>0.33100000000000002</v>
      </c>
      <c r="H218" s="24" t="s">
        <v>53</v>
      </c>
      <c r="I218" t="str">
        <f>VLOOKUP(A218,Setores!$A$2:$C$215,2,0)</f>
        <v>healthcare</v>
      </c>
      <c r="J218" t="str">
        <f>VLOOKUP(A218,Setores!$A$2:$C$215,3,0)</f>
        <v>very_high_beta</v>
      </c>
      <c r="K218" s="2">
        <v>0</v>
      </c>
      <c r="L218" s="2">
        <v>-4.0000000000000001E-3</v>
      </c>
      <c r="M218" s="71">
        <v>80</v>
      </c>
      <c r="N218" s="41">
        <f>VLOOKUP(A218,'Mandato Smll'!$A$2:$C$215,2,0)</f>
        <v>0</v>
      </c>
      <c r="O218" s="58">
        <f t="shared" si="25"/>
        <v>0</v>
      </c>
      <c r="P218" s="42">
        <f t="shared" si="26"/>
        <v>0</v>
      </c>
      <c r="Q218" s="41">
        <f>VLOOKUP(A218,'Mandato Smll'!$A$2:$C$215,3,0)</f>
        <v>0</v>
      </c>
      <c r="R218" s="58">
        <f t="shared" si="27"/>
        <v>0</v>
      </c>
      <c r="S218" s="15">
        <v>-1</v>
      </c>
      <c r="T218" s="15">
        <v>-0.98</v>
      </c>
      <c r="U218" s="15">
        <v>-0.93500000000000005</v>
      </c>
      <c r="V218" s="15">
        <v>-1</v>
      </c>
      <c r="W218" s="15">
        <v>-0.98899999999999999</v>
      </c>
      <c r="X218" s="15">
        <v>-1</v>
      </c>
      <c r="Y218" s="15">
        <v>-1</v>
      </c>
      <c r="Z218" s="15">
        <v>-1</v>
      </c>
      <c r="AA218" s="15">
        <v>-1</v>
      </c>
      <c r="AB218" s="15">
        <v>-1</v>
      </c>
      <c r="AC218" s="15">
        <v>-1</v>
      </c>
      <c r="AD218" s="15">
        <v>-1</v>
      </c>
      <c r="AE218" s="15">
        <v>-1</v>
      </c>
      <c r="AF218" s="14">
        <v>-0.88500000000000001</v>
      </c>
      <c r="AG218" s="15">
        <v>-0.753</v>
      </c>
      <c r="AH218" s="15">
        <v>-1</v>
      </c>
      <c r="AI218" s="15">
        <v>-0.157</v>
      </c>
      <c r="AJ218" s="15">
        <v>-0.39200000000000002</v>
      </c>
      <c r="AK218" s="9">
        <v>-0.68500000000000005</v>
      </c>
      <c r="AL218" s="4">
        <v>-0.217</v>
      </c>
      <c r="AM218" s="4">
        <v>-1</v>
      </c>
      <c r="AN218" s="4">
        <v>-0.36399999999999999</v>
      </c>
      <c r="AO218" s="4">
        <v>-0.80200000000000005</v>
      </c>
      <c r="AP218" s="4">
        <v>-0.46700000000000003</v>
      </c>
      <c r="AQ218" s="4">
        <v>-0.59899999999999998</v>
      </c>
      <c r="AR218" s="4">
        <v>-0.54500000000000004</v>
      </c>
      <c r="AS218" s="4">
        <v>-1</v>
      </c>
      <c r="AT218" s="4">
        <v>-0.37</v>
      </c>
      <c r="AU218" s="4">
        <v>-0.66300000000000003</v>
      </c>
      <c r="AV218" s="4">
        <v>-0.60099999999999998</v>
      </c>
      <c r="AW218" s="4">
        <v>-0.80200000000000005</v>
      </c>
      <c r="AX218" s="4">
        <v>-0.58399999999999996</v>
      </c>
      <c r="AY218" s="4">
        <v>-1</v>
      </c>
      <c r="AZ218" s="4">
        <v>-0.48499999999999999</v>
      </c>
      <c r="BA218" s="4">
        <v>0.10299999999999999</v>
      </c>
      <c r="BB218" s="4">
        <v>0.31900000000000001</v>
      </c>
      <c r="BC218" s="4">
        <v>1</v>
      </c>
      <c r="BD218" s="4">
        <v>3.1E-2</v>
      </c>
      <c r="BE218" s="4">
        <v>0.24099999999999999</v>
      </c>
      <c r="BF218" s="4">
        <v>0.16800000000000001</v>
      </c>
      <c r="BG218" s="4">
        <v>7.2999999999999995E-2</v>
      </c>
      <c r="BH218" s="4">
        <v>-1</v>
      </c>
      <c r="BI218" s="4">
        <v>0.998</v>
      </c>
      <c r="BJ218" s="4">
        <v>0.26700000000000002</v>
      </c>
      <c r="BK218" s="4">
        <v>0.317</v>
      </c>
      <c r="BL218" s="4">
        <v>0.60099999999999998</v>
      </c>
      <c r="BM218" s="4"/>
    </row>
    <row r="219" spans="1:65" x14ac:dyDescent="0.3">
      <c r="A219" s="19" t="s">
        <v>268</v>
      </c>
      <c r="B219" s="53">
        <v>0</v>
      </c>
      <c r="C219" s="53">
        <f t="shared" si="22"/>
        <v>0</v>
      </c>
      <c r="D219" s="53">
        <f t="shared" si="23"/>
        <v>0</v>
      </c>
      <c r="E219" s="53">
        <f t="shared" si="24"/>
        <v>0</v>
      </c>
      <c r="F219" s="15">
        <v>0.47699999999999998</v>
      </c>
      <c r="G219" s="19">
        <v>0.32600000000000001</v>
      </c>
      <c r="H219" s="24" t="s">
        <v>71</v>
      </c>
      <c r="I219" t="str">
        <f>VLOOKUP(A219,Setores!$A$2:$C$215,2,0)</f>
        <v>basic_materials</v>
      </c>
      <c r="J219" t="str">
        <f>VLOOKUP(A219,Setores!$A$2:$C$215,3,0)</f>
        <v>high_beta</v>
      </c>
      <c r="K219" s="2">
        <v>0</v>
      </c>
      <c r="L219" s="2">
        <v>0</v>
      </c>
      <c r="M219" s="71">
        <v>80</v>
      </c>
      <c r="N219" s="41">
        <f>VLOOKUP(A219,'Mandato Smll'!$A$2:$C$215,2,0)</f>
        <v>0</v>
      </c>
      <c r="O219" s="58">
        <f t="shared" si="25"/>
        <v>0</v>
      </c>
      <c r="P219" s="42">
        <f t="shared" si="26"/>
        <v>0</v>
      </c>
      <c r="Q219" s="41">
        <f>VLOOKUP(A219,'Mandato Smll'!$A$2:$C$215,3,0)</f>
        <v>0</v>
      </c>
      <c r="R219" s="58">
        <f t="shared" si="27"/>
        <v>0</v>
      </c>
      <c r="S219" s="15">
        <v>-0.996</v>
      </c>
      <c r="T219" s="15">
        <v>-1</v>
      </c>
      <c r="U219" s="15">
        <v>-0.93300000000000005</v>
      </c>
      <c r="V219" s="15">
        <v>-1</v>
      </c>
      <c r="W219" s="15">
        <v>-1</v>
      </c>
      <c r="X219" s="15">
        <v>-1</v>
      </c>
      <c r="Y219" s="15">
        <v>-1</v>
      </c>
      <c r="Z219" s="15">
        <v>-1</v>
      </c>
      <c r="AA219" s="15">
        <v>-1</v>
      </c>
      <c r="AB219" s="15">
        <v>-1</v>
      </c>
      <c r="AC219" s="15">
        <v>-1</v>
      </c>
      <c r="AD219" s="15">
        <v>-1</v>
      </c>
      <c r="AE219" s="15">
        <v>-1</v>
      </c>
      <c r="AF219" s="14">
        <v>-1</v>
      </c>
      <c r="AG219" s="15">
        <v>-0.82299999999999995</v>
      </c>
      <c r="AH219" s="15">
        <v>-1</v>
      </c>
      <c r="AI219" s="15">
        <v>-0.48</v>
      </c>
      <c r="AJ219" s="15">
        <v>-0.26400000000000001</v>
      </c>
      <c r="AK219" s="9">
        <v>-0.39700000000000002</v>
      </c>
      <c r="AL219" s="4">
        <v>-0.58499999999999996</v>
      </c>
      <c r="AM219" s="4">
        <v>-1</v>
      </c>
      <c r="AN219" s="4">
        <v>-0.95699999999999996</v>
      </c>
      <c r="AO219" s="4">
        <v>-1.7000000000000001E-2</v>
      </c>
      <c r="AP219" s="4">
        <v>-0.58499999999999996</v>
      </c>
      <c r="AQ219" s="4">
        <v>-0.378</v>
      </c>
      <c r="AR219" s="4">
        <v>0.17100000000000001</v>
      </c>
      <c r="AS219" s="4">
        <v>-0.502</v>
      </c>
      <c r="AT219" s="4">
        <v>-0.35599999999999998</v>
      </c>
      <c r="AU219" s="4">
        <v>-0.78300000000000003</v>
      </c>
      <c r="AV219" s="4">
        <v>-0.81899999999999995</v>
      </c>
      <c r="AW219" s="4">
        <v>-0.41699999999999998</v>
      </c>
      <c r="AX219" s="4">
        <v>-0.49199999999999999</v>
      </c>
      <c r="AY219" s="4">
        <v>-0.77400000000000002</v>
      </c>
      <c r="AZ219" s="4">
        <v>-0.87</v>
      </c>
      <c r="BA219" s="4">
        <v>-0.621</v>
      </c>
      <c r="BB219" s="4">
        <v>-0.47699999999999998</v>
      </c>
      <c r="BC219" s="4">
        <v>0.85299999999999998</v>
      </c>
      <c r="BD219" s="4">
        <v>0.755</v>
      </c>
      <c r="BE219" s="4">
        <v>-2.3E-2</v>
      </c>
      <c r="BF219" s="4">
        <v>0.62</v>
      </c>
      <c r="BG219" s="4">
        <v>0.69799999999999995</v>
      </c>
      <c r="BH219" s="4">
        <v>-0.70799999999999996</v>
      </c>
      <c r="BI219" s="4">
        <v>1</v>
      </c>
      <c r="BJ219" s="4">
        <v>-0.02</v>
      </c>
      <c r="BK219" s="4">
        <v>0.68899999999999995</v>
      </c>
      <c r="BL219" s="4">
        <v>0.96499999999999997</v>
      </c>
      <c r="BM219" s="4"/>
    </row>
    <row r="220" spans="1:65" x14ac:dyDescent="0.3">
      <c r="A220" s="19"/>
      <c r="B220" s="19"/>
      <c r="C220" s="19"/>
      <c r="D220" s="19"/>
      <c r="E220" s="19"/>
      <c r="F220" s="15"/>
      <c r="G220" s="19"/>
      <c r="H220" s="24"/>
      <c r="K220" s="2"/>
      <c r="L220" s="2"/>
      <c r="M220" s="71"/>
      <c r="N220" s="41"/>
      <c r="O220" s="58"/>
      <c r="P220" s="42"/>
      <c r="Q220" s="41"/>
      <c r="R220" s="58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4"/>
      <c r="AG220" s="15"/>
      <c r="AH220" s="15"/>
      <c r="AI220" s="15"/>
      <c r="AJ220" s="15"/>
      <c r="AK220" s="9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</row>
    <row r="221" spans="1:65" x14ac:dyDescent="0.3">
      <c r="A221" s="19"/>
      <c r="B221" s="19"/>
      <c r="C221" s="19"/>
      <c r="D221" s="19"/>
      <c r="E221" s="19"/>
      <c r="F221" s="15"/>
      <c r="G221" s="19"/>
      <c r="H221" s="24"/>
      <c r="K221" s="2"/>
      <c r="L221" s="2"/>
      <c r="M221" s="71"/>
      <c r="N221" s="41"/>
      <c r="O221" s="58"/>
      <c r="P221" s="42"/>
      <c r="Q221" s="41"/>
      <c r="R221" s="58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4"/>
      <c r="AG221" s="15"/>
      <c r="AH221" s="15"/>
      <c r="AI221" s="15"/>
      <c r="AJ221" s="15"/>
      <c r="AK221" s="9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</row>
    <row r="222" spans="1:65" ht="15" thickBot="1" x14ac:dyDescent="0.35">
      <c r="A222" s="19"/>
      <c r="B222" s="19"/>
      <c r="C222" s="19"/>
      <c r="D222" s="19"/>
      <c r="E222" s="19"/>
      <c r="F222" s="15"/>
      <c r="G222" s="19"/>
      <c r="H222" s="24"/>
      <c r="K222" s="2"/>
      <c r="L222" s="2"/>
      <c r="M222" s="71"/>
      <c r="N222" s="43"/>
      <c r="O222" s="59"/>
      <c r="P222" s="44"/>
      <c r="Q222" s="43"/>
      <c r="R222" s="59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4"/>
      <c r="AG222" s="15"/>
      <c r="AH222" s="15"/>
      <c r="AI222" s="15"/>
      <c r="AJ222" s="15"/>
      <c r="AK222" s="9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</row>
    <row r="223" spans="1:65" x14ac:dyDescent="0.3">
      <c r="F223" s="15"/>
      <c r="K223" s="2"/>
      <c r="L223" s="2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4"/>
      <c r="AG223" s="15"/>
      <c r="AH223" s="15"/>
      <c r="AI223" s="15"/>
      <c r="AJ223" s="15"/>
      <c r="AK223" s="9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</row>
    <row r="224" spans="1:65" x14ac:dyDescent="0.3">
      <c r="F224" s="15"/>
      <c r="K224" s="2"/>
      <c r="L224" s="2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4"/>
      <c r="AG224" s="15"/>
      <c r="AH224" s="15"/>
      <c r="AI224" s="15"/>
      <c r="AJ224" s="15"/>
      <c r="AK224" s="9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</row>
    <row r="225" spans="6:65" x14ac:dyDescent="0.3">
      <c r="F225" s="15"/>
      <c r="K225" s="2"/>
      <c r="L225" s="2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4"/>
      <c r="AG225" s="15"/>
      <c r="AH225" s="15"/>
      <c r="AI225" s="15"/>
      <c r="AJ225" s="15"/>
      <c r="AK225" s="9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</row>
    <row r="226" spans="6:65" x14ac:dyDescent="0.3">
      <c r="F226" s="15"/>
      <c r="K226" s="2"/>
      <c r="L226" s="2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4"/>
      <c r="AG226" s="15"/>
      <c r="AH226" s="15"/>
      <c r="AI226" s="15"/>
      <c r="AJ226" s="15"/>
      <c r="AK226" s="9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</row>
    <row r="241" spans="8:14" x14ac:dyDescent="0.3">
      <c r="H241" s="23" t="s">
        <v>308</v>
      </c>
      <c r="I241" t="s">
        <v>327</v>
      </c>
      <c r="J241" t="s">
        <v>550</v>
      </c>
      <c r="K241" t="s">
        <v>551</v>
      </c>
      <c r="L241" t="s">
        <v>310</v>
      </c>
      <c r="M241" t="s">
        <v>323</v>
      </c>
      <c r="N241" t="s">
        <v>324</v>
      </c>
    </row>
    <row r="242" spans="8:14" x14ac:dyDescent="0.3">
      <c r="H242" s="24" t="s">
        <v>55</v>
      </c>
      <c r="I242" s="26">
        <v>0.222</v>
      </c>
      <c r="J242" s="26">
        <v>5.9999999999999984E-3</v>
      </c>
      <c r="K242" s="26">
        <v>0.22299999999999998</v>
      </c>
      <c r="L242" s="26">
        <v>6.9999999999999923E-3</v>
      </c>
      <c r="M242" s="26">
        <v>0.21768803124273689</v>
      </c>
      <c r="N242" s="26">
        <v>0.31140169999221951</v>
      </c>
    </row>
    <row r="243" spans="8:14" x14ac:dyDescent="0.3">
      <c r="H243" s="25" t="s">
        <v>295</v>
      </c>
      <c r="I243" s="26">
        <v>0.107</v>
      </c>
      <c r="J243" s="26">
        <v>1.7999999999999999E-2</v>
      </c>
      <c r="K243" s="26">
        <v>9.9999999999999992E-2</v>
      </c>
      <c r="L243" s="26">
        <v>1.0999999999999999E-2</v>
      </c>
      <c r="M243" s="26">
        <v>0.11870264752431151</v>
      </c>
      <c r="N243" s="26">
        <v>4.7198642931571999E-2</v>
      </c>
    </row>
    <row r="244" spans="8:14" x14ac:dyDescent="0.3">
      <c r="H244" s="25" t="s">
        <v>302</v>
      </c>
      <c r="I244" s="26">
        <v>4.3999999999999997E-2</v>
      </c>
      <c r="J244" s="26">
        <v>4.1999999999999996E-2</v>
      </c>
      <c r="K244" s="26">
        <v>4.3999999999999997E-2</v>
      </c>
      <c r="L244" s="26">
        <v>4.1999999999999996E-2</v>
      </c>
      <c r="M244" s="26">
        <v>3.0239513107640871E-2</v>
      </c>
      <c r="N244" s="26">
        <v>2.0939008562140701E-2</v>
      </c>
    </row>
    <row r="245" spans="8:14" x14ac:dyDescent="0.3">
      <c r="H245" s="25" t="s">
        <v>285</v>
      </c>
      <c r="I245" s="26">
        <v>0</v>
      </c>
      <c r="J245" s="26">
        <v>-7.0000000000000001E-3</v>
      </c>
      <c r="K245" s="26">
        <v>0</v>
      </c>
      <c r="L245" s="26">
        <v>-7.0000000000000001E-3</v>
      </c>
      <c r="M245" s="26">
        <v>0</v>
      </c>
      <c r="N245" s="26">
        <v>0</v>
      </c>
    </row>
    <row r="246" spans="8:14" x14ac:dyDescent="0.3">
      <c r="H246" s="25" t="s">
        <v>280</v>
      </c>
      <c r="I246" s="26">
        <v>7.1000000000000008E-2</v>
      </c>
      <c r="J246" s="26">
        <v>-4.7E-2</v>
      </c>
      <c r="K246" s="26">
        <v>7.9000000000000001E-2</v>
      </c>
      <c r="L246" s="26">
        <v>-3.9E-2</v>
      </c>
      <c r="M246" s="26">
        <v>6.8745870610784507E-2</v>
      </c>
      <c r="N246" s="26">
        <v>0.2432640484985068</v>
      </c>
    </row>
    <row r="247" spans="8:14" x14ac:dyDescent="0.3">
      <c r="H247" s="24" t="s">
        <v>71</v>
      </c>
      <c r="I247" s="26">
        <v>0.11900000000000001</v>
      </c>
      <c r="J247" s="26">
        <v>-2.6000000000000002E-2</v>
      </c>
      <c r="K247" s="26">
        <v>9.3999999999999986E-2</v>
      </c>
      <c r="L247" s="26">
        <v>-5.1000000000000004E-2</v>
      </c>
      <c r="M247" s="26">
        <v>0.1540587964059997</v>
      </c>
      <c r="N247" s="26">
        <v>0.19422643998556824</v>
      </c>
    </row>
    <row r="248" spans="8:14" x14ac:dyDescent="0.3">
      <c r="H248" s="25" t="s">
        <v>284</v>
      </c>
      <c r="I248" s="26">
        <v>8.2000000000000017E-2</v>
      </c>
      <c r="J248" s="26">
        <v>2E-3</v>
      </c>
      <c r="K248" s="26">
        <v>6.0999999999999999E-2</v>
      </c>
      <c r="L248" s="26">
        <v>-1.9E-2</v>
      </c>
      <c r="M248" s="26">
        <v>0.12051458294336129</v>
      </c>
      <c r="N248" s="26">
        <v>0.13433020290161904</v>
      </c>
    </row>
    <row r="249" spans="8:14" x14ac:dyDescent="0.3">
      <c r="H249" s="25" t="s">
        <v>300</v>
      </c>
      <c r="I249" s="26">
        <v>2.7E-2</v>
      </c>
      <c r="J249" s="26">
        <v>-8.0000000000000002E-3</v>
      </c>
      <c r="K249" s="26">
        <v>2.3E-2</v>
      </c>
      <c r="L249" s="26">
        <v>-1.2E-2</v>
      </c>
      <c r="M249" s="26">
        <v>2.7137283883482903E-2</v>
      </c>
      <c r="N249" s="26">
        <v>4.10055535122568E-2</v>
      </c>
    </row>
    <row r="250" spans="8:14" x14ac:dyDescent="0.3">
      <c r="H250" s="25" t="s">
        <v>292</v>
      </c>
      <c r="I250" s="26">
        <v>0.01</v>
      </c>
      <c r="J250" s="26">
        <v>-2.0000000000000004E-2</v>
      </c>
      <c r="K250" s="26">
        <v>0.01</v>
      </c>
      <c r="L250" s="26">
        <v>-2.0000000000000004E-2</v>
      </c>
      <c r="M250" s="26">
        <v>6.4069295791555096E-3</v>
      </c>
      <c r="N250" s="26">
        <v>1.88906835716924E-2</v>
      </c>
    </row>
    <row r="251" spans="8:14" x14ac:dyDescent="0.3">
      <c r="H251" s="24" t="s">
        <v>53</v>
      </c>
      <c r="I251" s="26">
        <v>0.1055</v>
      </c>
      <c r="J251" s="26">
        <v>-6.0500000000000012E-2</v>
      </c>
      <c r="K251" s="26">
        <v>9.6000000000000002E-2</v>
      </c>
      <c r="L251" s="26">
        <v>-7.0000000000000021E-2</v>
      </c>
      <c r="M251" s="26">
        <v>7.2013928129186042E-2</v>
      </c>
      <c r="N251" s="26">
        <v>0.10977325461322125</v>
      </c>
    </row>
    <row r="252" spans="8:14" x14ac:dyDescent="0.3">
      <c r="H252" s="25" t="s">
        <v>288</v>
      </c>
      <c r="I252" s="26">
        <v>0</v>
      </c>
      <c r="J252" s="26">
        <v>-7.2000000000000008E-2</v>
      </c>
      <c r="K252" s="26">
        <v>0</v>
      </c>
      <c r="L252" s="26">
        <v>-7.2000000000000008E-2</v>
      </c>
      <c r="M252" s="26">
        <v>0</v>
      </c>
      <c r="N252" s="26">
        <v>0</v>
      </c>
    </row>
    <row r="253" spans="8:14" x14ac:dyDescent="0.3">
      <c r="H253" s="25" t="s">
        <v>299</v>
      </c>
      <c r="I253" s="26">
        <v>1.4999999999999999E-2</v>
      </c>
      <c r="J253" s="26">
        <v>1.4999999999999999E-2</v>
      </c>
      <c r="K253" s="26">
        <v>1.4999999999999999E-2</v>
      </c>
      <c r="L253" s="26">
        <v>1.4999999999999999E-2</v>
      </c>
      <c r="M253" s="26">
        <v>1.60682340853559E-2</v>
      </c>
      <c r="N253" s="26">
        <v>9.6893832985556292E-3</v>
      </c>
    </row>
    <row r="254" spans="8:14" x14ac:dyDescent="0.3">
      <c r="H254" s="25" t="s">
        <v>301</v>
      </c>
      <c r="I254" s="26">
        <v>4.1999999999999996E-2</v>
      </c>
      <c r="J254" s="26">
        <v>2.8999999999999998E-2</v>
      </c>
      <c r="K254" s="26">
        <v>4.1999999999999996E-2</v>
      </c>
      <c r="L254" s="26">
        <v>2.8999999999999998E-2</v>
      </c>
      <c r="M254" s="26">
        <v>2.1813560861126551E-2</v>
      </c>
      <c r="N254" s="26">
        <v>3.3203953611454999E-2</v>
      </c>
    </row>
    <row r="255" spans="8:14" x14ac:dyDescent="0.3">
      <c r="H255" s="25" t="s">
        <v>290</v>
      </c>
      <c r="I255" s="26">
        <v>4.8500000000000001E-2</v>
      </c>
      <c r="J255" s="26">
        <v>-3.2500000000000001E-2</v>
      </c>
      <c r="K255" s="26">
        <v>3.9E-2</v>
      </c>
      <c r="L255" s="26">
        <v>-4.200000000000001E-2</v>
      </c>
      <c r="M255" s="26">
        <v>3.413213318270359E-2</v>
      </c>
      <c r="N255" s="26">
        <v>6.6879917703210626E-2</v>
      </c>
    </row>
    <row r="256" spans="8:14" x14ac:dyDescent="0.3">
      <c r="H256" s="24" t="s">
        <v>68</v>
      </c>
      <c r="I256" s="26">
        <v>9.1999999999999998E-2</v>
      </c>
      <c r="J256" s="26">
        <v>1.9999999999999983E-3</v>
      </c>
      <c r="K256" s="26">
        <v>0.09</v>
      </c>
      <c r="L256" s="26">
        <v>0</v>
      </c>
      <c r="M256" s="26">
        <v>0.10705570201455247</v>
      </c>
      <c r="N256" s="26">
        <v>8.2137557826735902E-2</v>
      </c>
    </row>
    <row r="257" spans="8:14" x14ac:dyDescent="0.3">
      <c r="H257" s="25" t="s">
        <v>298</v>
      </c>
      <c r="I257" s="26">
        <v>3.4000000000000002E-2</v>
      </c>
      <c r="J257" s="26">
        <v>2.4999999999999998E-2</v>
      </c>
      <c r="K257" s="26">
        <v>3.4000000000000002E-2</v>
      </c>
      <c r="L257" s="26">
        <v>2.4999999999999998E-2</v>
      </c>
      <c r="M257" s="26">
        <v>2.6271686529987869E-2</v>
      </c>
      <c r="N257" s="26">
        <v>1.7230384997645502E-2</v>
      </c>
    </row>
    <row r="258" spans="8:14" x14ac:dyDescent="0.3">
      <c r="H258" s="25" t="s">
        <v>293</v>
      </c>
      <c r="I258" s="26">
        <v>5.7999999999999996E-2</v>
      </c>
      <c r="J258" s="26">
        <v>-4.9999999999999992E-3</v>
      </c>
      <c r="K258" s="26">
        <v>5.5999999999999994E-2</v>
      </c>
      <c r="L258" s="26">
        <v>-6.9999999999999949E-3</v>
      </c>
      <c r="M258" s="26">
        <v>8.0784015484564611E-2</v>
      </c>
      <c r="N258" s="26">
        <v>6.4907172829090407E-2</v>
      </c>
    </row>
    <row r="259" spans="8:14" x14ac:dyDescent="0.3">
      <c r="H259" s="25" t="s">
        <v>303</v>
      </c>
      <c r="I259" s="26">
        <v>0</v>
      </c>
      <c r="J259" s="26">
        <v>-1.7999999999999999E-2</v>
      </c>
      <c r="K259" s="26">
        <v>0</v>
      </c>
      <c r="L259" s="26">
        <v>-1.7999999999999999E-2</v>
      </c>
      <c r="M259" s="26">
        <v>0</v>
      </c>
      <c r="N259" s="26">
        <v>0</v>
      </c>
    </row>
    <row r="260" spans="8:14" x14ac:dyDescent="0.3">
      <c r="H260" s="24" t="s">
        <v>57</v>
      </c>
      <c r="I260" s="26">
        <v>0.46100000000000002</v>
      </c>
      <c r="J260" s="26">
        <v>7.2999999999999982E-2</v>
      </c>
      <c r="K260" s="26">
        <v>0.49700000000000005</v>
      </c>
      <c r="L260" s="26">
        <v>0.10899999999999999</v>
      </c>
      <c r="M260" s="26">
        <v>0.44918354220752466</v>
      </c>
      <c r="N260" s="26">
        <v>0.30246104758225489</v>
      </c>
    </row>
    <row r="261" spans="8:14" x14ac:dyDescent="0.3">
      <c r="H261" s="25" t="s">
        <v>289</v>
      </c>
      <c r="I261" s="26">
        <v>6.8000000000000005E-2</v>
      </c>
      <c r="J261" s="26">
        <v>-9.000000000000008E-3</v>
      </c>
      <c r="K261" s="26">
        <v>6.8000000000000005E-2</v>
      </c>
      <c r="L261" s="26">
        <v>-9.000000000000008E-3</v>
      </c>
      <c r="M261" s="26">
        <v>5.7672298851866803E-2</v>
      </c>
      <c r="N261" s="26">
        <v>3.0354357081873728E-2</v>
      </c>
    </row>
    <row r="262" spans="8:14" x14ac:dyDescent="0.3">
      <c r="H262" s="25" t="s">
        <v>286</v>
      </c>
      <c r="I262" s="26">
        <v>6.8000000000000005E-2</v>
      </c>
      <c r="J262" s="26">
        <v>5.1000000000000004E-2</v>
      </c>
      <c r="K262" s="26">
        <v>0.10300000000000001</v>
      </c>
      <c r="L262" s="26">
        <v>8.6000000000000007E-2</v>
      </c>
      <c r="M262" s="26">
        <v>9.6821963829356164E-2</v>
      </c>
      <c r="N262" s="26">
        <v>7.7511637754421256E-2</v>
      </c>
    </row>
    <row r="263" spans="8:14" x14ac:dyDescent="0.3">
      <c r="H263" s="25" t="s">
        <v>296</v>
      </c>
      <c r="I263" s="26">
        <v>1.0999999999999999E-2</v>
      </c>
      <c r="J263" s="26">
        <v>-5.000000000000001E-3</v>
      </c>
      <c r="K263" s="26">
        <v>8.0000000000000002E-3</v>
      </c>
      <c r="L263" s="26">
        <v>-8.0000000000000002E-3</v>
      </c>
      <c r="M263" s="26">
        <v>1.60682340853559E-2</v>
      </c>
      <c r="N263" s="26">
        <v>9.2479760918021993E-3</v>
      </c>
    </row>
    <row r="264" spans="8:14" x14ac:dyDescent="0.3">
      <c r="H264" s="25" t="s">
        <v>278</v>
      </c>
      <c r="I264" s="26">
        <v>4.2999999999999997E-2</v>
      </c>
      <c r="J264" s="26">
        <v>-0.03</v>
      </c>
      <c r="K264" s="26">
        <v>4.4999999999999998E-2</v>
      </c>
      <c r="L264" s="26">
        <v>-2.7999999999999997E-2</v>
      </c>
      <c r="M264" s="26">
        <v>2.2638677984023962E-2</v>
      </c>
      <c r="N264" s="26">
        <v>2.5991675595947401E-2</v>
      </c>
    </row>
    <row r="265" spans="8:14" x14ac:dyDescent="0.3">
      <c r="H265" s="25" t="s">
        <v>297</v>
      </c>
      <c r="I265" s="26">
        <v>3.9E-2</v>
      </c>
      <c r="J265" s="26">
        <v>6.000000000000001E-3</v>
      </c>
      <c r="K265" s="26">
        <v>3.9E-2</v>
      </c>
      <c r="L265" s="26">
        <v>6.000000000000001E-3</v>
      </c>
      <c r="M265" s="26">
        <v>4.1529058415882003E-2</v>
      </c>
      <c r="N265" s="26">
        <v>3.5052031860869609E-2</v>
      </c>
    </row>
    <row r="266" spans="8:14" x14ac:dyDescent="0.3">
      <c r="H266" s="25" t="s">
        <v>299</v>
      </c>
      <c r="I266" s="26">
        <v>0.01</v>
      </c>
      <c r="J266" s="26">
        <v>0.01</v>
      </c>
      <c r="K266" s="26">
        <v>2.1999999999999999E-2</v>
      </c>
      <c r="L266" s="26">
        <v>2.1999999999999999E-2</v>
      </c>
      <c r="M266" s="26">
        <v>1.472451447704088E-2</v>
      </c>
      <c r="N266" s="26">
        <v>0</v>
      </c>
    </row>
    <row r="267" spans="8:14" x14ac:dyDescent="0.3">
      <c r="H267" s="25" t="s">
        <v>294</v>
      </c>
      <c r="I267" s="26">
        <v>0.14400000000000002</v>
      </c>
      <c r="J267" s="26">
        <v>5.6000000000000001E-2</v>
      </c>
      <c r="K267" s="26">
        <v>0.13400000000000001</v>
      </c>
      <c r="L267" s="26">
        <v>4.5999999999999992E-2</v>
      </c>
      <c r="M267" s="26">
        <v>0.13341278131634116</v>
      </c>
      <c r="N267" s="26">
        <v>8.3912565056618219E-2</v>
      </c>
    </row>
    <row r="268" spans="8:14" x14ac:dyDescent="0.3">
      <c r="H268" s="25" t="s">
        <v>291</v>
      </c>
      <c r="I268" s="26">
        <v>6.4000000000000001E-2</v>
      </c>
      <c r="J268" s="26">
        <v>-6.0000000000000045E-3</v>
      </c>
      <c r="K268" s="26">
        <v>6.4000000000000001E-2</v>
      </c>
      <c r="L268" s="26">
        <v>-6.0000000000000045E-3</v>
      </c>
      <c r="M268" s="26">
        <v>5.7988728197193341E-2</v>
      </c>
      <c r="N268" s="26">
        <v>4.0390804140722512E-2</v>
      </c>
    </row>
    <row r="269" spans="8:14" x14ac:dyDescent="0.3">
      <c r="H269" s="25" t="s">
        <v>285</v>
      </c>
      <c r="I269" s="26">
        <v>1.4E-2</v>
      </c>
      <c r="J269" s="26">
        <v>0</v>
      </c>
      <c r="K269" s="26">
        <v>1.4E-2</v>
      </c>
      <c r="L269" s="26">
        <v>0</v>
      </c>
      <c r="M269" s="26">
        <v>8.3272850504644107E-3</v>
      </c>
      <c r="N269" s="26">
        <v>0</v>
      </c>
    </row>
    <row r="270" spans="8:14" x14ac:dyDescent="0.3">
      <c r="H270" s="24" t="s">
        <v>602</v>
      </c>
      <c r="I270" s="26"/>
      <c r="J270" s="26"/>
      <c r="K270" s="26"/>
      <c r="L270" s="26"/>
      <c r="M270" s="26"/>
      <c r="N270" s="26"/>
    </row>
    <row r="271" spans="8:14" x14ac:dyDescent="0.3">
      <c r="H271" s="25" t="s">
        <v>602</v>
      </c>
      <c r="I271" s="26"/>
      <c r="J271" s="26"/>
      <c r="K271" s="26"/>
      <c r="L271" s="26"/>
      <c r="M271" s="26"/>
      <c r="N271" s="26"/>
    </row>
    <row r="272" spans="8:14" x14ac:dyDescent="0.3">
      <c r="H272" s="24" t="s">
        <v>309</v>
      </c>
      <c r="I272" s="26">
        <v>0.99950000000000028</v>
      </c>
      <c r="J272" s="26">
        <v>-5.5000000000000179E-3</v>
      </c>
      <c r="K272" s="26">
        <v>1</v>
      </c>
      <c r="L272" s="26">
        <v>-5.0000000000000452E-3</v>
      </c>
      <c r="M272" s="26">
        <v>0.99999999999999978</v>
      </c>
      <c r="N272" s="26">
        <v>0.99999999999999989</v>
      </c>
    </row>
  </sheetData>
  <autoFilter ref="A8:BL222" xr:uid="{19D4759A-463B-4552-8112-D01FBA942D97}">
    <sortState xmlns:xlrd2="http://schemas.microsoft.com/office/spreadsheetml/2017/richdata2" ref="A9:BL222">
      <sortCondition descending="1" ref="F8:F222"/>
    </sortState>
  </autoFilter>
  <mergeCells count="3">
    <mergeCell ref="S1:AE3"/>
    <mergeCell ref="AF1:AK3"/>
    <mergeCell ref="AL1:BL3"/>
  </mergeCells>
  <conditionalFormatting sqref="F9:F60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6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7:G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26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2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60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60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6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6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6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6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6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6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6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6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6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6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6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6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6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6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6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6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6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6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6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6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6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6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6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6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6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6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6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6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6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6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6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6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6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6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6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6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6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6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6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6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6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6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6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6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6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60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22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60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226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242:L27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P2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BL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21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G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:BL7 M6:Q6 M7 O7:P7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BL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:R226 M9:M222">
    <cfRule type="colorScale" priority="1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9:R22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242:J2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9779-290C-47E1-A815-D7A501A3DBF1}">
  <sheetPr>
    <tabColor theme="3" tint="0.499984740745262"/>
  </sheetPr>
  <dimension ref="A1:BN508"/>
  <sheetViews>
    <sheetView showGridLines="0" zoomScale="115" zoomScaleNormal="115" workbookViewId="0">
      <pane xSplit="1" ySplit="8" topLeftCell="B18" activePane="bottomRight" state="frozen"/>
      <selection pane="topRight" activeCell="B1" sqref="B1"/>
      <selection pane="bottomLeft" activeCell="A6" sqref="A6"/>
      <selection pane="bottomRight" activeCell="F26" sqref="F26"/>
    </sheetView>
  </sheetViews>
  <sheetFormatPr defaultRowHeight="14.4" x14ac:dyDescent="0.3"/>
  <cols>
    <col min="5" max="5" width="13.88671875" customWidth="1"/>
    <col min="8" max="8" width="14" customWidth="1"/>
    <col min="9" max="9" width="22.77734375" bestFit="1" customWidth="1"/>
    <col min="10" max="10" width="11.88671875" bestFit="1" customWidth="1"/>
    <col min="11" max="11" width="15.5546875" bestFit="1" customWidth="1"/>
    <col min="12" max="12" width="14.109375" bestFit="1" customWidth="1"/>
    <col min="13" max="13" width="20.21875" bestFit="1" customWidth="1"/>
    <col min="14" max="14" width="17.6640625" bestFit="1" customWidth="1"/>
    <col min="15" max="15" width="19.44140625" bestFit="1" customWidth="1"/>
    <col min="16" max="16" width="18.5546875" customWidth="1"/>
    <col min="18" max="18" width="15" bestFit="1" customWidth="1"/>
  </cols>
  <sheetData>
    <row r="1" spans="1:66" ht="14.4" customHeight="1" x14ac:dyDescent="0.3">
      <c r="B1" s="30">
        <f>COUNTIF(B9:B222,"&gt;0")</f>
        <v>71</v>
      </c>
      <c r="E1" s="30">
        <f>COUNTIF(E9:E222,"&gt;0")</f>
        <v>92</v>
      </c>
      <c r="K1" s="51" t="s">
        <v>320</v>
      </c>
      <c r="L1" s="52" t="s">
        <v>321</v>
      </c>
      <c r="M1" s="52" t="s">
        <v>312</v>
      </c>
      <c r="N1" s="52" t="s">
        <v>313</v>
      </c>
      <c r="O1" s="52" t="s">
        <v>322</v>
      </c>
      <c r="S1" s="102" t="s">
        <v>269</v>
      </c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13" t="s">
        <v>270</v>
      </c>
      <c r="AG1" s="114"/>
      <c r="AH1" s="114"/>
      <c r="AI1" s="114"/>
      <c r="AJ1" s="114"/>
      <c r="AK1" s="115"/>
      <c r="AL1" s="124" t="s">
        <v>271</v>
      </c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</row>
    <row r="2" spans="1:66" ht="14.4" customHeight="1" x14ac:dyDescent="0.3">
      <c r="K2" s="28" t="s">
        <v>322</v>
      </c>
      <c r="L2" s="2">
        <f>SQRT(SUMSQ(L9:L222)^2)</f>
        <v>2.0148000000000017E-2</v>
      </c>
      <c r="M2" s="2">
        <f>SQRT(SUMSQ(O9:O222)^2)</f>
        <v>5.6373456407693093E-3</v>
      </c>
      <c r="N2" s="2">
        <f>SQRT(SUMSQ(R9:R222)^2)</f>
        <v>1.1107265794178086E-2</v>
      </c>
      <c r="O2" s="2"/>
      <c r="P2" s="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16"/>
      <c r="AG2" s="103"/>
      <c r="AH2" s="103"/>
      <c r="AI2" s="103"/>
      <c r="AJ2" s="103"/>
      <c r="AK2" s="117"/>
      <c r="AL2" s="12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</row>
    <row r="3" spans="1:66" ht="14.4" customHeight="1" x14ac:dyDescent="0.3">
      <c r="E3" s="30" t="s">
        <v>331</v>
      </c>
      <c r="F3" s="5">
        <f>SUMPRODUCT($D$9:$D$222,F9:F222)</f>
        <v>-9.5379999999999857E-3</v>
      </c>
      <c r="K3" s="28" t="s">
        <v>325</v>
      </c>
      <c r="L3" s="2">
        <f>SQRT(SUMSQ(C9:C222)^2)</f>
        <v>1.869100000000001E-2</v>
      </c>
      <c r="M3" s="2">
        <f>SQRT(SUMSQ(P9:P222)^2)</f>
        <v>4.5939467826671687E-3</v>
      </c>
      <c r="O3" s="2">
        <f>SQRT(SUMSQ(D9:D222)^2)</f>
        <v>2.4439999999999991E-3</v>
      </c>
      <c r="P3" s="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16"/>
      <c r="AG3" s="103"/>
      <c r="AH3" s="103"/>
      <c r="AI3" s="103"/>
      <c r="AJ3" s="103"/>
      <c r="AK3" s="117"/>
      <c r="AL3" s="12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</row>
    <row r="4" spans="1:66" ht="14.4" customHeight="1" x14ac:dyDescent="0.3">
      <c r="E4" s="32" t="s">
        <v>317</v>
      </c>
      <c r="F4" s="5">
        <f>SUMPRODUCT($R$9:$R$222,F9:F222)</f>
        <v>6.6554388004172821E-2</v>
      </c>
      <c r="K4" s="28"/>
      <c r="R4" s="32" t="s">
        <v>331</v>
      </c>
      <c r="S4" s="5">
        <f>SUMPRODUCT($D$9:$D$226,S9:S226)</f>
        <v>-1.4519499999999999E-2</v>
      </c>
      <c r="T4" s="5">
        <f t="shared" ref="T4:BL4" si="0">SUMPRODUCT($D$9:$D$226,T9:T226)</f>
        <v>-1.3119999999999989E-3</v>
      </c>
      <c r="U4" s="5">
        <f t="shared" si="0"/>
        <v>-2.68065E-2</v>
      </c>
      <c r="V4" s="5">
        <f t="shared" si="0"/>
        <v>-1.1344999999999971E-3</v>
      </c>
      <c r="W4" s="5">
        <f t="shared" si="0"/>
        <v>-9.1424999999999979E-3</v>
      </c>
      <c r="X4" s="5">
        <f t="shared" si="0"/>
        <v>6.8750000000000321E-4</v>
      </c>
      <c r="Y4" s="5">
        <f t="shared" si="0"/>
        <v>2.744500000000003E-3</v>
      </c>
      <c r="Z4" s="5">
        <f t="shared" si="0"/>
        <v>8.8495000000000032E-3</v>
      </c>
      <c r="AA4" s="5">
        <f t="shared" si="0"/>
        <v>9.575000000000011E-4</v>
      </c>
      <c r="AB4" s="5">
        <f t="shared" si="0"/>
        <v>1.0895000000000004E-3</v>
      </c>
      <c r="AC4" s="5">
        <f t="shared" si="0"/>
        <v>-8.2534999999999969E-3</v>
      </c>
      <c r="AD4" s="5">
        <f t="shared" si="0"/>
        <v>-5.2094999999999989E-3</v>
      </c>
      <c r="AE4" s="5">
        <f t="shared" si="0"/>
        <v>-2.7114999999999934E-3</v>
      </c>
      <c r="AF4" s="39">
        <f t="shared" si="0"/>
        <v>-5.0644999999999987E-3</v>
      </c>
      <c r="AG4" s="6">
        <f t="shared" si="0"/>
        <v>-1.5280500000000004E-2</v>
      </c>
      <c r="AH4" s="6">
        <f t="shared" si="0"/>
        <v>1.846550000000001E-2</v>
      </c>
      <c r="AI4" s="6">
        <f t="shared" si="0"/>
        <v>-7.5765000000000068E-3</v>
      </c>
      <c r="AJ4" s="6">
        <f t="shared" si="0"/>
        <v>-2.3200000000000013E-3</v>
      </c>
      <c r="AK4" s="7">
        <f t="shared" si="0"/>
        <v>-1.0023000000000004E-2</v>
      </c>
      <c r="AL4" s="5">
        <f t="shared" si="0"/>
        <v>4.8609999999999955E-3</v>
      </c>
      <c r="AM4" s="5">
        <f t="shared" si="0"/>
        <v>7.2859999999999991E-3</v>
      </c>
      <c r="AN4" s="5">
        <f t="shared" si="0"/>
        <v>-3.6320000000000024E-3</v>
      </c>
      <c r="AO4" s="5">
        <f t="shared" si="0"/>
        <v>-1.4331500000000002E-2</v>
      </c>
      <c r="AP4" s="5">
        <f t="shared" si="0"/>
        <v>5.9779999999999972E-3</v>
      </c>
      <c r="AQ4" s="5">
        <f t="shared" si="0"/>
        <v>3.8197999999999996E-2</v>
      </c>
      <c r="AR4" s="5">
        <f t="shared" si="0"/>
        <v>4.6164999999999973E-3</v>
      </c>
      <c r="AS4" s="5">
        <f t="shared" si="0"/>
        <v>-2.8800000000000136E-4</v>
      </c>
      <c r="AT4" s="5">
        <f t="shared" si="0"/>
        <v>3.9349999999999997E-4</v>
      </c>
      <c r="AU4" s="5">
        <f t="shared" si="0"/>
        <v>9.8899999999999943E-3</v>
      </c>
      <c r="AV4" s="5">
        <f t="shared" si="0"/>
        <v>3.5880000000000022E-3</v>
      </c>
      <c r="AW4" s="5">
        <f t="shared" si="0"/>
        <v>1.6525000000000029E-3</v>
      </c>
      <c r="AX4" s="5">
        <f t="shared" si="0"/>
        <v>-2.8700000000000019E-3</v>
      </c>
      <c r="AY4" s="5">
        <f t="shared" si="0"/>
        <v>-9.6350000000000012E-3</v>
      </c>
      <c r="AZ4" s="5">
        <f t="shared" si="0"/>
        <v>-1.7844999999999979E-3</v>
      </c>
      <c r="BA4" s="5">
        <f t="shared" si="0"/>
        <v>2.4517000000000001E-2</v>
      </c>
      <c r="BB4" s="5">
        <f t="shared" si="0"/>
        <v>-2.0961999999999988E-2</v>
      </c>
      <c r="BC4" s="5">
        <f t="shared" si="0"/>
        <v>2.382E-3</v>
      </c>
      <c r="BD4" s="5">
        <f t="shared" si="0"/>
        <v>-1.7080999999999999E-2</v>
      </c>
      <c r="BE4" s="5">
        <f t="shared" si="0"/>
        <v>6.2260000000000041E-3</v>
      </c>
      <c r="BF4" s="5">
        <f t="shared" si="0"/>
        <v>-1.3404000000000003E-2</v>
      </c>
      <c r="BG4" s="5">
        <f t="shared" si="0"/>
        <v>7.0954999999999994E-3</v>
      </c>
      <c r="BH4" s="5">
        <f t="shared" si="0"/>
        <v>-2.144999999999995E-3</v>
      </c>
      <c r="BI4" s="5">
        <f t="shared" si="0"/>
        <v>-2.1939500000000008E-2</v>
      </c>
      <c r="BJ4" s="5">
        <f t="shared" si="0"/>
        <v>-6.0680000000000013E-3</v>
      </c>
      <c r="BK4" s="5">
        <f t="shared" si="0"/>
        <v>-6.5782499999999994E-2</v>
      </c>
      <c r="BL4" s="5">
        <f t="shared" si="0"/>
        <v>-1.5195999999999998E-2</v>
      </c>
    </row>
    <row r="5" spans="1:66" ht="14.4" customHeight="1" x14ac:dyDescent="0.3">
      <c r="E5" s="32" t="s">
        <v>318</v>
      </c>
      <c r="F5" s="5">
        <f>SUMPRODUCT($O$9:$O$222,F9:F222)</f>
        <v>-0.20507567118236469</v>
      </c>
      <c r="K5" s="28"/>
      <c r="R5" s="32" t="s">
        <v>317</v>
      </c>
      <c r="S5" s="5">
        <f>SUMPRODUCT($R$9:$R$226,S9:S226)</f>
        <v>8.4216885952109466E-2</v>
      </c>
      <c r="T5" s="5">
        <f t="shared" ref="T5:BL5" si="1">SUMPRODUCT($R$9:$R$226,T9:T226)</f>
        <v>7.7811872945069832E-3</v>
      </c>
      <c r="U5" s="5">
        <f t="shared" si="1"/>
        <v>0.12607790680247138</v>
      </c>
      <c r="V5" s="5">
        <f t="shared" si="1"/>
        <v>3.2316257102694569E-2</v>
      </c>
      <c r="W5" s="5">
        <f t="shared" si="1"/>
        <v>5.7435401726850868E-2</v>
      </c>
      <c r="X5" s="5">
        <f t="shared" si="1"/>
        <v>6.6838134218879436E-2</v>
      </c>
      <c r="Y5" s="5">
        <f t="shared" si="1"/>
        <v>7.6329166025932538E-2</v>
      </c>
      <c r="Z5" s="5">
        <f t="shared" si="1"/>
        <v>-3.0848923082460507E-2</v>
      </c>
      <c r="AA5" s="5">
        <f t="shared" si="1"/>
        <v>-1.727266769540093E-2</v>
      </c>
      <c r="AB5" s="5">
        <f t="shared" si="1"/>
        <v>-1.8100236066324011E-2</v>
      </c>
      <c r="AC5" s="5">
        <f t="shared" si="1"/>
        <v>3.016640493304986E-2</v>
      </c>
      <c r="AD5" s="5">
        <f t="shared" si="1"/>
        <v>1.2642300838350927E-2</v>
      </c>
      <c r="AE5" s="5">
        <f t="shared" si="1"/>
        <v>8.8563604332991559E-4</v>
      </c>
      <c r="AF5" s="39">
        <f t="shared" si="1"/>
        <v>0.1033518649621579</v>
      </c>
      <c r="AG5" s="6">
        <f t="shared" si="1"/>
        <v>8.8861552453777817E-2</v>
      </c>
      <c r="AH5" s="6">
        <f t="shared" si="1"/>
        <v>-0.13248199848345668</v>
      </c>
      <c r="AI5" s="6">
        <f t="shared" si="1"/>
        <v>0.11558293272253016</v>
      </c>
      <c r="AJ5" s="6">
        <f t="shared" si="1"/>
        <v>5.3881704094957631E-3</v>
      </c>
      <c r="AK5" s="7">
        <f t="shared" si="1"/>
        <v>8.658486390924168E-2</v>
      </c>
      <c r="AL5" s="5">
        <f t="shared" si="1"/>
        <v>4.2981948174864448E-2</v>
      </c>
      <c r="AM5" s="5">
        <f t="shared" si="1"/>
        <v>4.0463886046201943E-2</v>
      </c>
      <c r="AN5" s="5">
        <f t="shared" si="1"/>
        <v>6.1455077659141988E-2</v>
      </c>
      <c r="AO5" s="5">
        <f t="shared" si="1"/>
        <v>8.4923789290804103E-2</v>
      </c>
      <c r="AP5" s="5">
        <f t="shared" si="1"/>
        <v>-0.1385245773110525</v>
      </c>
      <c r="AQ5" s="5">
        <f t="shared" si="1"/>
        <v>-0.1853455496511314</v>
      </c>
      <c r="AR5" s="5">
        <f t="shared" si="1"/>
        <v>-2.4479638980274894E-2</v>
      </c>
      <c r="AS5" s="5">
        <f t="shared" si="1"/>
        <v>-5.1532499136217082E-2</v>
      </c>
      <c r="AT5" s="5">
        <f t="shared" si="1"/>
        <v>-5.1172252140087811E-2</v>
      </c>
      <c r="AU5" s="5">
        <f t="shared" si="1"/>
        <v>-3.2062384838634272E-2</v>
      </c>
      <c r="AV5" s="5">
        <f t="shared" si="1"/>
        <v>1.9305127268677762E-2</v>
      </c>
      <c r="AW5" s="5">
        <f t="shared" si="1"/>
        <v>3.8358111796655568E-2</v>
      </c>
      <c r="AX5" s="5">
        <f t="shared" si="1"/>
        <v>3.9975947918673732E-2</v>
      </c>
      <c r="AY5" s="5">
        <f t="shared" si="1"/>
        <v>6.2299994815648616E-2</v>
      </c>
      <c r="AZ5" s="5">
        <f t="shared" si="1"/>
        <v>-1.4112569871874104E-4</v>
      </c>
      <c r="BA5" s="5">
        <f t="shared" si="1"/>
        <v>-3.0239198986004761E-3</v>
      </c>
      <c r="BB5" s="5">
        <f t="shared" si="1"/>
        <v>0.13057506753649847</v>
      </c>
      <c r="BC5" s="5">
        <f t="shared" si="1"/>
        <v>1.9267396279247385E-2</v>
      </c>
      <c r="BD5" s="5">
        <f t="shared" si="1"/>
        <v>7.6638932510825181E-2</v>
      </c>
      <c r="BE5" s="5">
        <f t="shared" si="1"/>
        <v>-1.070808283995457E-2</v>
      </c>
      <c r="BF5" s="5">
        <f t="shared" si="1"/>
        <v>8.6189373535827479E-2</v>
      </c>
      <c r="BG5" s="5">
        <f t="shared" si="1"/>
        <v>3.37093187918635E-2</v>
      </c>
      <c r="BH5" s="5">
        <f t="shared" si="1"/>
        <v>2.0376539029909654E-2</v>
      </c>
      <c r="BI5" s="5">
        <f t="shared" si="1"/>
        <v>7.4669912729812035E-2</v>
      </c>
      <c r="BJ5" s="5">
        <f t="shared" si="1"/>
        <v>4.4403146079248432E-2</v>
      </c>
      <c r="BK5" s="5">
        <f t="shared" si="1"/>
        <v>0.15458691956435872</v>
      </c>
      <c r="BL5" s="5">
        <f t="shared" si="1"/>
        <v>0.13243432033037389</v>
      </c>
    </row>
    <row r="6" spans="1:66" ht="14.4" customHeight="1" x14ac:dyDescent="0.3">
      <c r="E6" s="32" t="s">
        <v>319</v>
      </c>
      <c r="F6" s="5">
        <f>SUMPRODUCT($L$9:$L$222,F9:F222)</f>
        <v>0.81411399999999956</v>
      </c>
      <c r="G6" s="5">
        <f>SUMPRODUCT($L$9:$L$222,G9:G222)</f>
        <v>0.41453799999999968</v>
      </c>
      <c r="O6" s="2"/>
      <c r="P6" s="2"/>
      <c r="R6" s="32" t="s">
        <v>318</v>
      </c>
      <c r="S6" s="5">
        <f>SUMPRODUCT($O$9:$O$226,S9:S226)</f>
        <v>-0.11935419984181443</v>
      </c>
      <c r="T6" s="5">
        <f t="shared" ref="T6:BL6" si="2">SUMPRODUCT($O$9:$O$226,T9:T226)</f>
        <v>-9.5044741227518714E-2</v>
      </c>
      <c r="U6" s="5">
        <f t="shared" si="2"/>
        <v>-8.6237272854445463E-2</v>
      </c>
      <c r="V6" s="5">
        <f t="shared" si="2"/>
        <v>-0.13822656955473012</v>
      </c>
      <c r="W6" s="5">
        <f t="shared" si="2"/>
        <v>-0.11497347515143394</v>
      </c>
      <c r="X6" s="5">
        <f t="shared" si="2"/>
        <v>-0.1077409145614911</v>
      </c>
      <c r="Y6" s="5">
        <f t="shared" si="2"/>
        <v>-8.8218798504409252E-2</v>
      </c>
      <c r="Z6" s="5">
        <f t="shared" si="2"/>
        <v>-9.2988332697000867E-2</v>
      </c>
      <c r="AA6" s="5">
        <f t="shared" si="2"/>
        <v>-8.9592157585622542E-3</v>
      </c>
      <c r="AB6" s="5">
        <f t="shared" si="2"/>
        <v>-9.2131860909657678E-3</v>
      </c>
      <c r="AC6" s="5">
        <f t="shared" si="2"/>
        <v>-4.3429122083031811E-3</v>
      </c>
      <c r="AD6" s="5">
        <f t="shared" si="2"/>
        <v>-3.6476978715592363E-3</v>
      </c>
      <c r="AE6" s="5">
        <f t="shared" si="2"/>
        <v>-1.6029158974799895E-2</v>
      </c>
      <c r="AF6" s="39">
        <f t="shared" si="2"/>
        <v>-0.14344057920222317</v>
      </c>
      <c r="AG6" s="6">
        <f t="shared" si="2"/>
        <v>-9.8878857626230554E-2</v>
      </c>
      <c r="AH6" s="6">
        <f t="shared" si="2"/>
        <v>-5.4425896544712492E-2</v>
      </c>
      <c r="AI6" s="6">
        <f t="shared" si="2"/>
        <v>-4.3560620896099939E-2</v>
      </c>
      <c r="AJ6" s="6">
        <f t="shared" si="2"/>
        <v>-3.559105722272516E-2</v>
      </c>
      <c r="AK6" s="7">
        <f t="shared" si="2"/>
        <v>-7.89404218325543E-2</v>
      </c>
      <c r="AL6" s="5">
        <f t="shared" si="2"/>
        <v>-5.6460038753934225E-2</v>
      </c>
      <c r="AM6" s="5">
        <f t="shared" si="2"/>
        <v>-1.6606857327799852E-2</v>
      </c>
      <c r="AN6" s="5">
        <f t="shared" si="2"/>
        <v>-1.0286090969380898E-2</v>
      </c>
      <c r="AO6" s="5">
        <f t="shared" si="2"/>
        <v>-5.3117756827550093E-2</v>
      </c>
      <c r="AP6" s="5">
        <f t="shared" si="2"/>
        <v>8.6374367572463265E-4</v>
      </c>
      <c r="AQ6" s="5">
        <f t="shared" si="2"/>
        <v>-3.83281611332279E-2</v>
      </c>
      <c r="AR6" s="5">
        <f t="shared" si="2"/>
        <v>-7.865965258025262E-2</v>
      </c>
      <c r="AS6" s="5">
        <f t="shared" si="2"/>
        <v>-5.2496774239105676E-3</v>
      </c>
      <c r="AT6" s="5">
        <f t="shared" si="2"/>
        <v>-4.7116311712745336E-3</v>
      </c>
      <c r="AU6" s="5">
        <f t="shared" si="2"/>
        <v>-3.4176864145358941E-2</v>
      </c>
      <c r="AV6" s="5">
        <f t="shared" si="2"/>
        <v>-5.4834245392649167E-2</v>
      </c>
      <c r="AW6" s="5">
        <f t="shared" si="2"/>
        <v>-9.5592943101324712E-2</v>
      </c>
      <c r="AX6" s="5">
        <f t="shared" si="2"/>
        <v>5.8638191605091684E-2</v>
      </c>
      <c r="AY6" s="5">
        <f t="shared" si="2"/>
        <v>-1.4566717052373335E-2</v>
      </c>
      <c r="AZ6" s="5">
        <f t="shared" si="2"/>
        <v>2.8873469788907404E-2</v>
      </c>
      <c r="BA6" s="5">
        <f t="shared" si="2"/>
        <v>-7.3444665028213785E-2</v>
      </c>
      <c r="BB6" s="5">
        <f t="shared" si="2"/>
        <v>2.4925895597318188E-2</v>
      </c>
      <c r="BC6" s="5">
        <f t="shared" si="2"/>
        <v>-2.5431269779619181E-2</v>
      </c>
      <c r="BD6" s="5">
        <f t="shared" si="2"/>
        <v>-3.8376596879305003E-2</v>
      </c>
      <c r="BE6" s="5">
        <f t="shared" si="2"/>
        <v>-3.9268813149237344E-2</v>
      </c>
      <c r="BF6" s="5">
        <f t="shared" si="2"/>
        <v>-1.6329747517758113E-2</v>
      </c>
      <c r="BG6" s="5">
        <f t="shared" si="2"/>
        <v>4.8713667911723301E-3</v>
      </c>
      <c r="BH6" s="5">
        <f t="shared" si="2"/>
        <v>3.6542365184264555E-2</v>
      </c>
      <c r="BI6" s="5">
        <f t="shared" si="2"/>
        <v>3.7991964636932433E-2</v>
      </c>
      <c r="BJ6" s="5">
        <f t="shared" si="2"/>
        <v>-4.9099416608446841E-2</v>
      </c>
      <c r="BK6" s="5">
        <f t="shared" si="2"/>
        <v>4.9911531402469518E-2</v>
      </c>
      <c r="BL6" s="5">
        <f t="shared" si="2"/>
        <v>-4.7137237892878603E-3</v>
      </c>
    </row>
    <row r="7" spans="1:66" ht="15" thickBot="1" x14ac:dyDescent="0.35">
      <c r="B7" s="54">
        <f>SUM(B9:B222)</f>
        <v>1.0000000000000004</v>
      </c>
      <c r="E7" s="54">
        <f>SUM(E9:E222)</f>
        <v>0.99400000000000055</v>
      </c>
      <c r="F7" s="5">
        <f>SUMPRODUCT($L$9:$L$226,F9:F226)</f>
        <v>0.81411399999999956</v>
      </c>
      <c r="G7" s="5">
        <f>SUMPRODUCT($L$9:$L$226,G9:G226)</f>
        <v>0.41453799999999968</v>
      </c>
      <c r="K7" s="54">
        <f>SUM(K9:K222)</f>
        <v>1.0000000000000007</v>
      </c>
      <c r="N7" s="54">
        <f>SUM(N9:N222)</f>
        <v>0.99999999999999956</v>
      </c>
      <c r="Q7" s="54">
        <f>SUM(Q9:Q222)</f>
        <v>1</v>
      </c>
      <c r="R7" s="32" t="s">
        <v>319</v>
      </c>
      <c r="S7" s="5">
        <f>SUMPRODUCT($L$9:$L$226,S9:S226)</f>
        <v>0.52885500000000019</v>
      </c>
      <c r="T7" s="5">
        <f t="shared" ref="T7:BL7" si="3">SUMPRODUCT($L$9:$L$226,T9:T226)</f>
        <v>0.49425999999999998</v>
      </c>
      <c r="U7" s="5">
        <f t="shared" si="3"/>
        <v>0.54553899999999989</v>
      </c>
      <c r="V7" s="5">
        <f t="shared" si="3"/>
        <v>0.46310100000000004</v>
      </c>
      <c r="W7" s="5">
        <f t="shared" si="3"/>
        <v>0.52159800000000012</v>
      </c>
      <c r="X7" s="5">
        <f t="shared" si="3"/>
        <v>0.40001499999999995</v>
      </c>
      <c r="Y7" s="5">
        <f t="shared" si="3"/>
        <v>0.28000099999999989</v>
      </c>
      <c r="Z7" s="5">
        <f t="shared" si="3"/>
        <v>0.32337300000000002</v>
      </c>
      <c r="AA7" s="5">
        <f t="shared" si="3"/>
        <v>9.4048999999999952E-2</v>
      </c>
      <c r="AB7" s="5">
        <f t="shared" si="3"/>
        <v>9.3331999999999846E-2</v>
      </c>
      <c r="AC7" s="5">
        <f t="shared" si="3"/>
        <v>0.10209200000000018</v>
      </c>
      <c r="AD7" s="5">
        <f t="shared" si="3"/>
        <v>8.1799000000000066E-2</v>
      </c>
      <c r="AE7" s="5">
        <f t="shared" si="3"/>
        <v>0.1549320000000001</v>
      </c>
      <c r="AF7" s="39">
        <f t="shared" si="3"/>
        <v>0.40277100000000005</v>
      </c>
      <c r="AG7" s="6">
        <f t="shared" si="3"/>
        <v>0.34046000000000015</v>
      </c>
      <c r="AH7" s="6">
        <f t="shared" si="3"/>
        <v>0.197134</v>
      </c>
      <c r="AI7" s="6">
        <f t="shared" si="3"/>
        <v>0.41739700000000007</v>
      </c>
      <c r="AJ7" s="6">
        <f t="shared" si="3"/>
        <v>0.47203200000000006</v>
      </c>
      <c r="AK7" s="7">
        <f t="shared" si="3"/>
        <v>0.4825040000000001</v>
      </c>
      <c r="AL7" s="5">
        <f t="shared" si="3"/>
        <v>0.13467200000000001</v>
      </c>
      <c r="AM7" s="5">
        <f t="shared" si="3"/>
        <v>1.6948000000000008E-2</v>
      </c>
      <c r="AN7" s="5">
        <f t="shared" si="3"/>
        <v>0.10324599999999996</v>
      </c>
      <c r="AO7" s="5">
        <f t="shared" si="3"/>
        <v>0.18007200000000009</v>
      </c>
      <c r="AP7" s="5">
        <f t="shared" si="3"/>
        <v>3.8079999999999996E-2</v>
      </c>
      <c r="AQ7" s="5">
        <f t="shared" si="3"/>
        <v>-9.0349999999999944E-3</v>
      </c>
      <c r="AR7" s="5">
        <f t="shared" si="3"/>
        <v>0.11381599999999993</v>
      </c>
      <c r="AS7" s="5">
        <f t="shared" si="3"/>
        <v>7.7565999999999996E-2</v>
      </c>
      <c r="AT7" s="5">
        <f t="shared" si="3"/>
        <v>4.7939999999999927E-3</v>
      </c>
      <c r="AU7" s="5">
        <f t="shared" si="3"/>
        <v>9.6803999999999973E-2</v>
      </c>
      <c r="AV7" s="5">
        <f t="shared" si="3"/>
        <v>4.9809999999999979E-2</v>
      </c>
      <c r="AW7" s="5">
        <f t="shared" si="3"/>
        <v>0.26162400000000008</v>
      </c>
      <c r="AX7" s="5">
        <f t="shared" si="3"/>
        <v>-4.5658000000000032E-2</v>
      </c>
      <c r="AY7" s="5">
        <f t="shared" si="3"/>
        <v>0.17587200000000006</v>
      </c>
      <c r="AZ7" s="5">
        <f t="shared" si="3"/>
        <v>1.2034999999999983E-2</v>
      </c>
      <c r="BA7" s="5">
        <f t="shared" si="3"/>
        <v>7.473699999999997E-2</v>
      </c>
      <c r="BB7" s="5">
        <f t="shared" si="3"/>
        <v>0.21892700000000004</v>
      </c>
      <c r="BC7" s="5">
        <f t="shared" si="3"/>
        <v>3.1270999999999972E-2</v>
      </c>
      <c r="BD7" s="5">
        <f t="shared" si="3"/>
        <v>0.11733500000000004</v>
      </c>
      <c r="BE7" s="5">
        <f t="shared" si="3"/>
        <v>-5.1427999999999946E-2</v>
      </c>
      <c r="BF7" s="5">
        <f t="shared" si="3"/>
        <v>-2.5531999999999992E-2</v>
      </c>
      <c r="BG7" s="5">
        <f t="shared" si="3"/>
        <v>2.9769000000000025E-2</v>
      </c>
      <c r="BH7" s="5">
        <f t="shared" si="3"/>
        <v>-9.3331999999999943E-2</v>
      </c>
      <c r="BI7" s="5">
        <f t="shared" si="3"/>
        <v>5.7534000000000071E-2</v>
      </c>
      <c r="BJ7" s="5">
        <f t="shared" si="3"/>
        <v>4.1855000000000003E-2</v>
      </c>
      <c r="BK7" s="5">
        <f t="shared" si="3"/>
        <v>0.35987899999999995</v>
      </c>
      <c r="BL7" s="5">
        <f t="shared" si="3"/>
        <v>0.46946199999999993</v>
      </c>
    </row>
    <row r="8" spans="1:66" x14ac:dyDescent="0.3">
      <c r="A8" s="1" t="s">
        <v>0</v>
      </c>
      <c r="B8" s="55" t="s">
        <v>325</v>
      </c>
      <c r="C8" s="56" t="s">
        <v>333</v>
      </c>
      <c r="D8" s="56" t="s">
        <v>330</v>
      </c>
      <c r="E8" s="57" t="s">
        <v>321</v>
      </c>
      <c r="F8" s="1" t="s">
        <v>1</v>
      </c>
      <c r="G8" s="1" t="s">
        <v>2</v>
      </c>
      <c r="H8" s="1" t="s">
        <v>3</v>
      </c>
      <c r="I8" s="22" t="s">
        <v>305</v>
      </c>
      <c r="J8" s="22" t="s">
        <v>307</v>
      </c>
      <c r="K8" s="30" t="s">
        <v>334</v>
      </c>
      <c r="L8" s="1" t="s">
        <v>5</v>
      </c>
      <c r="M8" s="1" t="s">
        <v>273</v>
      </c>
      <c r="N8" s="64" t="s">
        <v>314</v>
      </c>
      <c r="O8" s="60" t="s">
        <v>318</v>
      </c>
      <c r="P8" s="46" t="s">
        <v>553</v>
      </c>
      <c r="Q8" s="45" t="s">
        <v>315</v>
      </c>
      <c r="R8" s="46" t="s">
        <v>317</v>
      </c>
      <c r="S8" s="3" t="s">
        <v>6</v>
      </c>
      <c r="T8" s="3" t="s">
        <v>7</v>
      </c>
      <c r="U8" s="3" t="s">
        <v>8</v>
      </c>
      <c r="V8" s="3" t="s">
        <v>9</v>
      </c>
      <c r="W8" s="3" t="s">
        <v>10</v>
      </c>
      <c r="X8" s="3" t="s">
        <v>11</v>
      </c>
      <c r="Y8" s="3" t="s">
        <v>12</v>
      </c>
      <c r="Z8" s="3" t="s">
        <v>13</v>
      </c>
      <c r="AA8" s="3" t="s">
        <v>14</v>
      </c>
      <c r="AB8" s="3" t="s">
        <v>15</v>
      </c>
      <c r="AC8" s="3" t="s">
        <v>16</v>
      </c>
      <c r="AD8" s="3" t="s">
        <v>17</v>
      </c>
      <c r="AE8" s="3" t="s">
        <v>18</v>
      </c>
      <c r="AF8" s="14" t="s">
        <v>19</v>
      </c>
      <c r="AG8" s="14" t="s">
        <v>20</v>
      </c>
      <c r="AH8" s="15" t="s">
        <v>21</v>
      </c>
      <c r="AI8" s="15" t="s">
        <v>22</v>
      </c>
      <c r="AJ8" s="15" t="s">
        <v>23</v>
      </c>
      <c r="AK8" s="16" t="s">
        <v>24</v>
      </c>
      <c r="AL8" s="8" t="s">
        <v>25</v>
      </c>
      <c r="AM8" s="3" t="s">
        <v>26</v>
      </c>
      <c r="AN8" s="3" t="s">
        <v>27</v>
      </c>
      <c r="AO8" s="3" t="s">
        <v>28</v>
      </c>
      <c r="AP8" s="3" t="s">
        <v>29</v>
      </c>
      <c r="AQ8" s="3" t="s">
        <v>30</v>
      </c>
      <c r="AR8" s="3" t="s">
        <v>31</v>
      </c>
      <c r="AS8" s="3" t="s">
        <v>32</v>
      </c>
      <c r="AT8" s="3" t="s">
        <v>33</v>
      </c>
      <c r="AU8" s="3" t="s">
        <v>34</v>
      </c>
      <c r="AV8" s="3" t="s">
        <v>35</v>
      </c>
      <c r="AW8" s="3" t="s">
        <v>36</v>
      </c>
      <c r="AX8" s="3" t="s">
        <v>37</v>
      </c>
      <c r="AY8" s="3" t="s">
        <v>38</v>
      </c>
      <c r="AZ8" s="3" t="s">
        <v>39</v>
      </c>
      <c r="BA8" s="3" t="s">
        <v>40</v>
      </c>
      <c r="BB8" s="3" t="s">
        <v>41</v>
      </c>
      <c r="BC8" s="3" t="s">
        <v>42</v>
      </c>
      <c r="BD8" s="3" t="s">
        <v>43</v>
      </c>
      <c r="BE8" s="3" t="s">
        <v>44</v>
      </c>
      <c r="BF8" s="3" t="s">
        <v>45</v>
      </c>
      <c r="BG8" s="3" t="s">
        <v>46</v>
      </c>
      <c r="BH8" s="3" t="s">
        <v>47</v>
      </c>
      <c r="BI8" s="3" t="s">
        <v>48</v>
      </c>
      <c r="BJ8" s="3" t="s">
        <v>49</v>
      </c>
      <c r="BK8" s="3" t="s">
        <v>50</v>
      </c>
      <c r="BL8" s="3" t="s">
        <v>51</v>
      </c>
    </row>
    <row r="9" spans="1:66" x14ac:dyDescent="0.3">
      <c r="A9" t="s">
        <v>52</v>
      </c>
      <c r="B9" s="53">
        <v>1.2E-2</v>
      </c>
      <c r="C9" s="53">
        <f>B9-E9</f>
        <v>1.2E-2</v>
      </c>
      <c r="D9" s="53">
        <f>B9-K9</f>
        <v>0</v>
      </c>
      <c r="E9" s="53">
        <f>K9-L9</f>
        <v>0</v>
      </c>
      <c r="F9" s="15">
        <v>3.6120000000000001</v>
      </c>
      <c r="G9">
        <v>3.5640000000000001</v>
      </c>
      <c r="H9" t="s">
        <v>53</v>
      </c>
      <c r="I9" t="str">
        <f>VLOOKUP(A9,Setores!$A$2:$C$215,2,0)</f>
        <v>financial_services</v>
      </c>
      <c r="J9" t="str">
        <f>VLOOKUP(A9,Setores!$A$2:$C$215,3,0)</f>
        <v>very_low_beta</v>
      </c>
      <c r="K9" s="17">
        <v>1.2E-2</v>
      </c>
      <c r="L9" s="2">
        <v>1.2E-2</v>
      </c>
      <c r="M9" s="5">
        <v>0.37509688257666701</v>
      </c>
      <c r="N9" s="41">
        <f>VLOOKUP(A9,'Mandato LP'!$A$2:$B$215,2,0)</f>
        <v>1.46039180329693E-2</v>
      </c>
      <c r="O9" s="58">
        <f>K9-N9</f>
        <v>-2.6039180329692994E-3</v>
      </c>
      <c r="P9" s="42">
        <f>B9-N9</f>
        <v>-2.6039180329692994E-3</v>
      </c>
      <c r="Q9" s="41">
        <f>VLOOKUP(A9,'Mandato LP'!$A$2:$C$215,3,0)</f>
        <v>1.19891981204824E-2</v>
      </c>
      <c r="R9" s="42">
        <f>K9-Q9</f>
        <v>1.0801879517600629E-5</v>
      </c>
      <c r="S9" s="15">
        <v>1</v>
      </c>
      <c r="T9" s="15">
        <v>0.96599999999999997</v>
      </c>
      <c r="U9" s="15">
        <v>1</v>
      </c>
      <c r="V9" s="15">
        <v>1</v>
      </c>
      <c r="W9" s="15">
        <v>1</v>
      </c>
      <c r="X9" s="15">
        <v>1</v>
      </c>
      <c r="Y9" s="15">
        <v>1</v>
      </c>
      <c r="Z9" s="15">
        <v>0.63100000000000001</v>
      </c>
      <c r="AA9" s="15">
        <v>0.72399999999999998</v>
      </c>
      <c r="AB9" s="15">
        <v>0.72299999999999998</v>
      </c>
      <c r="AC9" s="15">
        <v>1</v>
      </c>
      <c r="AD9" s="15">
        <v>1</v>
      </c>
      <c r="AE9" s="15">
        <v>0.99</v>
      </c>
      <c r="AF9" s="14">
        <v>1</v>
      </c>
      <c r="AG9" s="15">
        <v>0.20499999999999999</v>
      </c>
      <c r="AH9" s="15">
        <v>0.42099999999999999</v>
      </c>
      <c r="AI9" s="15">
        <v>0.54600000000000004</v>
      </c>
      <c r="AJ9" s="15">
        <v>0.997</v>
      </c>
      <c r="AK9" s="16">
        <v>1</v>
      </c>
      <c r="AL9" s="4">
        <v>0.55100000000000005</v>
      </c>
      <c r="AM9" s="4">
        <v>-0.187</v>
      </c>
      <c r="AN9" s="4">
        <v>-0.26300000000000001</v>
      </c>
      <c r="AO9" s="4">
        <v>5.5E-2</v>
      </c>
      <c r="AP9" s="4">
        <v>3.5999999999999997E-2</v>
      </c>
      <c r="AQ9" s="4">
        <v>0.11799999999999999</v>
      </c>
      <c r="AR9" s="4">
        <v>0.27100000000000002</v>
      </c>
      <c r="AS9" s="4">
        <v>0.157</v>
      </c>
      <c r="AT9" s="4">
        <v>-0.34599999999999997</v>
      </c>
      <c r="AU9" s="4">
        <v>0.72399999999999998</v>
      </c>
      <c r="AV9" s="4">
        <v>0.40300000000000002</v>
      </c>
      <c r="AW9" s="4">
        <v>1</v>
      </c>
      <c r="AX9" s="4">
        <v>0.36299999999999999</v>
      </c>
      <c r="AY9" s="4">
        <v>-6.2E-2</v>
      </c>
      <c r="AZ9" s="4">
        <v>0.80400000000000005</v>
      </c>
      <c r="BA9" s="4">
        <v>0.496</v>
      </c>
      <c r="BB9" s="4">
        <v>-4.2999999999999997E-2</v>
      </c>
      <c r="BC9" s="4">
        <v>0.05</v>
      </c>
      <c r="BD9" s="4">
        <v>0.06</v>
      </c>
      <c r="BE9" s="4">
        <v>0.53500000000000003</v>
      </c>
      <c r="BF9" s="4">
        <v>-2.1000000000000001E-2</v>
      </c>
      <c r="BG9" s="4">
        <v>1</v>
      </c>
      <c r="BH9" s="4">
        <v>0.64100000000000001</v>
      </c>
      <c r="BI9" s="4">
        <v>-0.36099999999999999</v>
      </c>
      <c r="BJ9" s="4">
        <v>-0.36699999999999999</v>
      </c>
      <c r="BK9" s="4">
        <v>0.61399999999999999</v>
      </c>
      <c r="BL9" s="4">
        <v>0.69299999999999995</v>
      </c>
      <c r="BM9" s="4"/>
      <c r="BN9" s="4"/>
    </row>
    <row r="10" spans="1:66" x14ac:dyDescent="0.3">
      <c r="A10" t="s">
        <v>69</v>
      </c>
      <c r="B10" s="53">
        <v>1.2E-2</v>
      </c>
      <c r="C10" s="53">
        <f t="shared" ref="C10:C73" si="4">B10-E10</f>
        <v>1.2E-2</v>
      </c>
      <c r="D10" s="53">
        <f t="shared" ref="D10:D73" si="5">B10-K10</f>
        <v>0</v>
      </c>
      <c r="E10" s="53">
        <f t="shared" ref="E10:E73" si="6">K10-L10</f>
        <v>0</v>
      </c>
      <c r="F10" s="15">
        <v>3.6120000000000001</v>
      </c>
      <c r="G10">
        <v>3.605</v>
      </c>
      <c r="H10" t="s">
        <v>57</v>
      </c>
      <c r="I10" t="str">
        <f>VLOOKUP(A10,Setores!$A$2:$C$215,2,0)</f>
        <v>banks</v>
      </c>
      <c r="J10" t="str">
        <f>VLOOKUP(A10,Setores!$A$2:$C$215,3,0)</f>
        <v>high_beta</v>
      </c>
      <c r="K10" s="17">
        <v>1.2E-2</v>
      </c>
      <c r="L10" s="2">
        <v>1.2E-2</v>
      </c>
      <c r="M10" s="5">
        <v>0.45753333333333301</v>
      </c>
      <c r="N10" s="41">
        <f>VLOOKUP(A10,'Mandato LP'!$A$2:$B$215,2,0)</f>
        <v>1.46039180329693E-2</v>
      </c>
      <c r="O10" s="58">
        <f t="shared" ref="O10:O73" si="7">K10-N10</f>
        <v>-2.6039180329692994E-3</v>
      </c>
      <c r="P10" s="42">
        <f t="shared" ref="P10:P73" si="8">B10-N10</f>
        <v>-2.6039180329692994E-3</v>
      </c>
      <c r="Q10" s="41">
        <f>VLOOKUP(A10,'Mandato LP'!$A$2:$C$215,3,0)</f>
        <v>1.19891981204824E-2</v>
      </c>
      <c r="R10" s="42">
        <f t="shared" ref="R10:R73" si="9">K10-Q10</f>
        <v>1.0801879517600629E-5</v>
      </c>
      <c r="S10" s="15">
        <v>0.90200000000000002</v>
      </c>
      <c r="T10" s="15">
        <v>1</v>
      </c>
      <c r="U10" s="15">
        <v>0.81699999999999995</v>
      </c>
      <c r="V10" s="15">
        <v>0.91100000000000003</v>
      </c>
      <c r="W10" s="15">
        <v>1</v>
      </c>
      <c r="X10" s="15">
        <v>1</v>
      </c>
      <c r="Y10" s="15">
        <v>1</v>
      </c>
      <c r="Z10" s="15">
        <v>1</v>
      </c>
      <c r="AA10" s="15">
        <v>1</v>
      </c>
      <c r="AB10" s="15">
        <v>1</v>
      </c>
      <c r="AC10" s="15">
        <v>1</v>
      </c>
      <c r="AD10" s="15">
        <v>1</v>
      </c>
      <c r="AE10" s="15">
        <v>1</v>
      </c>
      <c r="AF10" s="14">
        <v>0.19400000000000001</v>
      </c>
      <c r="AG10" s="15">
        <v>1</v>
      </c>
      <c r="AH10" s="15">
        <v>1</v>
      </c>
      <c r="AI10" s="15">
        <v>0.251</v>
      </c>
      <c r="AJ10" s="15">
        <v>1</v>
      </c>
      <c r="AK10" s="16">
        <v>0.23</v>
      </c>
      <c r="AL10" s="4">
        <v>7.2999999999999995E-2</v>
      </c>
      <c r="AM10" s="4">
        <v>0.54</v>
      </c>
      <c r="AN10" s="4">
        <v>0.42</v>
      </c>
      <c r="AO10" s="4">
        <v>0.223</v>
      </c>
      <c r="AP10" s="4">
        <v>0.56100000000000005</v>
      </c>
      <c r="AQ10" s="4">
        <v>0.81299999999999994</v>
      </c>
      <c r="AR10" s="4">
        <v>0.55700000000000005</v>
      </c>
      <c r="AS10" s="4">
        <v>0.25</v>
      </c>
      <c r="AT10" s="4">
        <v>-0.13900000000000001</v>
      </c>
      <c r="AU10" s="4">
        <v>2E-3</v>
      </c>
      <c r="AV10" s="4">
        <v>-0.26700000000000002</v>
      </c>
      <c r="AW10" s="4">
        <v>-0.13100000000000001</v>
      </c>
      <c r="AX10" s="4">
        <v>0.51500000000000001</v>
      </c>
      <c r="AY10" s="4">
        <v>-0.09</v>
      </c>
      <c r="AZ10" s="4">
        <v>0.65500000000000003</v>
      </c>
      <c r="BA10" s="4">
        <v>0.249</v>
      </c>
      <c r="BB10" s="4">
        <v>-3.0000000000000001E-3</v>
      </c>
      <c r="BC10" s="4">
        <v>0.126</v>
      </c>
      <c r="BD10" s="4">
        <v>0.215</v>
      </c>
      <c r="BE10" s="4">
        <v>-0.73199999999999998</v>
      </c>
      <c r="BF10" s="4">
        <v>-0.36299999999999999</v>
      </c>
      <c r="BG10" s="4">
        <v>0.186</v>
      </c>
      <c r="BH10" s="4">
        <v>0.93600000000000005</v>
      </c>
      <c r="BI10" s="4">
        <v>-0.81</v>
      </c>
      <c r="BJ10" s="4">
        <v>8.2000000000000003E-2</v>
      </c>
      <c r="BK10" s="4">
        <v>0.64</v>
      </c>
      <c r="BL10" s="4">
        <v>0.67900000000000005</v>
      </c>
      <c r="BM10" s="4"/>
      <c r="BN10" s="4"/>
    </row>
    <row r="11" spans="1:66" x14ac:dyDescent="0.3">
      <c r="A11" t="s">
        <v>87</v>
      </c>
      <c r="B11" s="53">
        <v>0.01</v>
      </c>
      <c r="C11" s="53">
        <f t="shared" si="4"/>
        <v>8.0000000000000002E-3</v>
      </c>
      <c r="D11" s="53">
        <f t="shared" si="5"/>
        <v>1.0000000000000009E-3</v>
      </c>
      <c r="E11" s="53">
        <f t="shared" si="6"/>
        <v>1.9999999999999992E-3</v>
      </c>
      <c r="F11" s="15">
        <v>3.6120000000000001</v>
      </c>
      <c r="G11">
        <v>4.1130000000000004</v>
      </c>
      <c r="H11" t="s">
        <v>55</v>
      </c>
      <c r="I11" t="str">
        <f>VLOOKUP(A11,Setores!$A$2:$C$215,2,0)</f>
        <v>real_estate</v>
      </c>
      <c r="J11" t="str">
        <f>VLOOKUP(A11,Setores!$A$2:$C$215,3,0)</f>
        <v>neutral_beta</v>
      </c>
      <c r="K11" s="17">
        <v>8.9999999999999993E-3</v>
      </c>
      <c r="L11" s="2">
        <v>7.0000000000000001E-3</v>
      </c>
      <c r="M11" s="5">
        <v>2.24793346502</v>
      </c>
      <c r="N11" s="41">
        <f>VLOOKUP(A11,'Mandato LP'!$A$2:$B$215,2,0)</f>
        <v>1.6604720631632999E-2</v>
      </c>
      <c r="O11" s="58">
        <f t="shared" si="7"/>
        <v>-7.604720631633E-3</v>
      </c>
      <c r="P11" s="42">
        <f t="shared" si="8"/>
        <v>-6.6047206316329991E-3</v>
      </c>
      <c r="Q11" s="41">
        <f>VLOOKUP(A11,'Mandato LP'!$A$2:$C$215,3,0)</f>
        <v>1.11829190801871E-2</v>
      </c>
      <c r="R11" s="42">
        <f t="shared" si="9"/>
        <v>-2.1829190801871002E-3</v>
      </c>
      <c r="S11" s="15">
        <v>0.753</v>
      </c>
      <c r="T11" s="15">
        <v>1</v>
      </c>
      <c r="U11" s="15">
        <v>0.51100000000000001</v>
      </c>
      <c r="V11" s="15">
        <v>0.89600000000000002</v>
      </c>
      <c r="W11" s="15">
        <v>0.88200000000000001</v>
      </c>
      <c r="X11" s="15">
        <v>0.996</v>
      </c>
      <c r="Y11" s="15">
        <v>1</v>
      </c>
      <c r="Z11" s="15">
        <v>1</v>
      </c>
      <c r="AA11" s="15">
        <v>0.53500000000000003</v>
      </c>
      <c r="AB11" s="15">
        <v>0.54</v>
      </c>
      <c r="AC11" s="15">
        <v>1</v>
      </c>
      <c r="AD11" s="15">
        <v>0.99099999999999999</v>
      </c>
      <c r="AE11" s="15">
        <v>1</v>
      </c>
      <c r="AF11" s="14">
        <v>1</v>
      </c>
      <c r="AG11" s="15">
        <v>9.1999999999999998E-2</v>
      </c>
      <c r="AH11" s="15">
        <v>0.79700000000000004</v>
      </c>
      <c r="AI11" s="15">
        <v>0.29799999999999999</v>
      </c>
      <c r="AJ11" s="15">
        <v>0.91800000000000004</v>
      </c>
      <c r="AK11" s="16">
        <v>-0.122</v>
      </c>
      <c r="AL11" s="4">
        <v>-0.20399999999999999</v>
      </c>
      <c r="AM11" s="4">
        <v>0.32700000000000001</v>
      </c>
      <c r="AN11" s="4">
        <v>-0.17</v>
      </c>
      <c r="AO11" s="4">
        <v>3.3000000000000002E-2</v>
      </c>
      <c r="AP11" s="4">
        <v>0.439</v>
      </c>
      <c r="AQ11" s="4">
        <v>2.3E-2</v>
      </c>
      <c r="AR11" s="4">
        <v>-7.1999999999999995E-2</v>
      </c>
      <c r="AS11" s="4">
        <v>0.52700000000000002</v>
      </c>
      <c r="AT11" s="4">
        <v>0.52</v>
      </c>
      <c r="AU11" s="4">
        <v>-0.109</v>
      </c>
      <c r="AV11" s="4">
        <v>0.75900000000000001</v>
      </c>
      <c r="AW11" s="4">
        <v>0.41899999999999998</v>
      </c>
      <c r="AX11" s="4">
        <v>0.34399999999999997</v>
      </c>
      <c r="AY11" s="4">
        <v>-0.73499999999999999</v>
      </c>
      <c r="AZ11" s="4">
        <v>0.03</v>
      </c>
      <c r="BA11" s="4">
        <v>-0.26200000000000001</v>
      </c>
      <c r="BB11" s="4">
        <v>-0.245</v>
      </c>
      <c r="BC11" s="4">
        <v>0.13500000000000001</v>
      </c>
      <c r="BD11" s="4">
        <v>0.59299999999999997</v>
      </c>
      <c r="BE11" s="4">
        <v>0.51</v>
      </c>
      <c r="BF11" s="4">
        <v>-0.35099999999999998</v>
      </c>
      <c r="BG11" s="4">
        <v>-0.122</v>
      </c>
      <c r="BH11" s="4">
        <v>0.72799999999999998</v>
      </c>
      <c r="BI11" s="4">
        <v>-0.41599999999999998</v>
      </c>
      <c r="BJ11" s="4">
        <v>0.223</v>
      </c>
      <c r="BK11" s="4">
        <v>0.36899999999999999</v>
      </c>
      <c r="BL11" s="4">
        <v>0.29699999999999999</v>
      </c>
      <c r="BM11" s="4"/>
      <c r="BN11" s="4"/>
    </row>
    <row r="12" spans="1:66" x14ac:dyDescent="0.3">
      <c r="A12" t="s">
        <v>54</v>
      </c>
      <c r="B12" s="53">
        <v>8.9999999999999993E-3</v>
      </c>
      <c r="C12" s="53">
        <f t="shared" si="4"/>
        <v>8.9999999999999993E-3</v>
      </c>
      <c r="D12" s="53">
        <f t="shared" si="5"/>
        <v>0</v>
      </c>
      <c r="E12" s="53">
        <f t="shared" si="6"/>
        <v>0</v>
      </c>
      <c r="F12" s="15">
        <v>3.6120000000000001</v>
      </c>
      <c r="G12">
        <v>3.629</v>
      </c>
      <c r="H12" t="s">
        <v>55</v>
      </c>
      <c r="I12" t="str">
        <f>VLOOKUP(A12,Setores!$A$2:$C$215,2,0)</f>
        <v>telecom</v>
      </c>
      <c r="J12" t="str">
        <f>VLOOKUP(A12,Setores!$A$2:$C$215,3,0)</f>
        <v>low_beta</v>
      </c>
      <c r="K12" s="17">
        <v>8.9999999999999993E-3</v>
      </c>
      <c r="L12" s="2">
        <v>8.9999999999999993E-3</v>
      </c>
      <c r="M12" s="5">
        <v>0.362970655454667</v>
      </c>
      <c r="N12" s="41">
        <f>VLOOKUP(A12,'Mandato LP'!$A$2:$B$215,2,0)</f>
        <v>1.46039180329693E-2</v>
      </c>
      <c r="O12" s="58">
        <f t="shared" si="7"/>
        <v>-5.6039180329693003E-3</v>
      </c>
      <c r="P12" s="42">
        <f t="shared" si="8"/>
        <v>-5.6039180329693003E-3</v>
      </c>
      <c r="Q12" s="41">
        <f>VLOOKUP(A12,'Mandato LP'!$A$2:$C$215,3,0)</f>
        <v>1.19891981204824E-2</v>
      </c>
      <c r="R12" s="42">
        <f t="shared" si="9"/>
        <v>-2.9891981204824003E-3</v>
      </c>
      <c r="S12" s="15">
        <v>1</v>
      </c>
      <c r="T12" s="15">
        <v>1</v>
      </c>
      <c r="U12" s="15">
        <v>0.64200000000000002</v>
      </c>
      <c r="V12" s="15">
        <v>1</v>
      </c>
      <c r="W12" s="15">
        <v>0.93799999999999994</v>
      </c>
      <c r="X12" s="15">
        <v>1</v>
      </c>
      <c r="Y12" s="15">
        <v>1</v>
      </c>
      <c r="Z12" s="15">
        <v>1</v>
      </c>
      <c r="AA12" s="15">
        <v>0.68700000000000006</v>
      </c>
      <c r="AB12" s="15">
        <v>0.68899999999999995</v>
      </c>
      <c r="AC12" s="15">
        <v>1</v>
      </c>
      <c r="AD12" s="15">
        <v>1</v>
      </c>
      <c r="AE12" s="15">
        <v>1</v>
      </c>
      <c r="AF12" s="14">
        <v>0.55700000000000005</v>
      </c>
      <c r="AG12" s="15">
        <v>2E-3</v>
      </c>
      <c r="AH12" s="15">
        <v>0.80500000000000005</v>
      </c>
      <c r="AI12" s="15">
        <v>-0.26100000000000001</v>
      </c>
      <c r="AJ12" s="15">
        <v>1</v>
      </c>
      <c r="AK12" s="16">
        <v>0.752</v>
      </c>
      <c r="AL12" s="4">
        <v>-0.20499999999999999</v>
      </c>
      <c r="AM12" s="4">
        <v>0.13300000000000001</v>
      </c>
      <c r="AN12" s="4">
        <v>-0.80500000000000005</v>
      </c>
      <c r="AO12" s="4">
        <v>6.4000000000000001E-2</v>
      </c>
      <c r="AP12" s="4">
        <v>0.751</v>
      </c>
      <c r="AQ12" s="4">
        <v>1</v>
      </c>
      <c r="AR12" s="4">
        <v>0.29299999999999998</v>
      </c>
      <c r="AS12" s="4">
        <v>0.40500000000000003</v>
      </c>
      <c r="AT12" s="4">
        <v>0.47499999999999998</v>
      </c>
      <c r="AU12" s="4">
        <v>0.41699999999999998</v>
      </c>
      <c r="AV12" s="4">
        <v>0.26</v>
      </c>
      <c r="AW12" s="4">
        <v>0.76700000000000002</v>
      </c>
      <c r="AX12" s="4">
        <v>0.42599999999999999</v>
      </c>
      <c r="AY12" s="4">
        <v>0.17899999999999999</v>
      </c>
      <c r="AZ12" s="4">
        <v>0.88500000000000001</v>
      </c>
      <c r="BA12" s="4">
        <v>0.104</v>
      </c>
      <c r="BB12" s="4">
        <v>0.58299999999999996</v>
      </c>
      <c r="BC12" s="4">
        <v>-0.29899999999999999</v>
      </c>
      <c r="BD12" s="4">
        <v>-0.20100000000000001</v>
      </c>
      <c r="BE12" s="4">
        <v>0.29299999999999998</v>
      </c>
      <c r="BF12" s="4">
        <v>-0.371</v>
      </c>
      <c r="BG12" s="4">
        <v>0.371</v>
      </c>
      <c r="BH12" s="4">
        <v>0.68200000000000005</v>
      </c>
      <c r="BI12" s="4">
        <v>-0.52700000000000002</v>
      </c>
      <c r="BJ12" s="4">
        <v>-0.40100000000000002</v>
      </c>
      <c r="BK12" s="4">
        <v>0.71699999999999997</v>
      </c>
      <c r="BL12" s="4">
        <v>0.495</v>
      </c>
      <c r="BM12" s="4"/>
      <c r="BN12" s="4"/>
    </row>
    <row r="13" spans="1:66" x14ac:dyDescent="0.3">
      <c r="A13" t="s">
        <v>91</v>
      </c>
      <c r="B13" s="53">
        <v>1.2500000000000001E-2</v>
      </c>
      <c r="C13" s="53">
        <f t="shared" si="4"/>
        <v>8.5000000000000006E-3</v>
      </c>
      <c r="D13" s="53">
        <f t="shared" si="5"/>
        <v>4.5000000000000005E-3</v>
      </c>
      <c r="E13" s="53">
        <f t="shared" si="6"/>
        <v>4.0000000000000001E-3</v>
      </c>
      <c r="F13" s="15">
        <v>3.6120000000000001</v>
      </c>
      <c r="G13">
        <v>3.895</v>
      </c>
      <c r="H13" t="s">
        <v>57</v>
      </c>
      <c r="I13" t="str">
        <f>VLOOKUP(A13,Setores!$A$2:$C$215,2,0)</f>
        <v>homebuilders</v>
      </c>
      <c r="J13" t="str">
        <f>VLOOKUP(A13,Setores!$A$2:$C$215,3,0)</f>
        <v>very_high_beta</v>
      </c>
      <c r="K13" s="17">
        <v>8.0000000000000002E-3</v>
      </c>
      <c r="L13" s="2">
        <v>4.0000000000000001E-3</v>
      </c>
      <c r="M13" s="5">
        <v>0.448932809866667</v>
      </c>
      <c r="N13" s="41">
        <f>VLOOKUP(A13,'Mandato LP'!$A$2:$B$215,2,0)</f>
        <v>2.08611030042384E-2</v>
      </c>
      <c r="O13" s="58">
        <f t="shared" si="7"/>
        <v>-1.28611030042384E-2</v>
      </c>
      <c r="P13" s="42">
        <f t="shared" si="8"/>
        <v>-8.3611030042383995E-3</v>
      </c>
      <c r="Q13" s="41">
        <f>VLOOKUP(A13,'Mandato LP'!$A$2:$C$215,3,0)</f>
        <v>1.7126081943555801E-2</v>
      </c>
      <c r="R13" s="42">
        <f t="shared" si="9"/>
        <v>-9.1260819435558006E-3</v>
      </c>
      <c r="S13" s="15">
        <v>1</v>
      </c>
      <c r="T13" s="15">
        <v>1</v>
      </c>
      <c r="U13" s="15">
        <v>0.60599999999999998</v>
      </c>
      <c r="V13" s="15">
        <v>1</v>
      </c>
      <c r="W13" s="15">
        <v>1</v>
      </c>
      <c r="X13" s="15">
        <v>1</v>
      </c>
      <c r="Y13" s="15">
        <v>0.97299999999999998</v>
      </c>
      <c r="Z13" s="15">
        <v>1</v>
      </c>
      <c r="AA13" s="15">
        <v>0.69499999999999995</v>
      </c>
      <c r="AB13" s="15">
        <v>0.69099999999999995</v>
      </c>
      <c r="AC13" s="15">
        <v>0.92900000000000005</v>
      </c>
      <c r="AD13" s="15">
        <v>0.85899999999999999</v>
      </c>
      <c r="AE13" s="15">
        <v>1</v>
      </c>
      <c r="AF13" s="14">
        <v>1</v>
      </c>
      <c r="AG13" s="15">
        <v>0.93799999999999994</v>
      </c>
      <c r="AH13" s="15">
        <v>1</v>
      </c>
      <c r="AI13" s="15">
        <v>-0.41499999999999998</v>
      </c>
      <c r="AJ13" s="15">
        <v>0.72799999999999998</v>
      </c>
      <c r="AK13" s="16">
        <v>0.253</v>
      </c>
      <c r="AL13" s="4">
        <v>0.29599999999999999</v>
      </c>
      <c r="AM13" s="4">
        <v>-5.2999999999999999E-2</v>
      </c>
      <c r="AN13" s="4">
        <v>-0.41099999999999998</v>
      </c>
      <c r="AO13" s="4">
        <v>0.313</v>
      </c>
      <c r="AP13" s="4">
        <v>0.63200000000000001</v>
      </c>
      <c r="AQ13" s="4">
        <v>0.92700000000000005</v>
      </c>
      <c r="AR13" s="4">
        <v>0.53200000000000003</v>
      </c>
      <c r="AS13" s="4">
        <v>0.182</v>
      </c>
      <c r="AT13" s="4">
        <v>0.309</v>
      </c>
      <c r="AU13" s="4">
        <v>0.33</v>
      </c>
      <c r="AV13" s="4">
        <v>0.41399999999999998</v>
      </c>
      <c r="AW13" s="4">
        <v>0.90800000000000003</v>
      </c>
      <c r="AX13" s="4">
        <v>-4.4999999999999998E-2</v>
      </c>
      <c r="AY13" s="4">
        <v>0.13600000000000001</v>
      </c>
      <c r="AZ13" s="4">
        <v>-0.17599999999999999</v>
      </c>
      <c r="BA13" s="4">
        <v>0.53700000000000003</v>
      </c>
      <c r="BB13" s="4">
        <v>-0.253</v>
      </c>
      <c r="BC13" s="4">
        <v>8.0000000000000002E-3</v>
      </c>
      <c r="BD13" s="4">
        <v>0.54100000000000004</v>
      </c>
      <c r="BE13" s="4">
        <v>0.64700000000000002</v>
      </c>
      <c r="BF13" s="4">
        <v>0.217</v>
      </c>
      <c r="BG13" s="4">
        <v>0.151</v>
      </c>
      <c r="BH13" s="4">
        <v>0.14199999999999999</v>
      </c>
      <c r="BI13" s="4">
        <v>-0.85699999999999998</v>
      </c>
      <c r="BJ13" s="4">
        <v>0.70399999999999996</v>
      </c>
      <c r="BK13" s="4">
        <v>-5.0999999999999997E-2</v>
      </c>
      <c r="BL13" s="4">
        <v>-0.25800000000000001</v>
      </c>
      <c r="BM13" s="4"/>
      <c r="BN13" s="4"/>
    </row>
    <row r="14" spans="1:66" x14ac:dyDescent="0.3">
      <c r="A14" t="s">
        <v>59</v>
      </c>
      <c r="B14" s="53">
        <v>0.01</v>
      </c>
      <c r="C14" s="53">
        <f t="shared" si="4"/>
        <v>0.01</v>
      </c>
      <c r="D14" s="53">
        <f t="shared" si="5"/>
        <v>4.0000000000000001E-3</v>
      </c>
      <c r="E14" s="53">
        <f t="shared" si="6"/>
        <v>0</v>
      </c>
      <c r="F14" s="15">
        <v>3.6120000000000001</v>
      </c>
      <c r="G14">
        <v>2.778</v>
      </c>
      <c r="H14" t="s">
        <v>57</v>
      </c>
      <c r="I14" t="str">
        <f>VLOOKUP(A14,Setores!$A$2:$C$215,2,0)</f>
        <v>consumer_durables</v>
      </c>
      <c r="J14" t="str">
        <f>VLOOKUP(A14,Setores!$A$2:$C$215,3,0)</f>
        <v>very_low_beta</v>
      </c>
      <c r="K14" s="17">
        <v>6.0000000000000001E-3</v>
      </c>
      <c r="L14" s="2">
        <v>6.0000000000000001E-3</v>
      </c>
      <c r="M14" s="5">
        <v>2.1306249228366698</v>
      </c>
      <c r="N14" s="41">
        <f>VLOOKUP(A14,'Mandato LP'!$A$2:$B$215,2,0)</f>
        <v>1.46039180329693E-2</v>
      </c>
      <c r="O14" s="58">
        <f t="shared" si="7"/>
        <v>-8.6039180329692995E-3</v>
      </c>
      <c r="P14" s="42">
        <f t="shared" si="8"/>
        <v>-4.6039180329692994E-3</v>
      </c>
      <c r="Q14" s="41">
        <f>VLOOKUP(A14,'Mandato LP'!$A$2:$C$215,3,0)</f>
        <v>9.3931853602334595E-3</v>
      </c>
      <c r="R14" s="42">
        <f t="shared" si="9"/>
        <v>-3.3931853602334593E-3</v>
      </c>
      <c r="S14" s="15">
        <v>1</v>
      </c>
      <c r="T14" s="15">
        <v>0.64600000000000002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0.73699999999999999</v>
      </c>
      <c r="AA14" s="15">
        <v>1</v>
      </c>
      <c r="AB14" s="15">
        <v>1</v>
      </c>
      <c r="AC14" s="15">
        <v>0.73499999999999999</v>
      </c>
      <c r="AD14" s="15">
        <v>0.749</v>
      </c>
      <c r="AE14" s="15">
        <v>0.92800000000000005</v>
      </c>
      <c r="AF14" s="14">
        <v>1</v>
      </c>
      <c r="AG14" s="15">
        <v>1</v>
      </c>
      <c r="AH14" s="15">
        <v>-0.13800000000000001</v>
      </c>
      <c r="AI14" s="15">
        <v>1</v>
      </c>
      <c r="AJ14" s="15">
        <v>-0.315</v>
      </c>
      <c r="AK14" s="16">
        <v>1</v>
      </c>
      <c r="AL14" s="4">
        <v>0.88200000000000001</v>
      </c>
      <c r="AM14" s="4">
        <v>1</v>
      </c>
      <c r="AN14" s="4">
        <v>0.45100000000000001</v>
      </c>
      <c r="AO14" s="4">
        <v>0.65200000000000002</v>
      </c>
      <c r="AP14" s="4">
        <v>-0.80800000000000005</v>
      </c>
      <c r="AQ14" s="4">
        <v>-0.66500000000000004</v>
      </c>
      <c r="AR14" s="4">
        <v>0.30299999999999999</v>
      </c>
      <c r="AS14" s="4">
        <v>0.59399999999999997</v>
      </c>
      <c r="AT14" s="4">
        <v>9.7000000000000003E-2</v>
      </c>
      <c r="AU14" s="4">
        <v>0.69699999999999995</v>
      </c>
      <c r="AV14" s="4">
        <v>-0.54800000000000004</v>
      </c>
      <c r="AW14" s="4">
        <v>0.90800000000000003</v>
      </c>
      <c r="AX14" s="4">
        <v>0.32600000000000001</v>
      </c>
      <c r="AY14" s="4">
        <v>5.3999999999999999E-2</v>
      </c>
      <c r="AZ14" s="4">
        <v>0.47</v>
      </c>
      <c r="BA14" s="4">
        <v>0.60399999999999998</v>
      </c>
      <c r="BB14" s="4">
        <v>0.25</v>
      </c>
      <c r="BC14" s="4">
        <v>0.29199999999999998</v>
      </c>
      <c r="BD14" s="4">
        <v>0.30299999999999999</v>
      </c>
      <c r="BE14" s="4">
        <v>0.59399999999999997</v>
      </c>
      <c r="BF14" s="4">
        <v>4.2999999999999997E-2</v>
      </c>
      <c r="BG14" s="4">
        <v>9.7000000000000003E-2</v>
      </c>
      <c r="BH14" s="4">
        <v>0.90700000000000003</v>
      </c>
      <c r="BI14" s="4">
        <v>-0.34499999999999997</v>
      </c>
      <c r="BJ14" s="4">
        <v>-0.437</v>
      </c>
      <c r="BK14" s="4">
        <v>0.52100000000000002</v>
      </c>
      <c r="BL14" s="4">
        <v>0.80200000000000005</v>
      </c>
      <c r="BM14" s="4"/>
      <c r="BN14" s="4"/>
    </row>
    <row r="15" spans="1:66" x14ac:dyDescent="0.3">
      <c r="A15" t="s">
        <v>60</v>
      </c>
      <c r="B15" s="53">
        <v>8.0000000000000002E-3</v>
      </c>
      <c r="C15" s="53">
        <f t="shared" si="4"/>
        <v>8.0000000000000002E-3</v>
      </c>
      <c r="D15" s="53">
        <f t="shared" si="5"/>
        <v>0</v>
      </c>
      <c r="E15" s="53">
        <f t="shared" si="6"/>
        <v>0</v>
      </c>
      <c r="F15" s="15">
        <v>3.5289999999999999</v>
      </c>
      <c r="G15">
        <v>2.738</v>
      </c>
      <c r="H15" t="s">
        <v>57</v>
      </c>
      <c r="I15" t="str">
        <f>VLOOKUP(A15,Setores!$A$2:$C$215,2,0)</f>
        <v>apparel</v>
      </c>
      <c r="J15" t="str">
        <f>VLOOKUP(A15,Setores!$A$2:$C$215,3,0)</f>
        <v>very_high_beta</v>
      </c>
      <c r="K15" s="17">
        <v>8.0000000000000002E-3</v>
      </c>
      <c r="L15" s="2">
        <v>8.0000000000000002E-3</v>
      </c>
      <c r="M15" s="5">
        <v>1.1310543896</v>
      </c>
      <c r="N15" s="41">
        <f>VLOOKUP(A15,'Mandato LP'!$A$2:$B$215,2,0)</f>
        <v>1.4269527464952501E-2</v>
      </c>
      <c r="O15" s="58">
        <f t="shared" si="7"/>
        <v>-6.2695274649525005E-3</v>
      </c>
      <c r="P15" s="42">
        <f t="shared" si="8"/>
        <v>-6.2695274649525005E-3</v>
      </c>
      <c r="Q15" s="41">
        <f>VLOOKUP(A15,'Mandato LP'!$A$2:$C$215,3,0)</f>
        <v>9.3190117559870597E-3</v>
      </c>
      <c r="R15" s="42">
        <f t="shared" si="9"/>
        <v>-1.3190117559870596E-3</v>
      </c>
      <c r="S15" s="15">
        <v>0.99299999999999999</v>
      </c>
      <c r="T15" s="15">
        <v>0.84899999999999998</v>
      </c>
      <c r="U15" s="15">
        <v>0.79700000000000004</v>
      </c>
      <c r="V15" s="15">
        <v>1</v>
      </c>
      <c r="W15" s="15">
        <v>0.96899999999999997</v>
      </c>
      <c r="X15" s="15">
        <v>0.78600000000000003</v>
      </c>
      <c r="Y15" s="15">
        <v>0.51400000000000001</v>
      </c>
      <c r="Z15" s="15">
        <v>0.755</v>
      </c>
      <c r="AA15" s="15">
        <v>0.75700000000000001</v>
      </c>
      <c r="AB15" s="15">
        <v>0.752</v>
      </c>
      <c r="AC15" s="15">
        <v>0.77800000000000002</v>
      </c>
      <c r="AD15" s="15">
        <v>0.79800000000000004</v>
      </c>
      <c r="AE15" s="15">
        <v>0.95599999999999996</v>
      </c>
      <c r="AF15" s="14">
        <v>1</v>
      </c>
      <c r="AG15" s="15">
        <v>1</v>
      </c>
      <c r="AH15" s="15">
        <v>0.41799999999999998</v>
      </c>
      <c r="AI15" s="15">
        <v>0.13700000000000001</v>
      </c>
      <c r="AJ15" s="15">
        <v>0.13300000000000001</v>
      </c>
      <c r="AK15" s="16">
        <v>0.61</v>
      </c>
      <c r="AL15" s="4">
        <v>0.55600000000000005</v>
      </c>
      <c r="AM15" s="4">
        <v>9.0999999999999998E-2</v>
      </c>
      <c r="AN15" s="4">
        <v>-0.11799999999999999</v>
      </c>
      <c r="AO15" s="4">
        <v>0.47799999999999998</v>
      </c>
      <c r="AP15" s="4">
        <v>0.22700000000000001</v>
      </c>
      <c r="AQ15" s="4">
        <v>-8.1000000000000003E-2</v>
      </c>
      <c r="AR15" s="4">
        <v>0.58399999999999996</v>
      </c>
      <c r="AS15" s="4">
        <v>0.76800000000000002</v>
      </c>
      <c r="AT15" s="4">
        <v>0.38400000000000001</v>
      </c>
      <c r="AU15" s="4">
        <v>0.42799999999999999</v>
      </c>
      <c r="AV15" s="4">
        <v>-0.1</v>
      </c>
      <c r="AW15" s="4">
        <v>0.95799999999999996</v>
      </c>
      <c r="AX15" s="4">
        <v>-0.59099999999999997</v>
      </c>
      <c r="AY15" s="4">
        <v>7.6999999999999999E-2</v>
      </c>
      <c r="AZ15" s="4">
        <v>0.42299999999999999</v>
      </c>
      <c r="BA15" s="4">
        <v>0.629</v>
      </c>
      <c r="BB15" s="4">
        <v>-0.314</v>
      </c>
      <c r="BC15" s="4">
        <v>0.21099999999999999</v>
      </c>
      <c r="BD15" s="4">
        <v>1.9E-2</v>
      </c>
      <c r="BE15" s="4">
        <v>0.625</v>
      </c>
      <c r="BF15" s="4">
        <v>0.23400000000000001</v>
      </c>
      <c r="BG15" s="4">
        <v>-0.28799999999999998</v>
      </c>
      <c r="BH15" s="4">
        <v>0.20399999999999999</v>
      </c>
      <c r="BI15" s="4">
        <v>-0.48799999999999999</v>
      </c>
      <c r="BJ15" s="4">
        <v>0.29199999999999998</v>
      </c>
      <c r="BK15" s="4">
        <v>0.253</v>
      </c>
      <c r="BL15" s="4">
        <v>0.20599999999999999</v>
      </c>
      <c r="BM15" s="4"/>
      <c r="BN15" s="4"/>
    </row>
    <row r="16" spans="1:66" x14ac:dyDescent="0.3">
      <c r="A16" t="s">
        <v>58</v>
      </c>
      <c r="B16" s="53">
        <v>1.2E-2</v>
      </c>
      <c r="C16" s="53">
        <f t="shared" si="4"/>
        <v>0.01</v>
      </c>
      <c r="D16" s="53">
        <f t="shared" si="5"/>
        <v>0</v>
      </c>
      <c r="E16" s="53">
        <f t="shared" si="6"/>
        <v>2E-3</v>
      </c>
      <c r="F16" s="15">
        <v>3.4969999999999999</v>
      </c>
      <c r="G16">
        <v>3.883</v>
      </c>
      <c r="H16" t="s">
        <v>57</v>
      </c>
      <c r="I16" t="str">
        <f>VLOOKUP(A16,Setores!$A$2:$C$215,2,0)</f>
        <v>apparel</v>
      </c>
      <c r="J16" t="str">
        <f>VLOOKUP(A16,Setores!$A$2:$C$215,3,0)</f>
        <v>very_low_beta</v>
      </c>
      <c r="K16" s="17">
        <v>1.2E-2</v>
      </c>
      <c r="L16" s="2">
        <v>0.01</v>
      </c>
      <c r="M16" s="5">
        <v>0.75574801700000005</v>
      </c>
      <c r="N16" s="41">
        <f>VLOOKUP(A16,'Mandato LP'!$A$2:$B$215,2,0)</f>
        <v>1.53043767385926E-2</v>
      </c>
      <c r="O16" s="58">
        <f t="shared" si="7"/>
        <v>-3.3043767385925998E-3</v>
      </c>
      <c r="P16" s="42">
        <f t="shared" si="8"/>
        <v>-3.3043767385925998E-3</v>
      </c>
      <c r="Q16" s="41">
        <f>VLOOKUP(A16,'Mandato LP'!$A$2:$C$215,3,0)</f>
        <v>9.2447260246992392E-3</v>
      </c>
      <c r="R16" s="42">
        <f t="shared" si="9"/>
        <v>2.7552739753007611E-3</v>
      </c>
      <c r="S16" s="15">
        <v>0.73699999999999999</v>
      </c>
      <c r="T16" s="15">
        <v>0.61</v>
      </c>
      <c r="U16" s="15">
        <v>0.67800000000000005</v>
      </c>
      <c r="V16" s="15">
        <v>0.68700000000000006</v>
      </c>
      <c r="W16" s="15">
        <v>0.67500000000000004</v>
      </c>
      <c r="X16" s="15">
        <v>1</v>
      </c>
      <c r="Y16" s="15">
        <v>1</v>
      </c>
      <c r="Z16" s="15">
        <v>0.97799999999999998</v>
      </c>
      <c r="AA16" s="15">
        <v>0.55600000000000005</v>
      </c>
      <c r="AB16" s="15">
        <v>0.55900000000000005</v>
      </c>
      <c r="AC16" s="15">
        <v>0.89400000000000002</v>
      </c>
      <c r="AD16" s="15">
        <v>0.83899999999999997</v>
      </c>
      <c r="AE16" s="15">
        <v>0.89100000000000001</v>
      </c>
      <c r="AF16" s="14">
        <v>0.84699999999999998</v>
      </c>
      <c r="AG16" s="15">
        <v>6.3E-2</v>
      </c>
      <c r="AH16" s="15">
        <v>-0.123</v>
      </c>
      <c r="AI16" s="15">
        <v>2.7E-2</v>
      </c>
      <c r="AJ16" s="15">
        <v>0.129</v>
      </c>
      <c r="AK16" s="16">
        <v>0.84699999999999998</v>
      </c>
      <c r="AL16" s="4">
        <v>0.13500000000000001</v>
      </c>
      <c r="AM16" s="4">
        <v>0.94799999999999995</v>
      </c>
      <c r="AN16" s="4">
        <v>-0.47699999999999998</v>
      </c>
      <c r="AO16" s="4">
        <v>0.54</v>
      </c>
      <c r="AP16" s="4">
        <v>0.16900000000000001</v>
      </c>
      <c r="AQ16" s="4">
        <v>-0.25800000000000001</v>
      </c>
      <c r="AR16" s="4">
        <v>-2.3E-2</v>
      </c>
      <c r="AS16" s="4">
        <v>0.29899999999999999</v>
      </c>
      <c r="AT16" s="4">
        <v>-0.16800000000000001</v>
      </c>
      <c r="AU16" s="4">
        <v>0.20499999999999999</v>
      </c>
      <c r="AV16" s="4">
        <v>0.159</v>
      </c>
      <c r="AW16" s="4">
        <v>0.17</v>
      </c>
      <c r="AX16" s="4">
        <v>0.51800000000000002</v>
      </c>
      <c r="AY16" s="4">
        <v>0.77400000000000002</v>
      </c>
      <c r="AZ16" s="4">
        <v>0.495</v>
      </c>
      <c r="BA16" s="4">
        <v>-4.9000000000000002E-2</v>
      </c>
      <c r="BB16" s="4">
        <v>0.10199999999999999</v>
      </c>
      <c r="BC16" s="4">
        <v>0.55300000000000005</v>
      </c>
      <c r="BD16" s="4">
        <v>0.50700000000000001</v>
      </c>
      <c r="BE16" s="4">
        <v>0.54600000000000004</v>
      </c>
      <c r="BF16" s="4">
        <v>0.21099999999999999</v>
      </c>
      <c r="BG16" s="4">
        <v>4.8000000000000001E-2</v>
      </c>
      <c r="BH16" s="4">
        <v>0.82899999999999996</v>
      </c>
      <c r="BI16" s="4">
        <v>-7.4999999999999997E-2</v>
      </c>
      <c r="BJ16" s="4">
        <v>-0.35799999999999998</v>
      </c>
      <c r="BK16" s="4">
        <v>0.19700000000000001</v>
      </c>
      <c r="BL16" s="4">
        <v>0.34699999999999998</v>
      </c>
      <c r="BM16" s="4"/>
      <c r="BN16" s="4"/>
    </row>
    <row r="17" spans="1:66" x14ac:dyDescent="0.3">
      <c r="A17" t="s">
        <v>75</v>
      </c>
      <c r="B17" s="53">
        <v>7.0000000000000001E-3</v>
      </c>
      <c r="C17" s="53">
        <f t="shared" si="4"/>
        <v>7.0000000000000001E-3</v>
      </c>
      <c r="D17" s="53">
        <f t="shared" si="5"/>
        <v>0</v>
      </c>
      <c r="E17" s="53">
        <f t="shared" si="6"/>
        <v>0</v>
      </c>
      <c r="F17" s="15">
        <v>3.3780000000000001</v>
      </c>
      <c r="G17">
        <v>2.5910000000000002</v>
      </c>
      <c r="H17" t="s">
        <v>55</v>
      </c>
      <c r="I17" t="str">
        <f>VLOOKUP(A17,Setores!$A$2:$C$215,2,0)</f>
        <v>real_estate</v>
      </c>
      <c r="J17" t="str">
        <f>VLOOKUP(A17,Setores!$A$2:$C$215,3,0)</f>
        <v>very_high_beta</v>
      </c>
      <c r="K17" s="17">
        <v>7.0000000000000001E-3</v>
      </c>
      <c r="L17" s="2">
        <v>7.0000000000000001E-3</v>
      </c>
      <c r="M17" s="5">
        <v>0.38847621060999998</v>
      </c>
      <c r="N17" s="41">
        <f>VLOOKUP(A17,'Mandato LP'!$A$2:$B$215,2,0)</f>
        <v>1.36579890927221E-2</v>
      </c>
      <c r="O17" s="58">
        <f t="shared" si="7"/>
        <v>-6.6579890927220995E-3</v>
      </c>
      <c r="P17" s="42">
        <f t="shared" si="8"/>
        <v>-6.6579890927220995E-3</v>
      </c>
      <c r="Q17" s="41">
        <f>VLOOKUP(A17,'Mandato LP'!$A$2:$C$215,3,0)</f>
        <v>7.0157204483955503E-3</v>
      </c>
      <c r="R17" s="42">
        <f t="shared" si="9"/>
        <v>-1.5720448395550174E-5</v>
      </c>
      <c r="S17" s="15">
        <v>1</v>
      </c>
      <c r="T17" s="15">
        <v>1</v>
      </c>
      <c r="U17" s="15">
        <v>1</v>
      </c>
      <c r="V17" s="15">
        <v>0.70199999999999996</v>
      </c>
      <c r="W17" s="15">
        <v>1</v>
      </c>
      <c r="X17" s="15">
        <v>0.86</v>
      </c>
      <c r="Y17" s="15">
        <v>0.81</v>
      </c>
      <c r="Z17" s="15">
        <v>0.47</v>
      </c>
      <c r="AA17" s="15">
        <v>0.55700000000000005</v>
      </c>
      <c r="AB17" s="15">
        <v>0.55600000000000005</v>
      </c>
      <c r="AC17" s="15">
        <v>0.64400000000000002</v>
      </c>
      <c r="AD17" s="15">
        <v>0.81</v>
      </c>
      <c r="AE17" s="15">
        <v>0.97799999999999998</v>
      </c>
      <c r="AF17" s="14">
        <v>0.23699999999999999</v>
      </c>
      <c r="AG17" s="15">
        <v>1</v>
      </c>
      <c r="AH17" s="15">
        <v>1</v>
      </c>
      <c r="AI17" s="15">
        <v>1</v>
      </c>
      <c r="AJ17" s="15">
        <v>0.38400000000000001</v>
      </c>
      <c r="AK17" s="16">
        <v>-0.22500000000000001</v>
      </c>
      <c r="AL17" s="4">
        <v>0.75</v>
      </c>
      <c r="AM17" s="4">
        <v>-0.02</v>
      </c>
      <c r="AN17" s="4">
        <v>1</v>
      </c>
      <c r="AO17" s="4">
        <v>0.77500000000000002</v>
      </c>
      <c r="AP17" s="4">
        <v>-9.7000000000000003E-2</v>
      </c>
      <c r="AQ17" s="4">
        <v>-0.185</v>
      </c>
      <c r="AR17" s="4">
        <v>-0.221</v>
      </c>
      <c r="AS17" s="4">
        <v>0.34300000000000003</v>
      </c>
      <c r="AT17" s="4">
        <v>0.114</v>
      </c>
      <c r="AU17" s="4">
        <v>-0.22800000000000001</v>
      </c>
      <c r="AV17" s="4">
        <v>0.47</v>
      </c>
      <c r="AW17" s="4">
        <v>-0.33600000000000002</v>
      </c>
      <c r="AX17" s="4">
        <v>-4.8000000000000001E-2</v>
      </c>
      <c r="AY17" s="4">
        <v>-0.71399999999999997</v>
      </c>
      <c r="AZ17" s="4">
        <v>-0.34399999999999997</v>
      </c>
      <c r="BA17" s="4">
        <v>0.126</v>
      </c>
      <c r="BB17" s="4">
        <v>0.84699999999999998</v>
      </c>
      <c r="BC17" s="4">
        <v>0.16600000000000001</v>
      </c>
      <c r="BD17" s="4">
        <v>0.73899999999999999</v>
      </c>
      <c r="BE17" s="4">
        <v>0.32600000000000001</v>
      </c>
      <c r="BF17" s="4">
        <v>-1E-3</v>
      </c>
      <c r="BG17" s="4">
        <v>0.315</v>
      </c>
      <c r="BH17" s="4">
        <v>0.28299999999999997</v>
      </c>
      <c r="BI17" s="4">
        <v>0.154</v>
      </c>
      <c r="BJ17" s="4">
        <v>0.81899999999999995</v>
      </c>
      <c r="BK17" s="4">
        <v>0.621</v>
      </c>
      <c r="BL17" s="4">
        <v>0.97399999999999998</v>
      </c>
      <c r="BM17" s="4"/>
      <c r="BN17" s="4"/>
    </row>
    <row r="18" spans="1:66" x14ac:dyDescent="0.3">
      <c r="A18" t="s">
        <v>67</v>
      </c>
      <c r="B18" s="53">
        <v>0.01</v>
      </c>
      <c r="C18" s="53">
        <f t="shared" si="4"/>
        <v>8.0000000000000002E-3</v>
      </c>
      <c r="D18" s="53">
        <f t="shared" si="5"/>
        <v>0</v>
      </c>
      <c r="E18" s="53">
        <f t="shared" si="6"/>
        <v>2E-3</v>
      </c>
      <c r="F18" s="15">
        <v>3.3239999999999998</v>
      </c>
      <c r="G18">
        <v>3.0920000000000001</v>
      </c>
      <c r="H18" t="s">
        <v>68</v>
      </c>
      <c r="I18" t="str">
        <f>VLOOKUP(A18,Setores!$A$2:$C$215,2,0)</f>
        <v>capital_goods</v>
      </c>
      <c r="J18" t="str">
        <f>VLOOKUP(A18,Setores!$A$2:$C$215,3,0)</f>
        <v>neutral_beta</v>
      </c>
      <c r="K18" s="17">
        <v>0.01</v>
      </c>
      <c r="L18" s="2">
        <v>8.0000000000000002E-3</v>
      </c>
      <c r="M18" s="5">
        <v>0.65941919204866695</v>
      </c>
      <c r="N18" s="41">
        <f>VLOOKUP(A18,'Mandato LP'!$A$2:$B$215,2,0)</f>
        <v>1.5002817521871201E-2</v>
      </c>
      <c r="O18" s="58">
        <f t="shared" si="7"/>
        <v>-5.0028175218712004E-3</v>
      </c>
      <c r="P18" s="42">
        <f t="shared" si="8"/>
        <v>-5.0028175218712004E-3</v>
      </c>
      <c r="Q18" s="41">
        <f>VLOOKUP(A18,'Mandato LP'!$A$2:$C$215,3,0)</f>
        <v>1.04818445035063E-2</v>
      </c>
      <c r="R18" s="42">
        <f t="shared" si="9"/>
        <v>-4.8184450350629952E-4</v>
      </c>
      <c r="S18" s="15">
        <v>0.621</v>
      </c>
      <c r="T18" s="15">
        <v>0.14000000000000001</v>
      </c>
      <c r="U18" s="15">
        <v>0.39700000000000002</v>
      </c>
      <c r="V18" s="15">
        <v>0.92300000000000004</v>
      </c>
      <c r="W18" s="15">
        <v>0.53900000000000003</v>
      </c>
      <c r="X18" s="15">
        <v>0.84799999999999998</v>
      </c>
      <c r="Y18" s="15">
        <v>0.81599999999999995</v>
      </c>
      <c r="Z18" s="15">
        <v>1</v>
      </c>
      <c r="AA18" s="15">
        <v>0.63200000000000001</v>
      </c>
      <c r="AB18" s="15">
        <v>0.63300000000000001</v>
      </c>
      <c r="AC18" s="15">
        <v>0.94599999999999995</v>
      </c>
      <c r="AD18" s="15">
        <v>0.86</v>
      </c>
      <c r="AE18" s="15">
        <v>0.85399999999999998</v>
      </c>
      <c r="AF18" s="14">
        <v>1</v>
      </c>
      <c r="AG18" s="15">
        <v>0.59</v>
      </c>
      <c r="AH18" s="15">
        <v>0.154</v>
      </c>
      <c r="AI18" s="15">
        <v>-0.45400000000000001</v>
      </c>
      <c r="AJ18" s="15">
        <v>-0.03</v>
      </c>
      <c r="AK18" s="16">
        <v>9.6000000000000002E-2</v>
      </c>
      <c r="AL18" s="4">
        <v>-3.5000000000000003E-2</v>
      </c>
      <c r="AM18" s="4">
        <v>0.628</v>
      </c>
      <c r="AN18" s="4">
        <v>-0.68500000000000005</v>
      </c>
      <c r="AO18" s="4">
        <v>0.375</v>
      </c>
      <c r="AP18" s="4">
        <v>0.28699999999999998</v>
      </c>
      <c r="AQ18" s="4">
        <v>0.44800000000000001</v>
      </c>
      <c r="AR18" s="4">
        <v>0.59899999999999998</v>
      </c>
      <c r="AS18" s="4">
        <v>0.28299999999999997</v>
      </c>
      <c r="AT18" s="4">
        <v>-0.498</v>
      </c>
      <c r="AU18" s="4">
        <v>0.61399999999999999</v>
      </c>
      <c r="AV18" s="4">
        <v>-0.33700000000000002</v>
      </c>
      <c r="AW18" s="4">
        <v>0.64400000000000002</v>
      </c>
      <c r="AX18" s="4">
        <v>0.41</v>
      </c>
      <c r="AY18" s="4">
        <v>0.114</v>
      </c>
      <c r="AZ18" s="4">
        <v>0.84299999999999997</v>
      </c>
      <c r="BA18" s="4">
        <v>0.74099999999999999</v>
      </c>
      <c r="BB18" s="4">
        <v>0.22600000000000001</v>
      </c>
      <c r="BC18" s="4">
        <v>-0.159</v>
      </c>
      <c r="BD18" s="4">
        <v>-0.188</v>
      </c>
      <c r="BE18" s="4">
        <v>0.438</v>
      </c>
      <c r="BF18" s="4">
        <v>-0.41699999999999998</v>
      </c>
      <c r="BG18" s="4">
        <v>0.14599999999999999</v>
      </c>
      <c r="BH18" s="4">
        <v>0.34599999999999997</v>
      </c>
      <c r="BI18" s="4">
        <v>-0.96099999999999997</v>
      </c>
      <c r="BJ18" s="4">
        <v>0.17199999999999999</v>
      </c>
      <c r="BK18" s="4">
        <v>0.73</v>
      </c>
      <c r="BL18" s="4">
        <v>-0.151</v>
      </c>
      <c r="BM18" s="4"/>
      <c r="BN18" s="4"/>
    </row>
    <row r="19" spans="1:66" x14ac:dyDescent="0.3">
      <c r="A19" t="s">
        <v>86</v>
      </c>
      <c r="B19" s="53">
        <v>1.4999999999999999E-2</v>
      </c>
      <c r="C19" s="53">
        <f t="shared" si="4"/>
        <v>1.4999999999999999E-2</v>
      </c>
      <c r="D19" s="53">
        <f t="shared" si="5"/>
        <v>0</v>
      </c>
      <c r="E19" s="53">
        <f t="shared" si="6"/>
        <v>0</v>
      </c>
      <c r="F19" s="15">
        <v>3.23</v>
      </c>
      <c r="G19">
        <v>3.4940000000000002</v>
      </c>
      <c r="H19" t="s">
        <v>57</v>
      </c>
      <c r="I19" t="str">
        <f>VLOOKUP(A19,Setores!$A$2:$C$215,2,0)</f>
        <v>homebuilders</v>
      </c>
      <c r="J19" t="str">
        <f>VLOOKUP(A19,Setores!$A$2:$C$215,3,0)</f>
        <v>low_beta</v>
      </c>
      <c r="K19" s="17">
        <v>1.4999999999999999E-2</v>
      </c>
      <c r="L19" s="2">
        <v>1.4999999999999999E-2</v>
      </c>
      <c r="M19" s="5">
        <v>0.52897668937333298</v>
      </c>
      <c r="N19" s="41">
        <f>VLOOKUP(A19,'Mandato LP'!$A$2:$B$215,2,0)</f>
        <v>1.3061017357926301E-2</v>
      </c>
      <c r="O19" s="58">
        <f t="shared" si="7"/>
        <v>1.9389826420736986E-3</v>
      </c>
      <c r="P19" s="42">
        <f t="shared" si="8"/>
        <v>1.9389826420736986E-3</v>
      </c>
      <c r="Q19" s="41">
        <f>VLOOKUP(A19,'Mandato LP'!$A$2:$C$215,3,0)</f>
        <v>9.8796696620712006E-3</v>
      </c>
      <c r="R19" s="42">
        <f t="shared" si="9"/>
        <v>5.1203303379287989E-3</v>
      </c>
      <c r="S19" s="15">
        <v>0.68799999999999994</v>
      </c>
      <c r="T19" s="15">
        <v>0.79400000000000004</v>
      </c>
      <c r="U19" s="15">
        <v>0.80100000000000005</v>
      </c>
      <c r="V19" s="15">
        <v>0.52</v>
      </c>
      <c r="W19" s="15">
        <v>0.76700000000000002</v>
      </c>
      <c r="X19" s="15">
        <v>0.68799999999999994</v>
      </c>
      <c r="Y19" s="15">
        <v>0.66700000000000004</v>
      </c>
      <c r="Z19" s="15">
        <v>0.60199999999999998</v>
      </c>
      <c r="AA19" s="15">
        <v>0.67600000000000005</v>
      </c>
      <c r="AB19" s="15">
        <v>0.67200000000000004</v>
      </c>
      <c r="AC19" s="15">
        <v>1</v>
      </c>
      <c r="AD19" s="15">
        <v>0.93400000000000005</v>
      </c>
      <c r="AE19" s="15">
        <v>0.93700000000000006</v>
      </c>
      <c r="AF19" s="14">
        <v>-2.5999999999999999E-2</v>
      </c>
      <c r="AG19" s="15">
        <v>1</v>
      </c>
      <c r="AH19" s="15">
        <v>0.53500000000000003</v>
      </c>
      <c r="AI19" s="15">
        <v>1</v>
      </c>
      <c r="AJ19" s="15">
        <v>0.45600000000000002</v>
      </c>
      <c r="AK19" s="16">
        <v>1.6E-2</v>
      </c>
      <c r="AL19" s="4">
        <v>0.14699999999999999</v>
      </c>
      <c r="AM19" s="4">
        <v>0.69899999999999995</v>
      </c>
      <c r="AN19" s="4">
        <v>0.31900000000000001</v>
      </c>
      <c r="AO19" s="4">
        <v>0.41599999999999998</v>
      </c>
      <c r="AP19" s="4">
        <v>-0.13100000000000001</v>
      </c>
      <c r="AQ19" s="4">
        <v>-0.245</v>
      </c>
      <c r="AR19" s="4">
        <v>0.252</v>
      </c>
      <c r="AS19" s="4">
        <v>0.54600000000000004</v>
      </c>
      <c r="AT19" s="4">
        <v>0.17100000000000001</v>
      </c>
      <c r="AU19" s="4">
        <v>-3.1E-2</v>
      </c>
      <c r="AV19" s="4">
        <v>-0.32700000000000001</v>
      </c>
      <c r="AW19" s="4">
        <v>-0.23899999999999999</v>
      </c>
      <c r="AX19" s="4">
        <v>-1.4999999999999999E-2</v>
      </c>
      <c r="AY19" s="4">
        <v>-0.32600000000000001</v>
      </c>
      <c r="AZ19" s="4">
        <v>0.67800000000000005</v>
      </c>
      <c r="BA19" s="4">
        <v>0.185</v>
      </c>
      <c r="BB19" s="4">
        <v>5.8000000000000003E-2</v>
      </c>
      <c r="BC19" s="4">
        <v>-0.186</v>
      </c>
      <c r="BD19" s="4">
        <v>-7.0000000000000007E-2</v>
      </c>
      <c r="BE19" s="4">
        <v>0.24399999999999999</v>
      </c>
      <c r="BF19" s="4">
        <v>-0.151</v>
      </c>
      <c r="BG19" s="4">
        <v>0.36699999999999999</v>
      </c>
      <c r="BH19" s="4">
        <v>0.85299999999999998</v>
      </c>
      <c r="BI19" s="4">
        <v>-6.0999999999999999E-2</v>
      </c>
      <c r="BJ19" s="4">
        <v>0.12</v>
      </c>
      <c r="BK19" s="4">
        <v>0.60899999999999999</v>
      </c>
      <c r="BL19" s="4">
        <v>0.875</v>
      </c>
      <c r="BM19" s="4"/>
      <c r="BN19" s="4"/>
    </row>
    <row r="20" spans="1:66" x14ac:dyDescent="0.3">
      <c r="A20" t="s">
        <v>126</v>
      </c>
      <c r="B20" s="53">
        <v>5.0000000000000001E-3</v>
      </c>
      <c r="C20" s="53">
        <f t="shared" si="4"/>
        <v>5.0000000000000001E-3</v>
      </c>
      <c r="D20" s="53">
        <f t="shared" si="5"/>
        <v>0</v>
      </c>
      <c r="E20" s="53">
        <f t="shared" si="6"/>
        <v>0</v>
      </c>
      <c r="F20" s="15">
        <v>2.9369999999999998</v>
      </c>
      <c r="G20">
        <v>2.1800000000000002</v>
      </c>
      <c r="H20" t="s">
        <v>57</v>
      </c>
      <c r="I20" t="str">
        <f>VLOOKUP(A20,Setores!$A$2:$C$215,2,0)</f>
        <v>tech</v>
      </c>
      <c r="J20" t="str">
        <f>VLOOKUP(A20,Setores!$A$2:$C$215,3,0)</f>
        <v>high_beta</v>
      </c>
      <c r="K20" s="17">
        <v>5.0000000000000001E-3</v>
      </c>
      <c r="L20" s="2">
        <v>5.0000000000000001E-3</v>
      </c>
      <c r="M20" s="5">
        <v>1.6823221086666701E-2</v>
      </c>
      <c r="N20" s="41">
        <f>VLOOKUP(A20,'Mandato LP'!$A$2:$B$215,2,0)</f>
        <v>1.18758374637279E-2</v>
      </c>
      <c r="O20" s="58">
        <f t="shared" si="7"/>
        <v>-6.8758374637278999E-3</v>
      </c>
      <c r="P20" s="42">
        <f t="shared" si="8"/>
        <v>-6.8758374637278999E-3</v>
      </c>
      <c r="Q20" s="41">
        <f>VLOOKUP(A20,'Mandato LP'!$A$2:$C$215,3,0)</f>
        <v>1.19891981204824E-2</v>
      </c>
      <c r="R20" s="42">
        <f t="shared" si="9"/>
        <v>-6.9891981204823995E-3</v>
      </c>
      <c r="S20" s="15">
        <v>1</v>
      </c>
      <c r="T20" s="15">
        <v>1</v>
      </c>
      <c r="U20" s="15">
        <v>1</v>
      </c>
      <c r="V20" s="15">
        <v>1</v>
      </c>
      <c r="W20" s="15">
        <v>1</v>
      </c>
      <c r="X20" s="15">
        <v>0.184</v>
      </c>
      <c r="Y20" s="15">
        <v>-0.57499999999999996</v>
      </c>
      <c r="Z20" s="15">
        <v>0.38900000000000001</v>
      </c>
      <c r="AA20" s="15">
        <v>0.34799999999999998</v>
      </c>
      <c r="AB20" s="15">
        <v>0.34699999999999998</v>
      </c>
      <c r="AC20" s="15">
        <v>0.76600000000000001</v>
      </c>
      <c r="AD20" s="15">
        <v>0.79300000000000004</v>
      </c>
      <c r="AE20" s="15">
        <v>1</v>
      </c>
      <c r="AF20" s="14">
        <v>1</v>
      </c>
      <c r="AG20" s="15">
        <v>1</v>
      </c>
      <c r="AH20" s="15">
        <v>1</v>
      </c>
      <c r="AI20" s="15">
        <v>0.58799999999999997</v>
      </c>
      <c r="AJ20" s="15">
        <v>0.89800000000000002</v>
      </c>
      <c r="AK20" s="16">
        <v>1</v>
      </c>
      <c r="AL20" s="4">
        <v>0.42399999999999999</v>
      </c>
      <c r="AM20" s="4">
        <v>-0.80900000000000005</v>
      </c>
      <c r="AN20" s="4">
        <v>0.44500000000000001</v>
      </c>
      <c r="AO20" s="4">
        <v>0.34100000000000003</v>
      </c>
      <c r="AP20" s="4">
        <v>0.35499999999999998</v>
      </c>
      <c r="AQ20" s="4">
        <v>0.38200000000000001</v>
      </c>
      <c r="AR20" s="4">
        <v>0.7</v>
      </c>
      <c r="AS20" s="4">
        <v>0.66400000000000003</v>
      </c>
      <c r="AT20" s="4">
        <v>0.36599999999999999</v>
      </c>
      <c r="AU20" s="4">
        <v>0.13700000000000001</v>
      </c>
      <c r="AV20" s="4">
        <v>-0.44500000000000001</v>
      </c>
      <c r="AW20" s="4">
        <v>0.85799999999999998</v>
      </c>
      <c r="AX20" s="4">
        <v>-0.52800000000000002</v>
      </c>
      <c r="AY20" s="4">
        <v>0.35799999999999998</v>
      </c>
      <c r="AZ20" s="4">
        <v>0.41299999999999998</v>
      </c>
      <c r="BA20" s="4">
        <v>-0.318</v>
      </c>
      <c r="BB20" s="4">
        <v>0.93200000000000005</v>
      </c>
      <c r="BC20" s="4">
        <v>0.33600000000000002</v>
      </c>
      <c r="BD20" s="4">
        <v>0.23400000000000001</v>
      </c>
      <c r="BE20" s="4">
        <v>0.79900000000000004</v>
      </c>
      <c r="BF20" s="4">
        <v>-1</v>
      </c>
      <c r="BG20" s="4">
        <v>-0.38200000000000001</v>
      </c>
      <c r="BH20" s="4">
        <v>-1</v>
      </c>
      <c r="BI20" s="4">
        <v>0.53300000000000003</v>
      </c>
      <c r="BJ20" s="4">
        <v>-0.127</v>
      </c>
      <c r="BK20" s="4">
        <v>0.91700000000000004</v>
      </c>
      <c r="BL20" s="4">
        <v>0.46400000000000002</v>
      </c>
      <c r="BM20" s="4"/>
      <c r="BN20" s="4"/>
    </row>
    <row r="21" spans="1:66" x14ac:dyDescent="0.3">
      <c r="A21" t="s">
        <v>70</v>
      </c>
      <c r="B21" s="53">
        <v>0</v>
      </c>
      <c r="C21" s="53">
        <f t="shared" si="4"/>
        <v>0</v>
      </c>
      <c r="D21" s="53">
        <f t="shared" si="5"/>
        <v>-3.1E-2</v>
      </c>
      <c r="E21" s="53">
        <f t="shared" si="6"/>
        <v>0</v>
      </c>
      <c r="F21" s="15">
        <v>2.92</v>
      </c>
      <c r="G21">
        <v>3.6560000000000001</v>
      </c>
      <c r="H21" t="s">
        <v>71</v>
      </c>
      <c r="I21" t="str">
        <f>VLOOKUP(A21,Setores!$A$2:$C$215,2,0)</f>
        <v>basic_materials</v>
      </c>
      <c r="J21" t="str">
        <f>VLOOKUP(A21,Setores!$A$2:$C$215,3,0)</f>
        <v>low_beta</v>
      </c>
      <c r="K21" s="17">
        <v>3.1E-2</v>
      </c>
      <c r="L21" s="2">
        <v>3.1E-2</v>
      </c>
      <c r="M21" s="5">
        <v>2.2288193296666701</v>
      </c>
      <c r="N21" s="41">
        <f>VLOOKUP(A21,'Mandato LP'!$A$2:$B$215,2,0)</f>
        <v>1.1807055340331E-2</v>
      </c>
      <c r="O21" s="58">
        <f t="shared" si="7"/>
        <v>1.9192944659669E-2</v>
      </c>
      <c r="P21" s="42">
        <f t="shared" si="8"/>
        <v>-1.1807055340331E-2</v>
      </c>
      <c r="Q21" s="41">
        <f>VLOOKUP(A21,'Mandato LP'!$A$2:$C$215,3,0)</f>
        <v>8.5102685991561601E-3</v>
      </c>
      <c r="R21" s="42">
        <f t="shared" si="9"/>
        <v>2.248973140084384E-2</v>
      </c>
      <c r="S21" s="15">
        <v>8.6999999999999994E-2</v>
      </c>
      <c r="T21" s="15">
        <v>0.432</v>
      </c>
      <c r="U21" s="15">
        <v>-0.19</v>
      </c>
      <c r="V21" s="15">
        <v>0.2</v>
      </c>
      <c r="W21" s="15">
        <v>0.191</v>
      </c>
      <c r="X21" s="15">
        <v>0.58199999999999996</v>
      </c>
      <c r="Y21" s="15">
        <v>0.73</v>
      </c>
      <c r="Z21" s="15">
        <v>0.879</v>
      </c>
      <c r="AA21" s="15">
        <v>0.97299999999999998</v>
      </c>
      <c r="AB21" s="15">
        <v>0.96799999999999997</v>
      </c>
      <c r="AC21" s="15">
        <v>0.78900000000000003</v>
      </c>
      <c r="AD21" s="15">
        <v>0.78700000000000003</v>
      </c>
      <c r="AE21" s="15">
        <v>1</v>
      </c>
      <c r="AF21" s="14">
        <v>-0.129</v>
      </c>
      <c r="AG21" s="15">
        <v>-0.58699999999999997</v>
      </c>
      <c r="AH21" s="15">
        <v>0.44400000000000001</v>
      </c>
      <c r="AI21" s="15">
        <v>-0.63800000000000001</v>
      </c>
      <c r="AJ21" s="15">
        <v>0.17100000000000001</v>
      </c>
      <c r="AK21" s="16">
        <v>-0.49099999999999999</v>
      </c>
      <c r="AL21" s="4">
        <v>-0.30599999999999999</v>
      </c>
      <c r="AM21" s="4">
        <v>0.66</v>
      </c>
      <c r="AN21" s="4">
        <v>-0.439</v>
      </c>
      <c r="AO21" s="4">
        <v>-0.48899999999999999</v>
      </c>
      <c r="AP21" s="4">
        <v>0.79900000000000004</v>
      </c>
      <c r="AQ21" s="4">
        <v>0.125</v>
      </c>
      <c r="AR21" s="4">
        <v>-0.77600000000000002</v>
      </c>
      <c r="AS21" s="4">
        <v>0.68600000000000005</v>
      </c>
      <c r="AT21" s="4">
        <v>0.40699999999999997</v>
      </c>
      <c r="AU21" s="4">
        <v>4.3999999999999997E-2</v>
      </c>
      <c r="AV21" s="4">
        <v>7.1999999999999995E-2</v>
      </c>
      <c r="AW21" s="4">
        <v>0.11899999999999999</v>
      </c>
      <c r="AX21" s="4">
        <v>0.67600000000000005</v>
      </c>
      <c r="AY21" s="4">
        <v>8.5999999999999993E-2</v>
      </c>
      <c r="AZ21" s="4">
        <v>0.61399999999999999</v>
      </c>
      <c r="BA21" s="4">
        <v>-0.94099999999999995</v>
      </c>
      <c r="BB21" s="4">
        <v>0.86699999999999999</v>
      </c>
      <c r="BC21" s="4">
        <v>-9.0999999999999998E-2</v>
      </c>
      <c r="BD21" s="4">
        <v>0.377</v>
      </c>
      <c r="BE21" s="4">
        <v>0.58299999999999996</v>
      </c>
      <c r="BF21" s="4">
        <v>-0.45700000000000002</v>
      </c>
      <c r="BG21" s="4">
        <v>-4.0000000000000001E-3</v>
      </c>
      <c r="BH21" s="4">
        <v>0.71799999999999997</v>
      </c>
      <c r="BI21" s="4">
        <v>-0.34899999999999998</v>
      </c>
      <c r="BJ21" s="4">
        <v>-0.53200000000000003</v>
      </c>
      <c r="BK21" s="4">
        <v>1</v>
      </c>
      <c r="BL21" s="4">
        <v>9.6000000000000002E-2</v>
      </c>
      <c r="BM21" s="4"/>
      <c r="BN21" s="4"/>
    </row>
    <row r="22" spans="1:66" x14ac:dyDescent="0.3">
      <c r="A22" t="s">
        <v>66</v>
      </c>
      <c r="B22" s="53">
        <v>8.9999999999999993E-3</v>
      </c>
      <c r="C22" s="53">
        <f t="shared" si="4"/>
        <v>8.0000000000000002E-3</v>
      </c>
      <c r="D22" s="53">
        <f t="shared" si="5"/>
        <v>0</v>
      </c>
      <c r="E22" s="53">
        <f t="shared" si="6"/>
        <v>9.9999999999999915E-4</v>
      </c>
      <c r="F22" s="15">
        <v>2.9009999999999998</v>
      </c>
      <c r="G22">
        <v>2.274</v>
      </c>
      <c r="H22" t="s">
        <v>55</v>
      </c>
      <c r="I22" t="str">
        <f>VLOOKUP(A22,Setores!$A$2:$C$215,2,0)</f>
        <v>real_estate</v>
      </c>
      <c r="J22" t="str">
        <f>VLOOKUP(A22,Setores!$A$2:$C$215,3,0)</f>
        <v>low_beta</v>
      </c>
      <c r="K22" s="17">
        <v>8.9999999999999993E-3</v>
      </c>
      <c r="L22" s="2">
        <v>8.0000000000000002E-3</v>
      </c>
      <c r="M22" s="5">
        <v>3.19697189111</v>
      </c>
      <c r="N22" s="41">
        <f>VLOOKUP(A22,'Mandato LP'!$A$2:$B$215,2,0)</f>
        <v>1.1904097361985701E-2</v>
      </c>
      <c r="O22" s="58">
        <f t="shared" si="7"/>
        <v>-2.9040973619857014E-3</v>
      </c>
      <c r="P22" s="42">
        <f t="shared" si="8"/>
        <v>-2.9040973619857014E-3</v>
      </c>
      <c r="Q22" s="41">
        <f>VLOOKUP(A22,'Mandato LP'!$A$2:$C$215,3,0)</f>
        <v>5.7265430133990897E-3</v>
      </c>
      <c r="R22" s="42">
        <f t="shared" si="9"/>
        <v>3.2734569866009096E-3</v>
      </c>
      <c r="S22" s="15">
        <v>0.61099999999999999</v>
      </c>
      <c r="T22" s="15">
        <v>-4.0000000000000001E-3</v>
      </c>
      <c r="U22" s="15">
        <v>1</v>
      </c>
      <c r="V22" s="15">
        <v>0.67100000000000004</v>
      </c>
      <c r="W22" s="15">
        <v>0.65800000000000003</v>
      </c>
      <c r="X22" s="15">
        <v>0.82</v>
      </c>
      <c r="Y22" s="15">
        <v>0.98299999999999998</v>
      </c>
      <c r="Z22" s="15">
        <v>0.42399999999999999</v>
      </c>
      <c r="AA22" s="15">
        <v>0.42</v>
      </c>
      <c r="AB22" s="15">
        <v>0.41899999999999998</v>
      </c>
      <c r="AC22" s="15">
        <v>0.89400000000000002</v>
      </c>
      <c r="AD22" s="15">
        <v>0.81499999999999995</v>
      </c>
      <c r="AE22" s="15">
        <v>0.751</v>
      </c>
      <c r="AF22" s="14">
        <v>1</v>
      </c>
      <c r="AG22" s="15">
        <v>1</v>
      </c>
      <c r="AH22" s="15">
        <v>-0.63500000000000001</v>
      </c>
      <c r="AI22" s="15">
        <v>1</v>
      </c>
      <c r="AJ22" s="15">
        <v>-0.185</v>
      </c>
      <c r="AK22" s="16">
        <v>1</v>
      </c>
      <c r="AL22" s="4">
        <v>0.377</v>
      </c>
      <c r="AM22" s="4">
        <v>1</v>
      </c>
      <c r="AN22" s="4">
        <v>0.215</v>
      </c>
      <c r="AO22" s="4">
        <v>-0.28199999999999997</v>
      </c>
      <c r="AP22" s="4">
        <v>-0.56499999999999995</v>
      </c>
      <c r="AQ22" s="4">
        <v>-0.497</v>
      </c>
      <c r="AR22" s="4">
        <v>0.69499999999999995</v>
      </c>
      <c r="AS22" s="4">
        <v>-0.375</v>
      </c>
      <c r="AT22" s="4">
        <v>-2.7E-2</v>
      </c>
      <c r="AU22" s="4">
        <v>-0.11899999999999999</v>
      </c>
      <c r="AV22" s="4">
        <v>0.14599999999999999</v>
      </c>
      <c r="AW22" s="4">
        <v>0.379</v>
      </c>
      <c r="AX22" s="4">
        <v>0.23799999999999999</v>
      </c>
      <c r="AY22" s="4">
        <v>-0.35799999999999998</v>
      </c>
      <c r="AZ22" s="4">
        <v>5.2999999999999999E-2</v>
      </c>
      <c r="BA22" s="4">
        <v>-0.182</v>
      </c>
      <c r="BB22" s="4">
        <v>7.0000000000000001E-3</v>
      </c>
      <c r="BC22" s="4">
        <v>0.60199999999999998</v>
      </c>
      <c r="BD22" s="4">
        <v>0.73</v>
      </c>
      <c r="BE22" s="4">
        <v>0.622</v>
      </c>
      <c r="BF22" s="4">
        <v>-0.114</v>
      </c>
      <c r="BG22" s="4">
        <v>-0.53700000000000003</v>
      </c>
      <c r="BH22" s="4">
        <v>0.54200000000000004</v>
      </c>
      <c r="BI22" s="4">
        <v>-0.85199999999999998</v>
      </c>
      <c r="BJ22" s="4">
        <v>9.9000000000000005E-2</v>
      </c>
      <c r="BK22" s="4">
        <v>0.66900000000000004</v>
      </c>
      <c r="BL22" s="4">
        <v>0.82199999999999995</v>
      </c>
      <c r="BM22" s="4"/>
      <c r="BN22" s="4"/>
    </row>
    <row r="23" spans="1:66" x14ac:dyDescent="0.3">
      <c r="A23" t="s">
        <v>73</v>
      </c>
      <c r="B23" s="53">
        <v>1.2E-2</v>
      </c>
      <c r="C23" s="53">
        <f t="shared" si="4"/>
        <v>8.0000000000000002E-3</v>
      </c>
      <c r="D23" s="53">
        <f t="shared" si="5"/>
        <v>0</v>
      </c>
      <c r="E23" s="53">
        <f t="shared" si="6"/>
        <v>4.0000000000000001E-3</v>
      </c>
      <c r="F23" s="15">
        <v>2.8340000000000001</v>
      </c>
      <c r="G23">
        <v>3.4689999999999999</v>
      </c>
      <c r="H23" t="s">
        <v>57</v>
      </c>
      <c r="I23" t="str">
        <f>VLOOKUP(A23,Setores!$A$2:$C$215,2,0)</f>
        <v>banks</v>
      </c>
      <c r="J23" t="str">
        <f>VLOOKUP(A23,Setores!$A$2:$C$215,3,0)</f>
        <v>neutral_beta</v>
      </c>
      <c r="K23" s="17">
        <v>1.2E-2</v>
      </c>
      <c r="L23" s="2">
        <v>8.0000000000000002E-3</v>
      </c>
      <c r="M23" s="5">
        <v>1.1343465399999999</v>
      </c>
      <c r="N23" s="41">
        <f>VLOOKUP(A23,'Mandato LP'!$A$2:$B$215,2,0)</f>
        <v>1.6768678195533199E-2</v>
      </c>
      <c r="O23" s="58">
        <f t="shared" si="7"/>
        <v>-4.7686781955331992E-3</v>
      </c>
      <c r="P23" s="42">
        <f t="shared" si="8"/>
        <v>-4.7686781955331992E-3</v>
      </c>
      <c r="Q23" s="41">
        <f>VLOOKUP(A23,'Mandato LP'!$A$2:$C$215,3,0)</f>
        <v>9.9976546854135401E-3</v>
      </c>
      <c r="R23" s="42">
        <f t="shared" si="9"/>
        <v>2.0023453145864602E-3</v>
      </c>
      <c r="S23" s="15">
        <v>0.249</v>
      </c>
      <c r="T23" s="15">
        <v>0.52800000000000002</v>
      </c>
      <c r="U23" s="15">
        <v>-3.1E-2</v>
      </c>
      <c r="V23" s="15">
        <v>0.371</v>
      </c>
      <c r="W23" s="15">
        <v>0.36099999999999999</v>
      </c>
      <c r="X23" s="15">
        <v>0.53400000000000003</v>
      </c>
      <c r="Y23" s="15">
        <v>0.67200000000000004</v>
      </c>
      <c r="Z23" s="15">
        <v>0.57099999999999995</v>
      </c>
      <c r="AA23" s="15">
        <v>0.91200000000000003</v>
      </c>
      <c r="AB23" s="15">
        <v>0.91100000000000003</v>
      </c>
      <c r="AC23" s="15">
        <v>0.86299999999999999</v>
      </c>
      <c r="AD23" s="15">
        <v>0.91400000000000003</v>
      </c>
      <c r="AE23" s="15">
        <v>0.94499999999999995</v>
      </c>
      <c r="AF23" s="14">
        <v>-7.6999999999999999E-2</v>
      </c>
      <c r="AG23" s="15">
        <v>0.65100000000000002</v>
      </c>
      <c r="AH23" s="15">
        <v>0.92400000000000004</v>
      </c>
      <c r="AI23" s="15">
        <v>-3.7999999999999999E-2</v>
      </c>
      <c r="AJ23" s="15">
        <v>-0.27300000000000002</v>
      </c>
      <c r="AK23" s="16">
        <v>-0.625</v>
      </c>
      <c r="AL23" s="4">
        <v>-5.8000000000000003E-2</v>
      </c>
      <c r="AM23" s="4">
        <v>0.32</v>
      </c>
      <c r="AN23" s="4">
        <v>0.58299999999999996</v>
      </c>
      <c r="AO23" s="4">
        <v>0.34200000000000003</v>
      </c>
      <c r="AP23" s="4">
        <v>0.114</v>
      </c>
      <c r="AQ23" s="4">
        <v>-0.51400000000000001</v>
      </c>
      <c r="AR23" s="4">
        <v>0.13800000000000001</v>
      </c>
      <c r="AS23" s="4">
        <v>0.32100000000000001</v>
      </c>
      <c r="AT23" s="4">
        <v>0.24099999999999999</v>
      </c>
      <c r="AU23" s="4">
        <v>-0.16200000000000001</v>
      </c>
      <c r="AV23" s="4">
        <v>-0.23799999999999999</v>
      </c>
      <c r="AW23" s="4">
        <v>-0.21199999999999999</v>
      </c>
      <c r="AX23" s="4">
        <v>0.442</v>
      </c>
      <c r="AY23" s="4">
        <v>-0.39300000000000002</v>
      </c>
      <c r="AZ23" s="4">
        <v>0.67</v>
      </c>
      <c r="BA23" s="4">
        <v>0.39300000000000002</v>
      </c>
      <c r="BB23" s="4">
        <v>0.65700000000000003</v>
      </c>
      <c r="BC23" s="4">
        <v>-0.40899999999999997</v>
      </c>
      <c r="BD23" s="4">
        <v>-0.23400000000000001</v>
      </c>
      <c r="BE23" s="4">
        <v>0.34</v>
      </c>
      <c r="BF23" s="4">
        <v>-4.3999999999999997E-2</v>
      </c>
      <c r="BG23" s="4">
        <v>0.29099999999999998</v>
      </c>
      <c r="BH23" s="4">
        <v>0.95799999999999996</v>
      </c>
      <c r="BI23" s="4">
        <v>-0.47799999999999998</v>
      </c>
      <c r="BJ23" s="4">
        <v>-8.8999999999999996E-2</v>
      </c>
      <c r="BK23" s="4">
        <v>0.20300000000000001</v>
      </c>
      <c r="BL23" s="4">
        <v>0.42599999999999999</v>
      </c>
      <c r="BM23" s="4"/>
      <c r="BN23" s="4"/>
    </row>
    <row r="24" spans="1:66" x14ac:dyDescent="0.3">
      <c r="A24" t="s">
        <v>163</v>
      </c>
      <c r="B24" s="53">
        <v>1.2999999999999999E-2</v>
      </c>
      <c r="C24" s="53">
        <f t="shared" si="4"/>
        <v>1.2999999999999999E-2</v>
      </c>
      <c r="D24" s="53">
        <f t="shared" si="5"/>
        <v>0</v>
      </c>
      <c r="E24" s="53">
        <f t="shared" si="6"/>
        <v>0</v>
      </c>
      <c r="F24" s="15">
        <v>2.64</v>
      </c>
      <c r="G24">
        <v>3.2669999999999999</v>
      </c>
      <c r="H24" t="s">
        <v>68</v>
      </c>
      <c r="I24" t="str">
        <f>VLOOKUP(A24,Setores!$A$2:$C$215,2,0)</f>
        <v>building_materials</v>
      </c>
      <c r="J24" t="str">
        <f>VLOOKUP(A24,Setores!$A$2:$C$215,3,0)</f>
        <v>neutral_beta</v>
      </c>
      <c r="K24" s="17">
        <v>1.2999999999999999E-2</v>
      </c>
      <c r="L24" s="2">
        <v>1.2999999999999999E-2</v>
      </c>
      <c r="M24" s="5">
        <v>0.65441948251000004</v>
      </c>
      <c r="N24" s="41">
        <f>VLOOKUP(A24,'Mandato LP'!$A$2:$B$215,2,0)</f>
        <v>1.0672618951240199E-2</v>
      </c>
      <c r="O24" s="58">
        <f t="shared" si="7"/>
        <v>2.3273810487597999E-3</v>
      </c>
      <c r="P24" s="42">
        <f t="shared" si="8"/>
        <v>2.3273810487597999E-3</v>
      </c>
      <c r="Q24" s="41">
        <f>VLOOKUP(A24,'Mandato LP'!$A$2:$C$215,3,0)</f>
        <v>7.1128496258462803E-3</v>
      </c>
      <c r="R24" s="42">
        <f t="shared" si="9"/>
        <v>5.8871503741537191E-3</v>
      </c>
      <c r="S24" s="15">
        <v>0.499</v>
      </c>
      <c r="T24" s="15">
        <v>0.28100000000000003</v>
      </c>
      <c r="U24" s="15">
        <v>0.11</v>
      </c>
      <c r="V24" s="15">
        <v>0.375</v>
      </c>
      <c r="W24" s="15">
        <v>0.126</v>
      </c>
      <c r="X24" s="15">
        <v>0.67300000000000004</v>
      </c>
      <c r="Y24" s="15">
        <v>0.95299999999999996</v>
      </c>
      <c r="Z24" s="15">
        <v>0.191</v>
      </c>
      <c r="AA24" s="15">
        <v>0.70199999999999996</v>
      </c>
      <c r="AB24" s="15">
        <v>0.69699999999999995</v>
      </c>
      <c r="AC24" s="15">
        <v>0.90400000000000003</v>
      </c>
      <c r="AD24" s="15">
        <v>0.88800000000000001</v>
      </c>
      <c r="AE24" s="15">
        <v>0.84499999999999997</v>
      </c>
      <c r="AF24" s="14">
        <v>2.1999999999999999E-2</v>
      </c>
      <c r="AG24" s="15">
        <v>0.11600000000000001</v>
      </c>
      <c r="AH24" s="15">
        <v>-0.16500000000000001</v>
      </c>
      <c r="AI24" s="15">
        <v>-0.34100000000000003</v>
      </c>
      <c r="AJ24" s="15">
        <v>0.34599999999999997</v>
      </c>
      <c r="AK24" s="16">
        <v>6.0000000000000001E-3</v>
      </c>
      <c r="AL24" s="4">
        <v>-5.6000000000000001E-2</v>
      </c>
      <c r="AM24" s="4">
        <v>-0.23599999999999999</v>
      </c>
      <c r="AN24" s="4">
        <v>-0.61699999999999999</v>
      </c>
      <c r="AO24" s="4">
        <v>0.82499999999999996</v>
      </c>
      <c r="AP24" s="4">
        <v>0.20899999999999999</v>
      </c>
      <c r="AQ24" s="4">
        <v>-0.249</v>
      </c>
      <c r="AR24" s="4">
        <v>0.34</v>
      </c>
      <c r="AS24" s="4">
        <v>0.86399999999999999</v>
      </c>
      <c r="AT24" s="4">
        <v>0.25800000000000001</v>
      </c>
      <c r="AU24" s="4">
        <v>0.436</v>
      </c>
      <c r="AV24" s="4">
        <v>0.442</v>
      </c>
      <c r="AW24" s="4">
        <v>0.32500000000000001</v>
      </c>
      <c r="AX24" s="4">
        <v>0.39700000000000002</v>
      </c>
      <c r="AY24" s="4">
        <v>4.3999999999999997E-2</v>
      </c>
      <c r="AZ24" s="4">
        <v>0.38400000000000001</v>
      </c>
      <c r="BA24" s="4">
        <v>0.60699999999999998</v>
      </c>
      <c r="BB24" s="4">
        <v>0.46600000000000003</v>
      </c>
      <c r="BC24" s="4">
        <v>-0.29299999999999998</v>
      </c>
      <c r="BD24" s="4">
        <v>-0.375</v>
      </c>
      <c r="BE24" s="4">
        <v>0.39900000000000002</v>
      </c>
      <c r="BF24" s="4">
        <v>-0.373</v>
      </c>
      <c r="BG24" s="4">
        <v>-0.309</v>
      </c>
      <c r="BH24" s="4">
        <v>0.80800000000000005</v>
      </c>
      <c r="BI24" s="4">
        <v>-0.48299999999999998</v>
      </c>
      <c r="BJ24" s="4">
        <v>0.215</v>
      </c>
      <c r="BK24" s="4">
        <v>0.29499999999999998</v>
      </c>
      <c r="BL24" s="4">
        <v>4.7E-2</v>
      </c>
      <c r="BM24" s="4"/>
      <c r="BN24" s="4"/>
    </row>
    <row r="25" spans="1:66" x14ac:dyDescent="0.3">
      <c r="A25" t="s">
        <v>130</v>
      </c>
      <c r="B25" s="53">
        <v>5.0000000000000001E-3</v>
      </c>
      <c r="C25" s="53">
        <f t="shared" si="4"/>
        <v>5.0000000000000001E-3</v>
      </c>
      <c r="D25" s="53">
        <f t="shared" si="5"/>
        <v>0</v>
      </c>
      <c r="E25" s="53">
        <f t="shared" si="6"/>
        <v>0</v>
      </c>
      <c r="F25" s="15">
        <v>2.6240000000000001</v>
      </c>
      <c r="G25">
        <v>1.88</v>
      </c>
      <c r="H25" t="s">
        <v>71</v>
      </c>
      <c r="I25" t="str">
        <f>VLOOKUP(A25,Setores!$A$2:$C$215,2,0)</f>
        <v>basic_materials</v>
      </c>
      <c r="J25" t="str">
        <f>VLOOKUP(A25,Setores!$A$2:$C$215,3,0)</f>
        <v>very_high_beta</v>
      </c>
      <c r="K25" s="17">
        <v>5.0000000000000001E-3</v>
      </c>
      <c r="L25" s="2">
        <v>5.0000000000000001E-3</v>
      </c>
      <c r="M25" s="5">
        <v>2.1689231177566701</v>
      </c>
      <c r="N25" s="41">
        <f>VLOOKUP(A25,'Mandato LP'!$A$2:$B$215,2,0)</f>
        <v>1.0611106001503799E-2</v>
      </c>
      <c r="O25" s="58">
        <f t="shared" si="7"/>
        <v>-5.6111060015037991E-3</v>
      </c>
      <c r="P25" s="42">
        <f t="shared" si="8"/>
        <v>-5.6111060015037991E-3</v>
      </c>
      <c r="Q25" s="41">
        <f>VLOOKUP(A25,'Mandato LP'!$A$2:$C$215,3,0)</f>
        <v>1.15259622835768E-2</v>
      </c>
      <c r="R25" s="42">
        <f t="shared" si="9"/>
        <v>-6.5259622835767998E-3</v>
      </c>
      <c r="S25" s="15">
        <v>0.33</v>
      </c>
      <c r="T25" s="15">
        <v>0.65800000000000003</v>
      </c>
      <c r="U25" s="15">
        <v>-0.46700000000000003</v>
      </c>
      <c r="V25" s="15">
        <v>0.58899999999999997</v>
      </c>
      <c r="W25" s="15">
        <v>0.20300000000000001</v>
      </c>
      <c r="X25" s="15">
        <v>0.22700000000000001</v>
      </c>
      <c r="Y25" s="15">
        <v>-0.08</v>
      </c>
      <c r="Z25" s="15">
        <v>0.47</v>
      </c>
      <c r="AA25" s="15">
        <v>1</v>
      </c>
      <c r="AB25" s="15">
        <v>1</v>
      </c>
      <c r="AC25" s="15">
        <v>0.871</v>
      </c>
      <c r="AD25" s="15">
        <v>0.996</v>
      </c>
      <c r="AE25" s="15">
        <v>0.96599999999999997</v>
      </c>
      <c r="AF25" s="14">
        <v>-0.26500000000000001</v>
      </c>
      <c r="AG25" s="15">
        <v>-0.50800000000000001</v>
      </c>
      <c r="AH25" s="15">
        <v>1</v>
      </c>
      <c r="AI25" s="15">
        <v>-0.754</v>
      </c>
      <c r="AJ25" s="15">
        <v>4.1000000000000002E-2</v>
      </c>
      <c r="AK25" s="16">
        <v>-0.67800000000000005</v>
      </c>
      <c r="AL25" s="4">
        <v>0.10100000000000001</v>
      </c>
      <c r="AM25" s="4">
        <v>-0.54600000000000004</v>
      </c>
      <c r="AN25" s="4">
        <v>-0.20200000000000001</v>
      </c>
      <c r="AO25" s="4">
        <v>-0.54300000000000004</v>
      </c>
      <c r="AP25" s="4">
        <v>0.83399999999999996</v>
      </c>
      <c r="AQ25" s="4">
        <v>0.81100000000000005</v>
      </c>
      <c r="AR25" s="4">
        <v>0.495</v>
      </c>
      <c r="AS25" s="4">
        <v>0.92200000000000004</v>
      </c>
      <c r="AT25" s="4">
        <v>0.36299999999999999</v>
      </c>
      <c r="AU25" s="4">
        <v>0.95599999999999996</v>
      </c>
      <c r="AV25" s="4">
        <v>0.373</v>
      </c>
      <c r="AW25" s="4">
        <v>0.83499999999999996</v>
      </c>
      <c r="AX25" s="4">
        <v>4.5999999999999999E-2</v>
      </c>
      <c r="AY25" s="4">
        <v>0.16700000000000001</v>
      </c>
      <c r="AZ25" s="4">
        <v>-0.35299999999999998</v>
      </c>
      <c r="BA25" s="4">
        <v>0.14099999999999999</v>
      </c>
      <c r="BB25" s="4">
        <v>0.65700000000000003</v>
      </c>
      <c r="BC25" s="4">
        <v>-0.28199999999999997</v>
      </c>
      <c r="BD25" s="4">
        <v>0.33</v>
      </c>
      <c r="BE25" s="4">
        <v>0.64600000000000002</v>
      </c>
      <c r="BF25" s="4">
        <v>1</v>
      </c>
      <c r="BG25" s="4">
        <v>-0.36399999999999999</v>
      </c>
      <c r="BH25" s="4">
        <v>-0.78600000000000003</v>
      </c>
      <c r="BI25" s="4">
        <v>-1</v>
      </c>
      <c r="BJ25" s="4">
        <v>0.36099999999999999</v>
      </c>
      <c r="BK25" s="4">
        <v>-1.9E-2</v>
      </c>
      <c r="BL25" s="4">
        <v>-0.45500000000000002</v>
      </c>
      <c r="BM25" s="4"/>
      <c r="BN25" s="4"/>
    </row>
    <row r="26" spans="1:66" x14ac:dyDescent="0.3">
      <c r="A26" t="s">
        <v>82</v>
      </c>
      <c r="B26" s="53">
        <v>4.4999999999999998E-2</v>
      </c>
      <c r="C26" s="53">
        <f t="shared" si="4"/>
        <v>3.5000000000000003E-2</v>
      </c>
      <c r="D26" s="53">
        <f t="shared" si="5"/>
        <v>1.4999999999999999E-2</v>
      </c>
      <c r="E26" s="53">
        <f t="shared" si="6"/>
        <v>9.9999999999999985E-3</v>
      </c>
      <c r="F26" s="15">
        <v>2.61</v>
      </c>
      <c r="G26">
        <v>4.2750000000000004</v>
      </c>
      <c r="H26" t="s">
        <v>71</v>
      </c>
      <c r="I26" t="str">
        <f>VLOOKUP(A26,Setores!$A$2:$C$215,2,0)</f>
        <v>basic_materials</v>
      </c>
      <c r="J26" t="str">
        <f>VLOOKUP(A26,Setores!$A$2:$C$215,3,0)</f>
        <v>neutral_beta</v>
      </c>
      <c r="K26" s="17">
        <v>0.03</v>
      </c>
      <c r="L26" s="2">
        <v>0.02</v>
      </c>
      <c r="M26" s="5">
        <v>2.4517012629999999</v>
      </c>
      <c r="N26" s="41">
        <f>VLOOKUP(A26,'Mandato LP'!$A$2:$B$215,2,0)</f>
        <v>2.4188725130808601E-2</v>
      </c>
      <c r="O26" s="58">
        <f t="shared" si="7"/>
        <v>5.8112748691913976E-3</v>
      </c>
      <c r="P26" s="42">
        <f t="shared" si="8"/>
        <v>2.0811274869191397E-2</v>
      </c>
      <c r="Q26" s="41">
        <f>VLOOKUP(A26,'Mandato LP'!$A$2:$C$215,3,0)</f>
        <v>2.0217903956486899E-2</v>
      </c>
      <c r="R26" s="42">
        <f t="shared" si="9"/>
        <v>9.7820960435130999E-3</v>
      </c>
      <c r="S26" s="15">
        <v>-0.11700000000000001</v>
      </c>
      <c r="T26" s="15">
        <v>0.40799999999999997</v>
      </c>
      <c r="U26" s="15">
        <v>-0.56599999999999995</v>
      </c>
      <c r="V26" s="15">
        <v>0.127</v>
      </c>
      <c r="W26" s="15">
        <v>5.5E-2</v>
      </c>
      <c r="X26" s="15">
        <v>0.433</v>
      </c>
      <c r="Y26" s="15">
        <v>0.59299999999999997</v>
      </c>
      <c r="Z26" s="15">
        <v>0.84799999999999998</v>
      </c>
      <c r="AA26" s="15">
        <v>0.81299999999999994</v>
      </c>
      <c r="AB26" s="15">
        <v>0.80900000000000005</v>
      </c>
      <c r="AC26" s="15">
        <v>0.86499999999999999</v>
      </c>
      <c r="AD26" s="15">
        <v>0.76700000000000002</v>
      </c>
      <c r="AE26" s="15">
        <v>0.93899999999999995</v>
      </c>
      <c r="AF26" s="14">
        <v>-0.158</v>
      </c>
      <c r="AG26" s="15">
        <v>-0.60499999999999998</v>
      </c>
      <c r="AH26" s="15">
        <v>0.57399999999999995</v>
      </c>
      <c r="AI26" s="15">
        <v>-0.65</v>
      </c>
      <c r="AJ26" s="15">
        <v>0.29799999999999999</v>
      </c>
      <c r="AK26" s="16">
        <v>-0.49099999999999999</v>
      </c>
      <c r="AL26" s="4">
        <v>-0.30599999999999999</v>
      </c>
      <c r="AM26" s="4">
        <v>0.621</v>
      </c>
      <c r="AN26" s="4">
        <v>-0.439</v>
      </c>
      <c r="AO26" s="4">
        <v>-0.49099999999999999</v>
      </c>
      <c r="AP26" s="4">
        <v>0.871</v>
      </c>
      <c r="AQ26" s="4">
        <v>0.22500000000000001</v>
      </c>
      <c r="AR26" s="4">
        <v>-0.77200000000000002</v>
      </c>
      <c r="AS26" s="4">
        <v>0.68600000000000005</v>
      </c>
      <c r="AT26" s="4">
        <v>0.40300000000000002</v>
      </c>
      <c r="AU26" s="4">
        <v>4.3999999999999997E-2</v>
      </c>
      <c r="AV26" s="4">
        <v>0.12</v>
      </c>
      <c r="AW26" s="4">
        <v>0.11899999999999999</v>
      </c>
      <c r="AX26" s="4">
        <v>0.56299999999999994</v>
      </c>
      <c r="AY26" s="4">
        <v>0.02</v>
      </c>
      <c r="AZ26" s="4">
        <v>0.55300000000000005</v>
      </c>
      <c r="BA26" s="4">
        <v>-0.78700000000000003</v>
      </c>
      <c r="BB26" s="4">
        <v>0.34100000000000003</v>
      </c>
      <c r="BC26" s="4">
        <v>-9.0999999999999998E-2</v>
      </c>
      <c r="BD26" s="4">
        <v>0.377</v>
      </c>
      <c r="BE26" s="4">
        <v>0.60199999999999998</v>
      </c>
      <c r="BF26" s="4">
        <v>-0.32700000000000001</v>
      </c>
      <c r="BG26" s="4">
        <v>0.33500000000000002</v>
      </c>
      <c r="BH26" s="4">
        <v>0.67300000000000004</v>
      </c>
      <c r="BI26" s="4">
        <v>-0.40300000000000002</v>
      </c>
      <c r="BJ26" s="4">
        <v>-0.36</v>
      </c>
      <c r="BK26" s="4">
        <v>-0.27700000000000002</v>
      </c>
      <c r="BL26" s="4">
        <v>9.6000000000000002E-2</v>
      </c>
      <c r="BM26" s="4"/>
      <c r="BN26" s="4"/>
    </row>
    <row r="27" spans="1:66" x14ac:dyDescent="0.3">
      <c r="A27" t="s">
        <v>167</v>
      </c>
      <c r="B27" s="53">
        <v>8.0000000000000002E-3</v>
      </c>
      <c r="C27" s="53">
        <f t="shared" si="4"/>
        <v>8.0000000000000002E-3</v>
      </c>
      <c r="D27" s="53">
        <f t="shared" si="5"/>
        <v>0</v>
      </c>
      <c r="E27" s="53">
        <f t="shared" si="6"/>
        <v>0</v>
      </c>
      <c r="F27" s="15">
        <v>2.6019999999999999</v>
      </c>
      <c r="G27">
        <v>2.2559999999999998</v>
      </c>
      <c r="H27" t="s">
        <v>57</v>
      </c>
      <c r="I27" t="str">
        <f>VLOOKUP(A27,Setores!$A$2:$C$215,2,0)</f>
        <v>tech</v>
      </c>
      <c r="J27" t="str">
        <f>VLOOKUP(A27,Setores!$A$2:$C$215,3,0)</f>
        <v>high_beta</v>
      </c>
      <c r="K27" s="17">
        <v>8.0000000000000002E-3</v>
      </c>
      <c r="L27" s="2">
        <v>8.0000000000000002E-3</v>
      </c>
      <c r="M27" s="5">
        <v>0.73880355937333297</v>
      </c>
      <c r="N27" s="41">
        <f>VLOOKUP(A27,'Mandato LP'!$A$2:$B$215,2,0)</f>
        <v>1.05220712066212E-2</v>
      </c>
      <c r="O27" s="58">
        <f t="shared" si="7"/>
        <v>-2.5220712066212E-3</v>
      </c>
      <c r="P27" s="42">
        <f t="shared" si="8"/>
        <v>-2.5220712066212E-3</v>
      </c>
      <c r="Q27" s="41">
        <f>VLOOKUP(A27,'Mandato LP'!$A$2:$C$215,3,0)</f>
        <v>9.7060407748785302E-3</v>
      </c>
      <c r="R27" s="42">
        <f t="shared" si="9"/>
        <v>-1.7060407748785301E-3</v>
      </c>
      <c r="S27" s="15">
        <v>0.71299999999999997</v>
      </c>
      <c r="T27" s="15">
        <v>0.61099999999999999</v>
      </c>
      <c r="U27" s="15">
        <v>0.23200000000000001</v>
      </c>
      <c r="V27" s="15">
        <v>0.68300000000000005</v>
      </c>
      <c r="W27" s="15">
        <v>0.433</v>
      </c>
      <c r="X27" s="15">
        <v>0.27500000000000002</v>
      </c>
      <c r="Y27" s="15">
        <v>-7.0000000000000001E-3</v>
      </c>
      <c r="Z27" s="15">
        <v>0.34300000000000003</v>
      </c>
      <c r="AA27" s="15">
        <v>0.23300000000000001</v>
      </c>
      <c r="AB27" s="15">
        <v>0.23599999999999999</v>
      </c>
      <c r="AC27" s="15">
        <v>0.99399999999999999</v>
      </c>
      <c r="AD27" s="15">
        <v>0.89</v>
      </c>
      <c r="AE27" s="15">
        <v>0.877</v>
      </c>
      <c r="AF27" s="14">
        <v>0.83399999999999996</v>
      </c>
      <c r="AG27" s="15">
        <v>-0.13900000000000001</v>
      </c>
      <c r="AH27" s="15">
        <v>0.11600000000000001</v>
      </c>
      <c r="AI27" s="15">
        <v>-0.40100000000000002</v>
      </c>
      <c r="AJ27" s="15">
        <v>0.13900000000000001</v>
      </c>
      <c r="AK27" s="16">
        <v>0.27800000000000002</v>
      </c>
      <c r="AL27" s="4">
        <v>0.113</v>
      </c>
      <c r="AM27" s="4">
        <v>-0.28799999999999998</v>
      </c>
      <c r="AN27" s="4">
        <v>-0.69799999999999995</v>
      </c>
      <c r="AO27" s="4">
        <v>0.72099999999999997</v>
      </c>
      <c r="AP27" s="4">
        <v>0.29199999999999998</v>
      </c>
      <c r="AQ27" s="4">
        <v>0.79100000000000004</v>
      </c>
      <c r="AR27" s="4">
        <v>7.5999999999999998E-2</v>
      </c>
      <c r="AS27" s="4">
        <v>0.81499999999999995</v>
      </c>
      <c r="AT27" s="4">
        <v>0.80400000000000005</v>
      </c>
      <c r="AU27" s="4">
        <v>0.59399999999999997</v>
      </c>
      <c r="AV27" s="4">
        <v>-0.22900000000000001</v>
      </c>
      <c r="AW27" s="4">
        <v>0.84199999999999997</v>
      </c>
      <c r="AX27" s="4">
        <v>0.182</v>
      </c>
      <c r="AY27" s="4">
        <v>0.495</v>
      </c>
      <c r="AZ27" s="4">
        <v>0.755</v>
      </c>
      <c r="BA27" s="4">
        <v>-0.27100000000000002</v>
      </c>
      <c r="BB27" s="4">
        <v>0.61799999999999999</v>
      </c>
      <c r="BC27" s="4">
        <v>8.6999999999999994E-2</v>
      </c>
      <c r="BD27" s="4">
        <v>0.41299999999999998</v>
      </c>
      <c r="BE27" s="4">
        <v>0.44400000000000001</v>
      </c>
      <c r="BF27" s="4">
        <v>-0.99399999999999999</v>
      </c>
      <c r="BG27" s="4">
        <v>-1</v>
      </c>
      <c r="BH27" s="4">
        <v>-0.44700000000000001</v>
      </c>
      <c r="BI27" s="4">
        <v>0.16500000000000001</v>
      </c>
      <c r="BJ27" s="4">
        <v>3.7999999999999999E-2</v>
      </c>
      <c r="BK27" s="4">
        <v>2.5000000000000001E-2</v>
      </c>
      <c r="BL27" s="4">
        <v>-0.151</v>
      </c>
      <c r="BM27" s="4"/>
      <c r="BN27" s="4"/>
    </row>
    <row r="28" spans="1:66" x14ac:dyDescent="0.3">
      <c r="A28" t="s">
        <v>137</v>
      </c>
      <c r="B28" s="53">
        <v>5.0000000000000001E-3</v>
      </c>
      <c r="C28" s="53">
        <f t="shared" si="4"/>
        <v>5.0000000000000001E-3</v>
      </c>
      <c r="D28" s="53">
        <f t="shared" si="5"/>
        <v>0</v>
      </c>
      <c r="E28" s="53">
        <f t="shared" si="6"/>
        <v>0</v>
      </c>
      <c r="F28" s="15">
        <v>2.593</v>
      </c>
      <c r="G28">
        <v>1.8720000000000001</v>
      </c>
      <c r="H28" t="s">
        <v>57</v>
      </c>
      <c r="I28" t="str">
        <f>VLOOKUP(A28,Setores!$A$2:$C$215,2,0)</f>
        <v>education</v>
      </c>
      <c r="J28" t="str">
        <f>VLOOKUP(A28,Setores!$A$2:$C$215,3,0)</f>
        <v>high_beta</v>
      </c>
      <c r="K28" s="17">
        <v>5.0000000000000001E-3</v>
      </c>
      <c r="L28" s="2">
        <v>5.0000000000000001E-3</v>
      </c>
      <c r="M28" s="5">
        <v>0.21056898030000001</v>
      </c>
      <c r="N28" s="41">
        <f>VLOOKUP(A28,'Mandato LP'!$A$2:$B$215,2,0)</f>
        <v>1.04829629466361E-2</v>
      </c>
      <c r="O28" s="58">
        <f t="shared" si="7"/>
        <v>-5.4829629466360994E-3</v>
      </c>
      <c r="P28" s="42">
        <f t="shared" si="8"/>
        <v>-5.4829629466360994E-3</v>
      </c>
      <c r="Q28" s="41">
        <f>VLOOKUP(A28,'Mandato LP'!$A$2:$C$215,3,0)</f>
        <v>9.5432289465041606E-3</v>
      </c>
      <c r="R28" s="42">
        <f t="shared" si="9"/>
        <v>-4.5432289465041605E-3</v>
      </c>
      <c r="S28" s="15">
        <v>0.79900000000000004</v>
      </c>
      <c r="T28" s="15">
        <v>0.628</v>
      </c>
      <c r="U28" s="15">
        <v>0.58799999999999997</v>
      </c>
      <c r="V28" s="15">
        <v>0.72499999999999998</v>
      </c>
      <c r="W28" s="15">
        <v>0.60099999999999998</v>
      </c>
      <c r="X28" s="15">
        <v>0.41299999999999998</v>
      </c>
      <c r="Y28" s="15">
        <v>0.161</v>
      </c>
      <c r="Z28" s="15">
        <v>0.16400000000000001</v>
      </c>
      <c r="AA28" s="15">
        <v>0.2</v>
      </c>
      <c r="AB28" s="15">
        <v>0.2</v>
      </c>
      <c r="AC28" s="15">
        <v>0.82199999999999995</v>
      </c>
      <c r="AD28" s="15">
        <v>0.58299999999999996</v>
      </c>
      <c r="AE28" s="15">
        <v>0.88800000000000001</v>
      </c>
      <c r="AF28" s="14">
        <v>0.877</v>
      </c>
      <c r="AG28" s="15">
        <v>0.45700000000000002</v>
      </c>
      <c r="AH28" s="15">
        <v>0.33700000000000002</v>
      </c>
      <c r="AI28" s="15">
        <v>-3.4000000000000002E-2</v>
      </c>
      <c r="AJ28" s="15">
        <v>1</v>
      </c>
      <c r="AK28" s="16">
        <v>1</v>
      </c>
      <c r="AL28" s="4">
        <v>0.184</v>
      </c>
      <c r="AM28" s="4">
        <v>-0.76</v>
      </c>
      <c r="AN28" s="4">
        <v>-0.52800000000000002</v>
      </c>
      <c r="AO28" s="4">
        <v>0.45700000000000002</v>
      </c>
      <c r="AP28" s="4">
        <v>0.25</v>
      </c>
      <c r="AQ28" s="4">
        <v>0.47199999999999998</v>
      </c>
      <c r="AR28" s="4">
        <v>0.47199999999999998</v>
      </c>
      <c r="AS28" s="4">
        <v>0.55900000000000005</v>
      </c>
      <c r="AT28" s="4">
        <v>3.7999999999999999E-2</v>
      </c>
      <c r="AU28" s="4">
        <v>0.45900000000000002</v>
      </c>
      <c r="AV28" s="4">
        <v>0.08</v>
      </c>
      <c r="AW28" s="4">
        <v>0.998</v>
      </c>
      <c r="AX28" s="4">
        <v>-0.629</v>
      </c>
      <c r="AY28" s="4">
        <v>2E-3</v>
      </c>
      <c r="AZ28" s="4">
        <v>0.747</v>
      </c>
      <c r="BA28" s="4">
        <v>0.52500000000000002</v>
      </c>
      <c r="BB28" s="4">
        <v>0.27300000000000002</v>
      </c>
      <c r="BC28" s="4">
        <v>-8.0000000000000002E-3</v>
      </c>
      <c r="BD28" s="4">
        <v>4.9000000000000002E-2</v>
      </c>
      <c r="BE28" s="4">
        <v>0.52600000000000002</v>
      </c>
      <c r="BF28" s="4">
        <v>-0.13500000000000001</v>
      </c>
      <c r="BG28" s="4">
        <v>0.54400000000000004</v>
      </c>
      <c r="BH28" s="4">
        <v>0.223</v>
      </c>
      <c r="BI28" s="4">
        <v>-0.623</v>
      </c>
      <c r="BJ28" s="4">
        <v>0.27300000000000002</v>
      </c>
      <c r="BK28" s="4">
        <v>-4.9000000000000002E-2</v>
      </c>
      <c r="BL28" s="4">
        <v>0.54700000000000004</v>
      </c>
      <c r="BM28" s="4"/>
      <c r="BN28" s="4"/>
    </row>
    <row r="29" spans="1:66" x14ac:dyDescent="0.3">
      <c r="A29" t="s">
        <v>136</v>
      </c>
      <c r="B29" s="53">
        <v>0.05</v>
      </c>
      <c r="C29" s="53">
        <f t="shared" si="4"/>
        <v>-1.2999999999999998E-2</v>
      </c>
      <c r="D29" s="53">
        <f t="shared" si="5"/>
        <v>1.4000000000000005E-2</v>
      </c>
      <c r="E29" s="53">
        <f t="shared" si="6"/>
        <v>6.3E-2</v>
      </c>
      <c r="F29" s="15">
        <v>2.5590000000000002</v>
      </c>
      <c r="G29">
        <v>4.95</v>
      </c>
      <c r="H29" t="s">
        <v>71</v>
      </c>
      <c r="I29" t="str">
        <f>VLOOKUP(A29,Setores!$A$2:$C$215,2,0)</f>
        <v>crude_oil</v>
      </c>
      <c r="J29" t="str">
        <f>VLOOKUP(A29,Setores!$A$2:$C$215,3,0)</f>
        <v>very_low_beta</v>
      </c>
      <c r="K29" s="17">
        <v>3.5999999999999997E-2</v>
      </c>
      <c r="L29" s="2">
        <v>-2.7E-2</v>
      </c>
      <c r="M29" s="5">
        <v>5.4235721787033304</v>
      </c>
      <c r="N29" s="41">
        <f>VLOOKUP(A29,'Mandato LP'!$A$2:$B$215,2,0)</f>
        <v>5.7024041984050797E-2</v>
      </c>
      <c r="O29" s="58">
        <f t="shared" si="7"/>
        <v>-2.1024041984050799E-2</v>
      </c>
      <c r="P29" s="42">
        <f t="shared" si="8"/>
        <v>-7.0240419840507939E-3</v>
      </c>
      <c r="Q29" s="41">
        <f>VLOOKUP(A29,'Mandato LP'!$A$2:$C$215,3,0)</f>
        <v>6.5960829890523598E-2</v>
      </c>
      <c r="R29" s="42">
        <f t="shared" si="9"/>
        <v>-2.9960829890523601E-2</v>
      </c>
      <c r="S29" s="15">
        <v>-0.29399999999999998</v>
      </c>
      <c r="T29" s="15">
        <v>0.28000000000000003</v>
      </c>
      <c r="U29" s="15">
        <v>-0.85299999999999998</v>
      </c>
      <c r="V29" s="15">
        <v>0.315</v>
      </c>
      <c r="W29" s="15">
        <v>-0.04</v>
      </c>
      <c r="X29" s="15">
        <v>0.44700000000000001</v>
      </c>
      <c r="Y29" s="15">
        <v>0.53100000000000003</v>
      </c>
      <c r="Z29" s="15">
        <v>1</v>
      </c>
      <c r="AA29" s="15">
        <v>1</v>
      </c>
      <c r="AB29" s="15">
        <v>1</v>
      </c>
      <c r="AC29" s="15">
        <v>0.56100000000000005</v>
      </c>
      <c r="AD29" s="15">
        <v>0.73</v>
      </c>
      <c r="AE29" s="15">
        <v>0.88900000000000001</v>
      </c>
      <c r="AF29" s="14">
        <v>-1.7999999999999999E-2</v>
      </c>
      <c r="AG29" s="15">
        <v>-0.745</v>
      </c>
      <c r="AH29" s="15">
        <v>1</v>
      </c>
      <c r="AI29" s="15">
        <v>-0.93500000000000005</v>
      </c>
      <c r="AJ29" s="15">
        <v>-0.54400000000000004</v>
      </c>
      <c r="AK29" s="16">
        <v>-0.92200000000000004</v>
      </c>
      <c r="AL29" s="4">
        <v>0.151</v>
      </c>
      <c r="AM29" s="4">
        <v>0.432</v>
      </c>
      <c r="AN29" s="4">
        <v>-0.54200000000000004</v>
      </c>
      <c r="AO29" s="4">
        <v>-0.64700000000000002</v>
      </c>
      <c r="AP29" s="4">
        <v>0.94399999999999995</v>
      </c>
      <c r="AQ29" s="4">
        <v>1</v>
      </c>
      <c r="AR29" s="4">
        <v>-0.33500000000000002</v>
      </c>
      <c r="AS29" s="4">
        <v>0.14499999999999999</v>
      </c>
      <c r="AT29" s="4">
        <v>3.5000000000000003E-2</v>
      </c>
      <c r="AU29" s="4">
        <v>0.41199999999999998</v>
      </c>
      <c r="AV29" s="4">
        <v>0.26900000000000002</v>
      </c>
      <c r="AW29" s="4">
        <v>0.23</v>
      </c>
      <c r="AX29" s="4">
        <v>0.503</v>
      </c>
      <c r="AY29" s="4">
        <v>-0.21199999999999999</v>
      </c>
      <c r="AZ29" s="4">
        <v>0.74299999999999999</v>
      </c>
      <c r="BA29" s="4">
        <v>0.38900000000000001</v>
      </c>
      <c r="BB29" s="4">
        <v>0.39100000000000001</v>
      </c>
      <c r="BC29" s="4">
        <v>-0.151</v>
      </c>
      <c r="BD29" s="4">
        <v>-0.21299999999999999</v>
      </c>
      <c r="BE29" s="4">
        <v>0.60099999999999998</v>
      </c>
      <c r="BF29" s="4">
        <v>-0.67900000000000005</v>
      </c>
      <c r="BG29" s="4">
        <v>0.29299999999999998</v>
      </c>
      <c r="BH29" s="4">
        <v>0.39200000000000002</v>
      </c>
      <c r="BI29" s="4">
        <v>-0.90700000000000003</v>
      </c>
      <c r="BJ29" s="4">
        <v>-1</v>
      </c>
      <c r="BK29" s="4">
        <v>-0.247</v>
      </c>
      <c r="BL29" s="4">
        <v>-0.89800000000000002</v>
      </c>
      <c r="BM29" s="4"/>
      <c r="BN29" s="4"/>
    </row>
    <row r="30" spans="1:66" x14ac:dyDescent="0.3">
      <c r="A30" t="s">
        <v>84</v>
      </c>
      <c r="B30" s="53">
        <v>0.01</v>
      </c>
      <c r="C30" s="53">
        <f t="shared" si="4"/>
        <v>8.0000000000000002E-3</v>
      </c>
      <c r="D30" s="53">
        <f t="shared" si="5"/>
        <v>0</v>
      </c>
      <c r="E30" s="53">
        <f t="shared" si="6"/>
        <v>2E-3</v>
      </c>
      <c r="F30" s="15">
        <v>2.5230000000000001</v>
      </c>
      <c r="G30">
        <v>1.9670000000000001</v>
      </c>
      <c r="H30" t="s">
        <v>57</v>
      </c>
      <c r="I30" t="str">
        <f>VLOOKUP(A30,Setores!$A$2:$C$215,2,0)</f>
        <v>banks</v>
      </c>
      <c r="J30" t="str">
        <f>VLOOKUP(A30,Setores!$A$2:$C$215,3,0)</f>
        <v>neutral_beta</v>
      </c>
      <c r="K30" s="17">
        <v>0.01</v>
      </c>
      <c r="L30" s="2">
        <v>8.0000000000000002E-3</v>
      </c>
      <c r="M30" s="5">
        <v>0.57550352491333301</v>
      </c>
      <c r="N30" s="41">
        <f>VLOOKUP(A30,'Mandato LP'!$A$2:$B$215,2,0)</f>
        <v>1.1126459762578001E-2</v>
      </c>
      <c r="O30" s="58">
        <f t="shared" si="7"/>
        <v>-1.1264597625780005E-3</v>
      </c>
      <c r="P30" s="42">
        <f t="shared" si="8"/>
        <v>-1.1264597625780005E-3</v>
      </c>
      <c r="Q30" s="41">
        <f>VLOOKUP(A30,'Mandato LP'!$A$2:$C$215,3,0)</f>
        <v>1.3077741533778799E-2</v>
      </c>
      <c r="R30" s="42">
        <f t="shared" si="9"/>
        <v>-3.0777415337787991E-3</v>
      </c>
      <c r="S30" s="15">
        <v>0.32600000000000001</v>
      </c>
      <c r="T30" s="15">
        <v>0.39200000000000002</v>
      </c>
      <c r="U30" s="15">
        <v>0.23499999999999999</v>
      </c>
      <c r="V30" s="15">
        <v>0.47599999999999998</v>
      </c>
      <c r="W30" s="15">
        <v>0.39900000000000002</v>
      </c>
      <c r="X30" s="15">
        <v>0.13800000000000001</v>
      </c>
      <c r="Y30" s="15">
        <v>-4.8000000000000001E-2</v>
      </c>
      <c r="Z30" s="15">
        <v>0.49299999999999999</v>
      </c>
      <c r="AA30" s="15">
        <v>0.47299999999999998</v>
      </c>
      <c r="AB30" s="15">
        <v>0.47</v>
      </c>
      <c r="AC30" s="15">
        <v>0.88400000000000001</v>
      </c>
      <c r="AD30" s="15">
        <v>0.92400000000000004</v>
      </c>
      <c r="AE30" s="15">
        <v>0.94599999999999995</v>
      </c>
      <c r="AF30" s="14">
        <v>-0.17499999999999999</v>
      </c>
      <c r="AG30" s="15">
        <v>0.65700000000000003</v>
      </c>
      <c r="AH30" s="15">
        <v>0.65500000000000003</v>
      </c>
      <c r="AI30" s="15">
        <v>-0.40300000000000002</v>
      </c>
      <c r="AJ30" s="15">
        <v>1</v>
      </c>
      <c r="AK30" s="16">
        <v>0.65300000000000002</v>
      </c>
      <c r="AL30" s="4">
        <v>-0.112</v>
      </c>
      <c r="AM30" s="4">
        <v>-7.0000000000000007E-2</v>
      </c>
      <c r="AN30" s="4">
        <v>-0.40699999999999997</v>
      </c>
      <c r="AO30" s="4">
        <v>5.8000000000000003E-2</v>
      </c>
      <c r="AP30" s="4">
        <v>0.54300000000000004</v>
      </c>
      <c r="AQ30" s="4">
        <v>0.46600000000000003</v>
      </c>
      <c r="AR30" s="4">
        <v>0.99199999999999999</v>
      </c>
      <c r="AS30" s="4">
        <v>0.51200000000000001</v>
      </c>
      <c r="AT30" s="4">
        <v>-0.16300000000000001</v>
      </c>
      <c r="AU30" s="4">
        <v>0.192</v>
      </c>
      <c r="AV30" s="4">
        <v>-0.23200000000000001</v>
      </c>
      <c r="AW30" s="4">
        <v>8.5000000000000006E-2</v>
      </c>
      <c r="AX30" s="4">
        <v>0.36399999999999999</v>
      </c>
      <c r="AY30" s="4">
        <v>-0.14099999999999999</v>
      </c>
      <c r="AZ30" s="4">
        <v>0.47599999999999998</v>
      </c>
      <c r="BA30" s="4">
        <v>0.44400000000000001</v>
      </c>
      <c r="BB30" s="4">
        <v>0.33300000000000002</v>
      </c>
      <c r="BC30" s="4">
        <v>-0.502</v>
      </c>
      <c r="BD30" s="4">
        <v>-2.3E-2</v>
      </c>
      <c r="BE30" s="4">
        <v>-0.60299999999999998</v>
      </c>
      <c r="BF30" s="4">
        <v>-0.496</v>
      </c>
      <c r="BG30" s="4">
        <v>0.188</v>
      </c>
      <c r="BH30" s="4">
        <v>-0.108</v>
      </c>
      <c r="BI30" s="4">
        <v>-1</v>
      </c>
      <c r="BJ30" s="4">
        <v>-0.20399999999999999</v>
      </c>
      <c r="BK30" s="4">
        <v>0.437</v>
      </c>
      <c r="BL30" s="4">
        <v>0.63800000000000001</v>
      </c>
      <c r="BM30" s="4"/>
      <c r="BN30" s="4"/>
    </row>
    <row r="31" spans="1:66" x14ac:dyDescent="0.3">
      <c r="A31" t="s">
        <v>90</v>
      </c>
      <c r="B31" s="53">
        <v>0.01</v>
      </c>
      <c r="C31" s="53">
        <f t="shared" si="4"/>
        <v>3.0000000000000001E-3</v>
      </c>
      <c r="D31" s="53">
        <f t="shared" si="5"/>
        <v>0</v>
      </c>
      <c r="E31" s="53">
        <f t="shared" si="6"/>
        <v>7.0000000000000001E-3</v>
      </c>
      <c r="F31" s="15">
        <v>2.5179999999999998</v>
      </c>
      <c r="G31">
        <v>2.9670000000000001</v>
      </c>
      <c r="H31" t="s">
        <v>68</v>
      </c>
      <c r="I31" t="str">
        <f>VLOOKUP(A31,Setores!$A$2:$C$215,2,0)</f>
        <v>capital_goods</v>
      </c>
      <c r="J31" t="str">
        <f>VLOOKUP(A31,Setores!$A$2:$C$215,3,0)</f>
        <v>high_beta</v>
      </c>
      <c r="K31" s="17">
        <v>0.01</v>
      </c>
      <c r="L31" s="2">
        <v>3.0000000000000001E-3</v>
      </c>
      <c r="M31" s="5">
        <v>0.63941919220666699</v>
      </c>
      <c r="N31" s="41">
        <f>VLOOKUP(A31,'Mandato LP'!$A$2:$B$215,2,0)</f>
        <v>1.9756898457745899E-2</v>
      </c>
      <c r="O31" s="58">
        <f t="shared" si="7"/>
        <v>-9.7568984577458984E-3</v>
      </c>
      <c r="P31" s="42">
        <f t="shared" si="8"/>
        <v>-9.7568984577458984E-3</v>
      </c>
      <c r="Q31" s="41">
        <f>VLOOKUP(A31,'Mandato LP'!$A$2:$C$215,3,0)</f>
        <v>1.344593182064E-2</v>
      </c>
      <c r="R31" s="42">
        <f t="shared" si="9"/>
        <v>-3.4459318206399997E-3</v>
      </c>
      <c r="S31" s="15">
        <v>0.34</v>
      </c>
      <c r="T31" s="15">
        <v>-0.216</v>
      </c>
      <c r="U31" s="15">
        <v>-7.0000000000000001E-3</v>
      </c>
      <c r="V31" s="15">
        <v>0.64300000000000002</v>
      </c>
      <c r="W31" s="15">
        <v>0.16800000000000001</v>
      </c>
      <c r="X31" s="15">
        <v>0.67900000000000005</v>
      </c>
      <c r="Y31" s="15">
        <v>0.75700000000000001</v>
      </c>
      <c r="Z31" s="15">
        <v>0.58099999999999996</v>
      </c>
      <c r="AA31" s="15">
        <v>0.311</v>
      </c>
      <c r="AB31" s="15">
        <v>0.313</v>
      </c>
      <c r="AC31" s="15">
        <v>0.79800000000000004</v>
      </c>
      <c r="AD31" s="15">
        <v>0.77900000000000003</v>
      </c>
      <c r="AE31" s="15">
        <v>0.69299999999999995</v>
      </c>
      <c r="AF31" s="14">
        <v>1</v>
      </c>
      <c r="AG31" s="15">
        <v>0.57499999999999996</v>
      </c>
      <c r="AH31" s="15">
        <v>-0.214</v>
      </c>
      <c r="AI31" s="15">
        <v>-0.45900000000000002</v>
      </c>
      <c r="AJ31" s="15">
        <v>-0.30599999999999999</v>
      </c>
      <c r="AK31" s="16">
        <v>8.7999999999999995E-2</v>
      </c>
      <c r="AL31" s="4">
        <v>-3.5000000000000003E-2</v>
      </c>
      <c r="AM31" s="4">
        <v>0.433</v>
      </c>
      <c r="AN31" s="4">
        <v>-0.68500000000000005</v>
      </c>
      <c r="AO31" s="4">
        <v>0.42799999999999999</v>
      </c>
      <c r="AP31" s="4">
        <v>5.7000000000000002E-2</v>
      </c>
      <c r="AQ31" s="4">
        <v>0.312</v>
      </c>
      <c r="AR31" s="4">
        <v>0.59899999999999998</v>
      </c>
      <c r="AS31" s="4">
        <v>0.28299999999999997</v>
      </c>
      <c r="AT31" s="4">
        <v>-0.498</v>
      </c>
      <c r="AU31" s="4">
        <v>0.61399999999999999</v>
      </c>
      <c r="AV31" s="4">
        <v>-0.33700000000000002</v>
      </c>
      <c r="AW31" s="4">
        <v>0.63900000000000001</v>
      </c>
      <c r="AX31" s="4">
        <v>0.41399999999999998</v>
      </c>
      <c r="AY31" s="4">
        <v>0.114</v>
      </c>
      <c r="AZ31" s="4">
        <v>0.84299999999999997</v>
      </c>
      <c r="BA31" s="4">
        <v>0.56100000000000005</v>
      </c>
      <c r="BB31" s="4">
        <v>0.44800000000000001</v>
      </c>
      <c r="BC31" s="4">
        <v>-0.159</v>
      </c>
      <c r="BD31" s="4">
        <v>-0.188</v>
      </c>
      <c r="BE31" s="4">
        <v>0.3</v>
      </c>
      <c r="BF31" s="4">
        <v>-0.187</v>
      </c>
      <c r="BG31" s="4">
        <v>2.7E-2</v>
      </c>
      <c r="BH31" s="4">
        <v>0.58799999999999997</v>
      </c>
      <c r="BI31" s="4">
        <v>-0.85399999999999998</v>
      </c>
      <c r="BJ31" s="4">
        <v>0.34599999999999997</v>
      </c>
      <c r="BK31" s="4">
        <v>-0.38200000000000001</v>
      </c>
      <c r="BL31" s="4">
        <v>-0.151</v>
      </c>
      <c r="BM31" s="4"/>
      <c r="BN31" s="4"/>
    </row>
    <row r="32" spans="1:66" x14ac:dyDescent="0.3">
      <c r="A32" t="s">
        <v>146</v>
      </c>
      <c r="B32" s="53">
        <v>4.4999999999999998E-2</v>
      </c>
      <c r="C32" s="53">
        <f t="shared" si="4"/>
        <v>-3.0000000000000027E-3</v>
      </c>
      <c r="D32" s="53">
        <f t="shared" si="5"/>
        <v>9.999999999999995E-3</v>
      </c>
      <c r="E32" s="53">
        <f t="shared" si="6"/>
        <v>4.8000000000000001E-2</v>
      </c>
      <c r="F32" s="15">
        <v>2.4710000000000001</v>
      </c>
      <c r="G32">
        <v>4.3869999999999996</v>
      </c>
      <c r="H32" t="s">
        <v>71</v>
      </c>
      <c r="I32" t="str">
        <f>VLOOKUP(A32,Setores!$A$2:$C$215,2,0)</f>
        <v>crude_oil</v>
      </c>
      <c r="J32" t="str">
        <f>VLOOKUP(A32,Setores!$A$2:$C$215,3,0)</f>
        <v>very_low_beta</v>
      </c>
      <c r="K32" s="17">
        <v>3.5000000000000003E-2</v>
      </c>
      <c r="L32" s="2">
        <v>-1.2999999999999999E-2</v>
      </c>
      <c r="M32" s="5">
        <v>5.3246973420366697</v>
      </c>
      <c r="N32" s="41">
        <f>VLOOKUP(A32,'Mandato LP'!$A$2:$B$215,2,0)</f>
        <v>5.5076929205472802E-2</v>
      </c>
      <c r="O32" s="58">
        <f t="shared" si="7"/>
        <v>-2.0076929205472799E-2</v>
      </c>
      <c r="P32" s="42">
        <f t="shared" si="8"/>
        <v>-1.0076929205472804E-2</v>
      </c>
      <c r="Q32" s="41">
        <f>VLOOKUP(A32,'Mandato LP'!$A$2:$C$215,3,0)</f>
        <v>6.4787379412914001E-2</v>
      </c>
      <c r="R32" s="42">
        <f t="shared" si="9"/>
        <v>-2.9787379412913997E-2</v>
      </c>
      <c r="S32" s="15">
        <v>-0.308</v>
      </c>
      <c r="T32" s="15">
        <v>0.26300000000000001</v>
      </c>
      <c r="U32" s="15">
        <v>-0.84799999999999998</v>
      </c>
      <c r="V32" s="15">
        <v>0.26500000000000001</v>
      </c>
      <c r="W32" s="15">
        <v>-6.7000000000000004E-2</v>
      </c>
      <c r="X32" s="15">
        <v>0.35799999999999998</v>
      </c>
      <c r="Y32" s="15">
        <v>0.39600000000000002</v>
      </c>
      <c r="Z32" s="15">
        <v>0.94599999999999995</v>
      </c>
      <c r="AA32" s="15">
        <v>1</v>
      </c>
      <c r="AB32" s="15">
        <v>1</v>
      </c>
      <c r="AC32" s="15">
        <v>0.59599999999999997</v>
      </c>
      <c r="AD32" s="15">
        <v>0.75600000000000001</v>
      </c>
      <c r="AE32" s="15">
        <v>0.88500000000000001</v>
      </c>
      <c r="AF32" s="14">
        <v>-8.8999999999999996E-2</v>
      </c>
      <c r="AG32" s="15">
        <v>-0.77100000000000002</v>
      </c>
      <c r="AH32" s="15">
        <v>1</v>
      </c>
      <c r="AI32" s="15">
        <v>-0.94399999999999995</v>
      </c>
      <c r="AJ32" s="15">
        <v>-0.56799999999999995</v>
      </c>
      <c r="AK32" s="16">
        <v>-0.92600000000000005</v>
      </c>
      <c r="AL32" s="4">
        <v>0.151</v>
      </c>
      <c r="AM32" s="4">
        <v>0.35699999999999998</v>
      </c>
      <c r="AN32" s="4">
        <v>-0.54200000000000004</v>
      </c>
      <c r="AO32" s="4">
        <v>-0.65800000000000003</v>
      </c>
      <c r="AP32" s="4">
        <v>0.93500000000000005</v>
      </c>
      <c r="AQ32" s="4">
        <v>1</v>
      </c>
      <c r="AR32" s="4">
        <v>-0.33500000000000002</v>
      </c>
      <c r="AS32" s="4">
        <v>0.14499999999999999</v>
      </c>
      <c r="AT32" s="4">
        <v>3.5000000000000003E-2</v>
      </c>
      <c r="AU32" s="4">
        <v>0.41199999999999998</v>
      </c>
      <c r="AV32" s="4">
        <v>0.26900000000000002</v>
      </c>
      <c r="AW32" s="4">
        <v>0.223</v>
      </c>
      <c r="AX32" s="4">
        <v>0.40899999999999997</v>
      </c>
      <c r="AY32" s="4">
        <v>-0.21199999999999999</v>
      </c>
      <c r="AZ32" s="4">
        <v>0.74299999999999999</v>
      </c>
      <c r="BA32" s="4">
        <v>0.438</v>
      </c>
      <c r="BB32" s="4">
        <v>0.498</v>
      </c>
      <c r="BC32" s="4">
        <v>-0.151</v>
      </c>
      <c r="BD32" s="4">
        <v>-0.21299999999999999</v>
      </c>
      <c r="BE32" s="4">
        <v>0.624</v>
      </c>
      <c r="BF32" s="4">
        <v>-0.70499999999999996</v>
      </c>
      <c r="BG32" s="4">
        <v>0.311</v>
      </c>
      <c r="BH32" s="4">
        <v>0.27</v>
      </c>
      <c r="BI32" s="4">
        <v>-0.89300000000000002</v>
      </c>
      <c r="BJ32" s="4">
        <v>-1</v>
      </c>
      <c r="BK32" s="4">
        <v>-8.5000000000000006E-2</v>
      </c>
      <c r="BL32" s="4">
        <v>-0.89800000000000002</v>
      </c>
      <c r="BM32" s="4"/>
      <c r="BN32" s="4"/>
    </row>
    <row r="33" spans="1:66" x14ac:dyDescent="0.3">
      <c r="A33" t="s">
        <v>77</v>
      </c>
      <c r="B33" s="53">
        <v>6.0000000000000001E-3</v>
      </c>
      <c r="C33" s="53">
        <f t="shared" si="4"/>
        <v>6.0000000000000001E-3</v>
      </c>
      <c r="D33" s="53">
        <f t="shared" si="5"/>
        <v>0</v>
      </c>
      <c r="E33" s="53">
        <f t="shared" si="6"/>
        <v>0</v>
      </c>
      <c r="F33" s="15">
        <v>2.4249999999999998</v>
      </c>
      <c r="G33">
        <v>1.851</v>
      </c>
      <c r="H33" t="s">
        <v>57</v>
      </c>
      <c r="I33" t="str">
        <f>VLOOKUP(A33,Setores!$A$2:$C$215,2,0)</f>
        <v>education</v>
      </c>
      <c r="J33" t="str">
        <f>VLOOKUP(A33,Setores!$A$2:$C$215,3,0)</f>
        <v>very_high_beta</v>
      </c>
      <c r="K33" s="17">
        <v>6.0000000000000001E-3</v>
      </c>
      <c r="L33" s="2">
        <v>6.0000000000000001E-3</v>
      </c>
      <c r="M33" s="5">
        <v>0.39684438996999999</v>
      </c>
      <c r="N33" s="41">
        <f>VLOOKUP(A33,'Mandato LP'!$A$2:$B$215,2,0)</f>
        <v>9.8058734449045296E-3</v>
      </c>
      <c r="O33" s="58">
        <f t="shared" si="7"/>
        <v>-3.8058734449045294E-3</v>
      </c>
      <c r="P33" s="42">
        <f t="shared" si="8"/>
        <v>-3.8058734449045294E-3</v>
      </c>
      <c r="Q33" s="41">
        <f>VLOOKUP(A33,'Mandato LP'!$A$2:$C$215,3,0)</f>
        <v>6.6946100017498001E-3</v>
      </c>
      <c r="R33" s="42">
        <f t="shared" si="9"/>
        <v>-6.9461000174979998E-4</v>
      </c>
      <c r="S33" s="15">
        <v>0.69099999999999995</v>
      </c>
      <c r="T33" s="15">
        <v>-1.4E-2</v>
      </c>
      <c r="U33" s="15">
        <v>0.99</v>
      </c>
      <c r="V33" s="15">
        <v>0.68799999999999994</v>
      </c>
      <c r="W33" s="15">
        <v>0.60299999999999998</v>
      </c>
      <c r="X33" s="15">
        <v>0.48699999999999999</v>
      </c>
      <c r="Y33" s="15">
        <v>0.433</v>
      </c>
      <c r="Z33" s="15">
        <v>0.112</v>
      </c>
      <c r="AA33" s="15">
        <v>0.14899999999999999</v>
      </c>
      <c r="AB33" s="15">
        <v>0.14799999999999999</v>
      </c>
      <c r="AC33" s="15">
        <v>0.90500000000000003</v>
      </c>
      <c r="AD33" s="15">
        <v>0.70099999999999996</v>
      </c>
      <c r="AE33" s="15">
        <v>0.64300000000000002</v>
      </c>
      <c r="AF33" s="14">
        <v>1</v>
      </c>
      <c r="AG33" s="15">
        <v>1</v>
      </c>
      <c r="AH33" s="15">
        <v>-0.46100000000000002</v>
      </c>
      <c r="AI33" s="15">
        <v>0.72799999999999998</v>
      </c>
      <c r="AJ33" s="15">
        <v>-0.22800000000000001</v>
      </c>
      <c r="AK33" s="16">
        <v>1</v>
      </c>
      <c r="AL33" s="4">
        <v>0.63300000000000001</v>
      </c>
      <c r="AM33" s="4">
        <v>0.309</v>
      </c>
      <c r="AN33" s="4">
        <v>-0.39200000000000002</v>
      </c>
      <c r="AO33" s="4">
        <v>0.60899999999999999</v>
      </c>
      <c r="AP33" s="4">
        <v>-0.624</v>
      </c>
      <c r="AQ33" s="4">
        <v>-0.60399999999999998</v>
      </c>
      <c r="AR33" s="4">
        <v>0.73399999999999999</v>
      </c>
      <c r="AS33" s="4">
        <v>2.1000000000000001E-2</v>
      </c>
      <c r="AT33" s="4">
        <v>-0.56699999999999995</v>
      </c>
      <c r="AU33" s="4">
        <v>0.41</v>
      </c>
      <c r="AV33" s="4">
        <v>0.08</v>
      </c>
      <c r="AW33" s="4">
        <v>0.89700000000000002</v>
      </c>
      <c r="AX33" s="4">
        <v>-0.28599999999999998</v>
      </c>
      <c r="AY33" s="4">
        <v>0.03</v>
      </c>
      <c r="AZ33" s="4">
        <v>0.74399999999999999</v>
      </c>
      <c r="BA33" s="4">
        <v>0.218</v>
      </c>
      <c r="BB33" s="4">
        <v>0.45</v>
      </c>
      <c r="BC33" s="4">
        <v>9.8000000000000004E-2</v>
      </c>
      <c r="BD33" s="4">
        <v>0.17100000000000001</v>
      </c>
      <c r="BE33" s="4">
        <v>0.26800000000000002</v>
      </c>
      <c r="BF33" s="4">
        <v>1</v>
      </c>
      <c r="BG33" s="4">
        <v>1</v>
      </c>
      <c r="BH33" s="4">
        <v>5.6000000000000001E-2</v>
      </c>
      <c r="BI33" s="4">
        <v>-0.29499999999999998</v>
      </c>
      <c r="BJ33" s="4">
        <v>0.28499999999999998</v>
      </c>
      <c r="BK33" s="4">
        <v>0.73399999999999999</v>
      </c>
      <c r="BL33" s="4">
        <v>0.55700000000000005</v>
      </c>
      <c r="BM33" s="4"/>
      <c r="BN33" s="4"/>
    </row>
    <row r="34" spans="1:66" x14ac:dyDescent="0.3">
      <c r="A34" t="s">
        <v>101</v>
      </c>
      <c r="B34" s="53">
        <v>1.2E-2</v>
      </c>
      <c r="C34" s="53">
        <f t="shared" si="4"/>
        <v>1.2E-2</v>
      </c>
      <c r="D34" s="53">
        <f t="shared" si="5"/>
        <v>0</v>
      </c>
      <c r="E34" s="53">
        <f t="shared" si="6"/>
        <v>0</v>
      </c>
      <c r="F34" s="15">
        <v>2.3660000000000001</v>
      </c>
      <c r="G34">
        <v>2.5510000000000002</v>
      </c>
      <c r="H34" t="s">
        <v>71</v>
      </c>
      <c r="I34" t="str">
        <f>VLOOKUP(A34,Setores!$A$2:$C$215,2,0)</f>
        <v>crude_oil</v>
      </c>
      <c r="J34" t="str">
        <f>VLOOKUP(A34,Setores!$A$2:$C$215,3,0)</f>
        <v>very_low_beta</v>
      </c>
      <c r="K34" s="17">
        <v>1.2E-2</v>
      </c>
      <c r="L34" s="2">
        <v>1.2E-2</v>
      </c>
      <c r="M34" s="5">
        <v>3.23971833133333E-2</v>
      </c>
      <c r="N34" s="41">
        <f>VLOOKUP(A34,'Mandato LP'!$A$2:$B$215,2,0)</f>
        <v>9.5676284092179095E-3</v>
      </c>
      <c r="O34" s="58">
        <f t="shared" si="7"/>
        <v>2.4323715907820908E-3</v>
      </c>
      <c r="P34" s="42">
        <f t="shared" si="8"/>
        <v>2.4323715907820908E-3</v>
      </c>
      <c r="Q34" s="41">
        <f>VLOOKUP(A34,'Mandato LP'!$A$2:$C$215,3,0)</f>
        <v>1.19369324329956E-2</v>
      </c>
      <c r="R34" s="42">
        <f t="shared" si="9"/>
        <v>6.3067567004400013E-5</v>
      </c>
      <c r="S34" s="15">
        <v>0.33100000000000002</v>
      </c>
      <c r="T34" s="15">
        <v>0.40899999999999997</v>
      </c>
      <c r="U34" s="15">
        <v>-0.13100000000000001</v>
      </c>
      <c r="V34" s="15">
        <v>0.32400000000000001</v>
      </c>
      <c r="W34" s="15">
        <v>0.11899999999999999</v>
      </c>
      <c r="X34" s="15">
        <v>0.48399999999999999</v>
      </c>
      <c r="Y34" s="15">
        <v>0.35</v>
      </c>
      <c r="Z34" s="15">
        <v>6.2E-2</v>
      </c>
      <c r="AA34" s="15">
        <v>0.72299999999999998</v>
      </c>
      <c r="AB34" s="15">
        <v>0.71799999999999997</v>
      </c>
      <c r="AC34" s="15">
        <v>0.75</v>
      </c>
      <c r="AD34" s="15">
        <v>0.86</v>
      </c>
      <c r="AE34" s="15">
        <v>0.99099999999999999</v>
      </c>
      <c r="AF34" s="14">
        <v>-0.318</v>
      </c>
      <c r="AG34" s="15">
        <v>-8.4000000000000005E-2</v>
      </c>
      <c r="AH34" s="15">
        <v>0.57399999999999995</v>
      </c>
      <c r="AI34" s="15">
        <v>-0.499</v>
      </c>
      <c r="AJ34" s="15">
        <v>1</v>
      </c>
      <c r="AK34" s="16">
        <v>0.28999999999999998</v>
      </c>
      <c r="AL34" s="4">
        <v>-0.30499999999999999</v>
      </c>
      <c r="AM34" s="4">
        <v>-0.94299999999999995</v>
      </c>
      <c r="AN34" s="4">
        <v>-0.72199999999999998</v>
      </c>
      <c r="AO34" s="4">
        <v>0.55600000000000005</v>
      </c>
      <c r="AP34" s="4">
        <v>0.76500000000000001</v>
      </c>
      <c r="AQ34" s="4">
        <v>0.74</v>
      </c>
      <c r="AR34" s="4">
        <v>0.81299999999999994</v>
      </c>
      <c r="AS34" s="4">
        <v>0.69599999999999995</v>
      </c>
      <c r="AT34" s="4">
        <v>0.12</v>
      </c>
      <c r="AU34" s="4">
        <v>0.191</v>
      </c>
      <c r="AV34" s="4">
        <v>-0.28899999999999998</v>
      </c>
      <c r="AW34" s="4">
        <v>0.54600000000000004</v>
      </c>
      <c r="AX34" s="4">
        <v>0.503</v>
      </c>
      <c r="AY34" s="4">
        <v>-0.16300000000000001</v>
      </c>
      <c r="AZ34" s="4">
        <v>0.67100000000000004</v>
      </c>
      <c r="BA34" s="4">
        <v>-0.49</v>
      </c>
      <c r="BB34" s="4">
        <v>0.96599999999999997</v>
      </c>
      <c r="BC34" s="4">
        <v>-0.371</v>
      </c>
      <c r="BD34" s="4">
        <v>-0.73</v>
      </c>
      <c r="BE34" s="4">
        <v>0.54600000000000004</v>
      </c>
      <c r="BF34" s="4">
        <v>-0.59299999999999997</v>
      </c>
      <c r="BG34" s="4">
        <v>0.24099999999999999</v>
      </c>
      <c r="BH34" s="4">
        <v>0.80900000000000005</v>
      </c>
      <c r="BI34" s="4">
        <v>-0.61499999999999999</v>
      </c>
      <c r="BJ34" s="4">
        <v>-0.83799999999999997</v>
      </c>
      <c r="BK34" s="4">
        <v>0.66</v>
      </c>
      <c r="BL34" s="4">
        <v>0.64500000000000002</v>
      </c>
      <c r="BM34" s="4"/>
      <c r="BN34" s="4"/>
    </row>
    <row r="35" spans="1:66" x14ac:dyDescent="0.3">
      <c r="A35" t="s">
        <v>599</v>
      </c>
      <c r="B35" s="53">
        <v>5.0000000000000001E-3</v>
      </c>
      <c r="C35" s="53">
        <f t="shared" si="4"/>
        <v>5.0000000000000001E-3</v>
      </c>
      <c r="D35" s="53">
        <f t="shared" si="5"/>
        <v>-5.9999999999999993E-3</v>
      </c>
      <c r="E35" s="53">
        <f t="shared" si="6"/>
        <v>0</v>
      </c>
      <c r="F35" s="15">
        <v>2.359</v>
      </c>
      <c r="G35">
        <v>1.756</v>
      </c>
      <c r="H35" t="s">
        <v>57</v>
      </c>
      <c r="I35" t="str">
        <f>VLOOKUP(A35,Setores!$A$2:$C$215,2,0)</f>
        <v>consumer_services</v>
      </c>
      <c r="J35" t="str">
        <f>VLOOKUP(A35,Setores!$A$2:$C$215,3,0)</f>
        <v>very_low_beta</v>
      </c>
      <c r="K35" s="17">
        <v>1.0999999999999999E-2</v>
      </c>
      <c r="L35" s="2">
        <v>1.0999999999999999E-2</v>
      </c>
      <c r="M35" s="5">
        <v>1.32919339533333E-2</v>
      </c>
      <c r="N35" s="41">
        <f>VLOOKUP(A35,'Mandato LP'!$A$2:$B$215,2,0)</f>
        <v>9.5364998252847003E-3</v>
      </c>
      <c r="O35" s="58">
        <f t="shared" si="7"/>
        <v>1.463500174715299E-3</v>
      </c>
      <c r="P35" s="42">
        <f t="shared" si="8"/>
        <v>-4.5364998252847002E-3</v>
      </c>
      <c r="Q35" s="41">
        <f>VLOOKUP(A35,'Mandato LP'!$A$2:$C$215,3,0)</f>
        <v>0</v>
      </c>
      <c r="R35" s="42">
        <f t="shared" si="9"/>
        <v>1.0999999999999999E-2</v>
      </c>
      <c r="S35" s="15">
        <v>0.84699999999999998</v>
      </c>
      <c r="T35" s="15">
        <v>0.872</v>
      </c>
      <c r="U35" s="15">
        <v>1</v>
      </c>
      <c r="V35" s="15">
        <v>0.53700000000000003</v>
      </c>
      <c r="W35" s="15">
        <v>0.86299999999999999</v>
      </c>
      <c r="X35" s="15">
        <v>0.23100000000000001</v>
      </c>
      <c r="Y35" s="15">
        <v>-0.08</v>
      </c>
      <c r="Z35" s="15">
        <v>-0.224</v>
      </c>
      <c r="AA35" s="15">
        <v>0.215</v>
      </c>
      <c r="AB35" s="15">
        <v>0.214</v>
      </c>
      <c r="AC35" s="15">
        <v>0.80700000000000005</v>
      </c>
      <c r="AD35" s="15">
        <v>0.76600000000000001</v>
      </c>
      <c r="AE35" s="15">
        <v>0.79200000000000004</v>
      </c>
      <c r="AF35" s="14">
        <v>0.96399999999999997</v>
      </c>
      <c r="AG35" s="15">
        <v>1</v>
      </c>
      <c r="AH35" s="15">
        <v>0.189</v>
      </c>
      <c r="AI35" s="15">
        <v>1</v>
      </c>
      <c r="AJ35" s="15">
        <v>0.64900000000000002</v>
      </c>
      <c r="AK35" s="16">
        <v>0.61699999999999999</v>
      </c>
      <c r="AL35" s="4">
        <v>0.17599999999999999</v>
      </c>
      <c r="AM35" s="4">
        <v>-0.72299999999999998</v>
      </c>
      <c r="AN35" s="4">
        <v>0.64100000000000001</v>
      </c>
      <c r="AO35" s="4">
        <v>0.60099999999999998</v>
      </c>
      <c r="AP35" s="4">
        <v>-0.32200000000000001</v>
      </c>
      <c r="AQ35" s="4">
        <v>0.13600000000000001</v>
      </c>
      <c r="AR35" s="4">
        <v>0.47099999999999997</v>
      </c>
      <c r="AS35" s="4">
        <v>0.252</v>
      </c>
      <c r="AT35" s="4">
        <v>-0.14299999999999999</v>
      </c>
      <c r="AU35" s="4">
        <v>-4.1000000000000002E-2</v>
      </c>
      <c r="AV35" s="4">
        <v>-0.28199999999999997</v>
      </c>
      <c r="AW35" s="4">
        <v>0.46200000000000002</v>
      </c>
      <c r="AX35" s="4">
        <v>-0.19400000000000001</v>
      </c>
      <c r="AY35" s="4">
        <v>-0.33</v>
      </c>
      <c r="AZ35" s="4">
        <v>0.94299999999999995</v>
      </c>
      <c r="BA35" s="4">
        <v>-0.35899999999999999</v>
      </c>
      <c r="BB35" s="4">
        <v>0.98499999999999999</v>
      </c>
      <c r="BC35" s="4">
        <v>0.14799999999999999</v>
      </c>
      <c r="BD35" s="4">
        <v>3.5000000000000003E-2</v>
      </c>
      <c r="BE35" s="4">
        <v>0.35</v>
      </c>
      <c r="BF35" s="4">
        <v>1</v>
      </c>
      <c r="BG35" s="4">
        <v>0.46800000000000003</v>
      </c>
      <c r="BH35" s="4">
        <v>0.3</v>
      </c>
      <c r="BI35" s="4">
        <v>0.64500000000000002</v>
      </c>
      <c r="BJ35" s="4">
        <v>-0.68</v>
      </c>
      <c r="BK35" s="4">
        <v>0.81499999999999995</v>
      </c>
      <c r="BL35" s="4">
        <v>1</v>
      </c>
      <c r="BM35" s="4"/>
      <c r="BN35" s="4"/>
    </row>
    <row r="36" spans="1:66" x14ac:dyDescent="0.3">
      <c r="A36" t="s">
        <v>85</v>
      </c>
      <c r="B36" s="53">
        <v>6.0000000000000001E-3</v>
      </c>
      <c r="C36" s="53">
        <f t="shared" si="4"/>
        <v>6.0000000000000001E-3</v>
      </c>
      <c r="D36" s="53">
        <f t="shared" si="5"/>
        <v>0</v>
      </c>
      <c r="E36" s="53">
        <f t="shared" si="6"/>
        <v>0</v>
      </c>
      <c r="F36" s="15">
        <v>2.3580000000000001</v>
      </c>
      <c r="G36">
        <v>1.8440000000000001</v>
      </c>
      <c r="H36" t="s">
        <v>57</v>
      </c>
      <c r="I36" t="str">
        <f>VLOOKUP(A36,Setores!$A$2:$C$215,2,0)</f>
        <v>education</v>
      </c>
      <c r="J36" t="str">
        <f>VLOOKUP(A36,Setores!$A$2:$C$215,3,0)</f>
        <v>neutral_beta</v>
      </c>
      <c r="K36" s="17">
        <v>6.0000000000000001E-3</v>
      </c>
      <c r="L36" s="2">
        <v>6.0000000000000001E-3</v>
      </c>
      <c r="M36" s="5">
        <v>1.25585075E-2</v>
      </c>
      <c r="N36" s="41">
        <f>VLOOKUP(A36,'Mandato LP'!$A$2:$B$215,2,0)</f>
        <v>9.5334925143853097E-3</v>
      </c>
      <c r="O36" s="58">
        <f t="shared" si="7"/>
        <v>-3.5334925143853096E-3</v>
      </c>
      <c r="P36" s="42">
        <f t="shared" si="8"/>
        <v>-3.5334925143853096E-3</v>
      </c>
      <c r="Q36" s="41">
        <f>VLOOKUP(A36,'Mandato LP'!$A$2:$C$215,3,0)</f>
        <v>1.0661643000662999E-2</v>
      </c>
      <c r="R36" s="42">
        <f t="shared" si="9"/>
        <v>-4.6616430006629992E-3</v>
      </c>
      <c r="S36" s="15">
        <v>0.55000000000000004</v>
      </c>
      <c r="T36" s="15">
        <v>0.58799999999999997</v>
      </c>
      <c r="U36" s="15">
        <v>0.40200000000000002</v>
      </c>
      <c r="V36" s="15">
        <v>0.60199999999999998</v>
      </c>
      <c r="W36" s="15">
        <v>0.54700000000000004</v>
      </c>
      <c r="X36" s="15">
        <v>0.17</v>
      </c>
      <c r="Y36" s="15">
        <v>0.128</v>
      </c>
      <c r="Z36" s="15">
        <v>-0.11700000000000001</v>
      </c>
      <c r="AA36" s="15">
        <v>0.56399999999999995</v>
      </c>
      <c r="AB36" s="15">
        <v>0.56499999999999995</v>
      </c>
      <c r="AC36" s="15">
        <v>0.92600000000000005</v>
      </c>
      <c r="AD36" s="15">
        <v>0.91100000000000003</v>
      </c>
      <c r="AE36" s="15">
        <v>0.88200000000000001</v>
      </c>
      <c r="AF36" s="14">
        <v>0.504</v>
      </c>
      <c r="AG36" s="15">
        <v>1</v>
      </c>
      <c r="AH36" s="15">
        <v>0.47199999999999998</v>
      </c>
      <c r="AI36" s="15">
        <v>0.10199999999999999</v>
      </c>
      <c r="AJ36" s="15">
        <v>0.19500000000000001</v>
      </c>
      <c r="AK36" s="16">
        <v>0.47899999999999998</v>
      </c>
      <c r="AL36" s="4">
        <v>-0.04</v>
      </c>
      <c r="AM36" s="4">
        <v>-0.91200000000000003</v>
      </c>
      <c r="AN36" s="4">
        <v>0.17199999999999999</v>
      </c>
      <c r="AO36" s="4">
        <v>0.36699999999999999</v>
      </c>
      <c r="AP36" s="4">
        <v>-5.6000000000000001E-2</v>
      </c>
      <c r="AQ36" s="4">
        <v>-0.22500000000000001</v>
      </c>
      <c r="AR36" s="4">
        <v>0.61699999999999999</v>
      </c>
      <c r="AS36" s="4">
        <v>1</v>
      </c>
      <c r="AT36" s="4">
        <v>0.251</v>
      </c>
      <c r="AU36" s="4">
        <v>0.432</v>
      </c>
      <c r="AV36" s="4">
        <v>0.65900000000000003</v>
      </c>
      <c r="AW36" s="4">
        <v>0.51800000000000002</v>
      </c>
      <c r="AX36" s="4">
        <v>-0.34</v>
      </c>
      <c r="AY36" s="4">
        <v>-0.29799999999999999</v>
      </c>
      <c r="AZ36" s="4">
        <v>0.58299999999999996</v>
      </c>
      <c r="BA36" s="4">
        <v>0.23799999999999999</v>
      </c>
      <c r="BB36" s="4">
        <v>0.65</v>
      </c>
      <c r="BC36" s="4">
        <v>-0.21</v>
      </c>
      <c r="BD36" s="4">
        <v>-0.64600000000000002</v>
      </c>
      <c r="BE36" s="4">
        <v>0.42399999999999999</v>
      </c>
      <c r="BF36" s="4">
        <v>-0.81299999999999994</v>
      </c>
      <c r="BG36" s="4">
        <v>0.372</v>
      </c>
      <c r="BH36" s="4">
        <v>-7.4999999999999997E-2</v>
      </c>
      <c r="BI36" s="4">
        <v>-0.44</v>
      </c>
      <c r="BJ36" s="4">
        <v>-0.157</v>
      </c>
      <c r="BK36" s="4">
        <v>0.34699999999999998</v>
      </c>
      <c r="BL36" s="4">
        <v>0.38700000000000001</v>
      </c>
      <c r="BM36" s="4"/>
      <c r="BN36" s="4"/>
    </row>
    <row r="37" spans="1:66" x14ac:dyDescent="0.3">
      <c r="A37" t="s">
        <v>109</v>
      </c>
      <c r="B37" s="53">
        <v>0</v>
      </c>
      <c r="C37" s="53">
        <f t="shared" si="4"/>
        <v>0</v>
      </c>
      <c r="D37" s="53">
        <f t="shared" si="5"/>
        <v>-2.1999999999999999E-2</v>
      </c>
      <c r="E37" s="53">
        <f t="shared" si="6"/>
        <v>0</v>
      </c>
      <c r="F37" s="15">
        <v>2.34</v>
      </c>
      <c r="G37">
        <v>3.121</v>
      </c>
      <c r="H37" t="s">
        <v>57</v>
      </c>
      <c r="I37" t="str">
        <f>VLOOKUP(A37,Setores!$A$2:$C$215,2,0)</f>
        <v>banks</v>
      </c>
      <c r="J37" t="str">
        <f>VLOOKUP(A37,Setores!$A$2:$C$215,3,0)</f>
        <v>neutral_beta</v>
      </c>
      <c r="K37" s="17">
        <v>2.1999999999999999E-2</v>
      </c>
      <c r="L37" s="2">
        <v>2.1999999999999999E-2</v>
      </c>
      <c r="M37" s="5">
        <v>0.99916358414566697</v>
      </c>
      <c r="N37" s="41">
        <f>VLOOKUP(A37,'Mandato LP'!$A$2:$B$215,2,0)</f>
        <v>9.4596865913319905E-3</v>
      </c>
      <c r="O37" s="58">
        <f t="shared" si="7"/>
        <v>1.2540313408668008E-2</v>
      </c>
      <c r="P37" s="42">
        <f t="shared" si="8"/>
        <v>-9.4596865913319905E-3</v>
      </c>
      <c r="Q37" s="41">
        <f>VLOOKUP(A37,'Mandato LP'!$A$2:$C$215,3,0)</f>
        <v>6.0431548848453804E-3</v>
      </c>
      <c r="R37" s="42">
        <f t="shared" si="9"/>
        <v>1.5956845115154619E-2</v>
      </c>
      <c r="S37" s="15">
        <v>-0.02</v>
      </c>
      <c r="T37" s="15">
        <v>-0.124</v>
      </c>
      <c r="U37" s="15">
        <v>-0.47699999999999998</v>
      </c>
      <c r="V37" s="15">
        <v>0.216</v>
      </c>
      <c r="W37" s="15">
        <v>-0.156</v>
      </c>
      <c r="X37" s="15">
        <v>0.42499999999999999</v>
      </c>
      <c r="Y37" s="15">
        <v>0.67</v>
      </c>
      <c r="Z37" s="15">
        <v>0.54</v>
      </c>
      <c r="AA37" s="15">
        <v>0.67600000000000005</v>
      </c>
      <c r="AB37" s="15">
        <v>0.67500000000000004</v>
      </c>
      <c r="AC37" s="15">
        <v>0.872</v>
      </c>
      <c r="AD37" s="15">
        <v>0.84499999999999997</v>
      </c>
      <c r="AE37" s="15">
        <v>0.86399999999999999</v>
      </c>
      <c r="AF37" s="14">
        <v>0.14699999999999999</v>
      </c>
      <c r="AG37" s="15">
        <v>-0.222</v>
      </c>
      <c r="AH37" s="15">
        <v>0.09</v>
      </c>
      <c r="AI37" s="15">
        <v>-0.96399999999999997</v>
      </c>
      <c r="AJ37" s="15">
        <v>-0.75800000000000001</v>
      </c>
      <c r="AK37" s="16">
        <v>-0.81599999999999995</v>
      </c>
      <c r="AL37" s="4">
        <v>-0.17399999999999999</v>
      </c>
      <c r="AM37" s="4">
        <v>0.21099999999999999</v>
      </c>
      <c r="AN37" s="4">
        <v>-0.67900000000000005</v>
      </c>
      <c r="AO37" s="4">
        <v>-0.20799999999999999</v>
      </c>
      <c r="AP37" s="4">
        <v>0.498</v>
      </c>
      <c r="AQ37" s="4">
        <v>-5.6000000000000001E-2</v>
      </c>
      <c r="AR37" s="4">
        <v>8.9999999999999993E-3</v>
      </c>
      <c r="AS37" s="4">
        <v>0.30599999999999999</v>
      </c>
      <c r="AT37" s="4">
        <v>0.41299999999999998</v>
      </c>
      <c r="AU37" s="4">
        <v>-1E-3</v>
      </c>
      <c r="AV37" s="4">
        <v>-2E-3</v>
      </c>
      <c r="AW37" s="4">
        <v>0.40300000000000002</v>
      </c>
      <c r="AX37" s="4">
        <v>0.499</v>
      </c>
      <c r="AY37" s="4">
        <v>-0.40100000000000002</v>
      </c>
      <c r="AZ37" s="4">
        <v>0.91</v>
      </c>
      <c r="BA37" s="4">
        <v>0.66800000000000004</v>
      </c>
      <c r="BB37" s="4">
        <v>0.96699999999999997</v>
      </c>
      <c r="BC37" s="4">
        <v>-0.20699999999999999</v>
      </c>
      <c r="BD37" s="4">
        <v>1.4E-2</v>
      </c>
      <c r="BE37" s="4">
        <v>0.55700000000000005</v>
      </c>
      <c r="BF37" s="4">
        <v>-0.215</v>
      </c>
      <c r="BG37" s="4">
        <v>-0.33900000000000002</v>
      </c>
      <c r="BH37" s="4">
        <v>0.84099999999999997</v>
      </c>
      <c r="BI37" s="4">
        <v>-0.65600000000000003</v>
      </c>
      <c r="BJ37" s="4">
        <v>-0.14599999999999999</v>
      </c>
      <c r="BK37" s="4">
        <v>0.90300000000000002</v>
      </c>
      <c r="BL37" s="4">
        <v>-0.70899999999999996</v>
      </c>
      <c r="BM37" s="4"/>
      <c r="BN37" s="4"/>
    </row>
    <row r="38" spans="1:66" x14ac:dyDescent="0.3">
      <c r="A38" t="s">
        <v>97</v>
      </c>
      <c r="B38" s="53">
        <v>1.6E-2</v>
      </c>
      <c r="C38" s="53">
        <f t="shared" si="4"/>
        <v>1.2999999999999999E-2</v>
      </c>
      <c r="D38" s="53">
        <f t="shared" si="5"/>
        <v>0</v>
      </c>
      <c r="E38" s="53">
        <f t="shared" si="6"/>
        <v>3.0000000000000009E-3</v>
      </c>
      <c r="F38" s="15">
        <v>2.2639999999999998</v>
      </c>
      <c r="G38">
        <v>3.1720000000000002</v>
      </c>
      <c r="H38" t="s">
        <v>57</v>
      </c>
      <c r="I38" t="str">
        <f>VLOOKUP(A38,Setores!$A$2:$C$215,2,0)</f>
        <v>banks</v>
      </c>
      <c r="J38" t="str">
        <f>VLOOKUP(A38,Setores!$A$2:$C$215,3,0)</f>
        <v>low_beta</v>
      </c>
      <c r="K38" s="17">
        <v>1.6E-2</v>
      </c>
      <c r="L38" s="2">
        <v>1.2999999999999999E-2</v>
      </c>
      <c r="M38" s="5">
        <v>1.9466666100000001</v>
      </c>
      <c r="N38" s="41">
        <f>VLOOKUP(A38,'Mandato LP'!$A$2:$B$215,2,0)</f>
        <v>1.11469109691242E-2</v>
      </c>
      <c r="O38" s="58">
        <f t="shared" si="7"/>
        <v>4.8530890308757998E-3</v>
      </c>
      <c r="P38" s="42">
        <f t="shared" si="8"/>
        <v>4.8530890308757998E-3</v>
      </c>
      <c r="Q38" s="41">
        <f>VLOOKUP(A38,'Mandato LP'!$A$2:$C$215,3,0)</f>
        <v>6.2380569290023504E-3</v>
      </c>
      <c r="R38" s="42">
        <f t="shared" si="9"/>
        <v>9.7619430709976508E-3</v>
      </c>
      <c r="S38" s="15">
        <v>-0.02</v>
      </c>
      <c r="T38" s="15">
        <v>0.153</v>
      </c>
      <c r="U38" s="15">
        <v>-0.27700000000000002</v>
      </c>
      <c r="V38" s="15">
        <v>-1.7000000000000001E-2</v>
      </c>
      <c r="W38" s="15">
        <v>-4.9000000000000002E-2</v>
      </c>
      <c r="X38" s="15">
        <v>0.30599999999999999</v>
      </c>
      <c r="Y38" s="15">
        <v>0.439</v>
      </c>
      <c r="Z38" s="15">
        <v>0.38400000000000001</v>
      </c>
      <c r="AA38" s="15">
        <v>0.75700000000000001</v>
      </c>
      <c r="AB38" s="15">
        <v>0.753</v>
      </c>
      <c r="AC38" s="15">
        <v>0.84799999999999998</v>
      </c>
      <c r="AD38" s="15">
        <v>0.874</v>
      </c>
      <c r="AE38" s="15">
        <v>0.90300000000000002</v>
      </c>
      <c r="AF38" s="14">
        <v>-0.61099999999999999</v>
      </c>
      <c r="AG38" s="15">
        <v>0.41199999999999998</v>
      </c>
      <c r="AH38" s="15">
        <v>0.61799999999999999</v>
      </c>
      <c r="AI38" s="15">
        <v>-0.28499999999999998</v>
      </c>
      <c r="AJ38" s="15">
        <v>5.2999999999999999E-2</v>
      </c>
      <c r="AK38" s="16">
        <v>-0.77900000000000003</v>
      </c>
      <c r="AL38" s="4">
        <v>-0.11899999999999999</v>
      </c>
      <c r="AM38" s="4">
        <v>0.26100000000000001</v>
      </c>
      <c r="AN38" s="4">
        <v>-9.1999999999999998E-2</v>
      </c>
      <c r="AO38" s="4">
        <v>0.16900000000000001</v>
      </c>
      <c r="AP38" s="4">
        <v>0.27700000000000002</v>
      </c>
      <c r="AQ38" s="4">
        <v>-0.112</v>
      </c>
      <c r="AR38" s="4">
        <v>4.2999999999999997E-2</v>
      </c>
      <c r="AS38" s="4">
        <v>0.20799999999999999</v>
      </c>
      <c r="AT38" s="4">
        <v>-0.34</v>
      </c>
      <c r="AU38" s="4">
        <v>-0.13500000000000001</v>
      </c>
      <c r="AV38" s="4">
        <v>-0.27700000000000002</v>
      </c>
      <c r="AW38" s="4">
        <v>-0.55100000000000005</v>
      </c>
      <c r="AX38" s="4">
        <v>0.64800000000000002</v>
      </c>
      <c r="AY38" s="4">
        <v>9.7000000000000003E-2</v>
      </c>
      <c r="AZ38" s="4">
        <v>0.80700000000000005</v>
      </c>
      <c r="BA38" s="4">
        <v>0.58399999999999996</v>
      </c>
      <c r="BB38" s="4">
        <v>0.52</v>
      </c>
      <c r="BC38" s="4">
        <v>-0.33700000000000002</v>
      </c>
      <c r="BD38" s="4">
        <v>-0.107</v>
      </c>
      <c r="BE38" s="4">
        <v>0.47199999999999998</v>
      </c>
      <c r="BF38" s="4">
        <v>-0.17599999999999999</v>
      </c>
      <c r="BG38" s="4">
        <v>0.84799999999999998</v>
      </c>
      <c r="BH38" s="4">
        <v>0.92100000000000004</v>
      </c>
      <c r="BI38" s="4">
        <v>-0.59399999999999997</v>
      </c>
      <c r="BJ38" s="4">
        <v>-0.251</v>
      </c>
      <c r="BK38" s="4">
        <v>0.41899999999999998</v>
      </c>
      <c r="BL38" s="4">
        <v>0.433</v>
      </c>
      <c r="BM38" s="4"/>
      <c r="BN38" s="4"/>
    </row>
    <row r="39" spans="1:66" x14ac:dyDescent="0.3">
      <c r="A39" t="s">
        <v>65</v>
      </c>
      <c r="B39" s="53">
        <v>1.2999999999999999E-2</v>
      </c>
      <c r="C39" s="53">
        <f t="shared" si="4"/>
        <v>1.2999999999999999E-2</v>
      </c>
      <c r="D39" s="53">
        <f t="shared" si="5"/>
        <v>0</v>
      </c>
      <c r="E39" s="53">
        <f t="shared" si="6"/>
        <v>0</v>
      </c>
      <c r="F39" s="15">
        <v>2.2480000000000002</v>
      </c>
      <c r="G39">
        <v>2.4289999999999998</v>
      </c>
      <c r="H39" t="s">
        <v>57</v>
      </c>
      <c r="I39" t="str">
        <f>VLOOKUP(A39,Setores!$A$2:$C$215,2,0)</f>
        <v>homebuilders</v>
      </c>
      <c r="J39" t="str">
        <f>VLOOKUP(A39,Setores!$A$2:$C$215,3,0)</f>
        <v>low_beta</v>
      </c>
      <c r="K39" s="17">
        <v>1.2999999999999999E-2</v>
      </c>
      <c r="L39" s="2">
        <v>1.2999999999999999E-2</v>
      </c>
      <c r="M39" s="5">
        <v>0.51591118760999999</v>
      </c>
      <c r="N39" s="41">
        <f>VLOOKUP(A39,'Mandato LP'!$A$2:$B$215,2,0)</f>
        <v>9.0888420386025705E-3</v>
      </c>
      <c r="O39" s="58">
        <f t="shared" si="7"/>
        <v>3.9111579613974289E-3</v>
      </c>
      <c r="P39" s="42">
        <f t="shared" si="8"/>
        <v>3.9111579613974289E-3</v>
      </c>
      <c r="Q39" s="41">
        <f>VLOOKUP(A39,'Mandato LP'!$A$2:$C$215,3,0)</f>
        <v>6.8906303651552004E-3</v>
      </c>
      <c r="R39" s="42">
        <f t="shared" si="9"/>
        <v>6.109369634844799E-3</v>
      </c>
      <c r="S39" s="15">
        <v>5.8999999999999997E-2</v>
      </c>
      <c r="T39" s="15">
        <v>-7.4999999999999997E-2</v>
      </c>
      <c r="U39" s="15">
        <v>0.40300000000000002</v>
      </c>
      <c r="V39" s="15">
        <v>2.9000000000000001E-2</v>
      </c>
      <c r="W39" s="15">
        <v>0.16800000000000001</v>
      </c>
      <c r="X39" s="15">
        <v>0.28799999999999998</v>
      </c>
      <c r="Y39" s="15">
        <v>0.45600000000000002</v>
      </c>
      <c r="Z39" s="15">
        <v>0.35</v>
      </c>
      <c r="AA39" s="15">
        <v>0.56799999999999995</v>
      </c>
      <c r="AB39" s="15">
        <v>0.56599999999999995</v>
      </c>
      <c r="AC39" s="15">
        <v>0.85399999999999998</v>
      </c>
      <c r="AD39" s="15">
        <v>0.90800000000000003</v>
      </c>
      <c r="AE39" s="15">
        <v>0.77100000000000002</v>
      </c>
      <c r="AF39" s="14">
        <v>0.13700000000000001</v>
      </c>
      <c r="AG39" s="15">
        <v>0.11700000000000001</v>
      </c>
      <c r="AH39" s="15">
        <v>-0.40699999999999997</v>
      </c>
      <c r="AI39" s="15">
        <v>0.85299999999999998</v>
      </c>
      <c r="AJ39" s="15">
        <v>6.8000000000000005E-2</v>
      </c>
      <c r="AK39" s="16">
        <v>-2.1999999999999999E-2</v>
      </c>
      <c r="AL39" s="4">
        <v>-0.36099999999999999</v>
      </c>
      <c r="AM39" s="4">
        <v>0.97799999999999998</v>
      </c>
      <c r="AN39" s="4">
        <v>-3.5999999999999997E-2</v>
      </c>
      <c r="AO39" s="4">
        <v>-0.10299999999999999</v>
      </c>
      <c r="AP39" s="4">
        <v>-0.28199999999999997</v>
      </c>
      <c r="AQ39" s="4">
        <v>-0.55100000000000005</v>
      </c>
      <c r="AR39" s="4">
        <v>6.0000000000000001E-3</v>
      </c>
      <c r="AS39" s="4">
        <v>0.55400000000000005</v>
      </c>
      <c r="AT39" s="4">
        <v>0.47599999999999998</v>
      </c>
      <c r="AU39" s="4">
        <v>-0.105</v>
      </c>
      <c r="AV39" s="4">
        <v>-0.44600000000000001</v>
      </c>
      <c r="AW39" s="4">
        <v>-0.04</v>
      </c>
      <c r="AX39" s="4">
        <v>0.59099999999999997</v>
      </c>
      <c r="AY39" s="4">
        <v>-0.29299999999999998</v>
      </c>
      <c r="AZ39" s="4">
        <v>0.53400000000000003</v>
      </c>
      <c r="BA39" s="4">
        <v>0.36599999999999999</v>
      </c>
      <c r="BB39" s="4">
        <v>-3.4000000000000002E-2</v>
      </c>
      <c r="BC39" s="4">
        <v>-0.38300000000000001</v>
      </c>
      <c r="BD39" s="4">
        <v>-0.69199999999999995</v>
      </c>
      <c r="BE39" s="4">
        <v>-0.154</v>
      </c>
      <c r="BF39" s="4">
        <v>-0.43</v>
      </c>
      <c r="BG39" s="4">
        <v>-0.33600000000000002</v>
      </c>
      <c r="BH39" s="4">
        <v>0.78800000000000003</v>
      </c>
      <c r="BI39" s="4">
        <v>-0.27800000000000002</v>
      </c>
      <c r="BJ39" s="4">
        <v>0.104</v>
      </c>
      <c r="BK39" s="4">
        <v>0.73699999999999999</v>
      </c>
      <c r="BL39" s="4">
        <v>0.69299999999999995</v>
      </c>
      <c r="BM39" s="4"/>
      <c r="BN39" s="4"/>
    </row>
    <row r="40" spans="1:66" x14ac:dyDescent="0.3">
      <c r="A40" t="s">
        <v>92</v>
      </c>
      <c r="B40" s="53">
        <v>1.2E-2</v>
      </c>
      <c r="C40" s="53">
        <f t="shared" si="4"/>
        <v>1.2E-2</v>
      </c>
      <c r="D40" s="53">
        <f t="shared" si="5"/>
        <v>0</v>
      </c>
      <c r="E40" s="53">
        <f t="shared" si="6"/>
        <v>0</v>
      </c>
      <c r="F40" s="15">
        <v>2.2050000000000001</v>
      </c>
      <c r="G40">
        <v>2.1379999999999999</v>
      </c>
      <c r="H40" t="s">
        <v>57</v>
      </c>
      <c r="I40" t="str">
        <f>VLOOKUP(A40,Setores!$A$2:$C$215,2,0)</f>
        <v>tech</v>
      </c>
      <c r="J40" t="str">
        <f>VLOOKUP(A40,Setores!$A$2:$C$215,3,0)</f>
        <v>neutral_beta</v>
      </c>
      <c r="K40" s="17">
        <v>1.2E-2</v>
      </c>
      <c r="L40" s="2">
        <v>1.2E-2</v>
      </c>
      <c r="M40" s="5">
        <v>1.33153724698</v>
      </c>
      <c r="N40" s="41">
        <f>VLOOKUP(A40,'Mandato LP'!$A$2:$B$215,2,0)</f>
        <v>8.9164144453460197E-3</v>
      </c>
      <c r="O40" s="58">
        <f t="shared" si="7"/>
        <v>3.0835855546539805E-3</v>
      </c>
      <c r="P40" s="42">
        <f t="shared" si="8"/>
        <v>3.0835855546539805E-3</v>
      </c>
      <c r="Q40" s="41">
        <f>VLOOKUP(A40,'Mandato LP'!$A$2:$C$215,3,0)</f>
        <v>9.6661735689102506E-3</v>
      </c>
      <c r="R40" s="42">
        <f t="shared" si="9"/>
        <v>2.3338264310897496E-3</v>
      </c>
      <c r="S40" s="15">
        <v>0.41599999999999998</v>
      </c>
      <c r="T40" s="15">
        <v>0.14599999999999999</v>
      </c>
      <c r="U40" s="15">
        <v>0.371</v>
      </c>
      <c r="V40" s="15">
        <v>0.23599999999999999</v>
      </c>
      <c r="W40" s="15">
        <v>0.13500000000000001</v>
      </c>
      <c r="X40" s="15">
        <v>0.38100000000000001</v>
      </c>
      <c r="Y40" s="15">
        <v>0.26</v>
      </c>
      <c r="Z40" s="15">
        <v>0.126</v>
      </c>
      <c r="AA40" s="15">
        <v>0.14399999999999999</v>
      </c>
      <c r="AB40" s="15">
        <v>0.14099999999999999</v>
      </c>
      <c r="AC40" s="15">
        <v>0.77700000000000002</v>
      </c>
      <c r="AD40" s="15">
        <v>0.93799999999999994</v>
      </c>
      <c r="AE40" s="15">
        <v>0.84399999999999997</v>
      </c>
      <c r="AF40" s="14">
        <v>0.222</v>
      </c>
      <c r="AG40" s="15">
        <v>-0.113</v>
      </c>
      <c r="AH40" s="15">
        <v>-0.27400000000000002</v>
      </c>
      <c r="AI40" s="15">
        <v>-0.377</v>
      </c>
      <c r="AJ40" s="15">
        <v>0.998</v>
      </c>
      <c r="AK40" s="16">
        <v>1</v>
      </c>
      <c r="AL40" s="4">
        <v>-0.34200000000000003</v>
      </c>
      <c r="AM40" s="4">
        <v>-0.16300000000000001</v>
      </c>
      <c r="AN40" s="4">
        <v>-0.86599999999999999</v>
      </c>
      <c r="AO40" s="4">
        <v>-7.4999999999999997E-2</v>
      </c>
      <c r="AP40" s="4">
        <v>0.182</v>
      </c>
      <c r="AQ40" s="4">
        <v>0.68300000000000005</v>
      </c>
      <c r="AR40" s="4">
        <v>0.432</v>
      </c>
      <c r="AS40" s="4">
        <v>0.36699999999999999</v>
      </c>
      <c r="AT40" s="4">
        <v>0.39100000000000001</v>
      </c>
      <c r="AU40" s="4">
        <v>0.38100000000000001</v>
      </c>
      <c r="AV40" s="4">
        <v>-0.434</v>
      </c>
      <c r="AW40" s="4">
        <v>0.66300000000000003</v>
      </c>
      <c r="AX40" s="4">
        <v>0.22</v>
      </c>
      <c r="AY40" s="4">
        <v>0.51700000000000002</v>
      </c>
      <c r="AZ40" s="4">
        <v>0.92800000000000005</v>
      </c>
      <c r="BA40" s="4">
        <v>0.55100000000000005</v>
      </c>
      <c r="BB40" s="4">
        <v>0.90200000000000002</v>
      </c>
      <c r="BC40" s="4">
        <v>-3.2000000000000001E-2</v>
      </c>
      <c r="BD40" s="4">
        <v>-5.1999999999999998E-2</v>
      </c>
      <c r="BE40" s="4">
        <v>-0.78200000000000003</v>
      </c>
      <c r="BF40" s="4">
        <v>-0.45</v>
      </c>
      <c r="BG40" s="4">
        <v>0.56799999999999995</v>
      </c>
      <c r="BH40" s="4">
        <v>0.69</v>
      </c>
      <c r="BI40" s="4">
        <v>-0.58299999999999996</v>
      </c>
      <c r="BJ40" s="4">
        <v>-9.8000000000000004E-2</v>
      </c>
      <c r="BK40" s="4">
        <v>0.30399999999999999</v>
      </c>
      <c r="BL40" s="4">
        <v>0.20799999999999999</v>
      </c>
      <c r="BM40" s="4"/>
      <c r="BN40" s="4"/>
    </row>
    <row r="41" spans="1:66" x14ac:dyDescent="0.3">
      <c r="A41" t="s">
        <v>79</v>
      </c>
      <c r="B41" s="53">
        <v>1.2999999999999999E-2</v>
      </c>
      <c r="C41" s="53">
        <f t="shared" si="4"/>
        <v>1.0999999999999999E-2</v>
      </c>
      <c r="D41" s="53">
        <f t="shared" si="5"/>
        <v>0</v>
      </c>
      <c r="E41" s="53">
        <f t="shared" si="6"/>
        <v>2E-3</v>
      </c>
      <c r="F41" s="15">
        <v>2.1789999999999998</v>
      </c>
      <c r="G41">
        <v>2.75</v>
      </c>
      <c r="H41" t="s">
        <v>68</v>
      </c>
      <c r="I41" t="str">
        <f>VLOOKUP(A41,Setores!$A$2:$C$215,2,0)</f>
        <v>capital_goods</v>
      </c>
      <c r="J41" t="str">
        <f>VLOOKUP(A41,Setores!$A$2:$C$215,3,0)</f>
        <v>very_low_beta</v>
      </c>
      <c r="K41" s="17">
        <v>1.2999999999999999E-2</v>
      </c>
      <c r="L41" s="2">
        <v>1.0999999999999999E-2</v>
      </c>
      <c r="M41" s="5">
        <v>4.4932193805666696</v>
      </c>
      <c r="N41" s="41">
        <f>VLOOKUP(A41,'Mandato LP'!$A$2:$B$215,2,0)</f>
        <v>1.0680713516989499E-2</v>
      </c>
      <c r="O41" s="58">
        <f t="shared" si="7"/>
        <v>2.3192864830104999E-3</v>
      </c>
      <c r="P41" s="42">
        <f t="shared" si="8"/>
        <v>2.3192864830104999E-3</v>
      </c>
      <c r="Q41" s="41">
        <f>VLOOKUP(A41,'Mandato LP'!$A$2:$C$215,3,0)</f>
        <v>1.2576591298562E-2</v>
      </c>
      <c r="R41" s="42">
        <f t="shared" si="9"/>
        <v>4.2340870143799982E-4</v>
      </c>
      <c r="S41" s="15">
        <v>0.03</v>
      </c>
      <c r="T41" s="15">
        <v>-0.222</v>
      </c>
      <c r="U41" s="15">
        <v>-3.6999999999999998E-2</v>
      </c>
      <c r="V41" s="15">
        <v>0.252</v>
      </c>
      <c r="W41" s="15">
        <v>-2.3E-2</v>
      </c>
      <c r="X41" s="15">
        <v>0.34</v>
      </c>
      <c r="Y41" s="15">
        <v>0.51</v>
      </c>
      <c r="Z41" s="15">
        <v>0.33300000000000002</v>
      </c>
      <c r="AA41" s="15">
        <v>0.71499999999999997</v>
      </c>
      <c r="AB41" s="15">
        <v>0.71399999999999997</v>
      </c>
      <c r="AC41" s="15">
        <v>0.83599999999999997</v>
      </c>
      <c r="AD41" s="15">
        <v>0.76500000000000001</v>
      </c>
      <c r="AE41" s="15">
        <v>0.73599999999999999</v>
      </c>
      <c r="AF41" s="14">
        <v>0.22800000000000001</v>
      </c>
      <c r="AG41" s="15">
        <v>-0.32900000000000001</v>
      </c>
      <c r="AH41" s="15">
        <v>-0.27500000000000002</v>
      </c>
      <c r="AI41" s="15">
        <v>-0.49</v>
      </c>
      <c r="AJ41" s="15">
        <v>6.3E-2</v>
      </c>
      <c r="AK41" s="16">
        <v>0.27300000000000002</v>
      </c>
      <c r="AL41" s="4">
        <v>-0.14599999999999999</v>
      </c>
      <c r="AM41" s="4">
        <v>0.28000000000000003</v>
      </c>
      <c r="AN41" s="4">
        <v>-0.88600000000000001</v>
      </c>
      <c r="AO41" s="4">
        <v>1.9E-2</v>
      </c>
      <c r="AP41" s="4">
        <v>8.7999999999999995E-2</v>
      </c>
      <c r="AQ41" s="4">
        <v>0.33100000000000002</v>
      </c>
      <c r="AR41" s="4">
        <v>0.23699999999999999</v>
      </c>
      <c r="AS41" s="4">
        <v>0.377</v>
      </c>
      <c r="AT41" s="4">
        <v>-7.6999999999999999E-2</v>
      </c>
      <c r="AU41" s="4">
        <v>0.995</v>
      </c>
      <c r="AV41" s="4">
        <v>-0.30599999999999999</v>
      </c>
      <c r="AW41" s="4">
        <v>0.54200000000000004</v>
      </c>
      <c r="AX41" s="4">
        <v>0.65400000000000003</v>
      </c>
      <c r="AY41" s="4">
        <v>-4.8000000000000001E-2</v>
      </c>
      <c r="AZ41" s="4">
        <v>0.71</v>
      </c>
      <c r="BA41" s="4">
        <v>0.69599999999999995</v>
      </c>
      <c r="BB41" s="4">
        <v>-0.58399999999999996</v>
      </c>
      <c r="BC41" s="4">
        <v>-0.23799999999999999</v>
      </c>
      <c r="BD41" s="4">
        <v>-0.55800000000000005</v>
      </c>
      <c r="BE41" s="4">
        <v>7.5999999999999998E-2</v>
      </c>
      <c r="BF41" s="4">
        <v>-0.56899999999999995</v>
      </c>
      <c r="BG41" s="4">
        <v>8.5999999999999993E-2</v>
      </c>
      <c r="BH41" s="4">
        <v>0.66400000000000003</v>
      </c>
      <c r="BI41" s="4">
        <v>-0.47199999999999998</v>
      </c>
      <c r="BJ41" s="4">
        <v>-0.04</v>
      </c>
      <c r="BK41" s="4">
        <v>0.47199999999999998</v>
      </c>
      <c r="BL41" s="4">
        <v>3.4000000000000002E-2</v>
      </c>
      <c r="BM41" s="4"/>
      <c r="BN41" s="4"/>
    </row>
    <row r="42" spans="1:66" x14ac:dyDescent="0.3">
      <c r="A42" t="s">
        <v>600</v>
      </c>
      <c r="B42" s="53">
        <v>0.01</v>
      </c>
      <c r="C42" s="53">
        <f t="shared" si="4"/>
        <v>0.01</v>
      </c>
      <c r="D42" s="53">
        <f t="shared" si="5"/>
        <v>0</v>
      </c>
      <c r="E42" s="53">
        <f t="shared" si="6"/>
        <v>0</v>
      </c>
      <c r="F42" s="15">
        <v>2.1739999999999999</v>
      </c>
      <c r="G42">
        <v>2.3130000000000002</v>
      </c>
      <c r="H42" t="s">
        <v>68</v>
      </c>
      <c r="I42" t="str">
        <f>VLOOKUP(A42,Setores!$A$2:$C$215,2,0)</f>
        <v>building_materials</v>
      </c>
      <c r="J42" t="str">
        <f>VLOOKUP(A42,Setores!$A$2:$C$215,3,0)</f>
        <v>very_low_beta</v>
      </c>
      <c r="K42" s="17">
        <v>0.01</v>
      </c>
      <c r="L42" s="2">
        <v>0.01</v>
      </c>
      <c r="M42" s="5">
        <v>0.92899547966666696</v>
      </c>
      <c r="N42" s="41">
        <f>VLOOKUP(A42,'Mandato LP'!$A$2:$B$215,2,0)</f>
        <v>8.7893719883964903E-3</v>
      </c>
      <c r="O42" s="58">
        <f t="shared" si="7"/>
        <v>1.2106280116035099E-3</v>
      </c>
      <c r="P42" s="42">
        <f t="shared" si="8"/>
        <v>1.2106280116035099E-3</v>
      </c>
      <c r="Q42" s="41">
        <f>VLOOKUP(A42,'Mandato LP'!$A$2:$C$215,3,0)</f>
        <v>7.6043160321382598E-3</v>
      </c>
      <c r="R42" s="42">
        <f t="shared" si="9"/>
        <v>2.3956839678617404E-3</v>
      </c>
      <c r="S42" s="15">
        <v>0.28499999999999998</v>
      </c>
      <c r="T42" s="15">
        <v>9.8000000000000004E-2</v>
      </c>
      <c r="U42" s="15">
        <v>0.184</v>
      </c>
      <c r="V42" s="15">
        <v>0.26900000000000002</v>
      </c>
      <c r="W42" s="15">
        <v>0.104</v>
      </c>
      <c r="X42" s="15">
        <v>7.3999999999999996E-2</v>
      </c>
      <c r="Y42" s="15">
        <v>-1.4E-2</v>
      </c>
      <c r="Z42" s="15">
        <v>2.3E-2</v>
      </c>
      <c r="AA42" s="15">
        <v>0.77200000000000002</v>
      </c>
      <c r="AB42" s="15">
        <v>0.76800000000000002</v>
      </c>
      <c r="AC42" s="15">
        <v>1</v>
      </c>
      <c r="AD42" s="15">
        <v>0.91200000000000003</v>
      </c>
      <c r="AE42" s="15">
        <v>0.89700000000000002</v>
      </c>
      <c r="AF42" s="14">
        <v>7.0000000000000007E-2</v>
      </c>
      <c r="AG42" s="15">
        <v>-5.1999999999999998E-2</v>
      </c>
      <c r="AH42" s="15">
        <v>-0.122</v>
      </c>
      <c r="AI42" s="15">
        <v>-0.22800000000000001</v>
      </c>
      <c r="AJ42" s="15">
        <v>-2.5999999999999999E-2</v>
      </c>
      <c r="AK42" s="16">
        <v>0.157</v>
      </c>
      <c r="AL42" s="4">
        <v>0.14399999999999999</v>
      </c>
      <c r="AM42" s="4">
        <v>-0.28000000000000003</v>
      </c>
      <c r="AN42" s="4">
        <v>-0.20100000000000001</v>
      </c>
      <c r="AO42" s="4">
        <v>-0.51100000000000001</v>
      </c>
      <c r="AP42" s="4">
        <v>0.13900000000000001</v>
      </c>
      <c r="AQ42" s="4">
        <v>3.5000000000000003E-2</v>
      </c>
      <c r="AR42" s="4">
        <v>0.33400000000000002</v>
      </c>
      <c r="AS42" s="4">
        <v>0.63600000000000001</v>
      </c>
      <c r="AT42" s="4">
        <v>0.34200000000000003</v>
      </c>
      <c r="AU42" s="4">
        <v>0.36099999999999999</v>
      </c>
      <c r="AV42" s="4">
        <v>-0.13300000000000001</v>
      </c>
      <c r="AW42" s="4">
        <v>0.34599999999999997</v>
      </c>
      <c r="AX42" s="4">
        <v>0.61</v>
      </c>
      <c r="AY42" s="4">
        <v>0.124</v>
      </c>
      <c r="AZ42" s="4">
        <v>0.76200000000000001</v>
      </c>
      <c r="BA42" s="4">
        <v>0.51100000000000001</v>
      </c>
      <c r="BB42" s="4">
        <v>0.66300000000000003</v>
      </c>
      <c r="BC42" s="4">
        <v>-0.26700000000000002</v>
      </c>
      <c r="BD42" s="4">
        <v>-0.32200000000000001</v>
      </c>
      <c r="BE42" s="4">
        <v>0.68200000000000005</v>
      </c>
      <c r="BF42" s="4">
        <v>-1</v>
      </c>
      <c r="BG42" s="4">
        <v>-2.4E-2</v>
      </c>
      <c r="BH42" s="4">
        <v>-6.9000000000000006E-2</v>
      </c>
      <c r="BI42" s="4">
        <v>-0.69299999999999995</v>
      </c>
      <c r="BJ42" s="4">
        <v>-2.5000000000000001E-2</v>
      </c>
      <c r="BK42" s="4">
        <v>0.97899999999999998</v>
      </c>
      <c r="BL42" s="4">
        <v>0.14000000000000001</v>
      </c>
      <c r="BM42" s="4"/>
      <c r="BN42" s="4"/>
    </row>
    <row r="43" spans="1:66" x14ac:dyDescent="0.3">
      <c r="A43" t="s">
        <v>597</v>
      </c>
      <c r="B43" s="53">
        <v>1.2999999999999999E-2</v>
      </c>
      <c r="C43" s="53">
        <f t="shared" si="4"/>
        <v>1.2999999999999999E-2</v>
      </c>
      <c r="D43" s="53">
        <f t="shared" si="5"/>
        <v>0</v>
      </c>
      <c r="E43" s="53">
        <f t="shared" si="6"/>
        <v>0</v>
      </c>
      <c r="F43" s="15">
        <v>2.1589999999999998</v>
      </c>
      <c r="G43">
        <v>2.2749999999999999</v>
      </c>
      <c r="H43" t="s">
        <v>57</v>
      </c>
      <c r="I43" t="str">
        <f>VLOOKUP(A43,Setores!$A$2:$C$215,2,0)</f>
        <v>financial_services</v>
      </c>
      <c r="J43" t="str">
        <f>VLOOKUP(A43,Setores!$A$2:$C$215,3,0)</f>
        <v>very_low_beta</v>
      </c>
      <c r="K43" s="17">
        <v>1.2999999999999999E-2</v>
      </c>
      <c r="L43" s="2">
        <v>1.2999999999999999E-2</v>
      </c>
      <c r="M43" s="5">
        <v>1.457241118</v>
      </c>
      <c r="N43" s="41">
        <f>VLOOKUP(A43,'Mandato LP'!$A$2:$B$215,2,0)</f>
        <v>8.7285207223807594E-3</v>
      </c>
      <c r="O43" s="58">
        <f t="shared" si="7"/>
        <v>4.27147927761924E-3</v>
      </c>
      <c r="P43" s="42">
        <f t="shared" si="8"/>
        <v>4.27147927761924E-3</v>
      </c>
      <c r="Q43" s="41">
        <f>VLOOKUP(A43,'Mandato LP'!$A$2:$C$215,3,0)</f>
        <v>6.5454486381811899E-3</v>
      </c>
      <c r="R43" s="42">
        <f t="shared" si="9"/>
        <v>6.4545513618188095E-3</v>
      </c>
      <c r="S43" s="15">
        <v>0.23</v>
      </c>
      <c r="T43" s="15">
        <v>-0.16900000000000001</v>
      </c>
      <c r="U43" s="15">
        <v>0.54100000000000004</v>
      </c>
      <c r="V43" s="15">
        <v>0.184</v>
      </c>
      <c r="W43" s="15">
        <v>0.20599999999999999</v>
      </c>
      <c r="X43" s="15">
        <v>0.29799999999999999</v>
      </c>
      <c r="Y43" s="15">
        <v>0.46700000000000003</v>
      </c>
      <c r="Z43" s="15">
        <v>0.17</v>
      </c>
      <c r="AA43" s="15">
        <v>0.41</v>
      </c>
      <c r="AB43" s="15">
        <v>0.41099999999999998</v>
      </c>
      <c r="AC43" s="15">
        <v>0.78500000000000003</v>
      </c>
      <c r="AD43" s="15">
        <v>0.70899999999999996</v>
      </c>
      <c r="AE43" s="15">
        <v>0.752</v>
      </c>
      <c r="AF43" s="14">
        <v>0.52700000000000002</v>
      </c>
      <c r="AG43" s="15">
        <v>-0.121</v>
      </c>
      <c r="AH43" s="15">
        <v>-0.72199999999999998</v>
      </c>
      <c r="AI43" s="15">
        <v>0.47599999999999998</v>
      </c>
      <c r="AJ43" s="15">
        <v>2.8000000000000001E-2</v>
      </c>
      <c r="AK43" s="16">
        <v>1</v>
      </c>
      <c r="AL43" s="4">
        <v>-7.1999999999999995E-2</v>
      </c>
      <c r="AM43" s="4">
        <v>0.32500000000000001</v>
      </c>
      <c r="AN43" s="4">
        <v>-0.60399999999999998</v>
      </c>
      <c r="AO43" s="4">
        <v>0.36399999999999999</v>
      </c>
      <c r="AP43" s="4">
        <v>-0.13100000000000001</v>
      </c>
      <c r="AQ43" s="4">
        <v>-0.33700000000000002</v>
      </c>
      <c r="AR43" s="4">
        <v>6.0000000000000001E-3</v>
      </c>
      <c r="AS43" s="4">
        <v>9.6000000000000002E-2</v>
      </c>
      <c r="AT43" s="4">
        <v>-0.35</v>
      </c>
      <c r="AU43" s="4">
        <v>0.57199999999999995</v>
      </c>
      <c r="AV43" s="4">
        <v>2.3E-2</v>
      </c>
      <c r="AW43" s="4">
        <v>0.43</v>
      </c>
      <c r="AX43" s="4">
        <v>0.64600000000000002</v>
      </c>
      <c r="AY43" s="4">
        <v>-7.8E-2</v>
      </c>
      <c r="AZ43" s="4">
        <v>0.88900000000000001</v>
      </c>
      <c r="BA43" s="4">
        <v>0.36699999999999999</v>
      </c>
      <c r="BB43" s="4">
        <v>0.90700000000000003</v>
      </c>
      <c r="BC43" s="4">
        <v>-0.3</v>
      </c>
      <c r="BD43" s="4">
        <v>-0.32</v>
      </c>
      <c r="BE43" s="4">
        <v>-9.6000000000000002E-2</v>
      </c>
      <c r="BF43" s="4">
        <v>-0.63200000000000001</v>
      </c>
      <c r="BG43" s="4">
        <v>4.3999999999999997E-2</v>
      </c>
      <c r="BH43" s="4">
        <v>0.376</v>
      </c>
      <c r="BI43" s="4">
        <v>-0.39400000000000002</v>
      </c>
      <c r="BJ43" s="4">
        <v>-0.68</v>
      </c>
      <c r="BK43" s="4">
        <v>0.874</v>
      </c>
      <c r="BL43" s="4">
        <v>0.90300000000000002</v>
      </c>
      <c r="BM43" s="4"/>
      <c r="BN43" s="4"/>
    </row>
    <row r="44" spans="1:66" x14ac:dyDescent="0.3">
      <c r="A44" t="s">
        <v>116</v>
      </c>
      <c r="B44" s="53">
        <v>8.9999999999999993E-3</v>
      </c>
      <c r="C44" s="53">
        <f t="shared" si="4"/>
        <v>8.9999999999999993E-3</v>
      </c>
      <c r="D44" s="53">
        <f t="shared" si="5"/>
        <v>0</v>
      </c>
      <c r="E44" s="53">
        <f t="shared" si="6"/>
        <v>0</v>
      </c>
      <c r="F44" s="15">
        <v>2.105</v>
      </c>
      <c r="G44">
        <v>2.1890000000000001</v>
      </c>
      <c r="H44" t="s">
        <v>53</v>
      </c>
      <c r="I44" t="str">
        <f>VLOOKUP(A44,Setores!$A$2:$C$215,2,0)</f>
        <v>healthcare</v>
      </c>
      <c r="J44" t="str">
        <f>VLOOKUP(A44,Setores!$A$2:$C$215,3,0)</f>
        <v>high_beta</v>
      </c>
      <c r="K44" s="17">
        <v>8.9999999999999993E-3</v>
      </c>
      <c r="L44" s="2">
        <v>8.9999999999999993E-3</v>
      </c>
      <c r="M44" s="5">
        <v>0.36393998025666702</v>
      </c>
      <c r="N44" s="41">
        <f>VLOOKUP(A44,'Mandato LP'!$A$2:$B$215,2,0)</f>
        <v>8.5122778367901393E-3</v>
      </c>
      <c r="O44" s="58">
        <f t="shared" si="7"/>
        <v>4.8772216320986002E-4</v>
      </c>
      <c r="P44" s="42">
        <f t="shared" si="8"/>
        <v>4.8772216320986002E-4</v>
      </c>
      <c r="Q44" s="41">
        <f>VLOOKUP(A44,'Mandato LP'!$A$2:$C$215,3,0)</f>
        <v>8.5934395143109406E-3</v>
      </c>
      <c r="R44" s="42">
        <f t="shared" si="9"/>
        <v>4.0656048568905867E-4</v>
      </c>
      <c r="S44" s="15">
        <v>0.29699999999999999</v>
      </c>
      <c r="T44" s="15">
        <v>0.32900000000000001</v>
      </c>
      <c r="U44" s="15">
        <v>6.6000000000000003E-2</v>
      </c>
      <c r="V44" s="15">
        <v>0.16700000000000001</v>
      </c>
      <c r="W44" s="15">
        <v>8.5000000000000006E-2</v>
      </c>
      <c r="X44" s="15">
        <v>0.188</v>
      </c>
      <c r="Y44" s="15">
        <v>0.156</v>
      </c>
      <c r="Z44" s="15">
        <v>2.1999999999999999E-2</v>
      </c>
      <c r="AA44" s="15">
        <v>0.41499999999999998</v>
      </c>
      <c r="AB44" s="15">
        <v>0.40899999999999997</v>
      </c>
      <c r="AC44" s="15">
        <v>0.85299999999999998</v>
      </c>
      <c r="AD44" s="15">
        <v>0.91300000000000003</v>
      </c>
      <c r="AE44" s="15">
        <v>0.88200000000000001</v>
      </c>
      <c r="AF44" s="14">
        <v>-0.127</v>
      </c>
      <c r="AG44" s="15">
        <v>-0.36899999999999999</v>
      </c>
      <c r="AH44" s="15">
        <v>0.111</v>
      </c>
      <c r="AI44" s="15">
        <v>-0.34499999999999997</v>
      </c>
      <c r="AJ44" s="15">
        <v>1</v>
      </c>
      <c r="AK44" s="16">
        <v>0.24199999999999999</v>
      </c>
      <c r="AL44" s="4">
        <v>-6.8000000000000005E-2</v>
      </c>
      <c r="AM44" s="4">
        <v>-0.58099999999999996</v>
      </c>
      <c r="AN44" s="4">
        <v>-0.56899999999999995</v>
      </c>
      <c r="AO44" s="4">
        <v>0.23100000000000001</v>
      </c>
      <c r="AP44" s="4">
        <v>0.47199999999999998</v>
      </c>
      <c r="AQ44" s="4">
        <v>-0.38600000000000001</v>
      </c>
      <c r="AR44" s="4">
        <v>0.245</v>
      </c>
      <c r="AS44" s="4">
        <v>0.36699999999999999</v>
      </c>
      <c r="AT44" s="4">
        <v>0.42299999999999999</v>
      </c>
      <c r="AU44" s="4">
        <v>0.436</v>
      </c>
      <c r="AV44" s="4">
        <v>-0.443</v>
      </c>
      <c r="AW44" s="4">
        <v>0.51400000000000001</v>
      </c>
      <c r="AX44" s="4">
        <v>0.33400000000000002</v>
      </c>
      <c r="AY44" s="4">
        <v>-0.16800000000000001</v>
      </c>
      <c r="AZ44" s="4">
        <v>0.997</v>
      </c>
      <c r="BA44" s="4">
        <v>0.65200000000000002</v>
      </c>
      <c r="BB44" s="4">
        <v>0.69699999999999995</v>
      </c>
      <c r="BC44" s="4">
        <v>-0.255</v>
      </c>
      <c r="BD44" s="4">
        <v>-0.24399999999999999</v>
      </c>
      <c r="BE44" s="4">
        <v>0.46300000000000002</v>
      </c>
      <c r="BF44" s="4">
        <v>0.33200000000000002</v>
      </c>
      <c r="BG44" s="4">
        <v>0.45800000000000002</v>
      </c>
      <c r="BH44" s="4">
        <v>0.55800000000000005</v>
      </c>
      <c r="BI44" s="4">
        <v>-0.17199999999999999</v>
      </c>
      <c r="BJ44" s="4">
        <v>4.3999999999999997E-2</v>
      </c>
      <c r="BK44" s="4">
        <v>0.23599999999999999</v>
      </c>
      <c r="BL44" s="4">
        <v>0.44600000000000001</v>
      </c>
      <c r="BM44" s="4"/>
      <c r="BN44" s="4"/>
    </row>
    <row r="45" spans="1:66" x14ac:dyDescent="0.3">
      <c r="A45" t="s">
        <v>64</v>
      </c>
      <c r="B45" s="53">
        <v>0</v>
      </c>
      <c r="C45" s="53">
        <f t="shared" si="4"/>
        <v>0</v>
      </c>
      <c r="D45" s="53">
        <f t="shared" si="5"/>
        <v>-8.0000000000000002E-3</v>
      </c>
      <c r="E45" s="53">
        <f t="shared" si="6"/>
        <v>0</v>
      </c>
      <c r="F45" s="15">
        <v>2.0529999999999999</v>
      </c>
      <c r="G45">
        <v>1.712</v>
      </c>
      <c r="H45" t="s">
        <v>55</v>
      </c>
      <c r="I45" t="str">
        <f>VLOOKUP(A45,Setores!$A$2:$C$215,2,0)</f>
        <v>utilities</v>
      </c>
      <c r="J45" t="str">
        <f>VLOOKUP(A45,Setores!$A$2:$C$215,3,0)</f>
        <v>high_beta</v>
      </c>
      <c r="K45" s="17">
        <v>8.0000000000000002E-3</v>
      </c>
      <c r="L45" s="2">
        <v>8.0000000000000002E-3</v>
      </c>
      <c r="M45" s="5">
        <v>0.31028855466666699</v>
      </c>
      <c r="N45" s="41">
        <f>VLOOKUP(A45,'Mandato LP'!$A$2:$B$215,2,0)</f>
        <v>8.2988155620752901E-3</v>
      </c>
      <c r="O45" s="58">
        <f t="shared" si="7"/>
        <v>-2.9881556207528998E-4</v>
      </c>
      <c r="P45" s="42">
        <f t="shared" si="8"/>
        <v>-8.2988155620752901E-3</v>
      </c>
      <c r="Q45" s="41">
        <f>VLOOKUP(A45,'Mandato LP'!$A$2:$C$215,3,0)</f>
        <v>0</v>
      </c>
      <c r="R45" s="42">
        <f t="shared" si="9"/>
        <v>8.0000000000000002E-3</v>
      </c>
      <c r="S45" s="15">
        <v>-2.4E-2</v>
      </c>
      <c r="T45" s="15">
        <v>-4.5999999999999999E-2</v>
      </c>
      <c r="U45" s="15">
        <v>-0.154</v>
      </c>
      <c r="V45" s="15">
        <v>0.249</v>
      </c>
      <c r="W45" s="15">
        <v>0.06</v>
      </c>
      <c r="X45" s="15">
        <v>0.17</v>
      </c>
      <c r="Y45" s="15">
        <v>0.28699999999999998</v>
      </c>
      <c r="Z45" s="15">
        <v>0.30399999999999999</v>
      </c>
      <c r="AA45" s="15">
        <v>0.505</v>
      </c>
      <c r="AB45" s="15">
        <v>0.50800000000000001</v>
      </c>
      <c r="AC45" s="15">
        <v>0.85599999999999998</v>
      </c>
      <c r="AD45" s="15">
        <v>0.78700000000000003</v>
      </c>
      <c r="AE45" s="15">
        <v>0.78800000000000003</v>
      </c>
      <c r="AF45" s="14">
        <v>0.36299999999999999</v>
      </c>
      <c r="AG45" s="15">
        <v>-0.16</v>
      </c>
      <c r="AH45" s="15">
        <v>0.621</v>
      </c>
      <c r="AI45" s="15">
        <v>-0.56100000000000005</v>
      </c>
      <c r="AJ45" s="15">
        <v>-0.47599999999999998</v>
      </c>
      <c r="AK45" s="16">
        <v>-0.40699999999999997</v>
      </c>
      <c r="AL45" s="4">
        <v>0.40799999999999997</v>
      </c>
      <c r="AM45" s="4">
        <v>-0.32500000000000001</v>
      </c>
      <c r="AN45" s="4">
        <v>-0.34300000000000003</v>
      </c>
      <c r="AO45" s="4">
        <v>-0.32</v>
      </c>
      <c r="AP45" s="4">
        <v>0.28999999999999998</v>
      </c>
      <c r="AQ45" s="4">
        <v>-0.624</v>
      </c>
      <c r="AR45" s="4">
        <v>-1.4E-2</v>
      </c>
      <c r="AS45" s="4">
        <v>-0.52400000000000002</v>
      </c>
      <c r="AT45" s="4">
        <v>-0.79100000000000004</v>
      </c>
      <c r="AU45" s="4">
        <v>0.17199999999999999</v>
      </c>
      <c r="AV45" s="4">
        <v>0.26400000000000001</v>
      </c>
      <c r="AW45" s="4">
        <v>0.44</v>
      </c>
      <c r="AX45" s="4">
        <v>0.60899999999999999</v>
      </c>
      <c r="AY45" s="4">
        <v>-9.5000000000000001E-2</v>
      </c>
      <c r="AZ45" s="4">
        <v>-0.214</v>
      </c>
      <c r="BA45" s="4">
        <v>0.70199999999999996</v>
      </c>
      <c r="BB45" s="4">
        <v>0.76</v>
      </c>
      <c r="BC45" s="4">
        <v>1.7999999999999999E-2</v>
      </c>
      <c r="BD45" s="4">
        <v>0.47699999999999998</v>
      </c>
      <c r="BE45" s="4">
        <v>0.502</v>
      </c>
      <c r="BF45" s="4">
        <v>-0.107</v>
      </c>
      <c r="BG45" s="4">
        <v>0.72</v>
      </c>
      <c r="BH45" s="4">
        <v>9.8000000000000004E-2</v>
      </c>
      <c r="BI45" s="4">
        <v>-0.79100000000000004</v>
      </c>
      <c r="BJ45" s="4">
        <v>0.16400000000000001</v>
      </c>
      <c r="BK45" s="4">
        <v>0.98099999999999998</v>
      </c>
      <c r="BL45" s="4">
        <v>0.109</v>
      </c>
      <c r="BM45" s="4"/>
      <c r="BN45" s="4"/>
    </row>
    <row r="46" spans="1:66" x14ac:dyDescent="0.3">
      <c r="A46" t="s">
        <v>118</v>
      </c>
      <c r="B46" s="53">
        <v>6.0000000000000001E-3</v>
      </c>
      <c r="C46" s="53">
        <f t="shared" si="4"/>
        <v>6.0000000000000001E-3</v>
      </c>
      <c r="D46" s="53">
        <f t="shared" si="5"/>
        <v>0</v>
      </c>
      <c r="E46" s="53">
        <f t="shared" si="6"/>
        <v>0</v>
      </c>
      <c r="F46" s="15">
        <v>2.016</v>
      </c>
      <c r="G46">
        <v>1.5660000000000001</v>
      </c>
      <c r="H46" t="s">
        <v>57</v>
      </c>
      <c r="I46" t="str">
        <f>VLOOKUP(A46,Setores!$A$2:$C$215,2,0)</f>
        <v>homebuilders</v>
      </c>
      <c r="J46" t="str">
        <f>VLOOKUP(A46,Setores!$A$2:$C$215,3,0)</f>
        <v>very_high_beta</v>
      </c>
      <c r="K46" s="17">
        <v>6.0000000000000001E-3</v>
      </c>
      <c r="L46" s="2">
        <v>6.0000000000000001E-3</v>
      </c>
      <c r="M46" s="5">
        <v>2.00116862771333</v>
      </c>
      <c r="N46" s="41">
        <f>VLOOKUP(A46,'Mandato LP'!$A$2:$B$215,2,0)</f>
        <v>8.1504880480818501E-3</v>
      </c>
      <c r="O46" s="58">
        <f t="shared" si="7"/>
        <v>-2.15048804808185E-3</v>
      </c>
      <c r="P46" s="42">
        <f t="shared" si="8"/>
        <v>-2.15048804808185E-3</v>
      </c>
      <c r="Q46" s="41">
        <f>VLOOKUP(A46,'Mandato LP'!$A$2:$C$215,3,0)</f>
        <v>7.93748364068338E-3</v>
      </c>
      <c r="R46" s="42">
        <f t="shared" si="9"/>
        <v>-1.9374836406833799E-3</v>
      </c>
      <c r="S46" s="15">
        <v>0.16900000000000001</v>
      </c>
      <c r="T46" s="15">
        <v>-0.09</v>
      </c>
      <c r="U46" s="15">
        <v>-2.7E-2</v>
      </c>
      <c r="V46" s="15">
        <v>0.28699999999999998</v>
      </c>
      <c r="W46" s="15">
        <v>0.05</v>
      </c>
      <c r="X46" s="15">
        <v>0.20799999999999999</v>
      </c>
      <c r="Y46" s="15">
        <v>9.8000000000000004E-2</v>
      </c>
      <c r="Z46" s="15">
        <v>0.30199999999999999</v>
      </c>
      <c r="AA46" s="15">
        <v>0.182</v>
      </c>
      <c r="AB46" s="15">
        <v>0.17699999999999999</v>
      </c>
      <c r="AC46" s="15">
        <v>0.877</v>
      </c>
      <c r="AD46" s="15">
        <v>0.78100000000000003</v>
      </c>
      <c r="AE46" s="15">
        <v>0.755</v>
      </c>
      <c r="AF46" s="14">
        <v>0.35499999999999998</v>
      </c>
      <c r="AG46" s="15">
        <v>0.69499999999999995</v>
      </c>
      <c r="AH46" s="15">
        <v>-4.7E-2</v>
      </c>
      <c r="AI46" s="15">
        <v>-0.11899999999999999</v>
      </c>
      <c r="AJ46" s="15">
        <v>0.69099999999999995</v>
      </c>
      <c r="AK46" s="16">
        <v>-0.13900000000000001</v>
      </c>
      <c r="AL46" s="4">
        <v>-0.27</v>
      </c>
      <c r="AM46" s="4">
        <v>0.255</v>
      </c>
      <c r="AN46" s="4">
        <v>-0.56200000000000006</v>
      </c>
      <c r="AO46" s="4">
        <v>0.21</v>
      </c>
      <c r="AP46" s="4">
        <v>0.114</v>
      </c>
      <c r="AQ46" s="4">
        <v>8.8999999999999996E-2</v>
      </c>
      <c r="AR46" s="4">
        <v>0.48499999999999999</v>
      </c>
      <c r="AS46" s="4">
        <v>0.55700000000000005</v>
      </c>
      <c r="AT46" s="4">
        <v>0.38</v>
      </c>
      <c r="AU46" s="4">
        <v>0.14000000000000001</v>
      </c>
      <c r="AV46" s="4">
        <v>-0.23899999999999999</v>
      </c>
      <c r="AW46" s="4">
        <v>0.26</v>
      </c>
      <c r="AX46" s="4">
        <v>-0.30599999999999999</v>
      </c>
      <c r="AY46" s="4">
        <v>4.4999999999999998E-2</v>
      </c>
      <c r="AZ46" s="4">
        <v>0.80400000000000005</v>
      </c>
      <c r="BA46" s="4">
        <v>0.91800000000000004</v>
      </c>
      <c r="BB46" s="4">
        <v>-7.8E-2</v>
      </c>
      <c r="BC46" s="4">
        <v>-0.78200000000000003</v>
      </c>
      <c r="BD46" s="4">
        <v>-0.47899999999999998</v>
      </c>
      <c r="BE46" s="4">
        <v>0.123</v>
      </c>
      <c r="BF46" s="4">
        <v>0.26600000000000001</v>
      </c>
      <c r="BG46" s="4">
        <v>0.27600000000000002</v>
      </c>
      <c r="BH46" s="4">
        <v>0.27600000000000002</v>
      </c>
      <c r="BI46" s="4">
        <v>-0.98699999999999999</v>
      </c>
      <c r="BJ46" s="4">
        <v>0.90400000000000003</v>
      </c>
      <c r="BK46" s="4">
        <v>-0.56499999999999995</v>
      </c>
      <c r="BL46" s="4">
        <v>0.113</v>
      </c>
      <c r="BM46" s="4"/>
      <c r="BN46" s="4"/>
    </row>
    <row r="47" spans="1:66" x14ac:dyDescent="0.3">
      <c r="A47" t="s">
        <v>100</v>
      </c>
      <c r="B47" s="53">
        <v>1.2999999999999999E-2</v>
      </c>
      <c r="C47" s="53">
        <f t="shared" si="4"/>
        <v>1.2999999999999999E-2</v>
      </c>
      <c r="D47" s="53">
        <f t="shared" si="5"/>
        <v>0</v>
      </c>
      <c r="E47" s="53">
        <f t="shared" si="6"/>
        <v>0</v>
      </c>
      <c r="F47" s="15">
        <v>1.992</v>
      </c>
      <c r="G47">
        <v>2.39</v>
      </c>
      <c r="H47" t="s">
        <v>68</v>
      </c>
      <c r="I47" t="str">
        <f>VLOOKUP(A47,Setores!$A$2:$C$215,2,0)</f>
        <v>capital_goods</v>
      </c>
      <c r="J47" t="str">
        <f>VLOOKUP(A47,Setores!$A$2:$C$215,3,0)</f>
        <v>low_beta</v>
      </c>
      <c r="K47" s="17">
        <v>1.2999999999999999E-2</v>
      </c>
      <c r="L47" s="2">
        <v>1.2999999999999999E-2</v>
      </c>
      <c r="M47" s="5">
        <v>0.45066247266666698</v>
      </c>
      <c r="N47" s="41">
        <f>VLOOKUP(A47,'Mandato LP'!$A$2:$B$215,2,0)</f>
        <v>8.0542925759942603E-3</v>
      </c>
      <c r="O47" s="58">
        <f t="shared" si="7"/>
        <v>4.9457074240057391E-3</v>
      </c>
      <c r="P47" s="42">
        <f t="shared" si="8"/>
        <v>4.9457074240057391E-3</v>
      </c>
      <c r="Q47" s="41">
        <f>VLOOKUP(A47,'Mandato LP'!$A$2:$C$215,3,0)</f>
        <v>6.9385016912247403E-3</v>
      </c>
      <c r="R47" s="42">
        <f t="shared" si="9"/>
        <v>6.0614983087752591E-3</v>
      </c>
      <c r="S47" s="15">
        <v>5.8999999999999997E-2</v>
      </c>
      <c r="T47" s="15">
        <v>4.0000000000000001E-3</v>
      </c>
      <c r="U47" s="15">
        <v>7.9000000000000001E-2</v>
      </c>
      <c r="V47" s="15">
        <v>-0.23499999999999999</v>
      </c>
      <c r="W47" s="15">
        <v>-0.13900000000000001</v>
      </c>
      <c r="X47" s="15">
        <v>0.152</v>
      </c>
      <c r="Y47" s="15">
        <v>0.215</v>
      </c>
      <c r="Z47" s="15">
        <v>0.223</v>
      </c>
      <c r="AA47" s="15">
        <v>0.58899999999999997</v>
      </c>
      <c r="AB47" s="15">
        <v>0.58499999999999996</v>
      </c>
      <c r="AC47" s="15">
        <v>0.79200000000000004</v>
      </c>
      <c r="AD47" s="15">
        <v>0.69799999999999995</v>
      </c>
      <c r="AE47" s="15">
        <v>0.80600000000000005</v>
      </c>
      <c r="AF47" s="14">
        <v>-0.42499999999999999</v>
      </c>
      <c r="AG47" s="15">
        <v>-0.64</v>
      </c>
      <c r="AH47" s="15">
        <v>-0.22800000000000001</v>
      </c>
      <c r="AI47" s="15">
        <v>5.1999999999999998E-2</v>
      </c>
      <c r="AJ47" s="15">
        <v>0.23200000000000001</v>
      </c>
      <c r="AK47" s="16">
        <v>-0.252</v>
      </c>
      <c r="AL47" s="4">
        <v>-6.9000000000000006E-2</v>
      </c>
      <c r="AM47" s="4">
        <v>0.32900000000000001</v>
      </c>
      <c r="AN47" s="4">
        <v>-0.48699999999999999</v>
      </c>
      <c r="AO47" s="4">
        <v>0.34200000000000003</v>
      </c>
      <c r="AP47" s="4">
        <v>0.26200000000000001</v>
      </c>
      <c r="AQ47" s="4">
        <v>-0.161</v>
      </c>
      <c r="AR47" s="4">
        <v>-0.32200000000000001</v>
      </c>
      <c r="AS47" s="4">
        <v>6.4000000000000001E-2</v>
      </c>
      <c r="AT47" s="4">
        <v>-0.52400000000000002</v>
      </c>
      <c r="AU47" s="4">
        <v>0.20699999999999999</v>
      </c>
      <c r="AV47" s="4">
        <v>-0.32900000000000001</v>
      </c>
      <c r="AW47" s="4">
        <v>-0.20899999999999999</v>
      </c>
      <c r="AX47" s="4">
        <v>0.69</v>
      </c>
      <c r="AY47" s="4">
        <v>0.51</v>
      </c>
      <c r="AZ47" s="4">
        <v>0.90800000000000003</v>
      </c>
      <c r="BA47" s="4">
        <v>0.90200000000000002</v>
      </c>
      <c r="BB47" s="4">
        <v>0.61299999999999999</v>
      </c>
      <c r="BC47" s="4">
        <v>-2.5999999999999999E-2</v>
      </c>
      <c r="BD47" s="4">
        <v>-8.8999999999999996E-2</v>
      </c>
      <c r="BE47" s="4">
        <v>0.36599999999999999</v>
      </c>
      <c r="BF47" s="4">
        <v>-0.43099999999999999</v>
      </c>
      <c r="BG47" s="4">
        <v>-9.8000000000000004E-2</v>
      </c>
      <c r="BH47" s="4">
        <v>0.51500000000000001</v>
      </c>
      <c r="BI47" s="4">
        <v>-0.28699999999999998</v>
      </c>
      <c r="BJ47" s="4">
        <v>2.7E-2</v>
      </c>
      <c r="BK47" s="4">
        <v>0.88200000000000001</v>
      </c>
      <c r="BL47" s="4">
        <v>0.371</v>
      </c>
      <c r="BM47" s="4"/>
      <c r="BN47" s="4"/>
    </row>
    <row r="48" spans="1:66" x14ac:dyDescent="0.3">
      <c r="A48" t="s">
        <v>106</v>
      </c>
      <c r="B48" s="53">
        <v>1.0999999999999999E-2</v>
      </c>
      <c r="C48" s="53">
        <f t="shared" si="4"/>
        <v>1.0999999999999999E-2</v>
      </c>
      <c r="D48" s="53">
        <f t="shared" si="5"/>
        <v>0</v>
      </c>
      <c r="E48" s="53">
        <f t="shared" si="6"/>
        <v>0</v>
      </c>
      <c r="F48" s="15">
        <v>1.9890000000000001</v>
      </c>
      <c r="G48">
        <v>1.645</v>
      </c>
      <c r="H48" t="s">
        <v>57</v>
      </c>
      <c r="I48" t="str">
        <f>VLOOKUP(A48,Setores!$A$2:$C$215,2,0)</f>
        <v>tech</v>
      </c>
      <c r="J48" t="str">
        <f>VLOOKUP(A48,Setores!$A$2:$C$215,3,0)</f>
        <v>neutral_beta</v>
      </c>
      <c r="K48" s="17">
        <v>1.0999999999999999E-2</v>
      </c>
      <c r="L48" s="2">
        <v>1.0999999999999999E-2</v>
      </c>
      <c r="M48" s="5">
        <v>0.29051820423666702</v>
      </c>
      <c r="N48" s="41">
        <f>VLOOKUP(A48,'Mandato LP'!$A$2:$B$215,2,0)</f>
        <v>8.0406375480739697E-3</v>
      </c>
      <c r="O48" s="58">
        <f t="shared" si="7"/>
        <v>2.9593624519260297E-3</v>
      </c>
      <c r="P48" s="42">
        <f t="shared" si="8"/>
        <v>2.9593624519260297E-3</v>
      </c>
      <c r="Q48" s="41">
        <f>VLOOKUP(A48,'Mandato LP'!$A$2:$C$215,3,0)</f>
        <v>0</v>
      </c>
      <c r="R48" s="42">
        <f t="shared" si="9"/>
        <v>1.0999999999999999E-2</v>
      </c>
      <c r="S48" s="15">
        <v>0.35</v>
      </c>
      <c r="T48" s="15">
        <v>0.72399999999999998</v>
      </c>
      <c r="U48" s="15">
        <v>0.42399999999999999</v>
      </c>
      <c r="V48" s="15">
        <v>8.1000000000000003E-2</v>
      </c>
      <c r="W48" s="15">
        <v>0.435</v>
      </c>
      <c r="X48" s="15">
        <v>-0.189</v>
      </c>
      <c r="Y48" s="15">
        <v>-0.51900000000000002</v>
      </c>
      <c r="Z48" s="15">
        <v>-0.14799999999999999</v>
      </c>
      <c r="AA48" s="15">
        <v>0.46600000000000003</v>
      </c>
      <c r="AB48" s="15">
        <v>0.46100000000000002</v>
      </c>
      <c r="AC48" s="15">
        <v>0.81399999999999995</v>
      </c>
      <c r="AD48" s="15">
        <v>0.89900000000000002</v>
      </c>
      <c r="AE48" s="15">
        <v>0.94</v>
      </c>
      <c r="AF48" s="14">
        <v>-0.11899999999999999</v>
      </c>
      <c r="AG48" s="15">
        <v>0.56799999999999995</v>
      </c>
      <c r="AH48" s="15">
        <v>0.60399999999999998</v>
      </c>
      <c r="AI48" s="15">
        <v>1</v>
      </c>
      <c r="AJ48" s="15">
        <v>0.56999999999999995</v>
      </c>
      <c r="AK48" s="16">
        <v>-0.42099999999999999</v>
      </c>
      <c r="AL48" s="4">
        <v>0.75</v>
      </c>
      <c r="AM48" s="4">
        <v>-0.17599999999999999</v>
      </c>
      <c r="AN48" s="4">
        <v>0.68899999999999995</v>
      </c>
      <c r="AO48" s="4">
        <v>-0.20399999999999999</v>
      </c>
      <c r="AP48" s="4">
        <v>-0.21099999999999999</v>
      </c>
      <c r="AQ48" s="4">
        <v>0.38700000000000001</v>
      </c>
      <c r="AR48" s="4">
        <v>-0.48299999999999998</v>
      </c>
      <c r="AS48" s="4">
        <v>0.27100000000000002</v>
      </c>
      <c r="AT48" s="4">
        <v>0.19900000000000001</v>
      </c>
      <c r="AU48" s="4">
        <v>6.0000000000000001E-3</v>
      </c>
      <c r="AV48" s="4">
        <v>-0.434</v>
      </c>
      <c r="AW48" s="4">
        <v>-0.26200000000000001</v>
      </c>
      <c r="AX48" s="4">
        <v>-0.13200000000000001</v>
      </c>
      <c r="AY48" s="4">
        <v>-0.109</v>
      </c>
      <c r="AZ48" s="4">
        <v>0.59599999999999997</v>
      </c>
      <c r="BA48" s="4">
        <v>-0.17699999999999999</v>
      </c>
      <c r="BB48" s="4">
        <v>0.45500000000000002</v>
      </c>
      <c r="BC48" s="4">
        <v>0.17799999999999999</v>
      </c>
      <c r="BD48" s="4">
        <v>0.504</v>
      </c>
      <c r="BE48" s="4">
        <v>0.29599999999999999</v>
      </c>
      <c r="BF48" s="4">
        <v>7.2999999999999995E-2</v>
      </c>
      <c r="BG48" s="4">
        <v>0.41799999999999998</v>
      </c>
      <c r="BH48" s="4">
        <v>-0.05</v>
      </c>
      <c r="BI48" s="4">
        <v>0.17899999999999999</v>
      </c>
      <c r="BJ48" s="4">
        <v>-7.0000000000000001E-3</v>
      </c>
      <c r="BK48" s="4">
        <v>0.21199999999999999</v>
      </c>
      <c r="BL48" s="4">
        <v>0.85099999999999998</v>
      </c>
      <c r="BM48" s="4"/>
      <c r="BN48" s="4"/>
    </row>
    <row r="49" spans="1:66" x14ac:dyDescent="0.3">
      <c r="A49" t="s">
        <v>74</v>
      </c>
      <c r="B49" s="53">
        <v>8.9999999999999993E-3</v>
      </c>
      <c r="C49" s="53">
        <f t="shared" si="4"/>
        <v>8.9999999999999993E-3</v>
      </c>
      <c r="D49" s="53">
        <f t="shared" si="5"/>
        <v>0</v>
      </c>
      <c r="E49" s="53">
        <f t="shared" si="6"/>
        <v>0</v>
      </c>
      <c r="F49" s="15">
        <v>1.97</v>
      </c>
      <c r="G49">
        <v>1.5529999999999999</v>
      </c>
      <c r="H49" t="s">
        <v>53</v>
      </c>
      <c r="I49" t="str">
        <f>VLOOKUP(A49,Setores!$A$2:$C$215,2,0)</f>
        <v>healthcare</v>
      </c>
      <c r="J49" t="str">
        <f>VLOOKUP(A49,Setores!$A$2:$C$215,3,0)</f>
        <v>high_beta</v>
      </c>
      <c r="K49" s="17">
        <v>8.9999999999999993E-3</v>
      </c>
      <c r="L49" s="2">
        <v>8.9999999999999993E-3</v>
      </c>
      <c r="M49" s="5">
        <v>0.53502726880999996</v>
      </c>
      <c r="N49" s="41">
        <f>VLOOKUP(A49,'Mandato LP'!$A$2:$B$215,2,0)</f>
        <v>7.9656721290346996E-3</v>
      </c>
      <c r="O49" s="58">
        <f t="shared" si="7"/>
        <v>1.0343278709652997E-3</v>
      </c>
      <c r="P49" s="42">
        <f t="shared" si="8"/>
        <v>1.0343278709652997E-3</v>
      </c>
      <c r="Q49" s="41">
        <f>VLOOKUP(A49,'Mandato LP'!$A$2:$C$215,3,0)</f>
        <v>6.2761460300744002E-3</v>
      </c>
      <c r="R49" s="42">
        <f t="shared" si="9"/>
        <v>2.7238539699255991E-3</v>
      </c>
      <c r="S49" s="15">
        <v>0.23499999999999999</v>
      </c>
      <c r="T49" s="15">
        <v>-9.9000000000000005E-2</v>
      </c>
      <c r="U49" s="15">
        <v>0.58599999999999997</v>
      </c>
      <c r="V49" s="15">
        <v>0.27400000000000002</v>
      </c>
      <c r="W49" s="15">
        <v>0.33300000000000002</v>
      </c>
      <c r="X49" s="15">
        <v>0.125</v>
      </c>
      <c r="Y49" s="15">
        <v>5.0000000000000001E-3</v>
      </c>
      <c r="Z49" s="15">
        <v>1.9E-2</v>
      </c>
      <c r="AA49" s="15">
        <v>0.45300000000000001</v>
      </c>
      <c r="AB49" s="15">
        <v>0.45200000000000001</v>
      </c>
      <c r="AC49" s="15">
        <v>0.64100000000000001</v>
      </c>
      <c r="AD49" s="15">
        <v>0.754</v>
      </c>
      <c r="AE49" s="15">
        <v>0.72299999999999998</v>
      </c>
      <c r="AF49" s="14">
        <v>0.61899999999999999</v>
      </c>
      <c r="AG49" s="15">
        <v>0.497</v>
      </c>
      <c r="AH49" s="15">
        <v>-0.12</v>
      </c>
      <c r="AI49" s="15">
        <v>1</v>
      </c>
      <c r="AJ49" s="15">
        <v>2.5000000000000001E-2</v>
      </c>
      <c r="AK49" s="16">
        <v>0.158</v>
      </c>
      <c r="AL49" s="4">
        <v>0.78600000000000003</v>
      </c>
      <c r="AM49" s="4">
        <v>0.155</v>
      </c>
      <c r="AN49" s="4">
        <v>0.13600000000000001</v>
      </c>
      <c r="AO49" s="4">
        <v>0.14499999999999999</v>
      </c>
      <c r="AP49" s="4">
        <v>-0.30599999999999999</v>
      </c>
      <c r="AQ49" s="4">
        <v>-0.23799999999999999</v>
      </c>
      <c r="AR49" s="4">
        <v>0.186</v>
      </c>
      <c r="AS49" s="4">
        <v>-0.23200000000000001</v>
      </c>
      <c r="AT49" s="4">
        <v>-0.62</v>
      </c>
      <c r="AU49" s="4">
        <v>0.33</v>
      </c>
      <c r="AV49" s="4">
        <v>-0.60699999999999998</v>
      </c>
      <c r="AW49" s="4">
        <v>0.21299999999999999</v>
      </c>
      <c r="AX49" s="4">
        <v>0.23400000000000001</v>
      </c>
      <c r="AY49" s="4">
        <v>-0.128</v>
      </c>
      <c r="AZ49" s="4">
        <v>0.878</v>
      </c>
      <c r="BA49" s="4">
        <v>0.28599999999999998</v>
      </c>
      <c r="BB49" s="4">
        <v>0.16200000000000001</v>
      </c>
      <c r="BC49" s="4">
        <v>-6.7000000000000004E-2</v>
      </c>
      <c r="BD49" s="4">
        <v>4.2999999999999997E-2</v>
      </c>
      <c r="BE49" s="4">
        <v>0.16400000000000001</v>
      </c>
      <c r="BF49" s="4">
        <v>0.34200000000000003</v>
      </c>
      <c r="BG49" s="4">
        <v>-0.14199999999999999</v>
      </c>
      <c r="BH49" s="4">
        <v>0.24099999999999999</v>
      </c>
      <c r="BI49" s="4">
        <v>-0.70199999999999996</v>
      </c>
      <c r="BJ49" s="4">
        <v>-0.11600000000000001</v>
      </c>
      <c r="BK49" s="4">
        <v>0.83199999999999996</v>
      </c>
      <c r="BL49" s="4">
        <v>0.745</v>
      </c>
      <c r="BM49" s="4"/>
      <c r="BN49" s="4"/>
    </row>
    <row r="50" spans="1:66" x14ac:dyDescent="0.3">
      <c r="A50" t="s">
        <v>120</v>
      </c>
      <c r="B50" s="53">
        <v>1.6E-2</v>
      </c>
      <c r="C50" s="53">
        <f t="shared" si="4"/>
        <v>1.4999999999999999E-2</v>
      </c>
      <c r="D50" s="53">
        <f t="shared" si="5"/>
        <v>0</v>
      </c>
      <c r="E50" s="53">
        <f t="shared" si="6"/>
        <v>1.0000000000000009E-3</v>
      </c>
      <c r="F50" s="15">
        <v>1.9690000000000001</v>
      </c>
      <c r="G50">
        <v>2.29</v>
      </c>
      <c r="H50" t="s">
        <v>71</v>
      </c>
      <c r="I50" t="str">
        <f>VLOOKUP(A50,Setores!$A$2:$C$215,2,0)</f>
        <v>basic_materials</v>
      </c>
      <c r="J50" t="str">
        <f>VLOOKUP(A50,Setores!$A$2:$C$215,3,0)</f>
        <v>low_beta</v>
      </c>
      <c r="K50" s="17">
        <v>1.6E-2</v>
      </c>
      <c r="L50" s="2">
        <v>1.4999999999999999E-2</v>
      </c>
      <c r="M50" s="5">
        <v>0.70083502088733296</v>
      </c>
      <c r="N50" s="41">
        <f>VLOOKUP(A50,'Mandato LP'!$A$2:$B$215,2,0)</f>
        <v>8.4299107557595405E-3</v>
      </c>
      <c r="O50" s="58">
        <f t="shared" si="7"/>
        <v>7.5700892442404598E-3</v>
      </c>
      <c r="P50" s="42">
        <f t="shared" si="8"/>
        <v>7.5700892442404598E-3</v>
      </c>
      <c r="Q50" s="41">
        <f>VLOOKUP(A50,'Mandato LP'!$A$2:$C$215,3,0)</f>
        <v>8.2983986929125106E-3</v>
      </c>
      <c r="R50" s="42">
        <f t="shared" si="9"/>
        <v>7.7016013070874897E-3</v>
      </c>
      <c r="S50" s="15">
        <v>-0.27500000000000002</v>
      </c>
      <c r="T50" s="15">
        <v>0.45600000000000002</v>
      </c>
      <c r="U50" s="15">
        <v>-0.63400000000000001</v>
      </c>
      <c r="V50" s="15">
        <v>-2.1000000000000001E-2</v>
      </c>
      <c r="W50" s="15">
        <v>4.0000000000000001E-3</v>
      </c>
      <c r="X50" s="15">
        <v>-0.05</v>
      </c>
      <c r="Y50" s="15">
        <v>-0.32600000000000001</v>
      </c>
      <c r="Z50" s="15">
        <v>0.25800000000000001</v>
      </c>
      <c r="AA50" s="15">
        <v>1</v>
      </c>
      <c r="AB50" s="15">
        <v>1</v>
      </c>
      <c r="AC50" s="15">
        <v>0.90500000000000003</v>
      </c>
      <c r="AD50" s="15">
        <v>0.97199999999999998</v>
      </c>
      <c r="AE50" s="15">
        <v>0.95699999999999996</v>
      </c>
      <c r="AF50" s="14">
        <v>-0.14399999999999999</v>
      </c>
      <c r="AG50" s="15">
        <v>-0.36399999999999999</v>
      </c>
      <c r="AH50" s="15">
        <v>1</v>
      </c>
      <c r="AI50" s="15">
        <v>-0.45500000000000002</v>
      </c>
      <c r="AJ50" s="15">
        <v>-0.218</v>
      </c>
      <c r="AK50" s="16">
        <v>-0.874</v>
      </c>
      <c r="AL50" s="4">
        <v>0.55200000000000005</v>
      </c>
      <c r="AM50" s="4">
        <v>-0.19800000000000001</v>
      </c>
      <c r="AN50" s="4">
        <v>0.55600000000000005</v>
      </c>
      <c r="AO50" s="4">
        <v>-0.623</v>
      </c>
      <c r="AP50" s="4">
        <v>0.55000000000000004</v>
      </c>
      <c r="AQ50" s="4">
        <v>0.30099999999999999</v>
      </c>
      <c r="AR50" s="4">
        <v>-0.86</v>
      </c>
      <c r="AS50" s="4">
        <v>0.48</v>
      </c>
      <c r="AT50" s="4">
        <v>0.40200000000000002</v>
      </c>
      <c r="AU50" s="4">
        <v>9.7000000000000003E-2</v>
      </c>
      <c r="AV50" s="4">
        <v>-0.53500000000000003</v>
      </c>
      <c r="AW50" s="4">
        <v>-0.152</v>
      </c>
      <c r="AX50" s="4">
        <v>0.41199999999999998</v>
      </c>
      <c r="AY50" s="4">
        <v>-6.0999999999999999E-2</v>
      </c>
      <c r="AZ50" s="4">
        <v>0.8</v>
      </c>
      <c r="BA50" s="4">
        <v>-0.158</v>
      </c>
      <c r="BB50" s="4">
        <v>-9.5000000000000001E-2</v>
      </c>
      <c r="BC50" s="4">
        <v>0.20100000000000001</v>
      </c>
      <c r="BD50" s="4">
        <v>7.2999999999999995E-2</v>
      </c>
      <c r="BE50" s="4">
        <v>0.69299999999999995</v>
      </c>
      <c r="BF50" s="4">
        <v>-1</v>
      </c>
      <c r="BG50" s="4">
        <v>-0.67</v>
      </c>
      <c r="BH50" s="4">
        <v>0.36499999999999999</v>
      </c>
      <c r="BI50" s="4">
        <v>-0.35099999999999998</v>
      </c>
      <c r="BJ50" s="4">
        <v>-0.45900000000000002</v>
      </c>
      <c r="BK50" s="4">
        <v>-0.183</v>
      </c>
      <c r="BL50" s="4">
        <v>-7.9000000000000001E-2</v>
      </c>
      <c r="BM50" s="4"/>
      <c r="BN50" s="4"/>
    </row>
    <row r="51" spans="1:66" x14ac:dyDescent="0.3">
      <c r="A51" t="s">
        <v>121</v>
      </c>
      <c r="B51" s="53">
        <v>3.4000000000000002E-2</v>
      </c>
      <c r="C51" s="53">
        <f t="shared" si="4"/>
        <v>-9.999999999999995E-3</v>
      </c>
      <c r="D51" s="53">
        <f t="shared" si="5"/>
        <v>9.0000000000000011E-3</v>
      </c>
      <c r="E51" s="53">
        <f t="shared" si="6"/>
        <v>4.3999999999999997E-2</v>
      </c>
      <c r="F51" s="15">
        <v>1.9079999999999999</v>
      </c>
      <c r="G51">
        <v>4.3499999999999996</v>
      </c>
      <c r="H51" t="s">
        <v>57</v>
      </c>
      <c r="I51" t="str">
        <f>VLOOKUP(A51,Setores!$A$2:$C$215,2,0)</f>
        <v>banks</v>
      </c>
      <c r="J51" t="str">
        <f>VLOOKUP(A51,Setores!$A$2:$C$215,3,0)</f>
        <v>neutral_beta</v>
      </c>
      <c r="K51" s="17">
        <v>2.5000000000000001E-2</v>
      </c>
      <c r="L51" s="2">
        <v>-1.9E-2</v>
      </c>
      <c r="M51" s="5">
        <v>0.99916353841233296</v>
      </c>
      <c r="N51" s="41">
        <f>VLOOKUP(A51,'Mandato LP'!$A$2:$B$215,2,0)</f>
        <v>4.2534203645765101E-2</v>
      </c>
      <c r="O51" s="58">
        <f t="shared" si="7"/>
        <v>-1.7534203645765099E-2</v>
      </c>
      <c r="P51" s="42">
        <f t="shared" si="8"/>
        <v>-8.5342036457650983E-3</v>
      </c>
      <c r="Q51" s="41">
        <f>VLOOKUP(A51,'Mandato LP'!$A$2:$C$215,3,0)</f>
        <v>3.19632662573614E-2</v>
      </c>
      <c r="R51" s="42">
        <f t="shared" si="9"/>
        <v>-6.9632662573613988E-3</v>
      </c>
      <c r="S51" s="15">
        <v>-0.25</v>
      </c>
      <c r="T51" s="15">
        <v>-0.26600000000000001</v>
      </c>
      <c r="U51" s="15">
        <v>-0.77200000000000002</v>
      </c>
      <c r="V51" s="15">
        <v>9.1999999999999998E-2</v>
      </c>
      <c r="W51" s="15">
        <v>-0.34300000000000003</v>
      </c>
      <c r="X51" s="15">
        <v>0.26100000000000001</v>
      </c>
      <c r="Y51" s="15">
        <v>0.53300000000000003</v>
      </c>
      <c r="Z51" s="15">
        <v>0.42899999999999999</v>
      </c>
      <c r="AA51" s="15">
        <v>0.50800000000000001</v>
      </c>
      <c r="AB51" s="15">
        <v>0.50800000000000001</v>
      </c>
      <c r="AC51" s="15">
        <v>0.77700000000000002</v>
      </c>
      <c r="AD51" s="15">
        <v>0.83099999999999996</v>
      </c>
      <c r="AE51" s="15">
        <v>0.77100000000000002</v>
      </c>
      <c r="AF51" s="14">
        <v>0.123</v>
      </c>
      <c r="AG51" s="15">
        <v>-0.218</v>
      </c>
      <c r="AH51" s="15">
        <v>6.3E-2</v>
      </c>
      <c r="AI51" s="15">
        <v>-0.96399999999999997</v>
      </c>
      <c r="AJ51" s="15">
        <v>-0.76200000000000001</v>
      </c>
      <c r="AK51" s="16">
        <v>-0.83</v>
      </c>
      <c r="AL51" s="4">
        <v>-0.17399999999999999</v>
      </c>
      <c r="AM51" s="4">
        <v>0.221</v>
      </c>
      <c r="AN51" s="4">
        <v>-0.67900000000000005</v>
      </c>
      <c r="AO51" s="4">
        <v>-0.20599999999999999</v>
      </c>
      <c r="AP51" s="4">
        <v>0.46300000000000002</v>
      </c>
      <c r="AQ51" s="4">
        <v>-4.5999999999999999E-2</v>
      </c>
      <c r="AR51" s="4">
        <v>8.9999999999999993E-3</v>
      </c>
      <c r="AS51" s="4">
        <v>0.30599999999999999</v>
      </c>
      <c r="AT51" s="4">
        <v>0.41299999999999998</v>
      </c>
      <c r="AU51" s="4">
        <v>-1E-3</v>
      </c>
      <c r="AV51" s="4">
        <v>-2E-3</v>
      </c>
      <c r="AW51" s="4">
        <v>0.379</v>
      </c>
      <c r="AX51" s="4">
        <v>0.436</v>
      </c>
      <c r="AY51" s="4">
        <v>-0.40100000000000002</v>
      </c>
      <c r="AZ51" s="4">
        <v>0.91</v>
      </c>
      <c r="BA51" s="4">
        <v>0.68799999999999994</v>
      </c>
      <c r="BB51" s="4">
        <v>0.65300000000000002</v>
      </c>
      <c r="BC51" s="4">
        <v>-0.20699999999999999</v>
      </c>
      <c r="BD51" s="4">
        <v>1.4E-2</v>
      </c>
      <c r="BE51" s="4">
        <v>0.55000000000000004</v>
      </c>
      <c r="BF51" s="4">
        <v>-0.128</v>
      </c>
      <c r="BG51" s="4">
        <v>-0.39500000000000002</v>
      </c>
      <c r="BH51" s="4">
        <v>0.82399999999999995</v>
      </c>
      <c r="BI51" s="4">
        <v>-0.68</v>
      </c>
      <c r="BJ51" s="4">
        <v>-0.08</v>
      </c>
      <c r="BK51" s="4">
        <v>-0.182</v>
      </c>
      <c r="BL51" s="4">
        <v>-0.70899999999999996</v>
      </c>
      <c r="BM51" s="4"/>
      <c r="BN51" s="4"/>
    </row>
    <row r="52" spans="1:66" x14ac:dyDescent="0.3">
      <c r="A52" t="s">
        <v>72</v>
      </c>
      <c r="B52" s="53">
        <v>8.9999999999999993E-3</v>
      </c>
      <c r="C52" s="53">
        <f t="shared" si="4"/>
        <v>8.9999999999999993E-3</v>
      </c>
      <c r="D52" s="53">
        <f t="shared" si="5"/>
        <v>0</v>
      </c>
      <c r="E52" s="53">
        <f t="shared" si="6"/>
        <v>0</v>
      </c>
      <c r="F52" s="15">
        <v>1.9039999999999999</v>
      </c>
      <c r="G52">
        <v>1.5640000000000001</v>
      </c>
      <c r="H52" t="s">
        <v>57</v>
      </c>
      <c r="I52" t="str">
        <f>VLOOKUP(A52,Setores!$A$2:$C$215,2,0)</f>
        <v>apparel</v>
      </c>
      <c r="J52" t="str">
        <f>VLOOKUP(A52,Setores!$A$2:$C$215,3,0)</f>
        <v>high_beta</v>
      </c>
      <c r="K52" s="17">
        <v>8.9999999999999993E-3</v>
      </c>
      <c r="L52" s="2">
        <v>8.9999999999999993E-3</v>
      </c>
      <c r="M52" s="5">
        <v>0.63377817559666705</v>
      </c>
      <c r="N52" s="41">
        <f>VLOOKUP(A52,'Mandato LP'!$A$2:$B$215,2,0)</f>
        <v>7.6984327600901998E-3</v>
      </c>
      <c r="O52" s="58">
        <f t="shared" si="7"/>
        <v>1.3015672399097995E-3</v>
      </c>
      <c r="P52" s="42">
        <f t="shared" si="8"/>
        <v>1.3015672399097995E-3</v>
      </c>
      <c r="Q52" s="41">
        <f>VLOOKUP(A52,'Mandato LP'!$A$2:$C$215,3,0)</f>
        <v>5.8337540443094303E-3</v>
      </c>
      <c r="R52" s="42">
        <f t="shared" si="9"/>
        <v>3.166245955690569E-3</v>
      </c>
      <c r="S52" s="15">
        <v>0.26600000000000001</v>
      </c>
      <c r="T52" s="15">
        <v>-0.21299999999999999</v>
      </c>
      <c r="U52" s="15">
        <v>0.12</v>
      </c>
      <c r="V52" s="15">
        <v>0.49299999999999999</v>
      </c>
      <c r="W52" s="15">
        <v>0.151</v>
      </c>
      <c r="X52" s="15">
        <v>0.20699999999999999</v>
      </c>
      <c r="Y52" s="15">
        <v>0.20599999999999999</v>
      </c>
      <c r="Z52" s="15">
        <v>9.1999999999999998E-2</v>
      </c>
      <c r="AA52" s="15">
        <v>8.5999999999999993E-2</v>
      </c>
      <c r="AB52" s="15">
        <v>8.5000000000000006E-2</v>
      </c>
      <c r="AC52" s="15">
        <v>0.77600000000000002</v>
      </c>
      <c r="AD52" s="15">
        <v>0.75900000000000001</v>
      </c>
      <c r="AE52" s="15">
        <v>0.67200000000000004</v>
      </c>
      <c r="AF52" s="14">
        <v>0.90800000000000003</v>
      </c>
      <c r="AG52" s="15">
        <v>0.92500000000000004</v>
      </c>
      <c r="AH52" s="15">
        <v>-0.60099999999999998</v>
      </c>
      <c r="AI52" s="15">
        <v>-0.52400000000000002</v>
      </c>
      <c r="AJ52" s="15">
        <v>-0.45600000000000002</v>
      </c>
      <c r="AK52" s="16">
        <v>0.24399999999999999</v>
      </c>
      <c r="AL52" s="4">
        <v>-0.34200000000000003</v>
      </c>
      <c r="AM52" s="4">
        <v>-6.8000000000000005E-2</v>
      </c>
      <c r="AN52" s="4">
        <v>-0.79100000000000004</v>
      </c>
      <c r="AO52" s="4">
        <v>0.497</v>
      </c>
      <c r="AP52" s="4">
        <v>1.7999999999999999E-2</v>
      </c>
      <c r="AQ52" s="4">
        <v>-0.70199999999999996</v>
      </c>
      <c r="AR52" s="4">
        <v>0.82099999999999995</v>
      </c>
      <c r="AS52" s="4">
        <v>0.55200000000000005</v>
      </c>
      <c r="AT52" s="4">
        <v>0.51100000000000001</v>
      </c>
      <c r="AU52" s="4">
        <v>0.30299999999999999</v>
      </c>
      <c r="AV52" s="4">
        <v>-2.1000000000000001E-2</v>
      </c>
      <c r="AW52" s="4">
        <v>0.71399999999999997</v>
      </c>
      <c r="AX52" s="4">
        <v>-1.7000000000000001E-2</v>
      </c>
      <c r="AY52" s="4">
        <v>7.1999999999999995E-2</v>
      </c>
      <c r="AZ52" s="4">
        <v>-5.2999999999999999E-2</v>
      </c>
      <c r="BA52" s="4">
        <v>6.0999999999999999E-2</v>
      </c>
      <c r="BB52" s="4">
        <v>0.35</v>
      </c>
      <c r="BC52" s="4">
        <v>0.33800000000000002</v>
      </c>
      <c r="BD52" s="4">
        <v>-9.0999999999999998E-2</v>
      </c>
      <c r="BE52" s="4">
        <v>0.45600000000000002</v>
      </c>
      <c r="BF52" s="4">
        <v>-0.38400000000000001</v>
      </c>
      <c r="BG52" s="4">
        <v>-1.7999999999999999E-2</v>
      </c>
      <c r="BH52" s="4">
        <v>9.8000000000000004E-2</v>
      </c>
      <c r="BI52" s="4">
        <v>-8.0000000000000002E-3</v>
      </c>
      <c r="BJ52" s="4">
        <v>0.219</v>
      </c>
      <c r="BK52" s="4">
        <v>0.221</v>
      </c>
      <c r="BL52" s="4">
        <v>-0.24099999999999999</v>
      </c>
      <c r="BM52" s="4"/>
      <c r="BN52" s="4"/>
    </row>
    <row r="53" spans="1:66" x14ac:dyDescent="0.3">
      <c r="A53" t="s">
        <v>56</v>
      </c>
      <c r="B53" s="53">
        <v>1.2500000000000001E-2</v>
      </c>
      <c r="C53" s="53">
        <f t="shared" si="4"/>
        <v>1.2500000000000001E-2</v>
      </c>
      <c r="D53" s="53">
        <f t="shared" si="5"/>
        <v>1.5000000000000013E-3</v>
      </c>
      <c r="E53" s="53">
        <f t="shared" si="6"/>
        <v>0</v>
      </c>
      <c r="F53" s="15">
        <v>1.8919999999999999</v>
      </c>
      <c r="G53">
        <v>1.984</v>
      </c>
      <c r="H53" t="s">
        <v>55</v>
      </c>
      <c r="I53" t="str">
        <f>VLOOKUP(A53,Setores!$A$2:$C$215,2,0)</f>
        <v>utilities</v>
      </c>
      <c r="J53" t="str">
        <f>VLOOKUP(A53,Setores!$A$2:$C$215,3,0)</f>
        <v>neutral_beta</v>
      </c>
      <c r="K53" s="17">
        <v>1.0999999999999999E-2</v>
      </c>
      <c r="L53" s="2">
        <v>1.0999999999999999E-2</v>
      </c>
      <c r="M53" s="5">
        <v>0.34131741066666699</v>
      </c>
      <c r="N53" s="41">
        <f>VLOOKUP(A53,'Mandato LP'!$A$2:$B$215,2,0)</f>
        <v>7.64988609337476E-3</v>
      </c>
      <c r="O53" s="58">
        <f t="shared" si="7"/>
        <v>3.3501139066252393E-3</v>
      </c>
      <c r="P53" s="42">
        <f t="shared" si="8"/>
        <v>4.8501139066252407E-3</v>
      </c>
      <c r="Q53" s="41">
        <f>VLOOKUP(A53,'Mandato LP'!$A$2:$C$215,3,0)</f>
        <v>0</v>
      </c>
      <c r="R53" s="42">
        <f t="shared" si="9"/>
        <v>1.0999999999999999E-2</v>
      </c>
      <c r="S53" s="15">
        <v>-7.0999999999999994E-2</v>
      </c>
      <c r="T53" s="15">
        <v>-0.20300000000000001</v>
      </c>
      <c r="U53" s="15">
        <v>-0.26700000000000002</v>
      </c>
      <c r="V53" s="15">
        <v>0.17299999999999999</v>
      </c>
      <c r="W53" s="15">
        <v>-7.4999999999999997E-2</v>
      </c>
      <c r="X53" s="15">
        <v>0.26600000000000001</v>
      </c>
      <c r="Y53" s="15">
        <v>0.48599999999999999</v>
      </c>
      <c r="Z53" s="15">
        <v>0.17699999999999999</v>
      </c>
      <c r="AA53" s="15">
        <v>0.436</v>
      </c>
      <c r="AB53" s="15">
        <v>0.438</v>
      </c>
      <c r="AC53" s="15">
        <v>0.88900000000000001</v>
      </c>
      <c r="AD53" s="15">
        <v>0.68200000000000005</v>
      </c>
      <c r="AE53" s="15">
        <v>0.73499999999999999</v>
      </c>
      <c r="AF53" s="14">
        <v>0.41399999999999998</v>
      </c>
      <c r="AG53" s="15">
        <v>-0.13300000000000001</v>
      </c>
      <c r="AH53" s="15">
        <v>0.26500000000000001</v>
      </c>
      <c r="AI53" s="15">
        <v>-0.54800000000000004</v>
      </c>
      <c r="AJ53" s="15">
        <v>-0.58799999999999997</v>
      </c>
      <c r="AK53" s="16">
        <v>-0.40799999999999997</v>
      </c>
      <c r="AL53" s="4">
        <v>0.40799999999999997</v>
      </c>
      <c r="AM53" s="4">
        <v>-0.20300000000000001</v>
      </c>
      <c r="AN53" s="4">
        <v>-0.34300000000000003</v>
      </c>
      <c r="AO53" s="4">
        <v>-0.254</v>
      </c>
      <c r="AP53" s="4">
        <v>0.109</v>
      </c>
      <c r="AQ53" s="4">
        <v>-0.3</v>
      </c>
      <c r="AR53" s="4">
        <v>-1.4E-2</v>
      </c>
      <c r="AS53" s="4">
        <v>-0.52400000000000002</v>
      </c>
      <c r="AT53" s="4">
        <v>-0.79100000000000004</v>
      </c>
      <c r="AU53" s="4">
        <v>0.17199999999999999</v>
      </c>
      <c r="AV53" s="4">
        <v>0.26400000000000001</v>
      </c>
      <c r="AW53" s="4">
        <v>0.44</v>
      </c>
      <c r="AX53" s="4">
        <v>0.73499999999999999</v>
      </c>
      <c r="AY53" s="4">
        <v>-9.5000000000000001E-2</v>
      </c>
      <c r="AZ53" s="4">
        <v>-0.214</v>
      </c>
      <c r="BA53" s="4">
        <v>0.42599999999999999</v>
      </c>
      <c r="BB53" s="4">
        <v>1</v>
      </c>
      <c r="BC53" s="4">
        <v>1.7999999999999999E-2</v>
      </c>
      <c r="BD53" s="4">
        <v>0.47699999999999998</v>
      </c>
      <c r="BE53" s="4">
        <v>0.39500000000000002</v>
      </c>
      <c r="BF53" s="4">
        <v>-0.25700000000000001</v>
      </c>
      <c r="BG53" s="4">
        <v>0.46100000000000002</v>
      </c>
      <c r="BH53" s="4">
        <v>0.374</v>
      </c>
      <c r="BI53" s="4">
        <v>-0.68400000000000005</v>
      </c>
      <c r="BJ53" s="4">
        <v>-0.10299999999999999</v>
      </c>
      <c r="BK53" s="4">
        <v>0.621</v>
      </c>
      <c r="BL53" s="4">
        <v>0.109</v>
      </c>
      <c r="BM53" s="4"/>
      <c r="BN53" s="4"/>
    </row>
    <row r="54" spans="1:66" x14ac:dyDescent="0.3">
      <c r="A54" t="s">
        <v>81</v>
      </c>
      <c r="B54" s="53">
        <v>0.03</v>
      </c>
      <c r="C54" s="53">
        <f t="shared" si="4"/>
        <v>2.9999999999999992E-3</v>
      </c>
      <c r="D54" s="53">
        <f t="shared" si="5"/>
        <v>0</v>
      </c>
      <c r="E54" s="53">
        <f t="shared" si="6"/>
        <v>2.7E-2</v>
      </c>
      <c r="F54" s="15">
        <v>1.88</v>
      </c>
      <c r="G54">
        <v>3.573</v>
      </c>
      <c r="H54" t="s">
        <v>55</v>
      </c>
      <c r="I54" t="str">
        <f>VLOOKUP(A54,Setores!$A$2:$C$215,2,0)</f>
        <v>telecom</v>
      </c>
      <c r="J54" t="str">
        <f>VLOOKUP(A54,Setores!$A$2:$C$215,3,0)</f>
        <v>very_low_beta</v>
      </c>
      <c r="K54" s="17">
        <v>0.03</v>
      </c>
      <c r="L54" s="2">
        <v>3.0000000000000001E-3</v>
      </c>
      <c r="M54" s="5">
        <v>1.46064112256333</v>
      </c>
      <c r="N54" s="41">
        <f>VLOOKUP(A54,'Mandato LP'!$A$2:$B$215,2,0)</f>
        <v>3.9315854984562297E-2</v>
      </c>
      <c r="O54" s="58">
        <f t="shared" si="7"/>
        <v>-9.3158549845622982E-3</v>
      </c>
      <c r="P54" s="42">
        <f t="shared" si="8"/>
        <v>-9.3158549845622982E-3</v>
      </c>
      <c r="Q54" s="41">
        <f>VLOOKUP(A54,'Mandato LP'!$A$2:$C$215,3,0)</f>
        <v>0</v>
      </c>
      <c r="R54" s="42">
        <f t="shared" si="9"/>
        <v>0.03</v>
      </c>
      <c r="S54" s="15">
        <v>2.5999999999999999E-2</v>
      </c>
      <c r="T54" s="15">
        <v>-0.56200000000000006</v>
      </c>
      <c r="U54" s="15">
        <v>-0.47899999999999998</v>
      </c>
      <c r="V54" s="15">
        <v>0.40400000000000003</v>
      </c>
      <c r="W54" s="15">
        <v>-0.26100000000000001</v>
      </c>
      <c r="X54" s="15">
        <v>0.49099999999999999</v>
      </c>
      <c r="Y54" s="15">
        <v>0.74</v>
      </c>
      <c r="Z54" s="15">
        <v>0.122</v>
      </c>
      <c r="AA54" s="15">
        <v>0.45</v>
      </c>
      <c r="AB54" s="15">
        <v>0.44700000000000001</v>
      </c>
      <c r="AC54" s="15">
        <v>0.81299999999999994</v>
      </c>
      <c r="AD54" s="15">
        <v>0.78900000000000003</v>
      </c>
      <c r="AE54" s="15">
        <v>0.63300000000000001</v>
      </c>
      <c r="AF54" s="14">
        <v>0.752</v>
      </c>
      <c r="AG54" s="15">
        <v>8.7999999999999995E-2</v>
      </c>
      <c r="AH54" s="15">
        <v>-0.53400000000000003</v>
      </c>
      <c r="AI54" s="15">
        <v>-0.90400000000000003</v>
      </c>
      <c r="AJ54" s="15">
        <v>-0.86</v>
      </c>
      <c r="AK54" s="16">
        <v>-0.49199999999999999</v>
      </c>
      <c r="AL54" s="4">
        <v>0.32500000000000001</v>
      </c>
      <c r="AM54" s="4">
        <v>-2.1000000000000001E-2</v>
      </c>
      <c r="AN54" s="4">
        <v>-0.82699999999999996</v>
      </c>
      <c r="AO54" s="4">
        <v>-0.128</v>
      </c>
      <c r="AP54" s="4">
        <v>-7.0999999999999994E-2</v>
      </c>
      <c r="AQ54" s="4">
        <v>-0.251</v>
      </c>
      <c r="AR54" s="4">
        <v>0.53800000000000003</v>
      </c>
      <c r="AS54" s="4">
        <v>0.26400000000000001</v>
      </c>
      <c r="AT54" s="4">
        <v>-0.314</v>
      </c>
      <c r="AU54" s="4">
        <v>0.433</v>
      </c>
      <c r="AV54" s="4">
        <v>0.246</v>
      </c>
      <c r="AW54" s="4">
        <v>1</v>
      </c>
      <c r="AX54" s="4">
        <v>0.72699999999999998</v>
      </c>
      <c r="AY54" s="4">
        <v>0.17299999999999999</v>
      </c>
      <c r="AZ54" s="4">
        <v>0.77500000000000002</v>
      </c>
      <c r="BA54" s="4">
        <v>0.39300000000000002</v>
      </c>
      <c r="BB54" s="4">
        <v>0.89500000000000002</v>
      </c>
      <c r="BC54" s="4">
        <v>0.28399999999999997</v>
      </c>
      <c r="BD54" s="4">
        <v>0.39700000000000002</v>
      </c>
      <c r="BE54" s="4">
        <v>0.61299999999999999</v>
      </c>
      <c r="BF54" s="4">
        <v>0.27</v>
      </c>
      <c r="BG54" s="4">
        <v>0.66300000000000003</v>
      </c>
      <c r="BH54" s="4">
        <v>0.35399999999999998</v>
      </c>
      <c r="BI54" s="4">
        <v>-0.70299999999999996</v>
      </c>
      <c r="BJ54" s="4">
        <v>-0.36199999999999999</v>
      </c>
      <c r="BK54" s="4">
        <v>2.1000000000000001E-2</v>
      </c>
      <c r="BL54" s="4">
        <v>-0.53600000000000003</v>
      </c>
      <c r="BM54" s="4"/>
      <c r="BN54" s="4"/>
    </row>
    <row r="55" spans="1:66" x14ac:dyDescent="0.3">
      <c r="A55" t="s">
        <v>95</v>
      </c>
      <c r="B55" s="53">
        <v>3.2000000000000001E-2</v>
      </c>
      <c r="C55" s="53">
        <f t="shared" si="4"/>
        <v>-4.0000000000000036E-3</v>
      </c>
      <c r="D55" s="53">
        <f t="shared" si="5"/>
        <v>0</v>
      </c>
      <c r="E55" s="53">
        <f t="shared" si="6"/>
        <v>3.6000000000000004E-2</v>
      </c>
      <c r="F55" s="15">
        <v>1.865</v>
      </c>
      <c r="G55">
        <v>4.25</v>
      </c>
      <c r="H55" t="s">
        <v>53</v>
      </c>
      <c r="I55" t="str">
        <f>VLOOKUP(A55,Setores!$A$2:$C$215,2,0)</f>
        <v>float_financials</v>
      </c>
      <c r="J55" t="str">
        <f>VLOOKUP(A55,Setores!$A$2:$C$215,3,0)</f>
        <v>very_low_beta</v>
      </c>
      <c r="K55" s="17">
        <v>3.2000000000000001E-2</v>
      </c>
      <c r="L55" s="2">
        <v>-4.0000000000000001E-3</v>
      </c>
      <c r="M55" s="5">
        <v>3.7350504844666701</v>
      </c>
      <c r="N55" s="41">
        <f>VLOOKUP(A55,'Mandato LP'!$A$2:$B$215,2,0)</f>
        <v>4.1559888139735497E-2</v>
      </c>
      <c r="O55" s="58">
        <f t="shared" si="7"/>
        <v>-9.5598881397354965E-3</v>
      </c>
      <c r="P55" s="42">
        <f t="shared" si="8"/>
        <v>-9.5598881397354965E-3</v>
      </c>
      <c r="Q55" s="41">
        <f>VLOOKUP(A55,'Mandato LP'!$A$2:$C$215,3,0)</f>
        <v>4.4568496863611903E-2</v>
      </c>
      <c r="R55" s="42">
        <f t="shared" si="9"/>
        <v>-1.2568496863611903E-2</v>
      </c>
      <c r="S55" s="15">
        <v>-0.41899999999999998</v>
      </c>
      <c r="T55" s="15">
        <v>-0.45200000000000001</v>
      </c>
      <c r="U55" s="15">
        <v>-0.64400000000000002</v>
      </c>
      <c r="V55" s="15">
        <v>0.107</v>
      </c>
      <c r="W55" s="15">
        <v>-0.23699999999999999</v>
      </c>
      <c r="X55" s="15">
        <v>0.377</v>
      </c>
      <c r="Y55" s="15">
        <v>0.89</v>
      </c>
      <c r="Z55" s="15">
        <v>0.46200000000000002</v>
      </c>
      <c r="AA55" s="15">
        <v>0.55200000000000005</v>
      </c>
      <c r="AB55" s="15">
        <v>0.55400000000000005</v>
      </c>
      <c r="AC55" s="15">
        <v>0.75700000000000001</v>
      </c>
      <c r="AD55" s="15">
        <v>0.75</v>
      </c>
      <c r="AE55" s="15">
        <v>0.61</v>
      </c>
      <c r="AF55" s="14">
        <v>8.4000000000000005E-2</v>
      </c>
      <c r="AG55" s="15">
        <v>0.68600000000000005</v>
      </c>
      <c r="AH55" s="15">
        <v>-0.183</v>
      </c>
      <c r="AI55" s="15">
        <v>-0.82499999999999996</v>
      </c>
      <c r="AJ55" s="15">
        <v>-0.84799999999999998</v>
      </c>
      <c r="AK55" s="16">
        <v>-0.64900000000000002</v>
      </c>
      <c r="AL55" s="4">
        <v>-0.27900000000000003</v>
      </c>
      <c r="AM55" s="4">
        <v>0.57599999999999996</v>
      </c>
      <c r="AN55" s="4">
        <v>-0.94199999999999995</v>
      </c>
      <c r="AO55" s="4">
        <v>0.26700000000000002</v>
      </c>
      <c r="AP55" s="4">
        <v>0.23</v>
      </c>
      <c r="AQ55" s="4">
        <v>0.34300000000000003</v>
      </c>
      <c r="AR55" s="4">
        <v>5.0999999999999997E-2</v>
      </c>
      <c r="AS55" s="4">
        <v>0.26600000000000001</v>
      </c>
      <c r="AT55" s="4">
        <v>-0.35399999999999998</v>
      </c>
      <c r="AU55" s="4">
        <v>0.71499999999999997</v>
      </c>
      <c r="AV55" s="4">
        <v>0.21</v>
      </c>
      <c r="AW55" s="4">
        <v>-0.185</v>
      </c>
      <c r="AX55" s="4">
        <v>0.95099999999999996</v>
      </c>
      <c r="AY55" s="4">
        <v>0.71899999999999997</v>
      </c>
      <c r="AZ55" s="4">
        <v>0.71599999999999997</v>
      </c>
      <c r="BA55" s="4">
        <v>-0.23699999999999999</v>
      </c>
      <c r="BB55" s="4">
        <v>-0.64900000000000002</v>
      </c>
      <c r="BC55" s="4">
        <v>-0.10299999999999999</v>
      </c>
      <c r="BD55" s="4">
        <v>0.02</v>
      </c>
      <c r="BE55" s="4">
        <v>-1</v>
      </c>
      <c r="BF55" s="4">
        <v>-0.63200000000000001</v>
      </c>
      <c r="BG55" s="4">
        <v>-7.0999999999999994E-2</v>
      </c>
      <c r="BH55" s="4">
        <v>0.92800000000000005</v>
      </c>
      <c r="BI55" s="4">
        <v>-0.40799999999999997</v>
      </c>
      <c r="BJ55" s="4">
        <v>-0.628</v>
      </c>
      <c r="BK55" s="4">
        <v>-6.7000000000000004E-2</v>
      </c>
      <c r="BL55" s="4">
        <v>-0.60299999999999998</v>
      </c>
      <c r="BM55" s="4"/>
      <c r="BN55" s="4"/>
    </row>
    <row r="56" spans="1:66" x14ac:dyDescent="0.3">
      <c r="A56" t="s">
        <v>119</v>
      </c>
      <c r="B56" s="53">
        <v>8.9999999999999993E-3</v>
      </c>
      <c r="C56" s="53">
        <f t="shared" si="4"/>
        <v>6.0000000000000001E-3</v>
      </c>
      <c r="D56" s="53">
        <f t="shared" si="5"/>
        <v>0</v>
      </c>
      <c r="E56" s="53">
        <f t="shared" si="6"/>
        <v>2.9999999999999992E-3</v>
      </c>
      <c r="F56" s="15">
        <v>1.851</v>
      </c>
      <c r="G56">
        <v>1.853</v>
      </c>
      <c r="H56" t="s">
        <v>57</v>
      </c>
      <c r="I56" t="str">
        <f>VLOOKUP(A56,Setores!$A$2:$C$215,2,0)</f>
        <v>homebuilders</v>
      </c>
      <c r="J56" t="str">
        <f>VLOOKUP(A56,Setores!$A$2:$C$215,3,0)</f>
        <v>high_beta</v>
      </c>
      <c r="K56" s="17">
        <v>8.9999999999999993E-3</v>
      </c>
      <c r="L56" s="2">
        <v>6.0000000000000001E-3</v>
      </c>
      <c r="M56" s="5">
        <v>0.86827604551000004</v>
      </c>
      <c r="N56" s="41">
        <f>VLOOKUP(A56,'Mandato LP'!$A$2:$B$215,2,0)</f>
        <v>8.8297540599564898E-3</v>
      </c>
      <c r="O56" s="58">
        <f t="shared" si="7"/>
        <v>1.7024594004350947E-4</v>
      </c>
      <c r="P56" s="42">
        <f t="shared" si="8"/>
        <v>1.7024594004350947E-4</v>
      </c>
      <c r="Q56" s="41">
        <f>VLOOKUP(A56,'Mandato LP'!$A$2:$C$215,3,0)</f>
        <v>0</v>
      </c>
      <c r="R56" s="42">
        <f t="shared" si="9"/>
        <v>8.9999999999999993E-3</v>
      </c>
      <c r="S56" s="15">
        <v>0.29699999999999999</v>
      </c>
      <c r="T56" s="15">
        <v>9.5000000000000001E-2</v>
      </c>
      <c r="U56" s="15">
        <v>0.105</v>
      </c>
      <c r="V56" s="15">
        <v>0.20100000000000001</v>
      </c>
      <c r="W56" s="15">
        <v>5.5E-2</v>
      </c>
      <c r="X56" s="15">
        <v>0.22900000000000001</v>
      </c>
      <c r="Y56" s="15">
        <v>0.28100000000000003</v>
      </c>
      <c r="Z56" s="15">
        <v>-0.13900000000000001</v>
      </c>
      <c r="AA56" s="15">
        <v>0.20799999999999999</v>
      </c>
      <c r="AB56" s="15">
        <v>0.20599999999999999</v>
      </c>
      <c r="AC56" s="15">
        <v>0.82199999999999995</v>
      </c>
      <c r="AD56" s="15">
        <v>0.88100000000000001</v>
      </c>
      <c r="AE56" s="15">
        <v>0.69699999999999995</v>
      </c>
      <c r="AF56" s="14">
        <v>0.40799999999999997</v>
      </c>
      <c r="AG56" s="15">
        <v>0.46700000000000003</v>
      </c>
      <c r="AH56" s="15">
        <v>-0.23499999999999999</v>
      </c>
      <c r="AI56" s="15">
        <v>-0.19400000000000001</v>
      </c>
      <c r="AJ56" s="15">
        <v>-0.09</v>
      </c>
      <c r="AK56" s="16">
        <v>-2.1000000000000001E-2</v>
      </c>
      <c r="AL56" s="4">
        <v>-0.10199999999999999</v>
      </c>
      <c r="AM56" s="4">
        <v>-0.21299999999999999</v>
      </c>
      <c r="AN56" s="4">
        <v>-0.186</v>
      </c>
      <c r="AO56" s="4">
        <v>0.74299999999999999</v>
      </c>
      <c r="AP56" s="4">
        <v>-0.309</v>
      </c>
      <c r="AQ56" s="4">
        <v>-1.7000000000000001E-2</v>
      </c>
      <c r="AR56" s="4">
        <v>0.47899999999999998</v>
      </c>
      <c r="AS56" s="4">
        <v>0.39200000000000002</v>
      </c>
      <c r="AT56" s="4">
        <v>0.35299999999999998</v>
      </c>
      <c r="AU56" s="4">
        <v>-5.3999999999999999E-2</v>
      </c>
      <c r="AV56" s="4">
        <v>0.432</v>
      </c>
      <c r="AW56" s="4">
        <v>0.34499999999999997</v>
      </c>
      <c r="AX56" s="4">
        <v>-0.111</v>
      </c>
      <c r="AY56" s="4">
        <v>0.186</v>
      </c>
      <c r="AZ56" s="4">
        <v>0.442</v>
      </c>
      <c r="BA56" s="4">
        <v>0.63100000000000001</v>
      </c>
      <c r="BB56" s="4">
        <v>0</v>
      </c>
      <c r="BC56" s="4">
        <v>-4.9000000000000002E-2</v>
      </c>
      <c r="BD56" s="4">
        <v>-8.5000000000000006E-2</v>
      </c>
      <c r="BE56" s="4">
        <v>0.24399999999999999</v>
      </c>
      <c r="BF56" s="4">
        <v>0.33500000000000002</v>
      </c>
      <c r="BG56" s="4">
        <v>-0.154</v>
      </c>
      <c r="BH56" s="4">
        <v>0.20300000000000001</v>
      </c>
      <c r="BI56" s="4">
        <v>-0.156</v>
      </c>
      <c r="BJ56" s="4">
        <v>0.45700000000000002</v>
      </c>
      <c r="BK56" s="4">
        <v>-1.2E-2</v>
      </c>
      <c r="BL56" s="4">
        <v>0.03</v>
      </c>
      <c r="BM56" s="4"/>
      <c r="BN56" s="4"/>
    </row>
    <row r="57" spans="1:66" x14ac:dyDescent="0.3">
      <c r="A57" t="s">
        <v>94</v>
      </c>
      <c r="B57" s="53">
        <v>1.2E-2</v>
      </c>
      <c r="C57" s="53">
        <f t="shared" si="4"/>
        <v>1.0999999999999999E-2</v>
      </c>
      <c r="D57" s="53">
        <f t="shared" si="5"/>
        <v>0</v>
      </c>
      <c r="E57" s="53">
        <f t="shared" si="6"/>
        <v>1.0000000000000009E-3</v>
      </c>
      <c r="F57" s="15">
        <v>1.8089999999999999</v>
      </c>
      <c r="G57">
        <v>2.379</v>
      </c>
      <c r="H57" t="s">
        <v>55</v>
      </c>
      <c r="I57" t="str">
        <f>VLOOKUP(A57,Setores!$A$2:$C$215,2,0)</f>
        <v>real_estate</v>
      </c>
      <c r="J57" t="str">
        <f>VLOOKUP(A57,Setores!$A$2:$C$215,3,0)</f>
        <v>high_beta</v>
      </c>
      <c r="K57" s="17">
        <v>1.2E-2</v>
      </c>
      <c r="L57" s="2">
        <v>1.0999999999999999E-2</v>
      </c>
      <c r="M57" s="5">
        <v>0.56191836801999995</v>
      </c>
      <c r="N57" s="41">
        <f>VLOOKUP(A57,'Mandato LP'!$A$2:$B$215,2,0)</f>
        <v>7.5647091948360902E-3</v>
      </c>
      <c r="O57" s="58">
        <f t="shared" si="7"/>
        <v>4.4352908051639101E-3</v>
      </c>
      <c r="P57" s="42">
        <f t="shared" si="8"/>
        <v>4.4352908051639101E-3</v>
      </c>
      <c r="Q57" s="41">
        <f>VLOOKUP(A57,'Mandato LP'!$A$2:$C$215,3,0)</f>
        <v>7.6195055741211304E-3</v>
      </c>
      <c r="R57" s="42">
        <f t="shared" si="9"/>
        <v>4.3804944258788699E-3</v>
      </c>
      <c r="S57" s="15">
        <v>0.253</v>
      </c>
      <c r="T57" s="15">
        <v>4.2000000000000003E-2</v>
      </c>
      <c r="U57" s="15">
        <v>-0.32400000000000001</v>
      </c>
      <c r="V57" s="15">
        <v>0.22500000000000001</v>
      </c>
      <c r="W57" s="15">
        <v>-0.19500000000000001</v>
      </c>
      <c r="X57" s="15">
        <v>0.498</v>
      </c>
      <c r="Y57" s="15">
        <v>0.81599999999999995</v>
      </c>
      <c r="Z57" s="15">
        <v>-0.22</v>
      </c>
      <c r="AA57" s="15">
        <v>0.249</v>
      </c>
      <c r="AB57" s="15">
        <v>0.247</v>
      </c>
      <c r="AC57" s="15">
        <v>0.81100000000000005</v>
      </c>
      <c r="AD57" s="15">
        <v>0.78</v>
      </c>
      <c r="AE57" s="15">
        <v>0.63</v>
      </c>
      <c r="AF57" s="14">
        <v>7.6999999999999999E-2</v>
      </c>
      <c r="AG57" s="15">
        <v>-5.1999999999999998E-2</v>
      </c>
      <c r="AH57" s="15">
        <v>-0.32100000000000001</v>
      </c>
      <c r="AI57" s="15">
        <v>-0.79100000000000004</v>
      </c>
      <c r="AJ57" s="15">
        <v>-0.16200000000000001</v>
      </c>
      <c r="AK57" s="16">
        <v>2.8000000000000001E-2</v>
      </c>
      <c r="AL57" s="4">
        <v>-0.31</v>
      </c>
      <c r="AM57" s="4">
        <v>-0.69599999999999995</v>
      </c>
      <c r="AN57" s="4">
        <v>-0.67900000000000005</v>
      </c>
      <c r="AO57" s="4">
        <v>-0.20899999999999999</v>
      </c>
      <c r="AP57" s="4">
        <v>6.2E-2</v>
      </c>
      <c r="AQ57" s="4">
        <v>0.36299999999999999</v>
      </c>
      <c r="AR57" s="4">
        <v>0.80300000000000005</v>
      </c>
      <c r="AS57" s="4">
        <v>0.71599999999999997</v>
      </c>
      <c r="AT57" s="4">
        <v>0.37</v>
      </c>
      <c r="AU57" s="4">
        <v>0.20399999999999999</v>
      </c>
      <c r="AV57" s="4">
        <v>0.92800000000000005</v>
      </c>
      <c r="AW57" s="4">
        <v>0.81100000000000005</v>
      </c>
      <c r="AX57" s="4">
        <v>0.224</v>
      </c>
      <c r="AY57" s="4">
        <v>-0.16300000000000001</v>
      </c>
      <c r="AZ57" s="4">
        <v>0.48399999999999999</v>
      </c>
      <c r="BA57" s="4">
        <v>0.54900000000000004</v>
      </c>
      <c r="BB57" s="4">
        <v>0.51200000000000001</v>
      </c>
      <c r="BC57" s="4">
        <v>0.40600000000000003</v>
      </c>
      <c r="BD57" s="4">
        <v>9.0999999999999998E-2</v>
      </c>
      <c r="BE57" s="4">
        <v>0.52200000000000002</v>
      </c>
      <c r="BF57" s="4">
        <v>-0.29599999999999999</v>
      </c>
      <c r="BG57" s="4">
        <v>-0.23300000000000001</v>
      </c>
      <c r="BH57" s="4">
        <v>0.55300000000000005</v>
      </c>
      <c r="BI57" s="4">
        <v>-0.4</v>
      </c>
      <c r="BJ57" s="4">
        <v>0.46500000000000002</v>
      </c>
      <c r="BK57" s="4">
        <v>-0.23799999999999999</v>
      </c>
      <c r="BL57" s="4">
        <v>-0.17899999999999999</v>
      </c>
      <c r="BM57" s="4"/>
      <c r="BN57" s="4"/>
    </row>
    <row r="58" spans="1:66" x14ac:dyDescent="0.3">
      <c r="A58" t="s">
        <v>127</v>
      </c>
      <c r="B58" s="53">
        <v>1.2999999999999999E-2</v>
      </c>
      <c r="C58" s="53">
        <f t="shared" si="4"/>
        <v>1.2E-2</v>
      </c>
      <c r="D58" s="53">
        <f t="shared" si="5"/>
        <v>0</v>
      </c>
      <c r="E58" s="53">
        <f t="shared" si="6"/>
        <v>9.9999999999999915E-4</v>
      </c>
      <c r="F58" s="15">
        <v>1.7310000000000001</v>
      </c>
      <c r="G58">
        <v>2.0209999999999999</v>
      </c>
      <c r="H58" t="s">
        <v>53</v>
      </c>
      <c r="I58" t="str">
        <f>VLOOKUP(A58,Setores!$A$2:$C$215,2,0)</f>
        <v>float_financials</v>
      </c>
      <c r="J58" t="str">
        <f>VLOOKUP(A58,Setores!$A$2:$C$215,3,0)</f>
        <v>very_low_beta</v>
      </c>
      <c r="K58" s="17">
        <v>1.2999999999999999E-2</v>
      </c>
      <c r="L58" s="2">
        <v>1.2E-2</v>
      </c>
      <c r="M58" s="5">
        <v>2.3115818062</v>
      </c>
      <c r="N58" s="41">
        <f>VLOOKUP(A58,'Mandato LP'!$A$2:$B$215,2,0)</f>
        <v>7.4181983674764598E-3</v>
      </c>
      <c r="O58" s="58">
        <f t="shared" si="7"/>
        <v>5.5818016325235396E-3</v>
      </c>
      <c r="P58" s="42">
        <f t="shared" si="8"/>
        <v>5.5818016325235396E-3</v>
      </c>
      <c r="Q58" s="41">
        <f>VLOOKUP(A58,'Mandato LP'!$A$2:$C$215,3,0)</f>
        <v>7.9062649291413607E-3</v>
      </c>
      <c r="R58" s="42">
        <f t="shared" si="9"/>
        <v>5.0937350708586387E-3</v>
      </c>
      <c r="S58" s="15">
        <v>-6.3E-2</v>
      </c>
      <c r="T58" s="15">
        <v>-0.33200000000000002</v>
      </c>
      <c r="U58" s="15">
        <v>-0.53900000000000003</v>
      </c>
      <c r="V58" s="15">
        <v>0.13600000000000001</v>
      </c>
      <c r="W58" s="15">
        <v>-0.34200000000000003</v>
      </c>
      <c r="X58" s="15">
        <v>0.36099999999999999</v>
      </c>
      <c r="Y58" s="15">
        <v>0.59399999999999997</v>
      </c>
      <c r="Z58" s="15">
        <v>2.5000000000000001E-2</v>
      </c>
      <c r="AA58" s="15">
        <v>0.45700000000000002</v>
      </c>
      <c r="AB58" s="15">
        <v>0.45600000000000002</v>
      </c>
      <c r="AC58" s="15">
        <v>0.76900000000000002</v>
      </c>
      <c r="AD58" s="15">
        <v>0.80100000000000005</v>
      </c>
      <c r="AE58" s="15">
        <v>0.68200000000000005</v>
      </c>
      <c r="AF58" s="14">
        <v>-2.4E-2</v>
      </c>
      <c r="AG58" s="15">
        <v>0.21299999999999999</v>
      </c>
      <c r="AH58" s="15">
        <v>-0.29199999999999998</v>
      </c>
      <c r="AI58" s="15">
        <v>-0.874</v>
      </c>
      <c r="AJ58" s="15">
        <v>-0.77400000000000002</v>
      </c>
      <c r="AK58" s="16">
        <v>-0.38400000000000001</v>
      </c>
      <c r="AL58" s="4">
        <v>-5.1999999999999998E-2</v>
      </c>
      <c r="AM58" s="4">
        <v>-0.26200000000000001</v>
      </c>
      <c r="AN58" s="4">
        <v>-0.73699999999999999</v>
      </c>
      <c r="AO58" s="4">
        <v>0.19400000000000001</v>
      </c>
      <c r="AP58" s="4">
        <v>0.16</v>
      </c>
      <c r="AQ58" s="4">
        <v>0.222</v>
      </c>
      <c r="AR58" s="4">
        <v>0.49099999999999999</v>
      </c>
      <c r="AS58" s="4">
        <v>0.36099999999999999</v>
      </c>
      <c r="AT58" s="4">
        <v>0.12</v>
      </c>
      <c r="AU58" s="4">
        <v>0.37</v>
      </c>
      <c r="AV58" s="4">
        <v>0.13600000000000001</v>
      </c>
      <c r="AW58" s="4">
        <v>0.35399999999999998</v>
      </c>
      <c r="AX58" s="4">
        <v>0.78600000000000003</v>
      </c>
      <c r="AY58" s="4">
        <v>0.23799999999999999</v>
      </c>
      <c r="AZ58" s="4">
        <v>0.90800000000000003</v>
      </c>
      <c r="BA58" s="4">
        <v>1</v>
      </c>
      <c r="BB58" s="4">
        <v>0.46700000000000003</v>
      </c>
      <c r="BC58" s="4">
        <v>-0.13</v>
      </c>
      <c r="BD58" s="4">
        <v>9.6000000000000002E-2</v>
      </c>
      <c r="BE58" s="4">
        <v>-0.185</v>
      </c>
      <c r="BF58" s="4">
        <v>-0.39</v>
      </c>
      <c r="BG58" s="4">
        <v>0.441</v>
      </c>
      <c r="BH58" s="4">
        <v>0.58499999999999996</v>
      </c>
      <c r="BI58" s="4">
        <v>-0.73399999999999999</v>
      </c>
      <c r="BJ58" s="4">
        <v>-0.39200000000000002</v>
      </c>
      <c r="BK58" s="4">
        <v>7.9000000000000001E-2</v>
      </c>
      <c r="BL58" s="4">
        <v>-0.26200000000000001</v>
      </c>
      <c r="BM58" s="4"/>
      <c r="BN58" s="4"/>
    </row>
    <row r="59" spans="1:66" x14ac:dyDescent="0.3">
      <c r="A59" t="s">
        <v>145</v>
      </c>
      <c r="B59" s="53">
        <v>7.0000000000000001E-3</v>
      </c>
      <c r="C59" s="53">
        <f t="shared" si="4"/>
        <v>7.0000000000000001E-3</v>
      </c>
      <c r="D59" s="53">
        <f t="shared" si="5"/>
        <v>0</v>
      </c>
      <c r="E59" s="53">
        <f t="shared" si="6"/>
        <v>0</v>
      </c>
      <c r="F59" s="15">
        <v>1.71</v>
      </c>
      <c r="G59">
        <v>1.2729999999999999</v>
      </c>
      <c r="H59" t="s">
        <v>57</v>
      </c>
      <c r="I59" t="str">
        <f>VLOOKUP(A59,Setores!$A$2:$C$215,2,0)</f>
        <v>banks</v>
      </c>
      <c r="J59" t="str">
        <f>VLOOKUP(A59,Setores!$A$2:$C$215,3,0)</f>
        <v>high_beta</v>
      </c>
      <c r="K59" s="17">
        <v>7.0000000000000001E-3</v>
      </c>
      <c r="L59" s="2">
        <v>7.0000000000000001E-3</v>
      </c>
      <c r="M59" s="5">
        <v>1.817121795</v>
      </c>
      <c r="N59" s="41">
        <f>VLOOKUP(A59,'Mandato LP'!$A$2:$B$215,2,0)</f>
        <v>6.9141210932008798E-3</v>
      </c>
      <c r="O59" s="58">
        <f t="shared" si="7"/>
        <v>8.5878906799120337E-5</v>
      </c>
      <c r="P59" s="42">
        <f t="shared" si="8"/>
        <v>8.5878906799120337E-5</v>
      </c>
      <c r="Q59" s="41">
        <f>VLOOKUP(A59,'Mandato LP'!$A$2:$C$215,3,0)</f>
        <v>8.6098457156624803E-3</v>
      </c>
      <c r="R59" s="42">
        <f t="shared" si="9"/>
        <v>-1.6098457156624802E-3</v>
      </c>
      <c r="S59" s="15">
        <v>6.0000000000000001E-3</v>
      </c>
      <c r="T59" s="15">
        <v>-9.4E-2</v>
      </c>
      <c r="U59" s="15">
        <v>-0.16</v>
      </c>
      <c r="V59" s="15">
        <v>-3.4000000000000002E-2</v>
      </c>
      <c r="W59" s="15">
        <v>-0.221</v>
      </c>
      <c r="X59" s="15">
        <v>-1.2999999999999999E-2</v>
      </c>
      <c r="Y59" s="15">
        <v>-9.8000000000000004E-2</v>
      </c>
      <c r="Z59" s="15">
        <v>-5.0999999999999997E-2</v>
      </c>
      <c r="AA59" s="15">
        <v>0.50700000000000001</v>
      </c>
      <c r="AB59" s="15">
        <v>0.505</v>
      </c>
      <c r="AC59" s="15">
        <v>0.90200000000000002</v>
      </c>
      <c r="AD59" s="15">
        <v>0.85699999999999998</v>
      </c>
      <c r="AE59" s="15">
        <v>0.85199999999999998</v>
      </c>
      <c r="AF59" s="14">
        <v>-0.41</v>
      </c>
      <c r="AG59" s="15">
        <v>-0.11700000000000001</v>
      </c>
      <c r="AH59" s="15">
        <v>6.0999999999999999E-2</v>
      </c>
      <c r="AI59" s="15">
        <v>-0.72399999999999998</v>
      </c>
      <c r="AJ59" s="15">
        <v>0.127</v>
      </c>
      <c r="AK59" s="16">
        <v>-0.04</v>
      </c>
      <c r="AL59" s="4">
        <v>-0.216</v>
      </c>
      <c r="AM59" s="4">
        <v>-0.40200000000000002</v>
      </c>
      <c r="AN59" s="4">
        <v>-0.58799999999999997</v>
      </c>
      <c r="AO59" s="4">
        <v>-0.48099999999999998</v>
      </c>
      <c r="AP59" s="4">
        <v>0.26300000000000001</v>
      </c>
      <c r="AQ59" s="4">
        <v>0.69199999999999995</v>
      </c>
      <c r="AR59" s="4">
        <v>0.432</v>
      </c>
      <c r="AS59" s="4">
        <v>0.57999999999999996</v>
      </c>
      <c r="AT59" s="4">
        <v>0.41599999999999998</v>
      </c>
      <c r="AU59" s="4">
        <v>0.28999999999999998</v>
      </c>
      <c r="AV59" s="4">
        <v>-0.11</v>
      </c>
      <c r="AW59" s="4">
        <v>0.16600000000000001</v>
      </c>
      <c r="AX59" s="4">
        <v>0.34599999999999997</v>
      </c>
      <c r="AY59" s="4">
        <v>0.185</v>
      </c>
      <c r="AZ59" s="4">
        <v>0.66800000000000004</v>
      </c>
      <c r="BA59" s="4">
        <v>1</v>
      </c>
      <c r="BB59" s="4">
        <v>0.48499999999999999</v>
      </c>
      <c r="BC59" s="4">
        <v>-0.68200000000000005</v>
      </c>
      <c r="BD59" s="4">
        <v>-0.14699999999999999</v>
      </c>
      <c r="BE59" s="4">
        <v>-0.60399999999999998</v>
      </c>
      <c r="BF59" s="4">
        <v>0.25900000000000001</v>
      </c>
      <c r="BG59" s="4">
        <v>-0.67100000000000004</v>
      </c>
      <c r="BH59" s="4">
        <v>0.221</v>
      </c>
      <c r="BI59" s="4">
        <v>-1</v>
      </c>
      <c r="BJ59" s="4">
        <v>0.27400000000000002</v>
      </c>
      <c r="BK59" s="4">
        <v>0.92300000000000004</v>
      </c>
      <c r="BL59" s="4">
        <v>0.38800000000000001</v>
      </c>
      <c r="BM59" s="4"/>
      <c r="BN59" s="4"/>
    </row>
    <row r="60" spans="1:66" x14ac:dyDescent="0.3">
      <c r="A60" t="s">
        <v>105</v>
      </c>
      <c r="B60" s="53">
        <v>4.0000000000000001E-3</v>
      </c>
      <c r="C60" s="53">
        <f t="shared" si="4"/>
        <v>4.0000000000000001E-3</v>
      </c>
      <c r="D60" s="53">
        <f t="shared" si="5"/>
        <v>0</v>
      </c>
      <c r="E60" s="53">
        <f t="shared" si="6"/>
        <v>0</v>
      </c>
      <c r="F60" s="15">
        <v>1.71</v>
      </c>
      <c r="G60">
        <v>1.264</v>
      </c>
      <c r="H60" t="s">
        <v>57</v>
      </c>
      <c r="I60" t="str">
        <f>VLOOKUP(A60,Setores!$A$2:$C$215,2,0)</f>
        <v>transportation</v>
      </c>
      <c r="J60" t="str">
        <f>VLOOKUP(A60,Setores!$A$2:$C$215,3,0)</f>
        <v>very_high_beta</v>
      </c>
      <c r="K60" s="17">
        <v>4.0000000000000001E-3</v>
      </c>
      <c r="L60" s="2">
        <v>4.0000000000000001E-3</v>
      </c>
      <c r="M60" s="5">
        <v>0.98859144966666701</v>
      </c>
      <c r="N60" s="41">
        <f>VLOOKUP(A60,'Mandato LP'!$A$2:$B$215,2,0)</f>
        <v>6.9135825447134399E-3</v>
      </c>
      <c r="O60" s="58">
        <f t="shared" si="7"/>
        <v>-2.9135825447134398E-3</v>
      </c>
      <c r="P60" s="42">
        <f t="shared" si="8"/>
        <v>-2.9135825447134398E-3</v>
      </c>
      <c r="Q60" s="41">
        <f>VLOOKUP(A60,'Mandato LP'!$A$2:$C$215,3,0)</f>
        <v>6.7950064385200798E-3</v>
      </c>
      <c r="R60" s="42">
        <f t="shared" si="9"/>
        <v>-2.7950064385200797E-3</v>
      </c>
      <c r="S60" s="15">
        <v>-0.153</v>
      </c>
      <c r="T60" s="15">
        <v>0.29399999999999998</v>
      </c>
      <c r="U60" s="15">
        <v>7.2999999999999995E-2</v>
      </c>
      <c r="V60" s="15">
        <v>-0.18</v>
      </c>
      <c r="W60" s="15">
        <v>0.22500000000000001</v>
      </c>
      <c r="X60" s="15">
        <v>-0.40799999999999997</v>
      </c>
      <c r="Y60" s="15">
        <v>-0.51600000000000001</v>
      </c>
      <c r="Z60" s="15">
        <v>0.44500000000000001</v>
      </c>
      <c r="AA60" s="15">
        <v>7.0999999999999994E-2</v>
      </c>
      <c r="AB60" s="15">
        <v>7.0000000000000007E-2</v>
      </c>
      <c r="AC60" s="15">
        <v>0.58699999999999997</v>
      </c>
      <c r="AD60" s="15">
        <v>0.79800000000000004</v>
      </c>
      <c r="AE60" s="15">
        <v>0.78600000000000003</v>
      </c>
      <c r="AF60" s="14">
        <v>-0.443</v>
      </c>
      <c r="AG60" s="15">
        <v>-7.4999999999999997E-2</v>
      </c>
      <c r="AH60" s="15">
        <v>1</v>
      </c>
      <c r="AI60" s="15">
        <v>0.95299999999999996</v>
      </c>
      <c r="AJ60" s="15">
        <v>0.97299999999999998</v>
      </c>
      <c r="AK60" s="16">
        <v>-0.73299999999999998</v>
      </c>
      <c r="AL60" s="4">
        <v>0.70499999999999996</v>
      </c>
      <c r="AM60" s="4">
        <v>0.54100000000000004</v>
      </c>
      <c r="AN60" s="4">
        <v>-0.29899999999999999</v>
      </c>
      <c r="AO60" s="4">
        <v>8.6999999999999994E-2</v>
      </c>
      <c r="AP60" s="4">
        <v>0.52700000000000002</v>
      </c>
      <c r="AQ60" s="4">
        <v>8.1000000000000003E-2</v>
      </c>
      <c r="AR60" s="4">
        <v>-0.33</v>
      </c>
      <c r="AS60" s="4">
        <v>-1</v>
      </c>
      <c r="AT60" s="4">
        <v>-1</v>
      </c>
      <c r="AU60" s="4">
        <v>-9.8000000000000004E-2</v>
      </c>
      <c r="AV60" s="4">
        <v>-0.42199999999999999</v>
      </c>
      <c r="AW60" s="4">
        <v>-0.60499999999999998</v>
      </c>
      <c r="AX60" s="4">
        <v>-0.56799999999999995</v>
      </c>
      <c r="AY60" s="4">
        <v>-0.59299999999999997</v>
      </c>
      <c r="AZ60" s="4">
        <v>0.109</v>
      </c>
      <c r="BA60" s="4">
        <v>-0.23499999999999999</v>
      </c>
      <c r="BB60" s="4">
        <v>4.4999999999999998E-2</v>
      </c>
      <c r="BC60" s="4">
        <v>0.27700000000000002</v>
      </c>
      <c r="BD60" s="4">
        <v>0.41199999999999998</v>
      </c>
      <c r="BE60" s="4">
        <v>0.46899999999999997</v>
      </c>
      <c r="BF60" s="4">
        <v>0.56699999999999995</v>
      </c>
      <c r="BG60" s="4">
        <v>0.38600000000000001</v>
      </c>
      <c r="BH60" s="4">
        <v>3.6999999999999998E-2</v>
      </c>
      <c r="BI60" s="4">
        <v>-0.27</v>
      </c>
      <c r="BJ60" s="4">
        <v>1</v>
      </c>
      <c r="BK60" s="4">
        <v>0.40500000000000003</v>
      </c>
      <c r="BL60" s="4">
        <v>0.626</v>
      </c>
      <c r="BM60" s="4"/>
      <c r="BN60" s="4"/>
    </row>
    <row r="61" spans="1:66" x14ac:dyDescent="0.3">
      <c r="A61" t="s">
        <v>62</v>
      </c>
      <c r="B61" s="53">
        <v>1.2500000000000001E-2</v>
      </c>
      <c r="C61" s="53">
        <f t="shared" si="4"/>
        <v>1.2500000000000001E-2</v>
      </c>
      <c r="D61" s="53">
        <f t="shared" si="5"/>
        <v>1.5000000000000013E-3</v>
      </c>
      <c r="E61" s="53">
        <f t="shared" si="6"/>
        <v>0</v>
      </c>
      <c r="F61" s="15">
        <v>1.603</v>
      </c>
      <c r="G61">
        <v>1.675</v>
      </c>
      <c r="H61" t="s">
        <v>55</v>
      </c>
      <c r="I61" t="str">
        <f>VLOOKUP(A61,Setores!$A$2:$C$215,2,0)</f>
        <v>utilities</v>
      </c>
      <c r="J61" t="str">
        <f>VLOOKUP(A61,Setores!$A$2:$C$215,3,0)</f>
        <v>neutral_beta</v>
      </c>
      <c r="K61" s="17">
        <v>1.0999999999999999E-2</v>
      </c>
      <c r="L61" s="2">
        <v>1.0999999999999999E-2</v>
      </c>
      <c r="M61" s="5">
        <v>1.675558197</v>
      </c>
      <c r="N61" s="41">
        <f>VLOOKUP(A61,'Mandato LP'!$A$2:$B$215,2,0)</f>
        <v>6.4811004969004497E-3</v>
      </c>
      <c r="O61" s="58">
        <f t="shared" si="7"/>
        <v>4.5188995030995497E-3</v>
      </c>
      <c r="P61" s="42">
        <f t="shared" si="8"/>
        <v>6.018899503099551E-3</v>
      </c>
      <c r="Q61" s="41">
        <f>VLOOKUP(A61,'Mandato LP'!$A$2:$C$215,3,0)</f>
        <v>0</v>
      </c>
      <c r="R61" s="42">
        <f t="shared" si="9"/>
        <v>1.0999999999999999E-2</v>
      </c>
      <c r="S61" s="15">
        <v>-0.30199999999999999</v>
      </c>
      <c r="T61" s="15">
        <v>-0.313</v>
      </c>
      <c r="U61" s="15">
        <v>-0.52800000000000002</v>
      </c>
      <c r="V61" s="15">
        <v>9.5000000000000001E-2</v>
      </c>
      <c r="W61" s="15">
        <v>-0.189</v>
      </c>
      <c r="X61" s="15">
        <v>9.2999999999999999E-2</v>
      </c>
      <c r="Y61" s="15">
        <v>0.35199999999999998</v>
      </c>
      <c r="Z61" s="15">
        <v>0.125</v>
      </c>
      <c r="AA61" s="15">
        <v>0.42099999999999999</v>
      </c>
      <c r="AB61" s="15">
        <v>0.42299999999999999</v>
      </c>
      <c r="AC61" s="15">
        <v>0.84099999999999997</v>
      </c>
      <c r="AD61" s="15">
        <v>0.78800000000000003</v>
      </c>
      <c r="AE61" s="15">
        <v>0.68</v>
      </c>
      <c r="AF61" s="14">
        <v>0.39800000000000002</v>
      </c>
      <c r="AG61" s="15">
        <v>-0.14000000000000001</v>
      </c>
      <c r="AH61" s="15">
        <v>0.35499999999999998</v>
      </c>
      <c r="AI61" s="15">
        <v>-0.55200000000000005</v>
      </c>
      <c r="AJ61" s="15">
        <v>-0.55400000000000005</v>
      </c>
      <c r="AK61" s="16">
        <v>-0.41099999999999998</v>
      </c>
      <c r="AL61" s="4">
        <v>0.40799999999999997</v>
      </c>
      <c r="AM61" s="4">
        <v>-0.222</v>
      </c>
      <c r="AN61" s="4">
        <v>-0.34300000000000003</v>
      </c>
      <c r="AO61" s="4">
        <v>-0.26900000000000002</v>
      </c>
      <c r="AP61" s="4">
        <v>0.13800000000000001</v>
      </c>
      <c r="AQ61" s="4">
        <v>-0.39800000000000002</v>
      </c>
      <c r="AR61" s="4">
        <v>-1.4E-2</v>
      </c>
      <c r="AS61" s="4">
        <v>-0.52400000000000002</v>
      </c>
      <c r="AT61" s="4">
        <v>-0.79100000000000004</v>
      </c>
      <c r="AU61" s="4">
        <v>0.17199999999999999</v>
      </c>
      <c r="AV61" s="4">
        <v>0.26400000000000001</v>
      </c>
      <c r="AW61" s="4">
        <v>0.438</v>
      </c>
      <c r="AX61" s="4">
        <v>0.71</v>
      </c>
      <c r="AY61" s="4">
        <v>-9.5000000000000001E-2</v>
      </c>
      <c r="AZ61" s="4">
        <v>-0.214</v>
      </c>
      <c r="BA61" s="4">
        <v>0.36299999999999999</v>
      </c>
      <c r="BB61" s="4">
        <v>0.21</v>
      </c>
      <c r="BC61" s="4">
        <v>1.7999999999999999E-2</v>
      </c>
      <c r="BD61" s="4">
        <v>0.47699999999999998</v>
      </c>
      <c r="BE61" s="4">
        <v>0.41099999999999998</v>
      </c>
      <c r="BF61" s="4">
        <v>-0.21</v>
      </c>
      <c r="BG61" s="4">
        <v>0.59099999999999997</v>
      </c>
      <c r="BH61" s="4">
        <v>0.379</v>
      </c>
      <c r="BI61" s="4">
        <v>-0.76700000000000002</v>
      </c>
      <c r="BJ61" s="4">
        <v>-2E-3</v>
      </c>
      <c r="BK61" s="4">
        <v>-7.0000000000000007E-2</v>
      </c>
      <c r="BL61" s="4">
        <v>0.109</v>
      </c>
      <c r="BM61" s="4"/>
      <c r="BN61" s="4"/>
    </row>
    <row r="62" spans="1:66" x14ac:dyDescent="0.3">
      <c r="A62" t="s">
        <v>96</v>
      </c>
      <c r="B62" s="53">
        <v>8.0000000000000002E-3</v>
      </c>
      <c r="C62" s="53">
        <f t="shared" si="4"/>
        <v>0</v>
      </c>
      <c r="D62" s="53">
        <f t="shared" si="5"/>
        <v>0</v>
      </c>
      <c r="E62" s="53">
        <f t="shared" si="6"/>
        <v>8.0000000000000002E-3</v>
      </c>
      <c r="F62" s="15">
        <v>1.573</v>
      </c>
      <c r="G62">
        <v>1.8959999999999999</v>
      </c>
      <c r="H62" t="s">
        <v>57</v>
      </c>
      <c r="I62" t="str">
        <f>VLOOKUP(A62,Setores!$A$2:$C$215,2,0)</f>
        <v>homebuilders</v>
      </c>
      <c r="J62" t="str">
        <f>VLOOKUP(A62,Setores!$A$2:$C$215,3,0)</f>
        <v>neutral_beta</v>
      </c>
      <c r="K62" s="17">
        <v>8.0000000000000002E-3</v>
      </c>
      <c r="L62" s="2">
        <v>0</v>
      </c>
      <c r="M62" s="5">
        <v>2.7694951890800001</v>
      </c>
      <c r="N62" s="41">
        <f>VLOOKUP(A62,'Mandato LP'!$A$2:$B$215,2,0)</f>
        <v>1.3173302087438001E-2</v>
      </c>
      <c r="O62" s="58">
        <f t="shared" si="7"/>
        <v>-5.1733020874380007E-3</v>
      </c>
      <c r="P62" s="42">
        <f t="shared" si="8"/>
        <v>-5.1733020874380007E-3</v>
      </c>
      <c r="Q62" s="41">
        <f>VLOOKUP(A62,'Mandato LP'!$A$2:$C$215,3,0)</f>
        <v>0</v>
      </c>
      <c r="R62" s="42">
        <f t="shared" si="9"/>
        <v>8.0000000000000002E-3</v>
      </c>
      <c r="S62" s="15">
        <v>-7.0999999999999994E-2</v>
      </c>
      <c r="T62" s="15">
        <v>-0.74199999999999999</v>
      </c>
      <c r="U62" s="15">
        <v>-0.29099999999999998</v>
      </c>
      <c r="V62" s="15">
        <v>0.33</v>
      </c>
      <c r="W62" s="15">
        <v>-0.255</v>
      </c>
      <c r="X62" s="15">
        <v>0.19700000000000001</v>
      </c>
      <c r="Y62" s="15">
        <v>0.27800000000000002</v>
      </c>
      <c r="Z62" s="15">
        <v>0.13600000000000001</v>
      </c>
      <c r="AA62" s="15">
        <v>0.29599999999999999</v>
      </c>
      <c r="AB62" s="15">
        <v>0.29599999999999999</v>
      </c>
      <c r="AC62" s="15">
        <v>0.76100000000000001</v>
      </c>
      <c r="AD62" s="15">
        <v>0.56399999999999995</v>
      </c>
      <c r="AE62" s="15">
        <v>0.54600000000000004</v>
      </c>
      <c r="AF62" s="14">
        <v>1</v>
      </c>
      <c r="AG62" s="15">
        <v>0.29799999999999999</v>
      </c>
      <c r="AH62" s="15">
        <v>-0.85799999999999998</v>
      </c>
      <c r="AI62" s="15">
        <v>-0.61699999999999999</v>
      </c>
      <c r="AJ62" s="15">
        <v>-0.755</v>
      </c>
      <c r="AK62" s="16">
        <v>-3.0000000000000001E-3</v>
      </c>
      <c r="AL62" s="4">
        <v>-7.3999999999999996E-2</v>
      </c>
      <c r="AM62" s="4">
        <v>0.39100000000000001</v>
      </c>
      <c r="AN62" s="4">
        <v>-0.874</v>
      </c>
      <c r="AO62" s="4">
        <v>0.27</v>
      </c>
      <c r="AP62" s="4">
        <v>-0.32900000000000001</v>
      </c>
      <c r="AQ62" s="4">
        <v>-0.57299999999999995</v>
      </c>
      <c r="AR62" s="4">
        <v>0.38800000000000001</v>
      </c>
      <c r="AS62" s="4">
        <v>0.33400000000000002</v>
      </c>
      <c r="AT62" s="4">
        <v>4.2999999999999997E-2</v>
      </c>
      <c r="AU62" s="4">
        <v>1</v>
      </c>
      <c r="AV62" s="4">
        <v>-5.2999999999999999E-2</v>
      </c>
      <c r="AW62" s="4">
        <v>0.85599999999999998</v>
      </c>
      <c r="AX62" s="4">
        <v>0.111</v>
      </c>
      <c r="AY62" s="4">
        <v>0.34</v>
      </c>
      <c r="AZ62" s="4">
        <v>0.76900000000000002</v>
      </c>
      <c r="BA62" s="4">
        <v>0.98499999999999999</v>
      </c>
      <c r="BB62" s="4">
        <v>0.35499999999999998</v>
      </c>
      <c r="BC62" s="4">
        <v>-0.81399999999999995</v>
      </c>
      <c r="BD62" s="4">
        <v>-0.158</v>
      </c>
      <c r="BE62" s="4">
        <v>0.20200000000000001</v>
      </c>
      <c r="BF62" s="4">
        <v>0.13300000000000001</v>
      </c>
      <c r="BG62" s="4">
        <v>-0.20699999999999999</v>
      </c>
      <c r="BH62" s="4">
        <v>1E-3</v>
      </c>
      <c r="BI62" s="4">
        <v>-0.94399999999999995</v>
      </c>
      <c r="BJ62" s="4">
        <v>0.30399999999999999</v>
      </c>
      <c r="BK62" s="4">
        <v>-0.53100000000000003</v>
      </c>
      <c r="BL62" s="4">
        <v>-0.35799999999999998</v>
      </c>
      <c r="BM62" s="4"/>
      <c r="BN62" s="4"/>
    </row>
    <row r="63" spans="1:66" x14ac:dyDescent="0.3">
      <c r="A63" t="s">
        <v>188</v>
      </c>
      <c r="B63" s="53">
        <v>2.2499999999999999E-2</v>
      </c>
      <c r="C63" s="53">
        <f t="shared" si="4"/>
        <v>-5.4999999999999979E-3</v>
      </c>
      <c r="D63" s="53">
        <f t="shared" si="5"/>
        <v>3.4999999999999996E-3</v>
      </c>
      <c r="E63" s="53">
        <f t="shared" si="6"/>
        <v>2.7999999999999997E-2</v>
      </c>
      <c r="F63" s="15">
        <v>1.4990000000000001</v>
      </c>
      <c r="G63">
        <v>3.133</v>
      </c>
      <c r="H63" t="s">
        <v>55</v>
      </c>
      <c r="I63" t="str">
        <f>VLOOKUP(A63,Setores!$A$2:$C$215,2,0)</f>
        <v>utilities</v>
      </c>
      <c r="J63" t="str">
        <f>VLOOKUP(A63,Setores!$A$2:$C$215,3,0)</f>
        <v>high_beta</v>
      </c>
      <c r="K63" s="17">
        <v>1.9E-2</v>
      </c>
      <c r="L63" s="2">
        <v>-8.9999999999999993E-3</v>
      </c>
      <c r="M63" s="5">
        <v>2.31135312122333</v>
      </c>
      <c r="N63" s="41">
        <f>VLOOKUP(A63,'Mandato LP'!$A$2:$B$215,2,0)</f>
        <v>3.1270519114759199E-2</v>
      </c>
      <c r="O63" s="58">
        <f t="shared" si="7"/>
        <v>-1.2270519114759199E-2</v>
      </c>
      <c r="P63" s="42">
        <f t="shared" si="8"/>
        <v>-8.7705191147591996E-3</v>
      </c>
      <c r="Q63" s="41">
        <f>VLOOKUP(A63,'Mandato LP'!$A$2:$C$215,3,0)</f>
        <v>3.8714612668137298E-2</v>
      </c>
      <c r="R63" s="42">
        <f t="shared" si="9"/>
        <v>-1.9714612668137298E-2</v>
      </c>
      <c r="S63" s="15">
        <v>-0.214</v>
      </c>
      <c r="T63" s="15">
        <v>-0.21</v>
      </c>
      <c r="U63" s="15">
        <v>-0.80400000000000005</v>
      </c>
      <c r="V63" s="15">
        <v>-0.109</v>
      </c>
      <c r="W63" s="15">
        <v>-0.51500000000000001</v>
      </c>
      <c r="X63" s="15">
        <v>0.17399999999999999</v>
      </c>
      <c r="Y63" s="15">
        <v>0.36199999999999999</v>
      </c>
      <c r="Z63" s="15">
        <v>-2.9000000000000001E-2</v>
      </c>
      <c r="AA63" s="15">
        <v>0.40500000000000003</v>
      </c>
      <c r="AB63" s="15">
        <v>0.40699999999999997</v>
      </c>
      <c r="AC63" s="15">
        <v>0.80400000000000005</v>
      </c>
      <c r="AD63" s="15">
        <v>0.81799999999999995</v>
      </c>
      <c r="AE63" s="15">
        <v>0.72799999999999998</v>
      </c>
      <c r="AF63" s="14">
        <v>-0.42899999999999999</v>
      </c>
      <c r="AG63" s="15">
        <v>-0.252</v>
      </c>
      <c r="AH63" s="15">
        <v>0.14899999999999999</v>
      </c>
      <c r="AI63" s="15">
        <v>-1</v>
      </c>
      <c r="AJ63" s="15">
        <v>-0.65</v>
      </c>
      <c r="AK63" s="16">
        <v>-0.84599999999999997</v>
      </c>
      <c r="AL63" s="4">
        <v>-0.378</v>
      </c>
      <c r="AM63" s="4">
        <v>-0.33600000000000002</v>
      </c>
      <c r="AN63" s="4">
        <v>-0.55300000000000005</v>
      </c>
      <c r="AO63" s="4">
        <v>-0.317</v>
      </c>
      <c r="AP63" s="4">
        <v>0.41299999999999998</v>
      </c>
      <c r="AQ63" s="4">
        <v>0.52900000000000003</v>
      </c>
      <c r="AR63" s="4">
        <v>0.46899999999999997</v>
      </c>
      <c r="AS63" s="4">
        <v>1</v>
      </c>
      <c r="AT63" s="4">
        <v>0.65</v>
      </c>
      <c r="AU63" s="4">
        <v>-0.216</v>
      </c>
      <c r="AV63" s="4">
        <v>2E-3</v>
      </c>
      <c r="AW63" s="4">
        <v>0.17899999999999999</v>
      </c>
      <c r="AX63" s="4">
        <v>0.33</v>
      </c>
      <c r="AY63" s="4">
        <v>-0.58199999999999996</v>
      </c>
      <c r="AZ63" s="4">
        <v>0.63900000000000001</v>
      </c>
      <c r="BA63" s="4">
        <v>0.43</v>
      </c>
      <c r="BB63" s="4">
        <v>0.80500000000000005</v>
      </c>
      <c r="BC63" s="4">
        <v>-7.3999999999999996E-2</v>
      </c>
      <c r="BD63" s="4">
        <v>-0.29499999999999998</v>
      </c>
      <c r="BE63" s="4">
        <v>0.70899999999999996</v>
      </c>
      <c r="BF63" s="4">
        <v>0.24199999999999999</v>
      </c>
      <c r="BG63" s="4">
        <v>0.61399999999999999</v>
      </c>
      <c r="BH63" s="4">
        <v>0.753</v>
      </c>
      <c r="BI63" s="4">
        <v>-0.71899999999999997</v>
      </c>
      <c r="BJ63" s="4">
        <v>9.7000000000000003E-2</v>
      </c>
      <c r="BK63" s="4">
        <v>0.21299999999999999</v>
      </c>
      <c r="BL63" s="4">
        <v>-1</v>
      </c>
      <c r="BM63" s="4"/>
      <c r="BN63" s="4"/>
    </row>
    <row r="64" spans="1:66" x14ac:dyDescent="0.3">
      <c r="A64" t="s">
        <v>93</v>
      </c>
      <c r="B64" s="53">
        <v>1.4E-2</v>
      </c>
      <c r="C64" s="53">
        <f t="shared" si="4"/>
        <v>-8.9999999999999993E-3</v>
      </c>
      <c r="D64" s="53">
        <f t="shared" si="5"/>
        <v>0</v>
      </c>
      <c r="E64" s="53">
        <f t="shared" si="6"/>
        <v>2.3E-2</v>
      </c>
      <c r="F64" s="15">
        <v>1.488</v>
      </c>
      <c r="G64">
        <v>3.2280000000000002</v>
      </c>
      <c r="H64" t="s">
        <v>55</v>
      </c>
      <c r="I64" t="str">
        <f>VLOOKUP(A64,Setores!$A$2:$C$215,2,0)</f>
        <v>real_estate</v>
      </c>
      <c r="J64" t="str">
        <f>VLOOKUP(A64,Setores!$A$2:$C$215,3,0)</f>
        <v>high_beta</v>
      </c>
      <c r="K64" s="17">
        <v>1.4E-2</v>
      </c>
      <c r="L64" s="2">
        <v>-8.9999999999999993E-3</v>
      </c>
      <c r="M64" s="5">
        <v>1.42725782166667</v>
      </c>
      <c r="N64" s="41">
        <f>VLOOKUP(A64,'Mandato LP'!$A$2:$B$215,2,0)</f>
        <v>2.7098416348317202E-2</v>
      </c>
      <c r="O64" s="58">
        <f t="shared" si="7"/>
        <v>-1.3098416348317201E-2</v>
      </c>
      <c r="P64" s="42">
        <f t="shared" si="8"/>
        <v>-1.3098416348317201E-2</v>
      </c>
      <c r="Q64" s="41">
        <f>VLOOKUP(A64,'Mandato LP'!$A$2:$C$215,3,0)</f>
        <v>0</v>
      </c>
      <c r="R64" s="42">
        <f t="shared" si="9"/>
        <v>1.4E-2</v>
      </c>
      <c r="S64" s="15">
        <v>-0.26300000000000001</v>
      </c>
      <c r="T64" s="15">
        <v>-0.16400000000000001</v>
      </c>
      <c r="U64" s="15">
        <v>-0.69699999999999995</v>
      </c>
      <c r="V64" s="15">
        <v>-0.217</v>
      </c>
      <c r="W64" s="15">
        <v>-0.44500000000000001</v>
      </c>
      <c r="X64" s="15">
        <v>0.25700000000000001</v>
      </c>
      <c r="Y64" s="15">
        <v>0.68600000000000005</v>
      </c>
      <c r="Z64" s="15">
        <v>-1.2999999999999999E-2</v>
      </c>
      <c r="AA64" s="15">
        <v>0.314</v>
      </c>
      <c r="AB64" s="15">
        <v>0.313</v>
      </c>
      <c r="AC64" s="15">
        <v>0.77</v>
      </c>
      <c r="AD64" s="15">
        <v>0.76400000000000001</v>
      </c>
      <c r="AE64" s="15">
        <v>0.624</v>
      </c>
      <c r="AF64" s="14">
        <v>-8.5000000000000006E-2</v>
      </c>
      <c r="AG64" s="15">
        <v>-0.38500000000000001</v>
      </c>
      <c r="AH64" s="15">
        <v>-3.6999999999999998E-2</v>
      </c>
      <c r="AI64" s="15">
        <v>-0.76800000000000002</v>
      </c>
      <c r="AJ64" s="15">
        <v>-0.25</v>
      </c>
      <c r="AK64" s="16">
        <v>-0.53100000000000003</v>
      </c>
      <c r="AL64" s="4">
        <v>-0.11700000000000001</v>
      </c>
      <c r="AM64" s="4">
        <v>-0.122</v>
      </c>
      <c r="AN64" s="4">
        <v>-0.53400000000000003</v>
      </c>
      <c r="AO64" s="4">
        <v>0.129</v>
      </c>
      <c r="AP64" s="4">
        <v>0.129</v>
      </c>
      <c r="AQ64" s="4">
        <v>0.32900000000000001</v>
      </c>
      <c r="AR64" s="4">
        <v>-0.251</v>
      </c>
      <c r="AS64" s="4">
        <v>0.27800000000000002</v>
      </c>
      <c r="AT64" s="4">
        <v>-0.41399999999999998</v>
      </c>
      <c r="AU64" s="4">
        <v>-0.10299999999999999</v>
      </c>
      <c r="AV64" s="4">
        <v>0.81200000000000006</v>
      </c>
      <c r="AW64" s="4">
        <v>0.20599999999999999</v>
      </c>
      <c r="AX64" s="4">
        <v>0.316</v>
      </c>
      <c r="AY64" s="4">
        <v>0.29399999999999998</v>
      </c>
      <c r="AZ64" s="4">
        <v>0.51</v>
      </c>
      <c r="BA64" s="4">
        <v>0.45300000000000001</v>
      </c>
      <c r="BB64" s="4">
        <v>-0.314</v>
      </c>
      <c r="BC64" s="4">
        <v>0.216</v>
      </c>
      <c r="BD64" s="4">
        <v>0.216</v>
      </c>
      <c r="BE64" s="4">
        <v>0.503</v>
      </c>
      <c r="BF64" s="4">
        <v>-0.108</v>
      </c>
      <c r="BG64" s="4">
        <v>-0.22600000000000001</v>
      </c>
      <c r="BH64" s="4">
        <v>0.76100000000000001</v>
      </c>
      <c r="BI64" s="4">
        <v>-0.45700000000000002</v>
      </c>
      <c r="BJ64" s="4">
        <v>0.38200000000000001</v>
      </c>
      <c r="BK64" s="4">
        <v>-0.60699999999999998</v>
      </c>
      <c r="BL64" s="4">
        <v>-0.40400000000000003</v>
      </c>
      <c r="BM64" s="4"/>
      <c r="BN64" s="4"/>
    </row>
    <row r="65" spans="1:66" x14ac:dyDescent="0.3">
      <c r="A65" t="s">
        <v>131</v>
      </c>
      <c r="B65" s="53">
        <v>1.6E-2</v>
      </c>
      <c r="C65" s="53">
        <f t="shared" si="4"/>
        <v>1.0999999999999999E-2</v>
      </c>
      <c r="D65" s="53">
        <f t="shared" si="5"/>
        <v>0</v>
      </c>
      <c r="E65" s="53">
        <f t="shared" si="6"/>
        <v>5.000000000000001E-3</v>
      </c>
      <c r="F65" s="15">
        <v>1.4590000000000001</v>
      </c>
      <c r="G65">
        <v>1.728</v>
      </c>
      <c r="H65" t="s">
        <v>71</v>
      </c>
      <c r="I65" t="str">
        <f>VLOOKUP(A65,Setores!$A$2:$C$215,2,0)</f>
        <v>crude_oil</v>
      </c>
      <c r="J65" t="str">
        <f>VLOOKUP(A65,Setores!$A$2:$C$215,3,0)</f>
        <v>very_low_beta</v>
      </c>
      <c r="K65" s="17">
        <v>1.6E-2</v>
      </c>
      <c r="L65" s="2">
        <v>1.0999999999999999E-2</v>
      </c>
      <c r="M65" s="5">
        <v>1.74042270432333</v>
      </c>
      <c r="N65" s="41">
        <f>VLOOKUP(A65,'Mandato LP'!$A$2:$B$215,2,0)</f>
        <v>9.5957938809067295E-3</v>
      </c>
      <c r="O65" s="58">
        <f t="shared" si="7"/>
        <v>6.4042061190932708E-3</v>
      </c>
      <c r="P65" s="42">
        <f t="shared" si="8"/>
        <v>6.4042061190932708E-3</v>
      </c>
      <c r="Q65" s="41">
        <f>VLOOKUP(A65,'Mandato LP'!$A$2:$C$215,3,0)</f>
        <v>1.6038235036781499E-2</v>
      </c>
      <c r="R65" s="42">
        <f t="shared" si="9"/>
        <v>-3.8235036781499032E-5</v>
      </c>
      <c r="S65" s="15">
        <v>-0.62</v>
      </c>
      <c r="T65" s="15">
        <v>0.30199999999999999</v>
      </c>
      <c r="U65" s="15">
        <v>-0.76900000000000002</v>
      </c>
      <c r="V65" s="15">
        <v>-0.52400000000000002</v>
      </c>
      <c r="W65" s="15">
        <v>-0.27400000000000002</v>
      </c>
      <c r="X65" s="15">
        <v>-0.13800000000000001</v>
      </c>
      <c r="Y65" s="15">
        <v>-0.11700000000000001</v>
      </c>
      <c r="Z65" s="15">
        <v>0.36699999999999999</v>
      </c>
      <c r="AA65" s="15">
        <v>0.54200000000000004</v>
      </c>
      <c r="AB65" s="15">
        <v>0.54200000000000004</v>
      </c>
      <c r="AC65" s="15">
        <v>0.503</v>
      </c>
      <c r="AD65" s="15">
        <v>0.63200000000000001</v>
      </c>
      <c r="AE65" s="15">
        <v>0.76700000000000002</v>
      </c>
      <c r="AF65" s="14">
        <v>-0.84599999999999997</v>
      </c>
      <c r="AG65" s="15">
        <v>-0.82899999999999996</v>
      </c>
      <c r="AH65" s="15">
        <v>1</v>
      </c>
      <c r="AI65" s="15">
        <v>-0.27500000000000002</v>
      </c>
      <c r="AJ65" s="15">
        <v>0.75</v>
      </c>
      <c r="AK65" s="16">
        <v>-0.72099999999999997</v>
      </c>
      <c r="AL65" s="4">
        <v>-0.316</v>
      </c>
      <c r="AM65" s="4">
        <v>0.35799999999999998</v>
      </c>
      <c r="AN65" s="4">
        <v>-0.127</v>
      </c>
      <c r="AO65" s="4">
        <v>0.03</v>
      </c>
      <c r="AP65" s="4">
        <v>0.496</v>
      </c>
      <c r="AQ65" s="4">
        <v>0.98299999999999998</v>
      </c>
      <c r="AR65" s="4">
        <v>-0.51100000000000001</v>
      </c>
      <c r="AS65" s="4">
        <v>-0.16</v>
      </c>
      <c r="AT65" s="4">
        <v>-0.52100000000000002</v>
      </c>
      <c r="AU65" s="4">
        <v>2E-3</v>
      </c>
      <c r="AV65" s="4">
        <v>8.7999999999999995E-2</v>
      </c>
      <c r="AW65" s="4">
        <v>-0.79800000000000004</v>
      </c>
      <c r="AX65" s="4">
        <v>0.33800000000000002</v>
      </c>
      <c r="AY65" s="4">
        <v>0.156</v>
      </c>
      <c r="AZ65" s="4">
        <v>0.80400000000000005</v>
      </c>
      <c r="BA65" s="4">
        <v>0.28100000000000003</v>
      </c>
      <c r="BB65" s="4">
        <v>-0.17499999999999999</v>
      </c>
      <c r="BC65" s="4">
        <v>-8.1000000000000003E-2</v>
      </c>
      <c r="BD65" s="4">
        <v>-0.47399999999999998</v>
      </c>
      <c r="BE65" s="4">
        <v>-0.24199999999999999</v>
      </c>
      <c r="BF65" s="4">
        <v>-0.22900000000000001</v>
      </c>
      <c r="BG65" s="4">
        <v>2.8000000000000001E-2</v>
      </c>
      <c r="BH65" s="4">
        <v>0.48299999999999998</v>
      </c>
      <c r="BI65" s="4">
        <v>-0.13600000000000001</v>
      </c>
      <c r="BJ65" s="4">
        <v>-0.95699999999999996</v>
      </c>
      <c r="BK65" s="4">
        <v>-0.49</v>
      </c>
      <c r="BL65" s="4">
        <v>0.46500000000000002</v>
      </c>
      <c r="BM65" s="4"/>
      <c r="BN65" s="4"/>
    </row>
    <row r="66" spans="1:66" x14ac:dyDescent="0.3">
      <c r="A66" t="s">
        <v>201</v>
      </c>
      <c r="B66" s="53">
        <v>1.2999999999999999E-2</v>
      </c>
      <c r="C66" s="53">
        <f t="shared" si="4"/>
        <v>1.2999999999999999E-2</v>
      </c>
      <c r="D66" s="53">
        <f t="shared" si="5"/>
        <v>0</v>
      </c>
      <c r="E66" s="53">
        <f t="shared" si="6"/>
        <v>0</v>
      </c>
      <c r="F66" s="15">
        <v>1.44</v>
      </c>
      <c r="G66">
        <v>1.1160000000000001</v>
      </c>
      <c r="H66" t="s">
        <v>71</v>
      </c>
      <c r="I66" t="str">
        <f>VLOOKUP(A66,Setores!$A$2:$C$215,2,0)</f>
        <v>food</v>
      </c>
      <c r="J66" t="str">
        <f>VLOOKUP(A66,Setores!$A$2:$C$215,3,0)</f>
        <v>very_low_beta</v>
      </c>
      <c r="K66" s="17">
        <v>1.2999999999999999E-2</v>
      </c>
      <c r="L66" s="2">
        <v>1.2999999999999999E-2</v>
      </c>
      <c r="M66" s="5">
        <v>0.170100529986667</v>
      </c>
      <c r="N66" s="41">
        <f>VLOOKUP(A66,'Mandato LP'!$A$2:$B$215,2,0)</f>
        <v>5.8230589571922602E-3</v>
      </c>
      <c r="O66" s="58">
        <f t="shared" si="7"/>
        <v>7.1769410428077392E-3</v>
      </c>
      <c r="P66" s="42">
        <f t="shared" si="8"/>
        <v>7.1769410428077392E-3</v>
      </c>
      <c r="Q66" s="41">
        <f>VLOOKUP(A66,'Mandato LP'!$A$2:$C$215,3,0)</f>
        <v>5.2343396043897103E-3</v>
      </c>
      <c r="R66" s="42">
        <f t="shared" si="9"/>
        <v>7.7656603956102891E-3</v>
      </c>
      <c r="S66" s="15">
        <v>2E-3</v>
      </c>
      <c r="T66" s="15">
        <v>0.64300000000000002</v>
      </c>
      <c r="U66" s="15">
        <v>0.04</v>
      </c>
      <c r="V66" s="15">
        <v>-0.309</v>
      </c>
      <c r="W66" s="15">
        <v>0.13300000000000001</v>
      </c>
      <c r="X66" s="15">
        <v>-0.26200000000000001</v>
      </c>
      <c r="Y66" s="15">
        <v>-0.55800000000000005</v>
      </c>
      <c r="Z66" s="15">
        <v>-0.47699999999999998</v>
      </c>
      <c r="AA66" s="15">
        <v>0.34100000000000003</v>
      </c>
      <c r="AB66" s="15">
        <v>0.34200000000000003</v>
      </c>
      <c r="AC66" s="15">
        <v>0.96299999999999997</v>
      </c>
      <c r="AD66" s="15">
        <v>1</v>
      </c>
      <c r="AE66" s="15">
        <v>0.90600000000000003</v>
      </c>
      <c r="AF66" s="14">
        <v>-0.151</v>
      </c>
      <c r="AG66" s="15">
        <v>-0.185</v>
      </c>
      <c r="AH66" s="15">
        <v>0.86899999999999999</v>
      </c>
      <c r="AI66" s="15">
        <v>0.80900000000000005</v>
      </c>
      <c r="AJ66" s="15">
        <v>0.67</v>
      </c>
      <c r="AK66" s="16">
        <v>-0.65700000000000003</v>
      </c>
      <c r="AL66" s="4">
        <v>0.33100000000000002</v>
      </c>
      <c r="AM66" s="4">
        <v>-0.86399999999999999</v>
      </c>
      <c r="AN66" s="4">
        <v>0.44900000000000001</v>
      </c>
      <c r="AO66" s="4">
        <v>-0.16700000000000001</v>
      </c>
      <c r="AP66" s="4">
        <v>-2.9000000000000001E-2</v>
      </c>
      <c r="AQ66" s="4">
        <v>0.52200000000000002</v>
      </c>
      <c r="AR66" s="4">
        <v>-1</v>
      </c>
      <c r="AS66" s="4">
        <v>0.91700000000000004</v>
      </c>
      <c r="AT66" s="4">
        <v>7.0000000000000007E-2</v>
      </c>
      <c r="AU66" s="4">
        <v>-0.21199999999999999</v>
      </c>
      <c r="AV66" s="4">
        <v>-0.39800000000000002</v>
      </c>
      <c r="AW66" s="4">
        <v>-0.26200000000000001</v>
      </c>
      <c r="AX66" s="4">
        <v>0.22600000000000001</v>
      </c>
      <c r="AY66" s="4">
        <v>-0.13200000000000001</v>
      </c>
      <c r="AZ66" s="4">
        <v>-3.9E-2</v>
      </c>
      <c r="BA66" s="4">
        <v>-0.92500000000000004</v>
      </c>
      <c r="BB66" s="4">
        <v>0.72</v>
      </c>
      <c r="BC66" s="4">
        <v>3.4000000000000002E-2</v>
      </c>
      <c r="BD66" s="4">
        <v>6.4000000000000001E-2</v>
      </c>
      <c r="BE66" s="4">
        <v>2.3E-2</v>
      </c>
      <c r="BF66" s="4">
        <v>1.7000000000000001E-2</v>
      </c>
      <c r="BG66" s="4">
        <v>0.33900000000000002</v>
      </c>
      <c r="BH66" s="4">
        <v>0.39700000000000002</v>
      </c>
      <c r="BI66" s="4">
        <v>0.44400000000000001</v>
      </c>
      <c r="BJ66" s="4">
        <v>-0.56799999999999995</v>
      </c>
      <c r="BK66" s="4">
        <v>0.627</v>
      </c>
      <c r="BL66" s="4">
        <v>0.82799999999999996</v>
      </c>
      <c r="BM66" s="4"/>
      <c r="BN66" s="4"/>
    </row>
    <row r="67" spans="1:66" x14ac:dyDescent="0.3">
      <c r="A67" t="s">
        <v>184</v>
      </c>
      <c r="B67" s="53">
        <v>1.2E-2</v>
      </c>
      <c r="C67" s="53">
        <f t="shared" si="4"/>
        <v>1.0000000000000009E-3</v>
      </c>
      <c r="D67" s="53">
        <f t="shared" si="5"/>
        <v>0</v>
      </c>
      <c r="E67" s="53">
        <f t="shared" si="6"/>
        <v>1.0999999999999999E-2</v>
      </c>
      <c r="F67" s="15">
        <v>1.4330000000000001</v>
      </c>
      <c r="G67">
        <v>2.3490000000000002</v>
      </c>
      <c r="H67" t="s">
        <v>57</v>
      </c>
      <c r="I67" t="str">
        <f>VLOOKUP(A67,Setores!$A$2:$C$215,2,0)</f>
        <v>financial_services</v>
      </c>
      <c r="J67" t="str">
        <f>VLOOKUP(A67,Setores!$A$2:$C$215,3,0)</f>
        <v>very_high_beta</v>
      </c>
      <c r="K67" s="17">
        <v>1.2E-2</v>
      </c>
      <c r="L67" s="2">
        <v>1E-3</v>
      </c>
      <c r="M67" s="5">
        <v>0.451822583616667</v>
      </c>
      <c r="N67" s="41">
        <f>VLOOKUP(A67,'Mandato LP'!$A$2:$B$215,2,0)</f>
        <v>1.46989511041034E-2</v>
      </c>
      <c r="O67" s="58">
        <f t="shared" si="7"/>
        <v>-2.6989511041033993E-3</v>
      </c>
      <c r="P67" s="42">
        <f t="shared" si="8"/>
        <v>-2.6989511041033993E-3</v>
      </c>
      <c r="Q67" s="41">
        <f>VLOOKUP(A67,'Mandato LP'!$A$2:$C$215,3,0)</f>
        <v>1.3656397767387E-2</v>
      </c>
      <c r="R67" s="42">
        <f t="shared" si="9"/>
        <v>-1.6563977673869999E-3</v>
      </c>
      <c r="S67" s="15">
        <v>-0.18099999999999999</v>
      </c>
      <c r="T67" s="15">
        <v>-0.20100000000000001</v>
      </c>
      <c r="U67" s="15">
        <v>-0.82499999999999996</v>
      </c>
      <c r="V67" s="15">
        <v>-3.6999999999999998E-2</v>
      </c>
      <c r="W67" s="15">
        <v>-0.53400000000000003</v>
      </c>
      <c r="X67" s="15">
        <v>0.22600000000000001</v>
      </c>
      <c r="Y67" s="15">
        <v>0.749</v>
      </c>
      <c r="Z67" s="15">
        <v>-0.17499999999999999</v>
      </c>
      <c r="AA67" s="15">
        <v>0.39500000000000002</v>
      </c>
      <c r="AB67" s="15">
        <v>0.39600000000000002</v>
      </c>
      <c r="AC67" s="15">
        <v>0.70099999999999996</v>
      </c>
      <c r="AD67" s="15">
        <v>0.72399999999999998</v>
      </c>
      <c r="AE67" s="15">
        <v>0.626</v>
      </c>
      <c r="AF67" s="14">
        <v>-3.1E-2</v>
      </c>
      <c r="AG67" s="15">
        <v>-0.59599999999999997</v>
      </c>
      <c r="AH67" s="15">
        <v>-0.32</v>
      </c>
      <c r="AI67" s="15">
        <v>-0.999</v>
      </c>
      <c r="AJ67" s="15">
        <v>-0.751</v>
      </c>
      <c r="AK67" s="16">
        <v>-0.73599999999999999</v>
      </c>
      <c r="AL67" s="4">
        <v>-0.38</v>
      </c>
      <c r="AM67" s="4">
        <v>-0.52900000000000003</v>
      </c>
      <c r="AN67" s="4">
        <v>-0.998</v>
      </c>
      <c r="AO67" s="4">
        <v>-0.20499999999999999</v>
      </c>
      <c r="AP67" s="4">
        <v>0.314</v>
      </c>
      <c r="AQ67" s="4">
        <v>0.40799999999999997</v>
      </c>
      <c r="AR67" s="4">
        <v>0.22500000000000001</v>
      </c>
      <c r="AS67" s="4">
        <v>0.435</v>
      </c>
      <c r="AT67" s="4">
        <v>0.78</v>
      </c>
      <c r="AU67" s="4">
        <v>0.45200000000000001</v>
      </c>
      <c r="AV67" s="4">
        <v>1</v>
      </c>
      <c r="AW67" s="4">
        <v>0.74</v>
      </c>
      <c r="AX67" s="4">
        <v>-2.1000000000000001E-2</v>
      </c>
      <c r="AY67" s="4">
        <v>0.161</v>
      </c>
      <c r="AZ67" s="4">
        <v>0.17699999999999999</v>
      </c>
      <c r="BA67" s="4">
        <v>-6.9000000000000006E-2</v>
      </c>
      <c r="BB67" s="4">
        <v>0.44600000000000001</v>
      </c>
      <c r="BC67" s="4">
        <v>0.23699999999999999</v>
      </c>
      <c r="BD67" s="4">
        <v>0.28000000000000003</v>
      </c>
      <c r="BE67" s="4">
        <v>0.41099999999999998</v>
      </c>
      <c r="BF67" s="4">
        <v>3.9E-2</v>
      </c>
      <c r="BG67" s="4">
        <v>0.23300000000000001</v>
      </c>
      <c r="BH67" s="4">
        <v>0.90600000000000003</v>
      </c>
      <c r="BI67" s="4">
        <v>-0.35799999999999998</v>
      </c>
      <c r="BJ67" s="4">
        <v>0.315</v>
      </c>
      <c r="BK67" s="4">
        <v>-0.504</v>
      </c>
      <c r="BL67" s="4">
        <v>-0.78900000000000003</v>
      </c>
      <c r="BM67" s="4"/>
      <c r="BN67" s="4"/>
    </row>
    <row r="68" spans="1:66" x14ac:dyDescent="0.3">
      <c r="A68" t="s">
        <v>205</v>
      </c>
      <c r="B68" s="53">
        <v>2.1000000000000001E-2</v>
      </c>
      <c r="C68" s="53">
        <f t="shared" si="4"/>
        <v>-9.9999999999999985E-3</v>
      </c>
      <c r="D68" s="53">
        <f t="shared" si="5"/>
        <v>0</v>
      </c>
      <c r="E68" s="53">
        <f t="shared" si="6"/>
        <v>3.1E-2</v>
      </c>
      <c r="F68" s="15">
        <v>1.381</v>
      </c>
      <c r="G68">
        <v>2.8460000000000001</v>
      </c>
      <c r="H68" t="s">
        <v>57</v>
      </c>
      <c r="I68" t="str">
        <f>VLOOKUP(A68,Setores!$A$2:$C$215,2,0)</f>
        <v>consumer_services</v>
      </c>
      <c r="J68" t="str">
        <f>VLOOKUP(A68,Setores!$A$2:$C$215,3,0)</f>
        <v>low_beta</v>
      </c>
      <c r="K68" s="17">
        <v>2.1000000000000001E-2</v>
      </c>
      <c r="L68" s="2">
        <v>-0.01</v>
      </c>
      <c r="M68" s="5">
        <v>1.4213532014966701</v>
      </c>
      <c r="N68" s="41">
        <f>VLOOKUP(A68,'Mandato LP'!$A$2:$B$215,2,0)</f>
        <v>3.0789720473047399E-2</v>
      </c>
      <c r="O68" s="58">
        <f t="shared" si="7"/>
        <v>-9.7897204730473981E-3</v>
      </c>
      <c r="P68" s="42">
        <f t="shared" si="8"/>
        <v>-9.7897204730473981E-3</v>
      </c>
      <c r="Q68" s="41">
        <f>VLOOKUP(A68,'Mandato LP'!$A$2:$C$215,3,0)</f>
        <v>5.6044724107550799E-2</v>
      </c>
      <c r="R68" s="42">
        <f t="shared" si="9"/>
        <v>-3.5044724107550801E-2</v>
      </c>
      <c r="S68" s="15">
        <v>-0.39900000000000002</v>
      </c>
      <c r="T68" s="15">
        <v>-0.157</v>
      </c>
      <c r="U68" s="15">
        <v>-0.88600000000000001</v>
      </c>
      <c r="V68" s="15">
        <v>-8.7999999999999995E-2</v>
      </c>
      <c r="W68" s="15">
        <v>-0.48199999999999998</v>
      </c>
      <c r="X68" s="15">
        <v>-0.26500000000000001</v>
      </c>
      <c r="Y68" s="15">
        <v>-0.34799999999999998</v>
      </c>
      <c r="Z68" s="15">
        <v>0.10299999999999999</v>
      </c>
      <c r="AA68" s="15">
        <v>0.64300000000000002</v>
      </c>
      <c r="AB68" s="15">
        <v>0.64500000000000002</v>
      </c>
      <c r="AC68" s="15">
        <v>0.72599999999999998</v>
      </c>
      <c r="AD68" s="15">
        <v>0.8</v>
      </c>
      <c r="AE68" s="15">
        <v>0.81</v>
      </c>
      <c r="AF68" s="14">
        <v>-0.46899999999999997</v>
      </c>
      <c r="AG68" s="15">
        <v>-0.34799999999999998</v>
      </c>
      <c r="AH68" s="15">
        <v>0.52900000000000003</v>
      </c>
      <c r="AI68" s="15">
        <v>-0.92200000000000004</v>
      </c>
      <c r="AJ68" s="15">
        <v>-0.39800000000000002</v>
      </c>
      <c r="AK68" s="16">
        <v>-0.97</v>
      </c>
      <c r="AL68" s="4">
        <v>-4.8000000000000001E-2</v>
      </c>
      <c r="AM68" s="4">
        <v>-0.378</v>
      </c>
      <c r="AN68" s="4">
        <v>-0.65100000000000002</v>
      </c>
      <c r="AO68" s="4">
        <v>-0.28000000000000003</v>
      </c>
      <c r="AP68" s="4">
        <v>0.70699999999999996</v>
      </c>
      <c r="AQ68" s="4">
        <v>0.44400000000000001</v>
      </c>
      <c r="AR68" s="4">
        <v>0.27800000000000002</v>
      </c>
      <c r="AS68" s="4">
        <v>0.88500000000000001</v>
      </c>
      <c r="AT68" s="4">
        <v>0.39700000000000002</v>
      </c>
      <c r="AU68" s="4">
        <v>0.52900000000000003</v>
      </c>
      <c r="AV68" s="4">
        <v>-0.61599999999999999</v>
      </c>
      <c r="AW68" s="4">
        <v>-7.0000000000000001E-3</v>
      </c>
      <c r="AX68" s="4">
        <v>0.184</v>
      </c>
      <c r="AY68" s="4">
        <v>-0.36699999999999999</v>
      </c>
      <c r="AZ68" s="4">
        <v>0.53200000000000003</v>
      </c>
      <c r="BA68" s="4">
        <v>0.57799999999999996</v>
      </c>
      <c r="BB68" s="4">
        <v>-4.2999999999999997E-2</v>
      </c>
      <c r="BC68" s="4">
        <v>-0.11700000000000001</v>
      </c>
      <c r="BD68" s="4">
        <v>0.11899999999999999</v>
      </c>
      <c r="BE68" s="4">
        <v>0.78100000000000003</v>
      </c>
      <c r="BF68" s="4">
        <v>-0.87</v>
      </c>
      <c r="BG68" s="4">
        <v>-0.64600000000000002</v>
      </c>
      <c r="BH68" s="4">
        <v>0.41699999999999998</v>
      </c>
      <c r="BI68" s="4">
        <v>-0.70099999999999996</v>
      </c>
      <c r="BJ68" s="4">
        <v>-0.314</v>
      </c>
      <c r="BK68" s="4">
        <v>-0.41099999999999998</v>
      </c>
      <c r="BL68" s="4">
        <v>-0.57699999999999996</v>
      </c>
      <c r="BM68" s="4"/>
      <c r="BN68" s="4"/>
    </row>
    <row r="69" spans="1:66" x14ac:dyDescent="0.3">
      <c r="A69" t="s">
        <v>153</v>
      </c>
      <c r="B69" s="53">
        <v>1.7999999999999999E-2</v>
      </c>
      <c r="C69" s="53">
        <f t="shared" si="4"/>
        <v>1.2999999999999999E-2</v>
      </c>
      <c r="D69" s="53">
        <f t="shared" si="5"/>
        <v>0</v>
      </c>
      <c r="E69" s="53">
        <f t="shared" si="6"/>
        <v>4.9999999999999992E-3</v>
      </c>
      <c r="F69" s="15">
        <v>1.349</v>
      </c>
      <c r="G69">
        <v>1.6579999999999999</v>
      </c>
      <c r="H69" t="s">
        <v>57</v>
      </c>
      <c r="I69" t="str">
        <f>VLOOKUP(A69,Setores!$A$2:$C$215,2,0)</f>
        <v>consumer_services</v>
      </c>
      <c r="J69" t="str">
        <f>VLOOKUP(A69,Setores!$A$2:$C$215,3,0)</f>
        <v>very_low_beta</v>
      </c>
      <c r="K69" s="17">
        <v>1.7999999999999999E-2</v>
      </c>
      <c r="L69" s="2">
        <v>1.2999999999999999E-2</v>
      </c>
      <c r="M69" s="5">
        <v>0.88338808666666702</v>
      </c>
      <c r="N69" s="41">
        <f>VLOOKUP(A69,'Mandato LP'!$A$2:$B$215,2,0)</f>
        <v>7.6331341876972898E-3</v>
      </c>
      <c r="O69" s="58">
        <f t="shared" si="7"/>
        <v>1.0366865812302709E-2</v>
      </c>
      <c r="P69" s="42">
        <f t="shared" si="8"/>
        <v>1.0366865812302709E-2</v>
      </c>
      <c r="Q69" s="41">
        <f>VLOOKUP(A69,'Mandato LP'!$A$2:$C$215,3,0)</f>
        <v>1.19814608461266E-2</v>
      </c>
      <c r="R69" s="42">
        <f t="shared" si="9"/>
        <v>6.0185391538733982E-3</v>
      </c>
      <c r="S69" s="15">
        <v>-0.41199999999999998</v>
      </c>
      <c r="T69" s="15">
        <v>-8.7999999999999995E-2</v>
      </c>
      <c r="U69" s="15">
        <v>-0.88500000000000001</v>
      </c>
      <c r="V69" s="15">
        <v>-0.13400000000000001</v>
      </c>
      <c r="W69" s="15">
        <v>-0.45200000000000001</v>
      </c>
      <c r="X69" s="15">
        <v>-0.253</v>
      </c>
      <c r="Y69" s="15">
        <v>-0.24299999999999999</v>
      </c>
      <c r="Z69" s="15">
        <v>1.6E-2</v>
      </c>
      <c r="AA69" s="15">
        <v>0.66700000000000004</v>
      </c>
      <c r="AB69" s="15">
        <v>0.66900000000000004</v>
      </c>
      <c r="AC69" s="15">
        <v>0.54100000000000004</v>
      </c>
      <c r="AD69" s="15">
        <v>0.83399999999999996</v>
      </c>
      <c r="AE69" s="15">
        <v>0.82899999999999996</v>
      </c>
      <c r="AF69" s="14">
        <v>-0.63800000000000001</v>
      </c>
      <c r="AG69" s="15">
        <v>-0.309</v>
      </c>
      <c r="AH69" s="15">
        <v>0.70699999999999996</v>
      </c>
      <c r="AI69" s="15">
        <v>-0.91300000000000003</v>
      </c>
      <c r="AJ69" s="15">
        <v>-0.27600000000000002</v>
      </c>
      <c r="AK69" s="16">
        <v>-0.93300000000000005</v>
      </c>
      <c r="AL69" s="4">
        <v>-9.5000000000000001E-2</v>
      </c>
      <c r="AM69" s="4">
        <v>-0.46300000000000002</v>
      </c>
      <c r="AN69" s="4">
        <v>-0.64400000000000002</v>
      </c>
      <c r="AO69" s="4">
        <v>0.10199999999999999</v>
      </c>
      <c r="AP69" s="4">
        <v>0.70599999999999996</v>
      </c>
      <c r="AQ69" s="4">
        <v>0.65</v>
      </c>
      <c r="AR69" s="4">
        <v>0.315</v>
      </c>
      <c r="AS69" s="4">
        <v>0.71699999999999997</v>
      </c>
      <c r="AT69" s="4">
        <v>0.41799999999999998</v>
      </c>
      <c r="AU69" s="4">
        <v>0.54700000000000004</v>
      </c>
      <c r="AV69" s="4">
        <v>-0.61899999999999999</v>
      </c>
      <c r="AW69" s="4">
        <v>-0.122</v>
      </c>
      <c r="AX69" s="4">
        <v>9.7000000000000003E-2</v>
      </c>
      <c r="AY69" s="4">
        <v>-0.154</v>
      </c>
      <c r="AZ69" s="4">
        <v>0.89800000000000002</v>
      </c>
      <c r="BA69" s="4">
        <v>-0.25800000000000001</v>
      </c>
      <c r="BB69" s="4">
        <v>0.57999999999999996</v>
      </c>
      <c r="BC69" s="4">
        <v>-0.51400000000000001</v>
      </c>
      <c r="BD69" s="4">
        <v>-0.501</v>
      </c>
      <c r="BE69" s="4">
        <v>0.52900000000000003</v>
      </c>
      <c r="BF69" s="4">
        <v>-0.70099999999999996</v>
      </c>
      <c r="BG69" s="4">
        <v>-0.16500000000000001</v>
      </c>
      <c r="BH69" s="4">
        <v>0.68600000000000005</v>
      </c>
      <c r="BI69" s="4">
        <v>-0.52900000000000003</v>
      </c>
      <c r="BJ69" s="4">
        <v>-0.57899999999999996</v>
      </c>
      <c r="BK69" s="4">
        <v>-0.17799999999999999</v>
      </c>
      <c r="BL69" s="4">
        <v>-0.502</v>
      </c>
      <c r="BM69" s="4"/>
      <c r="BN69" s="4"/>
    </row>
    <row r="70" spans="1:66" x14ac:dyDescent="0.3">
      <c r="A70" t="s">
        <v>152</v>
      </c>
      <c r="B70" s="53">
        <v>8.0000000000000002E-3</v>
      </c>
      <c r="C70" s="53">
        <f t="shared" si="4"/>
        <v>8.0000000000000002E-3</v>
      </c>
      <c r="D70" s="53">
        <f t="shared" si="5"/>
        <v>0</v>
      </c>
      <c r="E70" s="53">
        <f t="shared" si="6"/>
        <v>0</v>
      </c>
      <c r="F70" s="15">
        <v>1.3220000000000001</v>
      </c>
      <c r="G70">
        <v>1.0089999999999999</v>
      </c>
      <c r="H70" t="s">
        <v>57</v>
      </c>
      <c r="I70" t="str">
        <f>VLOOKUP(A70,Setores!$A$2:$C$215,2,0)</f>
        <v>homebuilders</v>
      </c>
      <c r="J70" t="str">
        <f>VLOOKUP(A70,Setores!$A$2:$C$215,3,0)</f>
        <v>high_beta</v>
      </c>
      <c r="K70" s="17">
        <v>8.0000000000000002E-3</v>
      </c>
      <c r="L70" s="2">
        <v>8.0000000000000002E-3</v>
      </c>
      <c r="M70" s="5">
        <v>0.46791070033333299</v>
      </c>
      <c r="N70" s="41">
        <f>VLOOKUP(A70,'Mandato LP'!$A$2:$B$215,2,0)</f>
        <v>5.34310225568016E-3</v>
      </c>
      <c r="O70" s="58">
        <f t="shared" si="7"/>
        <v>2.6568977443198402E-3</v>
      </c>
      <c r="P70" s="42">
        <f t="shared" si="8"/>
        <v>2.6568977443198402E-3</v>
      </c>
      <c r="Q70" s="41">
        <f>VLOOKUP(A70,'Mandato LP'!$A$2:$C$215,3,0)</f>
        <v>1.0576239965865E-2</v>
      </c>
      <c r="R70" s="42">
        <f t="shared" si="9"/>
        <v>-2.5762399658650001E-3</v>
      </c>
      <c r="S70" s="15">
        <v>0.19</v>
      </c>
      <c r="T70" s="15">
        <v>-6.0999999999999999E-2</v>
      </c>
      <c r="U70" s="15">
        <v>-0.24199999999999999</v>
      </c>
      <c r="V70" s="15">
        <v>0.26500000000000001</v>
      </c>
      <c r="W70" s="15">
        <v>-9.6000000000000002E-2</v>
      </c>
      <c r="X70" s="15">
        <v>-0.20399999999999999</v>
      </c>
      <c r="Y70" s="15">
        <v>-0.51</v>
      </c>
      <c r="Z70" s="15">
        <v>-0.221</v>
      </c>
      <c r="AA70" s="15">
        <v>2.7E-2</v>
      </c>
      <c r="AB70" s="15">
        <v>2.4E-2</v>
      </c>
      <c r="AC70" s="15">
        <v>0.82799999999999996</v>
      </c>
      <c r="AD70" s="15">
        <v>0.76500000000000001</v>
      </c>
      <c r="AE70" s="15">
        <v>0.57699999999999996</v>
      </c>
      <c r="AF70" s="14">
        <v>0.14399999999999999</v>
      </c>
      <c r="AG70" s="15">
        <v>0.40400000000000003</v>
      </c>
      <c r="AH70" s="15">
        <v>-3.4000000000000002E-2</v>
      </c>
      <c r="AI70" s="15">
        <v>-0.53</v>
      </c>
      <c r="AJ70" s="15">
        <v>0.40400000000000003</v>
      </c>
      <c r="AK70" s="16">
        <v>0.371</v>
      </c>
      <c r="AL70" s="4">
        <v>-0.112</v>
      </c>
      <c r="AM70" s="4">
        <v>-0.752</v>
      </c>
      <c r="AN70" s="4">
        <v>-0.73699999999999999</v>
      </c>
      <c r="AO70" s="4">
        <v>0.377</v>
      </c>
      <c r="AP70" s="4">
        <v>0.26700000000000002</v>
      </c>
      <c r="AQ70" s="4">
        <v>0.214</v>
      </c>
      <c r="AR70" s="4">
        <v>1</v>
      </c>
      <c r="AS70" s="4">
        <v>0.58499999999999996</v>
      </c>
      <c r="AT70" s="4">
        <v>0.29299999999999998</v>
      </c>
      <c r="AU70" s="4">
        <v>0.47199999999999998</v>
      </c>
      <c r="AV70" s="4">
        <v>-0.23499999999999999</v>
      </c>
      <c r="AW70" s="4">
        <v>0.70199999999999996</v>
      </c>
      <c r="AX70" s="4">
        <v>-0.30399999999999999</v>
      </c>
      <c r="AY70" s="4">
        <v>1.9E-2</v>
      </c>
      <c r="AZ70" s="4">
        <v>-0.47599999999999998</v>
      </c>
      <c r="BA70" s="4">
        <v>0.85199999999999998</v>
      </c>
      <c r="BB70" s="4">
        <v>0.51900000000000002</v>
      </c>
      <c r="BC70" s="4">
        <v>-0.496</v>
      </c>
      <c r="BD70" s="4">
        <v>-0.14199999999999999</v>
      </c>
      <c r="BE70" s="4">
        <v>0.47699999999999998</v>
      </c>
      <c r="BF70" s="4">
        <v>0.11</v>
      </c>
      <c r="BG70" s="4">
        <v>-0.52200000000000002</v>
      </c>
      <c r="BH70" s="4">
        <v>-0.433</v>
      </c>
      <c r="BI70" s="4">
        <v>-0.67</v>
      </c>
      <c r="BJ70" s="4">
        <v>0.41799999999999998</v>
      </c>
      <c r="BK70" s="4">
        <v>-0.72899999999999998</v>
      </c>
      <c r="BL70" s="4">
        <v>2.5000000000000001E-2</v>
      </c>
      <c r="BM70" s="4"/>
      <c r="BN70" s="4"/>
    </row>
    <row r="71" spans="1:66" x14ac:dyDescent="0.3">
      <c r="A71" t="s">
        <v>107</v>
      </c>
      <c r="B71" s="53">
        <v>2.1999999999999999E-2</v>
      </c>
      <c r="C71" s="53">
        <f t="shared" si="4"/>
        <v>3.9999999999999966E-3</v>
      </c>
      <c r="D71" s="53">
        <f t="shared" si="5"/>
        <v>-2.0000000000000018E-3</v>
      </c>
      <c r="E71" s="53">
        <f t="shared" si="6"/>
        <v>1.8000000000000002E-2</v>
      </c>
      <c r="F71" s="15">
        <v>1.3080000000000001</v>
      </c>
      <c r="G71">
        <v>2.573</v>
      </c>
      <c r="H71" t="s">
        <v>53</v>
      </c>
      <c r="I71" t="str">
        <f>VLOOKUP(A71,Setores!$A$2:$C$215,2,0)</f>
        <v>float_financials</v>
      </c>
      <c r="J71" t="str">
        <f>VLOOKUP(A71,Setores!$A$2:$C$215,3,0)</f>
        <v>very_low_beta</v>
      </c>
      <c r="K71" s="17">
        <v>2.4E-2</v>
      </c>
      <c r="L71" s="2">
        <v>6.0000000000000001E-3</v>
      </c>
      <c r="M71" s="5">
        <v>1.1747798110000001</v>
      </c>
      <c r="N71" s="41">
        <f>VLOOKUP(A71,'Mandato LP'!$A$2:$B$215,2,0)</f>
        <v>1.90566792672269E-2</v>
      </c>
      <c r="O71" s="58">
        <f t="shared" si="7"/>
        <v>4.9433207327731002E-3</v>
      </c>
      <c r="P71" s="42">
        <f t="shared" si="8"/>
        <v>2.9433207327730984E-3</v>
      </c>
      <c r="Q71" s="41">
        <f>VLOOKUP(A71,'Mandato LP'!$A$2:$C$215,3,0)</f>
        <v>3.1582017333827303E-2</v>
      </c>
      <c r="R71" s="42">
        <f t="shared" si="9"/>
        <v>-7.5820173338273025E-3</v>
      </c>
      <c r="S71" s="15">
        <v>-0.64300000000000002</v>
      </c>
      <c r="T71" s="15">
        <v>-0.5</v>
      </c>
      <c r="U71" s="15">
        <v>-0.81799999999999995</v>
      </c>
      <c r="V71" s="15">
        <v>-0.16900000000000001</v>
      </c>
      <c r="W71" s="15">
        <v>-0.45900000000000002</v>
      </c>
      <c r="X71" s="15">
        <v>-7.4999999999999997E-2</v>
      </c>
      <c r="Y71" s="15">
        <v>0.45</v>
      </c>
      <c r="Z71" s="15">
        <v>0.16500000000000001</v>
      </c>
      <c r="AA71" s="15">
        <v>0.39</v>
      </c>
      <c r="AB71" s="15">
        <v>0.39400000000000002</v>
      </c>
      <c r="AC71" s="15">
        <v>0.755</v>
      </c>
      <c r="AD71" s="15">
        <v>0.77500000000000002</v>
      </c>
      <c r="AE71" s="15">
        <v>0.66100000000000003</v>
      </c>
      <c r="AF71" s="14">
        <v>-0.246</v>
      </c>
      <c r="AG71" s="15">
        <v>-0.112</v>
      </c>
      <c r="AH71" s="15">
        <v>0.11600000000000001</v>
      </c>
      <c r="AI71" s="15">
        <v>-0.91600000000000004</v>
      </c>
      <c r="AJ71" s="15">
        <v>-0.57499999999999996</v>
      </c>
      <c r="AK71" s="16">
        <v>-0.57999999999999996</v>
      </c>
      <c r="AL71" s="4">
        <v>-0.23100000000000001</v>
      </c>
      <c r="AM71" s="4">
        <v>9.4E-2</v>
      </c>
      <c r="AN71" s="4">
        <v>-0.9</v>
      </c>
      <c r="AO71" s="4">
        <v>-0.16500000000000001</v>
      </c>
      <c r="AP71" s="4">
        <v>0.49</v>
      </c>
      <c r="AQ71" s="4">
        <v>0.34300000000000003</v>
      </c>
      <c r="AR71" s="4">
        <v>5.1999999999999998E-2</v>
      </c>
      <c r="AS71" s="4">
        <v>0.30499999999999999</v>
      </c>
      <c r="AT71" s="4">
        <v>9.9000000000000005E-2</v>
      </c>
      <c r="AU71" s="4">
        <v>0.21199999999999999</v>
      </c>
      <c r="AV71" s="4">
        <v>0.156</v>
      </c>
      <c r="AW71" s="4">
        <v>5.0999999999999997E-2</v>
      </c>
      <c r="AX71" s="4">
        <v>0.81699999999999995</v>
      </c>
      <c r="AY71" s="4">
        <v>-0.15</v>
      </c>
      <c r="AZ71" s="4">
        <v>0.85699999999999998</v>
      </c>
      <c r="BA71" s="4">
        <v>-0.66600000000000004</v>
      </c>
      <c r="BB71" s="4">
        <v>-0.157</v>
      </c>
      <c r="BC71" s="4">
        <v>-0.17799999999999999</v>
      </c>
      <c r="BD71" s="4">
        <v>-0.03</v>
      </c>
      <c r="BE71" s="4">
        <v>-0.89400000000000002</v>
      </c>
      <c r="BF71" s="4">
        <v>-0.27200000000000002</v>
      </c>
      <c r="BG71" s="4">
        <v>0.72599999999999998</v>
      </c>
      <c r="BH71" s="4">
        <v>0.84899999999999998</v>
      </c>
      <c r="BI71" s="4">
        <v>-0.63</v>
      </c>
      <c r="BJ71" s="4">
        <v>-0.379</v>
      </c>
      <c r="BK71" s="4">
        <v>0.22700000000000001</v>
      </c>
      <c r="BL71" s="4">
        <v>-0.496</v>
      </c>
      <c r="BM71" s="4"/>
      <c r="BN71" s="4"/>
    </row>
    <row r="72" spans="1:66" x14ac:dyDescent="0.3">
      <c r="A72" t="s">
        <v>123</v>
      </c>
      <c r="B72" s="53">
        <v>1.4999999999999999E-2</v>
      </c>
      <c r="C72" s="53">
        <f t="shared" si="4"/>
        <v>1.2E-2</v>
      </c>
      <c r="D72" s="53">
        <f t="shared" si="5"/>
        <v>-4.0000000000000001E-3</v>
      </c>
      <c r="E72" s="53">
        <f t="shared" si="6"/>
        <v>2.9999999999999992E-3</v>
      </c>
      <c r="F72" s="15">
        <v>1.306</v>
      </c>
      <c r="G72">
        <v>1.76</v>
      </c>
      <c r="H72" t="s">
        <v>55</v>
      </c>
      <c r="I72" t="str">
        <f>VLOOKUP(A72,Setores!$A$2:$C$215,2,0)</f>
        <v>telecom</v>
      </c>
      <c r="J72" t="str">
        <f>VLOOKUP(A72,Setores!$A$2:$C$215,3,0)</f>
        <v>very_low_beta</v>
      </c>
      <c r="K72" s="17">
        <v>1.9E-2</v>
      </c>
      <c r="L72" s="2">
        <v>1.6E-2</v>
      </c>
      <c r="M72" s="5">
        <v>1.7751518455299999</v>
      </c>
      <c r="N72" s="41">
        <f>VLOOKUP(A72,'Mandato LP'!$A$2:$B$215,2,0)</f>
        <v>6.7490130395767602E-3</v>
      </c>
      <c r="O72" s="58">
        <f t="shared" si="7"/>
        <v>1.2250986960423239E-2</v>
      </c>
      <c r="P72" s="42">
        <f t="shared" si="8"/>
        <v>8.2509869604232393E-3</v>
      </c>
      <c r="Q72" s="41">
        <f>VLOOKUP(A72,'Mandato LP'!$A$2:$C$215,3,0)</f>
        <v>0</v>
      </c>
      <c r="R72" s="42">
        <f t="shared" si="9"/>
        <v>1.9E-2</v>
      </c>
      <c r="S72" s="15">
        <v>-0.36099999999999999</v>
      </c>
      <c r="T72" s="15">
        <v>-0.57299999999999995</v>
      </c>
      <c r="U72" s="15">
        <v>-0.79</v>
      </c>
      <c r="V72" s="15">
        <v>-5.5E-2</v>
      </c>
      <c r="W72" s="15">
        <v>-0.57699999999999996</v>
      </c>
      <c r="X72" s="15">
        <v>0.112</v>
      </c>
      <c r="Y72" s="15">
        <v>0.38</v>
      </c>
      <c r="Z72" s="15">
        <v>-0.19400000000000001</v>
      </c>
      <c r="AA72" s="15">
        <v>0.60099999999999998</v>
      </c>
      <c r="AB72" s="15">
        <v>0.59699999999999998</v>
      </c>
      <c r="AC72" s="15">
        <v>0.77</v>
      </c>
      <c r="AD72" s="15">
        <v>0.83499999999999996</v>
      </c>
      <c r="AE72" s="15">
        <v>0.68700000000000006</v>
      </c>
      <c r="AF72" s="14">
        <v>6.0999999999999999E-2</v>
      </c>
      <c r="AG72" s="15">
        <v>-0.311</v>
      </c>
      <c r="AH72" s="15">
        <v>-0.376</v>
      </c>
      <c r="AI72" s="15">
        <v>-0.996</v>
      </c>
      <c r="AJ72" s="15">
        <v>-0.84199999999999997</v>
      </c>
      <c r="AK72" s="16">
        <v>-0.74399999999999999</v>
      </c>
      <c r="AL72" s="4">
        <v>-0.20799999999999999</v>
      </c>
      <c r="AM72" s="4">
        <v>-0.38400000000000001</v>
      </c>
      <c r="AN72" s="4">
        <v>-0.52500000000000002</v>
      </c>
      <c r="AO72" s="4">
        <v>-0.54</v>
      </c>
      <c r="AP72" s="4">
        <v>0.13400000000000001</v>
      </c>
      <c r="AQ72" s="4">
        <v>-0.14699999999999999</v>
      </c>
      <c r="AR72" s="4">
        <v>0.32900000000000001</v>
      </c>
      <c r="AS72" s="4">
        <v>0.34899999999999998</v>
      </c>
      <c r="AT72" s="4">
        <v>0.379</v>
      </c>
      <c r="AU72" s="4">
        <v>0.13500000000000001</v>
      </c>
      <c r="AV72" s="4">
        <v>0.03</v>
      </c>
      <c r="AW72" s="4">
        <v>0.77100000000000002</v>
      </c>
      <c r="AX72" s="4">
        <v>0.83699999999999997</v>
      </c>
      <c r="AY72" s="4">
        <v>-0.11</v>
      </c>
      <c r="AZ72" s="4">
        <v>0.99399999999999999</v>
      </c>
      <c r="BA72" s="4">
        <v>0.40600000000000003</v>
      </c>
      <c r="BB72" s="4">
        <v>0.72399999999999998</v>
      </c>
      <c r="BC72" s="4">
        <v>4.2000000000000003E-2</v>
      </c>
      <c r="BD72" s="4">
        <v>-3.5999999999999997E-2</v>
      </c>
      <c r="BE72" s="4">
        <v>0.54400000000000004</v>
      </c>
      <c r="BF72" s="4">
        <v>-3.5999999999999997E-2</v>
      </c>
      <c r="BG72" s="4">
        <v>0.59299999999999997</v>
      </c>
      <c r="BH72" s="4">
        <v>0.64300000000000002</v>
      </c>
      <c r="BI72" s="4">
        <v>-0.63800000000000001</v>
      </c>
      <c r="BJ72" s="4">
        <v>-0.375</v>
      </c>
      <c r="BK72" s="4">
        <v>6.9000000000000006E-2</v>
      </c>
      <c r="BL72" s="4">
        <v>-0.79800000000000004</v>
      </c>
      <c r="BM72" s="4"/>
      <c r="BN72" s="4"/>
    </row>
    <row r="73" spans="1:66" x14ac:dyDescent="0.3">
      <c r="A73" t="s">
        <v>63</v>
      </c>
      <c r="B73" s="53">
        <v>1.2999999999999999E-2</v>
      </c>
      <c r="C73" s="53">
        <f t="shared" si="4"/>
        <v>0.01</v>
      </c>
      <c r="D73" s="53">
        <f t="shared" si="5"/>
        <v>0</v>
      </c>
      <c r="E73" s="53">
        <f t="shared" si="6"/>
        <v>2.9999999999999992E-3</v>
      </c>
      <c r="F73" s="15">
        <v>1.2529999999999999</v>
      </c>
      <c r="G73">
        <v>1.589</v>
      </c>
      <c r="H73" t="s">
        <v>57</v>
      </c>
      <c r="I73" t="str">
        <f>VLOOKUP(A73,Setores!$A$2:$C$215,2,0)</f>
        <v>apparel</v>
      </c>
      <c r="J73" t="str">
        <f>VLOOKUP(A73,Setores!$A$2:$C$215,3,0)</f>
        <v>low_beta</v>
      </c>
      <c r="K73" s="17">
        <v>1.2999999999999999E-2</v>
      </c>
      <c r="L73" s="2">
        <v>0.01</v>
      </c>
      <c r="M73" s="5">
        <v>3.15143</v>
      </c>
      <c r="N73" s="41">
        <f>VLOOKUP(A73,'Mandato LP'!$A$2:$B$215,2,0)</f>
        <v>6.0187910568478501E-3</v>
      </c>
      <c r="O73" s="58">
        <f t="shared" si="7"/>
        <v>6.9812089431521493E-3</v>
      </c>
      <c r="P73" s="42">
        <f t="shared" si="8"/>
        <v>6.9812089431521493E-3</v>
      </c>
      <c r="Q73" s="41">
        <f>VLOOKUP(A73,'Mandato LP'!$A$2:$C$215,3,0)</f>
        <v>0</v>
      </c>
      <c r="R73" s="42">
        <f t="shared" si="9"/>
        <v>1.2999999999999999E-2</v>
      </c>
      <c r="S73" s="15">
        <v>-0.44600000000000001</v>
      </c>
      <c r="T73" s="15">
        <v>-0.81699999999999995</v>
      </c>
      <c r="U73" s="15">
        <v>-0.20100000000000001</v>
      </c>
      <c r="V73" s="15">
        <v>-0.23</v>
      </c>
      <c r="W73" s="15">
        <v>-0.438</v>
      </c>
      <c r="X73" s="15">
        <v>0.19800000000000001</v>
      </c>
      <c r="Y73" s="15">
        <v>0.624</v>
      </c>
      <c r="Z73" s="15">
        <v>0.05</v>
      </c>
      <c r="AA73" s="15">
        <v>0.30499999999999999</v>
      </c>
      <c r="AB73" s="15">
        <v>0.308</v>
      </c>
      <c r="AC73" s="15">
        <v>0.63700000000000001</v>
      </c>
      <c r="AD73" s="15">
        <v>0.505</v>
      </c>
      <c r="AE73" s="15">
        <v>0.44</v>
      </c>
      <c r="AF73" s="14">
        <v>0.26800000000000002</v>
      </c>
      <c r="AG73" s="15">
        <v>7.0000000000000001E-3</v>
      </c>
      <c r="AH73" s="15">
        <v>-0.93300000000000005</v>
      </c>
      <c r="AI73" s="15">
        <v>-0.23100000000000001</v>
      </c>
      <c r="AJ73" s="15">
        <v>-0.76600000000000001</v>
      </c>
      <c r="AK73" s="16">
        <v>0.24299999999999999</v>
      </c>
      <c r="AL73" s="4">
        <v>-0.251</v>
      </c>
      <c r="AM73" s="4">
        <v>1</v>
      </c>
      <c r="AN73" s="4">
        <v>-0.74399999999999999</v>
      </c>
      <c r="AO73" s="4">
        <v>0.52700000000000002</v>
      </c>
      <c r="AP73" s="4">
        <v>-0.71099999999999997</v>
      </c>
      <c r="AQ73" s="4">
        <v>-0.317</v>
      </c>
      <c r="AR73" s="4">
        <v>0.151</v>
      </c>
      <c r="AS73" s="4">
        <v>-5.6000000000000001E-2</v>
      </c>
      <c r="AT73" s="4">
        <v>-0.5</v>
      </c>
      <c r="AU73" s="4">
        <v>0.67</v>
      </c>
      <c r="AV73" s="4">
        <v>0.114</v>
      </c>
      <c r="AW73" s="4">
        <v>-1.0999999999999999E-2</v>
      </c>
      <c r="AX73" s="4">
        <v>0.42199999999999999</v>
      </c>
      <c r="AY73" s="4">
        <v>3.1E-2</v>
      </c>
      <c r="AZ73" s="4">
        <v>0.58299999999999996</v>
      </c>
      <c r="BA73" s="4">
        <v>1</v>
      </c>
      <c r="BB73" s="4">
        <v>-0.193</v>
      </c>
      <c r="BC73" s="4">
        <v>-0.79900000000000004</v>
      </c>
      <c r="BD73" s="4">
        <v>-0.77700000000000002</v>
      </c>
      <c r="BE73" s="4">
        <v>-0.51900000000000002</v>
      </c>
      <c r="BF73" s="4">
        <v>6.4000000000000001E-2</v>
      </c>
      <c r="BG73" s="4">
        <v>0.23899999999999999</v>
      </c>
      <c r="BH73" s="4">
        <v>0.752</v>
      </c>
      <c r="BI73" s="4">
        <v>-0.60299999999999998</v>
      </c>
      <c r="BJ73" s="4">
        <v>-0.17100000000000001</v>
      </c>
      <c r="BK73" s="4">
        <v>0.20899999999999999</v>
      </c>
      <c r="BL73" s="4">
        <v>0.115</v>
      </c>
      <c r="BM73" s="4"/>
      <c r="BN73" s="4"/>
    </row>
    <row r="74" spans="1:66" x14ac:dyDescent="0.3">
      <c r="A74" t="s">
        <v>76</v>
      </c>
      <c r="B74" s="53">
        <v>5.0000000000000001E-3</v>
      </c>
      <c r="C74" s="53">
        <f t="shared" ref="C74:C137" si="10">B74-E74</f>
        <v>5.0000000000000001E-3</v>
      </c>
      <c r="D74" s="53">
        <f t="shared" ref="D74:D137" si="11">B74-K74</f>
        <v>0</v>
      </c>
      <c r="E74" s="53">
        <f t="shared" ref="E74:E137" si="12">K74-L74</f>
        <v>0</v>
      </c>
      <c r="F74" s="15">
        <v>1.2310000000000001</v>
      </c>
      <c r="G74">
        <v>0.90200000000000002</v>
      </c>
      <c r="H74" t="s">
        <v>57</v>
      </c>
      <c r="I74" t="str">
        <f>VLOOKUP(A74,Setores!$A$2:$C$215,2,0)</f>
        <v>homebuilders</v>
      </c>
      <c r="J74" t="str">
        <f>VLOOKUP(A74,Setores!$A$2:$C$215,3,0)</f>
        <v>very_high_beta</v>
      </c>
      <c r="K74" s="17">
        <v>5.0000000000000001E-3</v>
      </c>
      <c r="L74" s="2">
        <v>5.0000000000000001E-3</v>
      </c>
      <c r="M74" s="5">
        <v>0.45159591726033299</v>
      </c>
      <c r="N74" s="41">
        <f>VLOOKUP(A74,'Mandato LP'!$A$2:$B$215,2,0)</f>
        <v>4.97810531090488E-3</v>
      </c>
      <c r="O74" s="58">
        <f t="shared" ref="O74:O137" si="13">K74-N74</f>
        <v>2.1894689095120108E-5</v>
      </c>
      <c r="P74" s="42">
        <f t="shared" ref="P74:P137" si="14">B74-N74</f>
        <v>2.1894689095120108E-5</v>
      </c>
      <c r="Q74" s="41">
        <f>VLOOKUP(A74,'Mandato LP'!$A$2:$C$215,3,0)</f>
        <v>0</v>
      </c>
      <c r="R74" s="42">
        <f t="shared" ref="R74:R137" si="15">K74-Q74</f>
        <v>5.0000000000000001E-3</v>
      </c>
      <c r="S74" s="15">
        <v>5.5E-2</v>
      </c>
      <c r="T74" s="15">
        <v>-0.45700000000000002</v>
      </c>
      <c r="U74" s="15">
        <v>0.45700000000000002</v>
      </c>
      <c r="V74" s="15">
        <v>-0.217</v>
      </c>
      <c r="W74" s="15">
        <v>-6.5000000000000002E-2</v>
      </c>
      <c r="X74" s="15">
        <v>-6.4000000000000001E-2</v>
      </c>
      <c r="Y74" s="15">
        <v>-3.1E-2</v>
      </c>
      <c r="Z74" s="15">
        <v>-0.34899999999999998</v>
      </c>
      <c r="AA74" s="15">
        <v>4.2999999999999997E-2</v>
      </c>
      <c r="AB74" s="15">
        <v>4.1000000000000002E-2</v>
      </c>
      <c r="AC74" s="15">
        <v>0.79600000000000004</v>
      </c>
      <c r="AD74" s="15">
        <v>0.58199999999999996</v>
      </c>
      <c r="AE74" s="15">
        <v>0.52400000000000002</v>
      </c>
      <c r="AF74" s="14">
        <v>-9.2999999999999999E-2</v>
      </c>
      <c r="AG74" s="15">
        <v>0.84799999999999998</v>
      </c>
      <c r="AH74" s="15">
        <v>-0.68799999999999994</v>
      </c>
      <c r="AI74" s="15">
        <v>0.66100000000000003</v>
      </c>
      <c r="AJ74" s="15">
        <v>-0.27200000000000002</v>
      </c>
      <c r="AK74" s="16">
        <v>0.29799999999999999</v>
      </c>
      <c r="AL74" s="4">
        <v>-2.8000000000000001E-2</v>
      </c>
      <c r="AM74" s="4">
        <v>0.30199999999999999</v>
      </c>
      <c r="AN74" s="4">
        <v>-0.20599999999999999</v>
      </c>
      <c r="AO74" s="4">
        <v>0.70399999999999996</v>
      </c>
      <c r="AP74" s="4">
        <v>-0.47099999999999997</v>
      </c>
      <c r="AQ74" s="4">
        <v>-1</v>
      </c>
      <c r="AR74" s="4">
        <v>0.42799999999999999</v>
      </c>
      <c r="AS74" s="4">
        <v>-1.7000000000000001E-2</v>
      </c>
      <c r="AT74" s="4">
        <v>-0.37</v>
      </c>
      <c r="AU74" s="4">
        <v>-1.2E-2</v>
      </c>
      <c r="AV74" s="4">
        <v>-9.8000000000000004E-2</v>
      </c>
      <c r="AW74" s="4">
        <v>-0.28199999999999997</v>
      </c>
      <c r="AX74" s="4">
        <v>-0.32500000000000001</v>
      </c>
      <c r="AY74" s="4">
        <v>5.2999999999999999E-2</v>
      </c>
      <c r="AZ74" s="4">
        <v>0.63</v>
      </c>
      <c r="BA74" s="4">
        <v>0.254</v>
      </c>
      <c r="BB74" s="4">
        <v>0.66600000000000004</v>
      </c>
      <c r="BC74" s="4">
        <v>4.7E-2</v>
      </c>
      <c r="BD74" s="4">
        <v>-0.106</v>
      </c>
      <c r="BE74" s="4">
        <v>0.245</v>
      </c>
      <c r="BF74" s="4">
        <v>1</v>
      </c>
      <c r="BG74" s="4">
        <v>0.47299999999999998</v>
      </c>
      <c r="BH74" s="4">
        <v>0.32300000000000001</v>
      </c>
      <c r="BI74" s="4">
        <v>-0.38200000000000001</v>
      </c>
      <c r="BJ74" s="4">
        <v>0.71399999999999997</v>
      </c>
      <c r="BK74" s="4">
        <v>0.79700000000000004</v>
      </c>
      <c r="BL74" s="4">
        <v>0.52500000000000002</v>
      </c>
      <c r="BM74" s="4"/>
      <c r="BN74" s="4"/>
    </row>
    <row r="75" spans="1:66" x14ac:dyDescent="0.3">
      <c r="A75" t="s">
        <v>166</v>
      </c>
      <c r="B75" s="53">
        <v>2.5000000000000001E-2</v>
      </c>
      <c r="C75" s="53">
        <f t="shared" si="10"/>
        <v>2.5000000000000001E-2</v>
      </c>
      <c r="D75" s="53">
        <f t="shared" si="11"/>
        <v>0</v>
      </c>
      <c r="E75" s="53">
        <f t="shared" si="12"/>
        <v>0</v>
      </c>
      <c r="F75" s="15">
        <v>1.228</v>
      </c>
      <c r="G75">
        <v>1.2729999999999999</v>
      </c>
      <c r="H75" t="s">
        <v>55</v>
      </c>
      <c r="I75" t="str">
        <f>VLOOKUP(A75,Setores!$A$2:$C$215,2,0)</f>
        <v>utilities</v>
      </c>
      <c r="J75" t="str">
        <f>VLOOKUP(A75,Setores!$A$2:$C$215,3,0)</f>
        <v>very_low_beta</v>
      </c>
      <c r="K75" s="17">
        <v>2.5000000000000001E-2</v>
      </c>
      <c r="L75" s="2">
        <v>2.5000000000000001E-2</v>
      </c>
      <c r="M75" s="5">
        <v>1.3939499076599999</v>
      </c>
      <c r="N75" s="41">
        <f>VLOOKUP(A75,'Mandato LP'!$A$2:$B$215,2,0)</f>
        <v>4.96486712592175E-3</v>
      </c>
      <c r="O75" s="58">
        <f t="shared" si="13"/>
        <v>2.0035132874078251E-2</v>
      </c>
      <c r="P75" s="42">
        <f t="shared" si="14"/>
        <v>2.0035132874078251E-2</v>
      </c>
      <c r="Q75" s="41">
        <f>VLOOKUP(A75,'Mandato LP'!$A$2:$C$215,3,0)</f>
        <v>7.5951735349610097E-3</v>
      </c>
      <c r="R75" s="42">
        <f t="shared" si="15"/>
        <v>1.7404826465038992E-2</v>
      </c>
      <c r="S75" s="15">
        <v>-0.68600000000000005</v>
      </c>
      <c r="T75" s="15">
        <v>-0.32100000000000001</v>
      </c>
      <c r="U75" s="15">
        <v>-0.82399999999999995</v>
      </c>
      <c r="V75" s="15">
        <v>-0.503</v>
      </c>
      <c r="W75" s="15">
        <v>-0.56200000000000006</v>
      </c>
      <c r="X75" s="15">
        <v>-0.26100000000000001</v>
      </c>
      <c r="Y75" s="15">
        <v>-0.107</v>
      </c>
      <c r="Z75" s="15">
        <v>0.217</v>
      </c>
      <c r="AA75" s="15">
        <v>0.61</v>
      </c>
      <c r="AB75" s="15">
        <v>0.61399999999999999</v>
      </c>
      <c r="AC75" s="15">
        <v>0.65300000000000002</v>
      </c>
      <c r="AD75" s="15">
        <v>0.748</v>
      </c>
      <c r="AE75" s="15">
        <v>0.72099999999999997</v>
      </c>
      <c r="AF75" s="14">
        <v>-0.83</v>
      </c>
      <c r="AG75" s="15">
        <v>-0.77</v>
      </c>
      <c r="AH75" s="15">
        <v>0.54100000000000004</v>
      </c>
      <c r="AI75" s="15">
        <v>-0.91100000000000003</v>
      </c>
      <c r="AJ75" s="15">
        <v>-0.38500000000000001</v>
      </c>
      <c r="AK75" s="16">
        <v>-0.96199999999999997</v>
      </c>
      <c r="AL75" s="4">
        <v>-0.32400000000000001</v>
      </c>
      <c r="AM75" s="4">
        <v>0.185</v>
      </c>
      <c r="AN75" s="4">
        <v>-0.52200000000000002</v>
      </c>
      <c r="AO75" s="4">
        <v>-0.58899999999999997</v>
      </c>
      <c r="AP75" s="4">
        <v>0.52400000000000002</v>
      </c>
      <c r="AQ75" s="4">
        <v>0.99199999999999999</v>
      </c>
      <c r="AR75" s="4">
        <v>-0.23799999999999999</v>
      </c>
      <c r="AS75" s="4">
        <v>0.187</v>
      </c>
      <c r="AT75" s="4">
        <v>-0.246</v>
      </c>
      <c r="AU75" s="4">
        <v>0.2</v>
      </c>
      <c r="AV75" s="4">
        <v>-0.33100000000000002</v>
      </c>
      <c r="AW75" s="4">
        <v>-0.54600000000000004</v>
      </c>
      <c r="AX75" s="4">
        <v>0.58799999999999997</v>
      </c>
      <c r="AY75" s="4">
        <v>-0.59699999999999998</v>
      </c>
      <c r="AZ75" s="4">
        <v>0.85299999999999998</v>
      </c>
      <c r="BA75" s="4">
        <v>0.56599999999999995</v>
      </c>
      <c r="BB75" s="4">
        <v>0.10299999999999999</v>
      </c>
      <c r="BC75" s="4">
        <v>-0.432</v>
      </c>
      <c r="BD75" s="4">
        <v>-0.66500000000000004</v>
      </c>
      <c r="BE75" s="4">
        <v>0.23499999999999999</v>
      </c>
      <c r="BF75" s="4">
        <v>3.1E-2</v>
      </c>
      <c r="BG75" s="4">
        <v>-0.13400000000000001</v>
      </c>
      <c r="BH75" s="4">
        <v>0.54</v>
      </c>
      <c r="BI75" s="4">
        <v>-0.53200000000000003</v>
      </c>
      <c r="BJ75" s="4">
        <v>-0.40899999999999997</v>
      </c>
      <c r="BK75" s="4">
        <v>0.95199999999999996</v>
      </c>
      <c r="BL75" s="4">
        <v>-0.378</v>
      </c>
      <c r="BM75" s="4"/>
      <c r="BN75" s="4"/>
    </row>
    <row r="76" spans="1:66" x14ac:dyDescent="0.3">
      <c r="A76" t="s">
        <v>110</v>
      </c>
      <c r="B76" s="53">
        <v>2.5000000000000001E-2</v>
      </c>
      <c r="C76" s="53">
        <f t="shared" si="10"/>
        <v>-4.0000000000000001E-3</v>
      </c>
      <c r="D76" s="53">
        <f t="shared" si="11"/>
        <v>0</v>
      </c>
      <c r="E76" s="53">
        <f t="shared" si="12"/>
        <v>2.9000000000000001E-2</v>
      </c>
      <c r="F76" s="15">
        <v>1.1910000000000001</v>
      </c>
      <c r="G76">
        <v>2.7160000000000002</v>
      </c>
      <c r="H76" t="s">
        <v>57</v>
      </c>
      <c r="I76" t="str">
        <f>VLOOKUP(A76,Setores!$A$2:$C$215,2,0)</f>
        <v>banks</v>
      </c>
      <c r="J76" t="str">
        <f>VLOOKUP(A76,Setores!$A$2:$C$215,3,0)</f>
        <v>low_beta</v>
      </c>
      <c r="K76" s="17">
        <v>2.5000000000000001E-2</v>
      </c>
      <c r="L76" s="2">
        <v>-4.0000000000000001E-3</v>
      </c>
      <c r="M76" s="5">
        <v>2.7218372938033299</v>
      </c>
      <c r="N76" s="41">
        <f>VLOOKUP(A76,'Mandato LP'!$A$2:$B$215,2,0)</f>
        <v>2.60993926986E-2</v>
      </c>
      <c r="O76" s="58">
        <f t="shared" si="13"/>
        <v>-1.0993926985999984E-3</v>
      </c>
      <c r="P76" s="42">
        <f t="shared" si="14"/>
        <v>-1.0993926985999984E-3</v>
      </c>
      <c r="Q76" s="41">
        <f>VLOOKUP(A76,'Mandato LP'!$A$2:$C$215,3,0)</f>
        <v>3.6339152515828498E-2</v>
      </c>
      <c r="R76" s="42">
        <f t="shared" si="15"/>
        <v>-1.1339152515828496E-2</v>
      </c>
      <c r="S76" s="15">
        <v>-0.748</v>
      </c>
      <c r="T76" s="15">
        <v>-0.55700000000000005</v>
      </c>
      <c r="U76" s="15">
        <v>-0.86899999999999999</v>
      </c>
      <c r="V76" s="15">
        <v>-0.34499999999999997</v>
      </c>
      <c r="W76" s="15">
        <v>-0.56499999999999995</v>
      </c>
      <c r="X76" s="15">
        <v>-0.28499999999999998</v>
      </c>
      <c r="Y76" s="15">
        <v>-3.1E-2</v>
      </c>
      <c r="Z76" s="15">
        <v>0.20699999999999999</v>
      </c>
      <c r="AA76" s="15">
        <v>0.61599999999999999</v>
      </c>
      <c r="AB76" s="15">
        <v>0.61499999999999999</v>
      </c>
      <c r="AC76" s="15">
        <v>0.76300000000000001</v>
      </c>
      <c r="AD76" s="15">
        <v>0.78100000000000003</v>
      </c>
      <c r="AE76" s="15">
        <v>0.69499999999999995</v>
      </c>
      <c r="AF76" s="14">
        <v>-0.58399999999999996</v>
      </c>
      <c r="AG76" s="15">
        <v>9.6000000000000002E-2</v>
      </c>
      <c r="AH76" s="15">
        <v>0.36</v>
      </c>
      <c r="AI76" s="15">
        <v>-0.94799999999999995</v>
      </c>
      <c r="AJ76" s="15">
        <v>-0.74399999999999999</v>
      </c>
      <c r="AK76" s="16">
        <v>-0.96099999999999997</v>
      </c>
      <c r="AL76" s="4">
        <v>-0.247</v>
      </c>
      <c r="AM76" s="4">
        <v>0.13500000000000001</v>
      </c>
      <c r="AN76" s="4">
        <v>-0.55700000000000005</v>
      </c>
      <c r="AO76" s="4">
        <v>-0.193</v>
      </c>
      <c r="AP76" s="4">
        <v>0.56699999999999995</v>
      </c>
      <c r="AQ76" s="4">
        <v>7.3999999999999996E-2</v>
      </c>
      <c r="AR76" s="4">
        <v>0.23400000000000001</v>
      </c>
      <c r="AS76" s="4">
        <v>0.26900000000000002</v>
      </c>
      <c r="AT76" s="4">
        <v>-0.112</v>
      </c>
      <c r="AU76" s="4">
        <v>-8.1000000000000003E-2</v>
      </c>
      <c r="AV76" s="4">
        <v>-0.222</v>
      </c>
      <c r="AW76" s="4">
        <v>-0.20899999999999999</v>
      </c>
      <c r="AX76" s="4">
        <v>0.47399999999999998</v>
      </c>
      <c r="AY76" s="4">
        <v>-0.45300000000000001</v>
      </c>
      <c r="AZ76" s="4">
        <v>0.16200000000000001</v>
      </c>
      <c r="BA76" s="4">
        <v>0.61199999999999999</v>
      </c>
      <c r="BB76" s="4">
        <v>-0.46200000000000002</v>
      </c>
      <c r="BC76" s="4">
        <v>-0.34100000000000003</v>
      </c>
      <c r="BD76" s="4">
        <v>-0.317</v>
      </c>
      <c r="BE76" s="4">
        <v>-0.82699999999999996</v>
      </c>
      <c r="BF76" s="4">
        <v>-9.1999999999999998E-2</v>
      </c>
      <c r="BG76" s="4">
        <v>-3.5999999999999997E-2</v>
      </c>
      <c r="BH76" s="4">
        <v>0.82</v>
      </c>
      <c r="BI76" s="4">
        <v>-0.82899999999999996</v>
      </c>
      <c r="BJ76" s="4">
        <v>-0.22900000000000001</v>
      </c>
      <c r="BK76" s="4">
        <v>0.34300000000000003</v>
      </c>
      <c r="BL76" s="4">
        <v>-0.93899999999999995</v>
      </c>
      <c r="BM76" s="4"/>
      <c r="BN76" s="4"/>
    </row>
    <row r="77" spans="1:66" x14ac:dyDescent="0.3">
      <c r="A77" t="s">
        <v>598</v>
      </c>
      <c r="B77" s="53">
        <v>1.2999999999999999E-2</v>
      </c>
      <c r="C77" s="53">
        <f t="shared" si="10"/>
        <v>7.0000000000000001E-3</v>
      </c>
      <c r="D77" s="53">
        <f t="shared" si="11"/>
        <v>0</v>
      </c>
      <c r="E77" s="53">
        <f t="shared" si="12"/>
        <v>5.9999999999999993E-3</v>
      </c>
      <c r="F77" s="15">
        <v>1.1519999999999999</v>
      </c>
      <c r="G77">
        <v>1.2050000000000001</v>
      </c>
      <c r="H77" t="s">
        <v>53</v>
      </c>
      <c r="I77" t="str">
        <f>VLOOKUP(A77,Setores!$A$2:$C$215,2,0)</f>
        <v>healthcare</v>
      </c>
      <c r="J77" t="str">
        <f>VLOOKUP(A77,Setores!$A$2:$C$215,3,0)</f>
        <v>low_beta</v>
      </c>
      <c r="K77" s="17">
        <v>1.2999999999999999E-2</v>
      </c>
      <c r="L77" s="2">
        <v>7.0000000000000001E-3</v>
      </c>
      <c r="M77" s="5">
        <v>1.08459122133333</v>
      </c>
      <c r="N77" s="41">
        <f>VLOOKUP(A77,'Mandato LP'!$A$2:$B$215,2,0)</f>
        <v>7.4725344719211604E-3</v>
      </c>
      <c r="O77" s="58">
        <f t="shared" si="13"/>
        <v>5.527465528078839E-3</v>
      </c>
      <c r="P77" s="42">
        <f t="shared" si="14"/>
        <v>5.527465528078839E-3</v>
      </c>
      <c r="Q77" s="41">
        <f>VLOOKUP(A77,'Mandato LP'!$A$2:$C$215,3,0)</f>
        <v>1.2379192461683701E-2</v>
      </c>
      <c r="R77" s="42">
        <f t="shared" si="15"/>
        <v>6.2080753831629878E-4</v>
      </c>
      <c r="S77" s="15">
        <v>-0.45</v>
      </c>
      <c r="T77" s="15">
        <v>-0.51100000000000001</v>
      </c>
      <c r="U77" s="15">
        <v>-0.71599999999999997</v>
      </c>
      <c r="V77" s="15">
        <v>-0.20599999999999999</v>
      </c>
      <c r="W77" s="15">
        <v>-0.52700000000000002</v>
      </c>
      <c r="X77" s="15">
        <v>-0.13600000000000001</v>
      </c>
      <c r="Y77" s="15">
        <v>6.5000000000000002E-2</v>
      </c>
      <c r="Z77" s="15">
        <v>3.7999999999999999E-2</v>
      </c>
      <c r="AA77" s="15">
        <v>0.29699999999999999</v>
      </c>
      <c r="AB77" s="15">
        <v>0.29799999999999999</v>
      </c>
      <c r="AC77" s="15">
        <v>0.59099999999999997</v>
      </c>
      <c r="AD77" s="15">
        <v>0.66100000000000003</v>
      </c>
      <c r="AE77" s="15">
        <v>0.626</v>
      </c>
      <c r="AF77" s="14">
        <v>-3.3000000000000002E-2</v>
      </c>
      <c r="AG77" s="15">
        <v>-0.84499999999999997</v>
      </c>
      <c r="AH77" s="15">
        <v>-0.31900000000000001</v>
      </c>
      <c r="AI77" s="15">
        <v>-0.98699999999999999</v>
      </c>
      <c r="AJ77" s="15">
        <v>-0.49099999999999999</v>
      </c>
      <c r="AK77" s="16">
        <v>-0.441</v>
      </c>
      <c r="AL77" s="4">
        <v>-0.50700000000000001</v>
      </c>
      <c r="AM77" s="4">
        <v>-0.122</v>
      </c>
      <c r="AN77" s="4">
        <v>-0.94599999999999995</v>
      </c>
      <c r="AO77" s="4">
        <v>-0.94799999999999995</v>
      </c>
      <c r="AP77" s="4">
        <v>0.35499999999999998</v>
      </c>
      <c r="AQ77" s="4">
        <v>0.98599999999999999</v>
      </c>
      <c r="AR77" s="4">
        <v>-9.6000000000000002E-2</v>
      </c>
      <c r="AS77" s="4">
        <v>0.187</v>
      </c>
      <c r="AT77" s="4">
        <v>-0.7</v>
      </c>
      <c r="AU77" s="4">
        <v>0.96</v>
      </c>
      <c r="AV77" s="4">
        <v>-3.9E-2</v>
      </c>
      <c r="AW77" s="4">
        <v>0.90800000000000003</v>
      </c>
      <c r="AX77" s="4">
        <v>0.73199999999999998</v>
      </c>
      <c r="AY77" s="4">
        <v>0.66600000000000004</v>
      </c>
      <c r="AZ77" s="4">
        <v>0.64700000000000002</v>
      </c>
      <c r="BA77" s="4">
        <v>0.41399999999999998</v>
      </c>
      <c r="BB77" s="4">
        <v>0.999</v>
      </c>
      <c r="BC77" s="4">
        <v>0.224</v>
      </c>
      <c r="BD77" s="4">
        <v>9.4E-2</v>
      </c>
      <c r="BE77" s="4">
        <v>-0.876</v>
      </c>
      <c r="BF77" s="4">
        <v>-4.7E-2</v>
      </c>
      <c r="BG77" s="4">
        <v>-0.38600000000000001</v>
      </c>
      <c r="BH77" s="4">
        <v>0.19400000000000001</v>
      </c>
      <c r="BI77" s="4">
        <v>-0.47499999999999998</v>
      </c>
      <c r="BJ77" s="4">
        <v>-0.19900000000000001</v>
      </c>
      <c r="BK77" s="4">
        <v>0.114</v>
      </c>
      <c r="BL77" s="4">
        <v>-0.73699999999999999</v>
      </c>
      <c r="BM77" s="4"/>
      <c r="BN77" s="4"/>
    </row>
    <row r="78" spans="1:66" x14ac:dyDescent="0.3">
      <c r="A78" t="s">
        <v>160</v>
      </c>
      <c r="B78" s="53">
        <v>0</v>
      </c>
      <c r="C78" s="53">
        <f t="shared" si="10"/>
        <v>0</v>
      </c>
      <c r="D78" s="53">
        <f t="shared" si="11"/>
        <v>-8.0000000000000002E-3</v>
      </c>
      <c r="E78" s="53">
        <f t="shared" si="12"/>
        <v>0</v>
      </c>
      <c r="F78" s="15">
        <v>1.151</v>
      </c>
      <c r="G78">
        <v>0.86499999999999999</v>
      </c>
      <c r="H78" t="s">
        <v>57</v>
      </c>
      <c r="I78" t="str">
        <f>VLOOKUP(A78,Setores!$A$2:$C$215,2,0)</f>
        <v>financial_services</v>
      </c>
      <c r="J78" t="str">
        <f>VLOOKUP(A78,Setores!$A$2:$C$215,3,0)</f>
        <v>neutral_beta</v>
      </c>
      <c r="K78" s="17">
        <v>8.0000000000000002E-3</v>
      </c>
      <c r="L78" s="2">
        <v>8.0000000000000002E-3</v>
      </c>
      <c r="M78" s="5">
        <v>0.26430478833333299</v>
      </c>
      <c r="N78" s="41">
        <f>VLOOKUP(A78,'Mandato LP'!$A$2:$B$215,2,0)</f>
        <v>4.65413236542508E-3</v>
      </c>
      <c r="O78" s="58">
        <f t="shared" si="13"/>
        <v>3.3458676345749202E-3</v>
      </c>
      <c r="P78" s="42">
        <f t="shared" si="14"/>
        <v>-4.65413236542508E-3</v>
      </c>
      <c r="Q78" s="41">
        <f>VLOOKUP(A78,'Mandato LP'!$A$2:$C$215,3,0)</f>
        <v>0</v>
      </c>
      <c r="R78" s="42">
        <f t="shared" si="15"/>
        <v>8.0000000000000002E-3</v>
      </c>
      <c r="S78" s="15">
        <v>-0.11700000000000001</v>
      </c>
      <c r="T78" s="15">
        <v>-0.14199999999999999</v>
      </c>
      <c r="U78" s="15">
        <v>-0.17599999999999999</v>
      </c>
      <c r="V78" s="15">
        <v>-0.16500000000000001</v>
      </c>
      <c r="W78" s="15">
        <v>-0.17799999999999999</v>
      </c>
      <c r="X78" s="15">
        <v>-0.34399999999999997</v>
      </c>
      <c r="Y78" s="15">
        <v>-0.32</v>
      </c>
      <c r="Z78" s="15">
        <v>-0.502</v>
      </c>
      <c r="AA78" s="15">
        <v>0.45300000000000001</v>
      </c>
      <c r="AB78" s="15">
        <v>0.45</v>
      </c>
      <c r="AC78" s="15">
        <v>0.81599999999999995</v>
      </c>
      <c r="AD78" s="15">
        <v>1</v>
      </c>
      <c r="AE78" s="15">
        <v>0.67200000000000004</v>
      </c>
      <c r="AF78" s="14">
        <v>-0.156</v>
      </c>
      <c r="AG78" s="15">
        <v>0.70199999999999996</v>
      </c>
      <c r="AH78" s="15">
        <v>-0.19900000000000001</v>
      </c>
      <c r="AI78" s="15">
        <v>-0.47799999999999998</v>
      </c>
      <c r="AJ78" s="15">
        <v>-0.82599999999999996</v>
      </c>
      <c r="AK78" s="16">
        <v>-0.55000000000000004</v>
      </c>
      <c r="AL78" s="4">
        <v>0.42899999999999999</v>
      </c>
      <c r="AM78" s="4">
        <v>-0.48399999999999999</v>
      </c>
      <c r="AN78" s="4">
        <v>-3.4000000000000002E-2</v>
      </c>
      <c r="AO78" s="4">
        <v>0.95299999999999996</v>
      </c>
      <c r="AP78" s="4">
        <v>-0.218</v>
      </c>
      <c r="AQ78" s="4">
        <v>-6.3E-2</v>
      </c>
      <c r="AR78" s="4">
        <v>5.6000000000000001E-2</v>
      </c>
      <c r="AS78" s="4">
        <v>0.26300000000000001</v>
      </c>
      <c r="AT78" s="4">
        <v>-7.2999999999999995E-2</v>
      </c>
      <c r="AU78" s="4">
        <v>0.17799999999999999</v>
      </c>
      <c r="AV78" s="4">
        <v>0.40799999999999997</v>
      </c>
      <c r="AW78" s="4">
        <v>-0.39200000000000002</v>
      </c>
      <c r="AX78" s="4">
        <v>4.2000000000000003E-2</v>
      </c>
      <c r="AY78" s="4">
        <v>-0.16500000000000001</v>
      </c>
      <c r="AZ78" s="4">
        <v>8.8999999999999996E-2</v>
      </c>
      <c r="BA78" s="4">
        <v>-1.4E-2</v>
      </c>
      <c r="BB78" s="4">
        <v>-0.02</v>
      </c>
      <c r="BC78" s="4">
        <v>-5.3999999999999999E-2</v>
      </c>
      <c r="BD78" s="4">
        <v>0.24399999999999999</v>
      </c>
      <c r="BE78" s="4">
        <v>0.33600000000000002</v>
      </c>
      <c r="BF78" s="4">
        <v>8.9999999999999993E-3</v>
      </c>
      <c r="BG78" s="4">
        <v>0.437</v>
      </c>
      <c r="BH78" s="4">
        <v>-0.24</v>
      </c>
      <c r="BI78" s="4">
        <v>0.27400000000000002</v>
      </c>
      <c r="BJ78" s="4">
        <v>-0.16500000000000001</v>
      </c>
      <c r="BK78" s="4">
        <v>0.99199999999999999</v>
      </c>
      <c r="BL78" s="4">
        <v>-0.11899999999999999</v>
      </c>
      <c r="BM78" s="4"/>
      <c r="BN78" s="4"/>
    </row>
    <row r="79" spans="1:66" x14ac:dyDescent="0.3">
      <c r="A79" t="s">
        <v>150</v>
      </c>
      <c r="B79" s="53">
        <v>0</v>
      </c>
      <c r="C79" s="53">
        <f t="shared" si="10"/>
        <v>0</v>
      </c>
      <c r="D79" s="53">
        <f t="shared" si="11"/>
        <v>0</v>
      </c>
      <c r="E79" s="53">
        <f t="shared" si="12"/>
        <v>0</v>
      </c>
      <c r="F79" s="15">
        <v>1.143</v>
      </c>
      <c r="G79">
        <v>0.97499999999999998</v>
      </c>
      <c r="H79" t="s">
        <v>53</v>
      </c>
      <c r="I79" t="str">
        <f>VLOOKUP(A79,Setores!$A$2:$C$215,2,0)</f>
        <v>healthcare</v>
      </c>
      <c r="J79" t="str">
        <f>VLOOKUP(A79,Setores!$A$2:$C$215,3,0)</f>
        <v>low_beta</v>
      </c>
      <c r="K79" s="17">
        <v>0</v>
      </c>
      <c r="L79" s="2">
        <v>0</v>
      </c>
      <c r="M79" s="5">
        <v>0.49114031245233303</v>
      </c>
      <c r="N79" s="41">
        <f>VLOOKUP(A79,'Mandato LP'!$A$2:$B$215,2,0)</f>
        <v>0</v>
      </c>
      <c r="O79" s="58">
        <f t="shared" si="13"/>
        <v>0</v>
      </c>
      <c r="P79" s="42">
        <f t="shared" si="14"/>
        <v>0</v>
      </c>
      <c r="Q79" s="41">
        <f>VLOOKUP(A79,'Mandato LP'!$A$2:$C$215,3,0)</f>
        <v>0</v>
      </c>
      <c r="R79" s="42">
        <f t="shared" si="15"/>
        <v>0</v>
      </c>
      <c r="S79" s="15">
        <v>-0.18099999999999999</v>
      </c>
      <c r="T79" s="15">
        <v>-3.6999999999999998E-2</v>
      </c>
      <c r="U79" s="15">
        <v>-0.18</v>
      </c>
      <c r="V79" s="15">
        <v>-0.503</v>
      </c>
      <c r="W79" s="15">
        <v>-0.35399999999999998</v>
      </c>
      <c r="X79" s="15">
        <v>-0.182</v>
      </c>
      <c r="Y79" s="15">
        <v>-0.112</v>
      </c>
      <c r="Z79" s="15">
        <v>-0.28299999999999997</v>
      </c>
      <c r="AA79" s="15">
        <v>0.14499999999999999</v>
      </c>
      <c r="AB79" s="15">
        <v>0.14299999999999999</v>
      </c>
      <c r="AC79" s="15">
        <v>0.69799999999999995</v>
      </c>
      <c r="AD79" s="15">
        <v>0.59599999999999997</v>
      </c>
      <c r="AE79" s="15">
        <v>0.70099999999999996</v>
      </c>
      <c r="AF79" s="14">
        <v>-0.39900000000000002</v>
      </c>
      <c r="AG79" s="15">
        <v>-0.86699999999999999</v>
      </c>
      <c r="AH79" s="15">
        <v>-0.25700000000000001</v>
      </c>
      <c r="AI79" s="15">
        <v>-0.32700000000000001</v>
      </c>
      <c r="AJ79" s="15">
        <v>0.317</v>
      </c>
      <c r="AK79" s="16">
        <v>-0.17499999999999999</v>
      </c>
      <c r="AL79" s="4">
        <v>-0.218</v>
      </c>
      <c r="AM79" s="4">
        <v>-0.33</v>
      </c>
      <c r="AN79" s="4">
        <v>-0.46899999999999997</v>
      </c>
      <c r="AO79" s="4">
        <v>0.254</v>
      </c>
      <c r="AP79" s="4">
        <v>0.185</v>
      </c>
      <c r="AQ79" s="4">
        <v>0.32900000000000001</v>
      </c>
      <c r="AR79" s="4">
        <v>-0.26500000000000001</v>
      </c>
      <c r="AS79" s="4">
        <v>-0.32800000000000001</v>
      </c>
      <c r="AT79" s="4">
        <v>-0.30199999999999999</v>
      </c>
      <c r="AU79" s="4">
        <v>6.0999999999999999E-2</v>
      </c>
      <c r="AV79" s="4">
        <v>-0.14299999999999999</v>
      </c>
      <c r="AW79" s="4">
        <v>3.5000000000000003E-2</v>
      </c>
      <c r="AX79" s="4">
        <v>0.28799999999999998</v>
      </c>
      <c r="AY79" s="4">
        <v>0.254</v>
      </c>
      <c r="AZ79" s="4">
        <v>0.81699999999999995</v>
      </c>
      <c r="BA79" s="4">
        <v>0.78</v>
      </c>
      <c r="BB79" s="4">
        <v>0.60299999999999998</v>
      </c>
      <c r="BC79" s="4">
        <v>-7.3999999999999996E-2</v>
      </c>
      <c r="BD79" s="4">
        <v>-0.17100000000000001</v>
      </c>
      <c r="BE79" s="4">
        <v>0.21299999999999999</v>
      </c>
      <c r="BF79" s="4">
        <v>-0.33300000000000002</v>
      </c>
      <c r="BG79" s="4">
        <v>0.5</v>
      </c>
      <c r="BH79" s="4">
        <v>0.48599999999999999</v>
      </c>
      <c r="BI79" s="4">
        <v>0.26600000000000001</v>
      </c>
      <c r="BJ79" s="4">
        <v>-0.153</v>
      </c>
      <c r="BK79" s="4">
        <v>0.70699999999999996</v>
      </c>
      <c r="BL79" s="4">
        <v>0.35</v>
      </c>
      <c r="BM79" s="4"/>
      <c r="BN79" s="4"/>
    </row>
    <row r="80" spans="1:66" x14ac:dyDescent="0.3">
      <c r="A80" t="s">
        <v>165</v>
      </c>
      <c r="B80" s="53">
        <v>5.0000000000000001E-3</v>
      </c>
      <c r="C80" s="53">
        <f t="shared" si="10"/>
        <v>5.0000000000000001E-3</v>
      </c>
      <c r="D80" s="53">
        <f t="shared" si="11"/>
        <v>5.0000000000000001E-3</v>
      </c>
      <c r="E80" s="53">
        <f t="shared" si="12"/>
        <v>0</v>
      </c>
      <c r="F80" s="15">
        <v>1.1279999999999999</v>
      </c>
      <c r="G80">
        <v>0.85599999999999998</v>
      </c>
      <c r="H80" t="s">
        <v>71</v>
      </c>
      <c r="I80" t="str">
        <f>VLOOKUP(A80,Setores!$A$2:$C$215,2,0)</f>
        <v>basic_materials</v>
      </c>
      <c r="J80" t="str">
        <f>VLOOKUP(A80,Setores!$A$2:$C$215,3,0)</f>
        <v>neutral_beta</v>
      </c>
      <c r="K80" s="17">
        <v>0</v>
      </c>
      <c r="L80" s="2">
        <v>0</v>
      </c>
      <c r="M80" s="5">
        <v>0.171550138763333</v>
      </c>
      <c r="N80" s="41">
        <f>VLOOKUP(A80,'Mandato LP'!$A$2:$B$215,2,0)</f>
        <v>0</v>
      </c>
      <c r="O80" s="58">
        <f t="shared" si="13"/>
        <v>0</v>
      </c>
      <c r="P80" s="42">
        <f t="shared" si="14"/>
        <v>5.0000000000000001E-3</v>
      </c>
      <c r="Q80" s="41">
        <f>VLOOKUP(A80,'Mandato LP'!$A$2:$C$215,3,0)</f>
        <v>0</v>
      </c>
      <c r="R80" s="42">
        <f t="shared" si="15"/>
        <v>0</v>
      </c>
      <c r="S80" s="15">
        <v>-0.36399999999999999</v>
      </c>
      <c r="T80" s="15">
        <v>0.245</v>
      </c>
      <c r="U80" s="15">
        <v>-0.63600000000000001</v>
      </c>
      <c r="V80" s="15">
        <v>-0.31</v>
      </c>
      <c r="W80" s="15">
        <v>-0.18099999999999999</v>
      </c>
      <c r="X80" s="15">
        <v>-0.64400000000000002</v>
      </c>
      <c r="Y80" s="15">
        <v>-0.82399999999999995</v>
      </c>
      <c r="Z80" s="15">
        <v>-0.13800000000000001</v>
      </c>
      <c r="AA80" s="15">
        <v>0.48299999999999998</v>
      </c>
      <c r="AB80" s="15">
        <v>0.48399999999999999</v>
      </c>
      <c r="AC80" s="15">
        <v>0.61099999999999999</v>
      </c>
      <c r="AD80" s="15">
        <v>0.57199999999999995</v>
      </c>
      <c r="AE80" s="15">
        <v>0.879</v>
      </c>
      <c r="AF80" s="14">
        <v>-0.20499999999999999</v>
      </c>
      <c r="AG80" s="15">
        <v>-0.49099999999999999</v>
      </c>
      <c r="AH80" s="15">
        <v>0.98</v>
      </c>
      <c r="AI80" s="15">
        <v>-0.73099999999999998</v>
      </c>
      <c r="AJ80" s="15">
        <v>-0.23</v>
      </c>
      <c r="AK80" s="16">
        <v>-0.92100000000000004</v>
      </c>
      <c r="AL80" s="4">
        <v>-0.254</v>
      </c>
      <c r="AM80" s="4">
        <v>-0.67500000000000004</v>
      </c>
      <c r="AN80" s="4">
        <v>0.224</v>
      </c>
      <c r="AO80" s="4">
        <v>-0.46</v>
      </c>
      <c r="AP80" s="4">
        <v>0.66800000000000004</v>
      </c>
      <c r="AQ80" s="4">
        <v>0.626</v>
      </c>
      <c r="AR80" s="4">
        <v>-0.53500000000000003</v>
      </c>
      <c r="AS80" s="4">
        <v>1</v>
      </c>
      <c r="AT80" s="4">
        <v>0.155</v>
      </c>
      <c r="AU80" s="4">
        <v>-0.11799999999999999</v>
      </c>
      <c r="AV80" s="4">
        <v>-0.8</v>
      </c>
      <c r="AW80" s="4">
        <v>6.7000000000000004E-2</v>
      </c>
      <c r="AX80" s="4">
        <v>-0.13400000000000001</v>
      </c>
      <c r="AY80" s="4">
        <v>0.124</v>
      </c>
      <c r="AZ80" s="4">
        <v>0.622</v>
      </c>
      <c r="BA80" s="4">
        <v>-1</v>
      </c>
      <c r="BB80" s="4">
        <v>0.74299999999999999</v>
      </c>
      <c r="BC80" s="4">
        <v>0.50600000000000001</v>
      </c>
      <c r="BD80" s="4">
        <v>0.26600000000000001</v>
      </c>
      <c r="BE80" s="4">
        <v>0.77300000000000002</v>
      </c>
      <c r="BF80" s="4">
        <v>-1</v>
      </c>
      <c r="BG80" s="4">
        <v>0.62</v>
      </c>
      <c r="BH80" s="4">
        <v>-0.42599999999999999</v>
      </c>
      <c r="BI80" s="4">
        <v>3.0000000000000001E-3</v>
      </c>
      <c r="BJ80" s="4">
        <v>-0.32400000000000001</v>
      </c>
      <c r="BK80" s="4">
        <v>0.83499999999999996</v>
      </c>
      <c r="BL80" s="4">
        <v>-8.9999999999999993E-3</v>
      </c>
      <c r="BM80" s="4"/>
      <c r="BN80" s="4"/>
    </row>
    <row r="81" spans="1:66" x14ac:dyDescent="0.3">
      <c r="A81" t="s">
        <v>99</v>
      </c>
      <c r="B81" s="53">
        <v>0</v>
      </c>
      <c r="C81" s="53">
        <f t="shared" si="10"/>
        <v>-2E-3</v>
      </c>
      <c r="D81" s="53">
        <f t="shared" si="11"/>
        <v>0</v>
      </c>
      <c r="E81" s="53">
        <f t="shared" si="12"/>
        <v>2E-3</v>
      </c>
      <c r="F81" s="15">
        <v>1.111</v>
      </c>
      <c r="G81">
        <v>1.1879999999999999</v>
      </c>
      <c r="H81" t="s">
        <v>57</v>
      </c>
      <c r="I81" t="str">
        <f>VLOOKUP(A81,Setores!$A$2:$C$215,2,0)</f>
        <v>homebuilders</v>
      </c>
      <c r="J81" t="str">
        <f>VLOOKUP(A81,Setores!$A$2:$C$215,3,0)</f>
        <v>neutral_beta</v>
      </c>
      <c r="K81" s="17">
        <v>0</v>
      </c>
      <c r="L81" s="2">
        <v>-2E-3</v>
      </c>
      <c r="M81" s="5">
        <v>0.72387009666666702</v>
      </c>
      <c r="N81" s="41">
        <f>VLOOKUP(A81,'Mandato LP'!$A$2:$B$215,2,0)</f>
        <v>0</v>
      </c>
      <c r="O81" s="58">
        <f t="shared" si="13"/>
        <v>0</v>
      </c>
      <c r="P81" s="42">
        <f t="shared" si="14"/>
        <v>0</v>
      </c>
      <c r="Q81" s="41">
        <f>VLOOKUP(A81,'Mandato LP'!$A$2:$C$215,3,0)</f>
        <v>0</v>
      </c>
      <c r="R81" s="42">
        <f t="shared" si="15"/>
        <v>0</v>
      </c>
      <c r="S81" s="15">
        <v>-0.17100000000000001</v>
      </c>
      <c r="T81" s="15">
        <v>-0.58899999999999997</v>
      </c>
      <c r="U81" s="15">
        <v>0.26900000000000002</v>
      </c>
      <c r="V81" s="15">
        <v>-0.23899999999999999</v>
      </c>
      <c r="W81" s="15">
        <v>-0.151</v>
      </c>
      <c r="X81" s="15">
        <v>-3.1E-2</v>
      </c>
      <c r="Y81" s="15">
        <v>7.1999999999999995E-2</v>
      </c>
      <c r="Z81" s="15">
        <v>-0.36799999999999999</v>
      </c>
      <c r="AA81" s="15">
        <v>0.17799999999999999</v>
      </c>
      <c r="AB81" s="15">
        <v>0.17699999999999999</v>
      </c>
      <c r="AC81" s="15">
        <v>0.53100000000000003</v>
      </c>
      <c r="AD81" s="15">
        <v>0.61699999999999999</v>
      </c>
      <c r="AE81" s="15">
        <v>0.55100000000000005</v>
      </c>
      <c r="AF81" s="14">
        <v>0.32600000000000001</v>
      </c>
      <c r="AG81" s="15">
        <v>0.53</v>
      </c>
      <c r="AH81" s="15">
        <v>-0.65800000000000003</v>
      </c>
      <c r="AI81" s="15">
        <v>0.60399999999999998</v>
      </c>
      <c r="AJ81" s="15">
        <v>-0.376</v>
      </c>
      <c r="AK81" s="16">
        <v>0.159</v>
      </c>
      <c r="AL81" s="4">
        <v>-0.223</v>
      </c>
      <c r="AM81" s="4">
        <v>0.378</v>
      </c>
      <c r="AN81" s="4">
        <v>9.0999999999999998E-2</v>
      </c>
      <c r="AO81" s="4">
        <v>0.157</v>
      </c>
      <c r="AP81" s="4">
        <v>-0.753</v>
      </c>
      <c r="AQ81" s="4">
        <v>-0.84499999999999997</v>
      </c>
      <c r="AR81" s="4">
        <v>0.38700000000000001</v>
      </c>
      <c r="AS81" s="4">
        <v>-6.3E-2</v>
      </c>
      <c r="AT81" s="4">
        <v>-0.158</v>
      </c>
      <c r="AU81" s="4">
        <v>-0.14399999999999999</v>
      </c>
      <c r="AV81" s="4">
        <v>-0.45800000000000002</v>
      </c>
      <c r="AW81" s="4">
        <v>5.6000000000000001E-2</v>
      </c>
      <c r="AX81" s="4">
        <v>6.6000000000000003E-2</v>
      </c>
      <c r="AY81" s="4">
        <v>-2E-3</v>
      </c>
      <c r="AZ81" s="4">
        <v>0.64</v>
      </c>
      <c r="BA81" s="4">
        <v>0.32500000000000001</v>
      </c>
      <c r="BB81" s="4">
        <v>0.1</v>
      </c>
      <c r="BC81" s="4">
        <v>-9.9000000000000005E-2</v>
      </c>
      <c r="BD81" s="4">
        <v>-0.442</v>
      </c>
      <c r="BE81" s="4">
        <v>7.2999999999999995E-2</v>
      </c>
      <c r="BF81" s="4">
        <v>0.60599999999999998</v>
      </c>
      <c r="BG81" s="4">
        <v>0.3</v>
      </c>
      <c r="BH81" s="4">
        <v>0.86099999999999999</v>
      </c>
      <c r="BI81" s="4">
        <v>-0.26700000000000002</v>
      </c>
      <c r="BJ81" s="4">
        <v>0.187</v>
      </c>
      <c r="BK81" s="4">
        <v>0.53400000000000003</v>
      </c>
      <c r="BL81" s="4">
        <v>0.49299999999999999</v>
      </c>
      <c r="BM81" s="4"/>
      <c r="BN81" s="4"/>
    </row>
    <row r="82" spans="1:66" x14ac:dyDescent="0.3">
      <c r="A82" t="s">
        <v>237</v>
      </c>
      <c r="B82" s="53">
        <v>0</v>
      </c>
      <c r="C82" s="53">
        <f t="shared" si="10"/>
        <v>0</v>
      </c>
      <c r="D82" s="53">
        <f t="shared" si="11"/>
        <v>0</v>
      </c>
      <c r="E82" s="53">
        <f t="shared" si="12"/>
        <v>0</v>
      </c>
      <c r="F82" s="15">
        <v>1.097</v>
      </c>
      <c r="G82">
        <v>0.77300000000000002</v>
      </c>
      <c r="H82" t="s">
        <v>53</v>
      </c>
      <c r="I82" t="str">
        <f>VLOOKUP(A82,Setores!$A$2:$C$215,2,0)</f>
        <v>healthcare</v>
      </c>
      <c r="J82" t="str">
        <f>VLOOKUP(A82,Setores!$A$2:$C$215,3,0)</f>
        <v>very_high_beta</v>
      </c>
      <c r="K82" s="17">
        <v>0</v>
      </c>
      <c r="L82" s="2">
        <v>0</v>
      </c>
      <c r="M82" s="5">
        <v>4.5507478033333298E-2</v>
      </c>
      <c r="N82" s="41">
        <f>VLOOKUP(A82,'Mandato LP'!$A$2:$B$215,2,0)</f>
        <v>0</v>
      </c>
      <c r="O82" s="58">
        <f t="shared" si="13"/>
        <v>0</v>
      </c>
      <c r="P82" s="42">
        <f t="shared" si="14"/>
        <v>0</v>
      </c>
      <c r="Q82" s="41">
        <f>VLOOKUP(A82,'Mandato LP'!$A$2:$C$215,3,0)</f>
        <v>0</v>
      </c>
      <c r="R82" s="42">
        <f t="shared" si="15"/>
        <v>0</v>
      </c>
      <c r="S82" s="15">
        <v>0.38700000000000001</v>
      </c>
      <c r="T82" s="15">
        <v>0.82799999999999996</v>
      </c>
      <c r="U82" s="15">
        <v>0.56000000000000005</v>
      </c>
      <c r="V82" s="15">
        <v>9.0999999999999998E-2</v>
      </c>
      <c r="W82" s="15">
        <v>0.56499999999999995</v>
      </c>
      <c r="X82" s="15">
        <v>-0.57099999999999995</v>
      </c>
      <c r="Y82" s="15">
        <v>-0.79</v>
      </c>
      <c r="Z82" s="15">
        <v>-0.503</v>
      </c>
      <c r="AA82" s="15">
        <v>-0.14899999999999999</v>
      </c>
      <c r="AB82" s="15">
        <v>-0.14799999999999999</v>
      </c>
      <c r="AC82" s="15">
        <v>0.32400000000000001</v>
      </c>
      <c r="AD82" s="15">
        <v>0.42499999999999999</v>
      </c>
      <c r="AE82" s="15">
        <v>0.312</v>
      </c>
      <c r="AF82" s="14">
        <v>0.437</v>
      </c>
      <c r="AG82" s="15">
        <v>0.64</v>
      </c>
      <c r="AH82" s="15">
        <v>0.76400000000000001</v>
      </c>
      <c r="AI82" s="15">
        <v>1</v>
      </c>
      <c r="AJ82" s="15">
        <v>0.65800000000000003</v>
      </c>
      <c r="AK82" s="16">
        <v>-0.52400000000000002</v>
      </c>
      <c r="AL82" s="4">
        <v>0.67400000000000004</v>
      </c>
      <c r="AM82" s="4">
        <v>-0.89100000000000001</v>
      </c>
      <c r="AN82" s="4">
        <v>0.80200000000000005</v>
      </c>
      <c r="AO82" s="4">
        <v>0.217</v>
      </c>
      <c r="AP82" s="4">
        <v>-0.22800000000000001</v>
      </c>
      <c r="AQ82" s="4">
        <v>0.249</v>
      </c>
      <c r="AR82" s="4">
        <v>-0.30399999999999999</v>
      </c>
      <c r="AS82" s="4">
        <v>0.26500000000000001</v>
      </c>
      <c r="AT82" s="4">
        <v>5.1999999999999998E-2</v>
      </c>
      <c r="AU82" s="4">
        <v>7.0000000000000001E-3</v>
      </c>
      <c r="AV82" s="4">
        <v>-0.62</v>
      </c>
      <c r="AW82" s="4">
        <v>-0.01</v>
      </c>
      <c r="AX82" s="4">
        <v>-0.55800000000000005</v>
      </c>
      <c r="AY82" s="4">
        <v>-0.61199999999999999</v>
      </c>
      <c r="AZ82" s="4">
        <v>-0.33600000000000002</v>
      </c>
      <c r="BA82" s="4">
        <v>-0.51300000000000001</v>
      </c>
      <c r="BB82" s="4">
        <v>0.98399999999999999</v>
      </c>
      <c r="BC82" s="4">
        <v>0.104</v>
      </c>
      <c r="BD82" s="4">
        <v>-3.0000000000000001E-3</v>
      </c>
      <c r="BE82" s="4">
        <v>0.32300000000000001</v>
      </c>
      <c r="BF82" s="4">
        <v>0.54700000000000004</v>
      </c>
      <c r="BG82" s="4">
        <v>0.51500000000000001</v>
      </c>
      <c r="BH82" s="4">
        <v>-0.63900000000000001</v>
      </c>
      <c r="BI82" s="4">
        <v>1</v>
      </c>
      <c r="BJ82" s="4">
        <v>0.38600000000000001</v>
      </c>
      <c r="BK82" s="4">
        <v>0.59499999999999997</v>
      </c>
      <c r="BL82" s="4">
        <v>0.99399999999999999</v>
      </c>
      <c r="BM82" s="4"/>
      <c r="BN82" s="4"/>
    </row>
    <row r="83" spans="1:66" x14ac:dyDescent="0.3">
      <c r="A83" t="s">
        <v>164</v>
      </c>
      <c r="B83" s="53">
        <v>0</v>
      </c>
      <c r="C83" s="53">
        <f t="shared" si="10"/>
        <v>0</v>
      </c>
      <c r="D83" s="53">
        <f t="shared" si="11"/>
        <v>0</v>
      </c>
      <c r="E83" s="53">
        <f t="shared" si="12"/>
        <v>0</v>
      </c>
      <c r="F83" s="15">
        <v>1.093</v>
      </c>
      <c r="G83">
        <v>1.1599999999999999</v>
      </c>
      <c r="H83" t="s">
        <v>68</v>
      </c>
      <c r="I83" t="str">
        <f>VLOOKUP(A83,Setores!$A$2:$C$215,2,0)</f>
        <v>capital_goods</v>
      </c>
      <c r="J83" t="str">
        <f>VLOOKUP(A83,Setores!$A$2:$C$215,3,0)</f>
        <v>neutral_beta</v>
      </c>
      <c r="K83" s="17">
        <v>0</v>
      </c>
      <c r="L83" s="2">
        <v>0</v>
      </c>
      <c r="M83" s="5">
        <v>0.36880113333333298</v>
      </c>
      <c r="N83" s="41">
        <f>VLOOKUP(A83,'Mandato LP'!$A$2:$B$215,2,0)</f>
        <v>0</v>
      </c>
      <c r="O83" s="58">
        <f t="shared" si="13"/>
        <v>0</v>
      </c>
      <c r="P83" s="42">
        <f t="shared" si="14"/>
        <v>0</v>
      </c>
      <c r="Q83" s="41">
        <f>VLOOKUP(A83,'Mandato LP'!$A$2:$C$215,3,0)</f>
        <v>0</v>
      </c>
      <c r="R83" s="42">
        <f t="shared" si="15"/>
        <v>0</v>
      </c>
      <c r="S83" s="15">
        <v>-7.0999999999999994E-2</v>
      </c>
      <c r="T83" s="15">
        <v>-2E-3</v>
      </c>
      <c r="U83" s="15">
        <v>-5.6000000000000001E-2</v>
      </c>
      <c r="V83" s="15">
        <v>-0.33</v>
      </c>
      <c r="W83" s="15">
        <v>-0.218</v>
      </c>
      <c r="X83" s="15">
        <v>-0.25900000000000001</v>
      </c>
      <c r="Y83" s="15">
        <v>-0.40699999999999997</v>
      </c>
      <c r="Z83" s="15">
        <v>-0.60499999999999998</v>
      </c>
      <c r="AA83" s="15">
        <v>0.53200000000000003</v>
      </c>
      <c r="AB83" s="15">
        <v>0.52900000000000003</v>
      </c>
      <c r="AC83" s="15">
        <v>0.62</v>
      </c>
      <c r="AD83" s="15">
        <v>0.70899999999999996</v>
      </c>
      <c r="AE83" s="15">
        <v>0.70599999999999996</v>
      </c>
      <c r="AF83" s="14">
        <v>-0.22800000000000001</v>
      </c>
      <c r="AG83" s="15">
        <v>4.0000000000000001E-3</v>
      </c>
      <c r="AH83" s="15">
        <v>-0.16</v>
      </c>
      <c r="AI83" s="15">
        <v>0.54800000000000004</v>
      </c>
      <c r="AJ83" s="15">
        <v>-0.37</v>
      </c>
      <c r="AK83" s="16">
        <v>-0.53100000000000003</v>
      </c>
      <c r="AL83" s="4">
        <v>0.314</v>
      </c>
      <c r="AM83" s="4">
        <v>-0.46500000000000002</v>
      </c>
      <c r="AN83" s="4">
        <v>0.71699999999999997</v>
      </c>
      <c r="AO83" s="4">
        <v>-0.25700000000000001</v>
      </c>
      <c r="AP83" s="4">
        <v>-0.433</v>
      </c>
      <c r="AQ83" s="4">
        <v>-0.17499999999999999</v>
      </c>
      <c r="AR83" s="4">
        <v>5.8000000000000003E-2</v>
      </c>
      <c r="AS83" s="4">
        <v>0.314</v>
      </c>
      <c r="AT83" s="4">
        <v>6.9000000000000006E-2</v>
      </c>
      <c r="AU83" s="4">
        <v>8.9999999999999993E-3</v>
      </c>
      <c r="AV83" s="4">
        <v>-0.54300000000000004</v>
      </c>
      <c r="AW83" s="4">
        <v>-0.217</v>
      </c>
      <c r="AX83" s="4">
        <v>0.54</v>
      </c>
      <c r="AY83" s="4">
        <v>-0.21099999999999999</v>
      </c>
      <c r="AZ83" s="4">
        <v>0.92800000000000005</v>
      </c>
      <c r="BA83" s="4">
        <v>1</v>
      </c>
      <c r="BB83" s="4">
        <v>4.8000000000000001E-2</v>
      </c>
      <c r="BC83" s="4">
        <v>0.224</v>
      </c>
      <c r="BD83" s="4">
        <v>0.13800000000000001</v>
      </c>
      <c r="BE83" s="4">
        <v>0.29499999999999998</v>
      </c>
      <c r="BF83" s="4">
        <v>-0.28799999999999998</v>
      </c>
      <c r="BG83" s="4">
        <v>-0.224</v>
      </c>
      <c r="BH83" s="4">
        <v>0.38300000000000001</v>
      </c>
      <c r="BI83" s="4">
        <v>-4.2999999999999997E-2</v>
      </c>
      <c r="BJ83" s="4">
        <v>0.24</v>
      </c>
      <c r="BK83" s="4">
        <v>6.0999999999999999E-2</v>
      </c>
      <c r="BL83" s="4">
        <v>0.45400000000000001</v>
      </c>
      <c r="BM83" s="4"/>
      <c r="BN83" s="4"/>
    </row>
    <row r="84" spans="1:66" x14ac:dyDescent="0.3">
      <c r="A84" t="s">
        <v>143</v>
      </c>
      <c r="B84" s="53">
        <v>0</v>
      </c>
      <c r="C84" s="53">
        <f t="shared" si="10"/>
        <v>-1.2E-2</v>
      </c>
      <c r="D84" s="53">
        <f t="shared" si="11"/>
        <v>0</v>
      </c>
      <c r="E84" s="53">
        <f t="shared" si="12"/>
        <v>1.2E-2</v>
      </c>
      <c r="F84" s="15">
        <v>1.08</v>
      </c>
      <c r="G84">
        <v>1.6739999999999999</v>
      </c>
      <c r="H84" t="s">
        <v>53</v>
      </c>
      <c r="I84" t="str">
        <f>VLOOKUP(A84,Setores!$A$2:$C$215,2,0)</f>
        <v>healthcare</v>
      </c>
      <c r="J84" t="str">
        <f>VLOOKUP(A84,Setores!$A$2:$C$215,3,0)</f>
        <v>low_beta</v>
      </c>
      <c r="K84" s="17">
        <v>0</v>
      </c>
      <c r="L84" s="2">
        <v>-1.2E-2</v>
      </c>
      <c r="M84" s="5">
        <v>0.93633607016333298</v>
      </c>
      <c r="N84" s="41">
        <f>VLOOKUP(A84,'Mandato LP'!$A$2:$B$215,2,0)</f>
        <v>0</v>
      </c>
      <c r="O84" s="58">
        <f t="shared" si="13"/>
        <v>0</v>
      </c>
      <c r="P84" s="42">
        <f t="shared" si="14"/>
        <v>0</v>
      </c>
      <c r="Q84" s="41">
        <f>VLOOKUP(A84,'Mandato LP'!$A$2:$C$215,3,0)</f>
        <v>0</v>
      </c>
      <c r="R84" s="42">
        <f t="shared" si="15"/>
        <v>0</v>
      </c>
      <c r="S84" s="15">
        <v>-0.39500000000000002</v>
      </c>
      <c r="T84" s="15">
        <v>-0.47</v>
      </c>
      <c r="U84" s="15">
        <v>-0.7</v>
      </c>
      <c r="V84" s="15">
        <v>-0.315</v>
      </c>
      <c r="W84" s="15">
        <v>-0.57499999999999996</v>
      </c>
      <c r="X84" s="15">
        <v>-8.5999999999999993E-2</v>
      </c>
      <c r="Y84" s="15">
        <v>0.13200000000000001</v>
      </c>
      <c r="Z84" s="15">
        <v>-0.22</v>
      </c>
      <c r="AA84" s="15">
        <v>0.32700000000000001</v>
      </c>
      <c r="AB84" s="15">
        <v>0.32500000000000001</v>
      </c>
      <c r="AC84" s="15">
        <v>0.81699999999999995</v>
      </c>
      <c r="AD84" s="15">
        <v>0.82499999999999996</v>
      </c>
      <c r="AE84" s="15">
        <v>0.622</v>
      </c>
      <c r="AF84" s="14">
        <v>-0.26400000000000001</v>
      </c>
      <c r="AG84" s="15">
        <v>-0.39200000000000002</v>
      </c>
      <c r="AH84" s="15">
        <v>-0.313</v>
      </c>
      <c r="AI84" s="15">
        <v>-0.65200000000000002</v>
      </c>
      <c r="AJ84" s="15">
        <v>-0.32800000000000001</v>
      </c>
      <c r="AK84" s="16">
        <v>-0.78800000000000003</v>
      </c>
      <c r="AL84" s="4">
        <v>1.6E-2</v>
      </c>
      <c r="AM84" s="4">
        <v>-8.4000000000000005E-2</v>
      </c>
      <c r="AN84" s="4">
        <v>-0.64</v>
      </c>
      <c r="AO84" s="4">
        <v>0.221</v>
      </c>
      <c r="AP84" s="4">
        <v>6.4000000000000001E-2</v>
      </c>
      <c r="AQ84" s="4">
        <v>-0.10199999999999999</v>
      </c>
      <c r="AR84" s="4">
        <v>5.8000000000000003E-2</v>
      </c>
      <c r="AS84" s="4">
        <v>0.33200000000000002</v>
      </c>
      <c r="AT84" s="4">
        <v>0.11899999999999999</v>
      </c>
      <c r="AU84" s="4">
        <v>0.217</v>
      </c>
      <c r="AV84" s="4">
        <v>-0.29199999999999998</v>
      </c>
      <c r="AW84" s="4">
        <v>7.0999999999999994E-2</v>
      </c>
      <c r="AX84" s="4">
        <v>0.45700000000000002</v>
      </c>
      <c r="AY84" s="4">
        <v>-0.158</v>
      </c>
      <c r="AZ84" s="4">
        <v>0.92600000000000005</v>
      </c>
      <c r="BA84" s="4">
        <v>0.50800000000000001</v>
      </c>
      <c r="BB84" s="4">
        <v>-8.9999999999999993E-3</v>
      </c>
      <c r="BC84" s="4">
        <v>-0.11799999999999999</v>
      </c>
      <c r="BD84" s="4">
        <v>-2.5999999999999999E-2</v>
      </c>
      <c r="BE84" s="4">
        <v>0.48799999999999999</v>
      </c>
      <c r="BF84" s="4">
        <v>-0.183</v>
      </c>
      <c r="BG84" s="4">
        <v>9.6000000000000002E-2</v>
      </c>
      <c r="BH84" s="4">
        <v>0.71</v>
      </c>
      <c r="BI84" s="4">
        <v>-0.123</v>
      </c>
      <c r="BJ84" s="4">
        <v>-0.183</v>
      </c>
      <c r="BK84" s="4">
        <v>4.5999999999999999E-2</v>
      </c>
      <c r="BL84" s="4">
        <v>-0.14499999999999999</v>
      </c>
      <c r="BM84" s="4"/>
      <c r="BN84" s="4"/>
    </row>
    <row r="85" spans="1:66" x14ac:dyDescent="0.3">
      <c r="A85" t="s">
        <v>132</v>
      </c>
      <c r="B85" s="53">
        <v>0</v>
      </c>
      <c r="C85" s="53">
        <f t="shared" si="10"/>
        <v>-2E-3</v>
      </c>
      <c r="D85" s="53">
        <f t="shared" si="11"/>
        <v>0</v>
      </c>
      <c r="E85" s="53">
        <f t="shared" si="12"/>
        <v>2E-3</v>
      </c>
      <c r="F85" s="15">
        <v>1.08</v>
      </c>
      <c r="G85">
        <v>0.91300000000000003</v>
      </c>
      <c r="H85" t="s">
        <v>53</v>
      </c>
      <c r="I85" t="str">
        <f>VLOOKUP(A85,Setores!$A$2:$C$215,2,0)</f>
        <v>healthcare</v>
      </c>
      <c r="J85" t="str">
        <f>VLOOKUP(A85,Setores!$A$2:$C$215,3,0)</f>
        <v>high_beta</v>
      </c>
      <c r="K85" s="17">
        <v>0</v>
      </c>
      <c r="L85" s="2">
        <v>-2E-3</v>
      </c>
      <c r="M85" s="5">
        <v>0.26910933176666701</v>
      </c>
      <c r="N85" s="41">
        <f>VLOOKUP(A85,'Mandato LP'!$A$2:$B$215,2,0)</f>
        <v>0</v>
      </c>
      <c r="O85" s="58">
        <f t="shared" si="13"/>
        <v>0</v>
      </c>
      <c r="P85" s="42">
        <f t="shared" si="14"/>
        <v>0</v>
      </c>
      <c r="Q85" s="41">
        <f>VLOOKUP(A85,'Mandato LP'!$A$2:$C$215,3,0)</f>
        <v>0</v>
      </c>
      <c r="R85" s="42">
        <f t="shared" si="15"/>
        <v>0</v>
      </c>
      <c r="S85" s="15">
        <v>-0.27500000000000002</v>
      </c>
      <c r="T85" s="15">
        <v>-0.47799999999999998</v>
      </c>
      <c r="U85" s="15">
        <v>-0.47399999999999998</v>
      </c>
      <c r="V85" s="15">
        <v>-0.25900000000000001</v>
      </c>
      <c r="W85" s="15">
        <v>-0.46500000000000002</v>
      </c>
      <c r="X85" s="15">
        <v>-0.13400000000000001</v>
      </c>
      <c r="Y85" s="15">
        <v>-0.01</v>
      </c>
      <c r="Z85" s="15">
        <v>-0.29899999999999999</v>
      </c>
      <c r="AA85" s="15">
        <v>0.30399999999999999</v>
      </c>
      <c r="AB85" s="15">
        <v>0.29799999999999999</v>
      </c>
      <c r="AC85" s="15">
        <v>0.748</v>
      </c>
      <c r="AD85" s="15">
        <v>0.77600000000000002</v>
      </c>
      <c r="AE85" s="15">
        <v>0.63400000000000001</v>
      </c>
      <c r="AF85" s="14">
        <v>-0.14799999999999999</v>
      </c>
      <c r="AG85" s="15">
        <v>-0.20699999999999999</v>
      </c>
      <c r="AH85" s="15">
        <v>-0.45800000000000002</v>
      </c>
      <c r="AI85" s="15">
        <v>-0.51900000000000002</v>
      </c>
      <c r="AJ85" s="15">
        <v>4.5999999999999999E-2</v>
      </c>
      <c r="AK85" s="16">
        <v>-0.39700000000000002</v>
      </c>
      <c r="AL85" s="4">
        <v>-0.187</v>
      </c>
      <c r="AM85" s="4">
        <v>-5.7000000000000002E-2</v>
      </c>
      <c r="AN85" s="4">
        <v>-0.41899999999999998</v>
      </c>
      <c r="AO85" s="4">
        <v>-0.113</v>
      </c>
      <c r="AP85" s="4">
        <v>-1.6E-2</v>
      </c>
      <c r="AQ85" s="4">
        <v>-0.99099999999999999</v>
      </c>
      <c r="AR85" s="4">
        <v>0.23899999999999999</v>
      </c>
      <c r="AS85" s="4">
        <v>1</v>
      </c>
      <c r="AT85" s="4">
        <v>0.38400000000000001</v>
      </c>
      <c r="AU85" s="4">
        <v>0.30399999999999999</v>
      </c>
      <c r="AV85" s="4">
        <v>-0.46</v>
      </c>
      <c r="AW85" s="4">
        <v>0.36399999999999999</v>
      </c>
      <c r="AX85" s="4">
        <v>-0.14000000000000001</v>
      </c>
      <c r="AY85" s="4">
        <v>-0.15</v>
      </c>
      <c r="AZ85" s="4">
        <v>0.88</v>
      </c>
      <c r="BA85" s="4">
        <v>0.442</v>
      </c>
      <c r="BB85" s="4">
        <v>0.73899999999999999</v>
      </c>
      <c r="BC85" s="4">
        <v>-0.38800000000000001</v>
      </c>
      <c r="BD85" s="4">
        <v>-0.435</v>
      </c>
      <c r="BE85" s="4">
        <v>0.50700000000000001</v>
      </c>
      <c r="BF85" s="4">
        <v>0.36699999999999999</v>
      </c>
      <c r="BG85" s="4">
        <v>0.19800000000000001</v>
      </c>
      <c r="BH85" s="4">
        <v>0.71699999999999997</v>
      </c>
      <c r="BI85" s="4">
        <v>-0.33400000000000002</v>
      </c>
      <c r="BJ85" s="4">
        <v>0.14199999999999999</v>
      </c>
      <c r="BK85" s="4">
        <v>-0.105</v>
      </c>
      <c r="BL85" s="4">
        <v>0.20599999999999999</v>
      </c>
      <c r="BM85" s="4"/>
      <c r="BN85" s="4"/>
    </row>
    <row r="86" spans="1:66" x14ac:dyDescent="0.3">
      <c r="A86" t="s">
        <v>228</v>
      </c>
      <c r="B86" s="53">
        <v>0</v>
      </c>
      <c r="C86" s="53">
        <f t="shared" si="10"/>
        <v>0</v>
      </c>
      <c r="D86" s="53">
        <f t="shared" si="11"/>
        <v>0</v>
      </c>
      <c r="E86" s="53">
        <f t="shared" si="12"/>
        <v>0</v>
      </c>
      <c r="F86" s="15">
        <v>1.0720000000000001</v>
      </c>
      <c r="G86">
        <v>0.81599999999999995</v>
      </c>
      <c r="H86" t="s">
        <v>57</v>
      </c>
      <c r="I86" t="str">
        <f>VLOOKUP(A86,Setores!$A$2:$C$215,2,0)</f>
        <v>consumer_durables</v>
      </c>
      <c r="J86" t="str">
        <f>VLOOKUP(A86,Setores!$A$2:$C$215,3,0)</f>
        <v>high_beta</v>
      </c>
      <c r="K86" s="17">
        <v>0</v>
      </c>
      <c r="L86" s="2">
        <v>0</v>
      </c>
      <c r="M86" s="5">
        <v>3.027700405E-2</v>
      </c>
      <c r="N86" s="41">
        <f>VLOOKUP(A86,'Mandato LP'!$A$2:$B$215,2,0)</f>
        <v>0</v>
      </c>
      <c r="O86" s="58">
        <f t="shared" si="13"/>
        <v>0</v>
      </c>
      <c r="P86" s="42">
        <f t="shared" si="14"/>
        <v>0</v>
      </c>
      <c r="Q86" s="41">
        <f>VLOOKUP(A86,'Mandato LP'!$A$2:$C$215,3,0)</f>
        <v>0</v>
      </c>
      <c r="R86" s="42">
        <f t="shared" si="15"/>
        <v>0</v>
      </c>
      <c r="S86" s="15">
        <v>3.2000000000000001E-2</v>
      </c>
      <c r="T86" s="15">
        <v>0.45</v>
      </c>
      <c r="U86" s="15">
        <v>-4.1000000000000002E-2</v>
      </c>
      <c r="V86" s="15">
        <v>-0.27</v>
      </c>
      <c r="W86" s="15">
        <v>-4.8000000000000001E-2</v>
      </c>
      <c r="X86" s="15">
        <v>-0.40300000000000002</v>
      </c>
      <c r="Y86" s="15">
        <v>-0.60199999999999998</v>
      </c>
      <c r="Z86" s="15">
        <v>-0.501</v>
      </c>
      <c r="AA86" s="15">
        <v>-0.10299999999999999</v>
      </c>
      <c r="AB86" s="15">
        <v>-0.10199999999999999</v>
      </c>
      <c r="AC86" s="15">
        <v>0.73099999999999998</v>
      </c>
      <c r="AD86" s="15">
        <v>0.81</v>
      </c>
      <c r="AE86" s="15">
        <v>0.69899999999999995</v>
      </c>
      <c r="AF86" s="14">
        <v>-0.93100000000000005</v>
      </c>
      <c r="AG86" s="15">
        <v>0.2</v>
      </c>
      <c r="AH86" s="15">
        <v>0.84199999999999997</v>
      </c>
      <c r="AI86" s="15">
        <v>-0.48099999999999998</v>
      </c>
      <c r="AJ86" s="15">
        <v>1</v>
      </c>
      <c r="AK86" s="16">
        <v>0.38900000000000001</v>
      </c>
      <c r="AL86" s="4">
        <v>-0.17499999999999999</v>
      </c>
      <c r="AM86" s="4">
        <v>-0.85099999999999998</v>
      </c>
      <c r="AN86" s="4">
        <v>-0.46500000000000002</v>
      </c>
      <c r="AO86" s="4">
        <v>0.20100000000000001</v>
      </c>
      <c r="AP86" s="4">
        <v>-5.0000000000000001E-3</v>
      </c>
      <c r="AQ86" s="4">
        <v>0.93200000000000005</v>
      </c>
      <c r="AR86" s="4">
        <v>0.32600000000000001</v>
      </c>
      <c r="AS86" s="4">
        <v>0.44800000000000001</v>
      </c>
      <c r="AT86" s="4">
        <v>0.28599999999999998</v>
      </c>
      <c r="AU86" s="4">
        <v>0.27500000000000002</v>
      </c>
      <c r="AV86" s="4">
        <v>-0.308</v>
      </c>
      <c r="AW86" s="4">
        <v>-0.157</v>
      </c>
      <c r="AX86" s="4">
        <v>-0.39900000000000002</v>
      </c>
      <c r="AY86" s="4">
        <v>0.21</v>
      </c>
      <c r="AZ86" s="4">
        <v>-0.34399999999999997</v>
      </c>
      <c r="BA86" s="4">
        <v>4.4999999999999998E-2</v>
      </c>
      <c r="BB86" s="4">
        <v>-2.8000000000000001E-2</v>
      </c>
      <c r="BC86" s="4">
        <v>0.17100000000000001</v>
      </c>
      <c r="BD86" s="4">
        <v>0.51800000000000002</v>
      </c>
      <c r="BE86" s="4">
        <v>-0.88300000000000001</v>
      </c>
      <c r="BF86" s="4">
        <v>-0.246</v>
      </c>
      <c r="BG86" s="4">
        <v>0.29299999999999998</v>
      </c>
      <c r="BH86" s="4">
        <v>0.29299999999999998</v>
      </c>
      <c r="BI86" s="4">
        <v>0.28799999999999998</v>
      </c>
      <c r="BJ86" s="4">
        <v>-2.5000000000000001E-2</v>
      </c>
      <c r="BK86" s="4">
        <v>0.25</v>
      </c>
      <c r="BL86" s="4">
        <v>-5.3999999999999999E-2</v>
      </c>
      <c r="BM86" s="4"/>
      <c r="BN86" s="4"/>
    </row>
    <row r="87" spans="1:66" x14ac:dyDescent="0.3">
      <c r="A87" t="s">
        <v>125</v>
      </c>
      <c r="B87" s="53">
        <v>0</v>
      </c>
      <c r="C87" s="53">
        <f t="shared" si="10"/>
        <v>-1E-3</v>
      </c>
      <c r="D87" s="53">
        <f t="shared" si="11"/>
        <v>0</v>
      </c>
      <c r="E87" s="53">
        <f t="shared" si="12"/>
        <v>1E-3</v>
      </c>
      <c r="F87" s="15">
        <v>1.052</v>
      </c>
      <c r="G87">
        <v>1.4430000000000001</v>
      </c>
      <c r="H87" t="s">
        <v>55</v>
      </c>
      <c r="I87" t="str">
        <f>VLOOKUP(A87,Setores!$A$2:$C$215,2,0)</f>
        <v>real_estate</v>
      </c>
      <c r="J87" t="str">
        <f>VLOOKUP(A87,Setores!$A$2:$C$215,3,0)</f>
        <v>high_beta</v>
      </c>
      <c r="K87" s="17">
        <v>0</v>
      </c>
      <c r="L87" s="2">
        <v>-1E-3</v>
      </c>
      <c r="M87" s="5">
        <v>1.1477801859300001</v>
      </c>
      <c r="N87" s="41">
        <f>VLOOKUP(A87,'Mandato LP'!$A$2:$B$215,2,0)</f>
        <v>0</v>
      </c>
      <c r="O87" s="58">
        <f t="shared" si="13"/>
        <v>0</v>
      </c>
      <c r="P87" s="42">
        <f t="shared" si="14"/>
        <v>0</v>
      </c>
      <c r="Q87" s="41">
        <f>VLOOKUP(A87,'Mandato LP'!$A$2:$C$215,3,0)</f>
        <v>0</v>
      </c>
      <c r="R87" s="42">
        <f t="shared" si="15"/>
        <v>0</v>
      </c>
      <c r="S87" s="15">
        <v>-0.34599999999999997</v>
      </c>
      <c r="T87" s="15">
        <v>-0.48499999999999999</v>
      </c>
      <c r="U87" s="15">
        <v>-0.77400000000000002</v>
      </c>
      <c r="V87" s="15">
        <v>-0.29499999999999998</v>
      </c>
      <c r="W87" s="15">
        <v>-0.65600000000000003</v>
      </c>
      <c r="X87" s="15">
        <v>0.13300000000000001</v>
      </c>
      <c r="Y87" s="15">
        <v>0.67600000000000005</v>
      </c>
      <c r="Z87" s="15">
        <v>-0.38800000000000001</v>
      </c>
      <c r="AA87" s="15">
        <v>0.29799999999999999</v>
      </c>
      <c r="AB87" s="15">
        <v>0.29899999999999999</v>
      </c>
      <c r="AC87" s="15">
        <v>0.7</v>
      </c>
      <c r="AD87" s="15">
        <v>0.72199999999999998</v>
      </c>
      <c r="AE87" s="15">
        <v>0.55100000000000005</v>
      </c>
      <c r="AF87" s="14">
        <v>-0.24099999999999999</v>
      </c>
      <c r="AG87" s="15">
        <v>-0.55900000000000005</v>
      </c>
      <c r="AH87" s="15">
        <v>-0.52300000000000002</v>
      </c>
      <c r="AI87" s="15">
        <v>-0.86299999999999999</v>
      </c>
      <c r="AJ87" s="15">
        <v>-0.56399999999999995</v>
      </c>
      <c r="AK87" s="16">
        <v>-0.58499999999999996</v>
      </c>
      <c r="AL87" s="4">
        <v>-0.28899999999999998</v>
      </c>
      <c r="AM87" s="4">
        <v>-0.39300000000000002</v>
      </c>
      <c r="AN87" s="4">
        <v>-0.77100000000000002</v>
      </c>
      <c r="AO87" s="4">
        <v>0.21299999999999999</v>
      </c>
      <c r="AP87" s="4">
        <v>-8.9999999999999993E-3</v>
      </c>
      <c r="AQ87" s="4">
        <v>0.10100000000000001</v>
      </c>
      <c r="AR87" s="4">
        <v>4.7E-2</v>
      </c>
      <c r="AS87" s="4">
        <v>0.39300000000000002</v>
      </c>
      <c r="AT87" s="4">
        <v>0.33300000000000002</v>
      </c>
      <c r="AU87" s="4">
        <v>0.43099999999999999</v>
      </c>
      <c r="AV87" s="4">
        <v>0.90100000000000002</v>
      </c>
      <c r="AW87" s="4">
        <v>0.35099999999999998</v>
      </c>
      <c r="AX87" s="4">
        <v>0.30399999999999999</v>
      </c>
      <c r="AY87" s="4">
        <v>-0.58399999999999996</v>
      </c>
      <c r="AZ87" s="4">
        <v>0.80700000000000005</v>
      </c>
      <c r="BA87" s="4">
        <v>0.29699999999999999</v>
      </c>
      <c r="BB87" s="4">
        <v>-9.9000000000000005E-2</v>
      </c>
      <c r="BC87" s="4">
        <v>-0.42</v>
      </c>
      <c r="BD87" s="4">
        <v>0.41</v>
      </c>
      <c r="BE87" s="4">
        <v>0.35199999999999998</v>
      </c>
      <c r="BF87" s="4">
        <v>-2.8000000000000001E-2</v>
      </c>
      <c r="BG87" s="4">
        <v>-3.1E-2</v>
      </c>
      <c r="BH87" s="4">
        <v>0.70399999999999996</v>
      </c>
      <c r="BI87" s="4">
        <v>-0.36</v>
      </c>
      <c r="BJ87" s="4">
        <v>0.54700000000000004</v>
      </c>
      <c r="BK87" s="4">
        <v>-0.26600000000000001</v>
      </c>
      <c r="BL87" s="4">
        <v>-0.42</v>
      </c>
      <c r="BM87" s="4"/>
      <c r="BN87" s="4"/>
    </row>
    <row r="88" spans="1:66" x14ac:dyDescent="0.3">
      <c r="A88" t="s">
        <v>196</v>
      </c>
      <c r="B88" s="53">
        <v>0</v>
      </c>
      <c r="C88" s="53">
        <f t="shared" si="10"/>
        <v>0</v>
      </c>
      <c r="D88" s="53">
        <f t="shared" si="11"/>
        <v>0</v>
      </c>
      <c r="E88" s="53">
        <f t="shared" si="12"/>
        <v>0</v>
      </c>
      <c r="F88" s="15">
        <v>1.046</v>
      </c>
      <c r="G88">
        <v>0.76700000000000002</v>
      </c>
      <c r="H88" t="s">
        <v>57</v>
      </c>
      <c r="I88" t="str">
        <f>VLOOKUP(A88,Setores!$A$2:$C$215,2,0)</f>
        <v>education</v>
      </c>
      <c r="J88" t="str">
        <f>VLOOKUP(A88,Setores!$A$2:$C$215,3,0)</f>
        <v>very_high_beta</v>
      </c>
      <c r="K88" s="17">
        <v>0</v>
      </c>
      <c r="L88" s="2">
        <v>0</v>
      </c>
      <c r="M88" s="5">
        <v>0.20086468759666701</v>
      </c>
      <c r="N88" s="41">
        <f>VLOOKUP(A88,'Mandato LP'!$A$2:$B$215,2,0)</f>
        <v>0</v>
      </c>
      <c r="O88" s="58">
        <f t="shared" si="13"/>
        <v>0</v>
      </c>
      <c r="P88" s="42">
        <f t="shared" si="14"/>
        <v>0</v>
      </c>
      <c r="Q88" s="41">
        <f>VLOOKUP(A88,'Mandato LP'!$A$2:$C$215,3,0)</f>
        <v>7.0393661377187999E-3</v>
      </c>
      <c r="R88" s="42">
        <f t="shared" si="15"/>
        <v>-7.0393661377187999E-3</v>
      </c>
      <c r="S88" s="15">
        <v>8.3000000000000004E-2</v>
      </c>
      <c r="T88" s="15">
        <v>0.16200000000000001</v>
      </c>
      <c r="U88" s="15">
        <v>0.125</v>
      </c>
      <c r="V88" s="15">
        <v>2.5000000000000001E-2</v>
      </c>
      <c r="W88" s="15">
        <v>0.14499999999999999</v>
      </c>
      <c r="X88" s="15">
        <v>-0.27200000000000002</v>
      </c>
      <c r="Y88" s="15">
        <v>-0.39</v>
      </c>
      <c r="Z88" s="15">
        <v>-0.55800000000000005</v>
      </c>
      <c r="AA88" s="15">
        <v>-5.3999999999999999E-2</v>
      </c>
      <c r="AB88" s="15">
        <v>-5.2999999999999999E-2</v>
      </c>
      <c r="AC88" s="15">
        <v>0.56899999999999995</v>
      </c>
      <c r="AD88" s="15">
        <v>0.55600000000000005</v>
      </c>
      <c r="AE88" s="15">
        <v>0.53900000000000003</v>
      </c>
      <c r="AF88" s="14">
        <v>0.183</v>
      </c>
      <c r="AG88" s="15">
        <v>0.93899999999999995</v>
      </c>
      <c r="AH88" s="15">
        <v>0.125</v>
      </c>
      <c r="AI88" s="15">
        <v>0.38900000000000001</v>
      </c>
      <c r="AJ88" s="15">
        <v>-0.113</v>
      </c>
      <c r="AK88" s="16">
        <v>0.67100000000000004</v>
      </c>
      <c r="AL88" s="4">
        <v>0.14299999999999999</v>
      </c>
      <c r="AM88" s="4">
        <v>-0.753</v>
      </c>
      <c r="AN88" s="4">
        <v>0.249</v>
      </c>
      <c r="AO88" s="4">
        <v>0.14699999999999999</v>
      </c>
      <c r="AP88" s="4">
        <v>-0.19800000000000001</v>
      </c>
      <c r="AQ88" s="4">
        <v>-0.436</v>
      </c>
      <c r="AR88" s="4">
        <v>0.56399999999999995</v>
      </c>
      <c r="AS88" s="4">
        <v>0.23100000000000001</v>
      </c>
      <c r="AT88" s="4">
        <v>0.188</v>
      </c>
      <c r="AU88" s="4">
        <v>7.8E-2</v>
      </c>
      <c r="AV88" s="4">
        <v>0.126</v>
      </c>
      <c r="AW88" s="4">
        <v>0.23400000000000001</v>
      </c>
      <c r="AX88" s="4">
        <v>-0.88500000000000001</v>
      </c>
      <c r="AY88" s="4">
        <v>-0.47399999999999998</v>
      </c>
      <c r="AZ88" s="4">
        <v>0.64300000000000002</v>
      </c>
      <c r="BA88" s="4">
        <v>0.17299999999999999</v>
      </c>
      <c r="BB88" s="4">
        <v>0.53300000000000003</v>
      </c>
      <c r="BC88" s="4">
        <v>0.159</v>
      </c>
      <c r="BD88" s="4">
        <v>-0.219</v>
      </c>
      <c r="BE88" s="4">
        <v>0.20399999999999999</v>
      </c>
      <c r="BF88" s="4">
        <v>0.46899999999999997</v>
      </c>
      <c r="BG88" s="4">
        <v>0.315</v>
      </c>
      <c r="BH88" s="4">
        <v>0.27600000000000002</v>
      </c>
      <c r="BI88" s="4">
        <v>-0.153</v>
      </c>
      <c r="BJ88" s="4">
        <v>0.50700000000000001</v>
      </c>
      <c r="BK88" s="4">
        <v>-0.59399999999999997</v>
      </c>
      <c r="BL88" s="4">
        <v>0.65300000000000002</v>
      </c>
      <c r="BM88" s="4"/>
      <c r="BN88" s="4"/>
    </row>
    <row r="89" spans="1:66" x14ac:dyDescent="0.3">
      <c r="A89" t="s">
        <v>104</v>
      </c>
      <c r="B89" s="53">
        <v>0.01</v>
      </c>
      <c r="C89" s="53">
        <f t="shared" si="10"/>
        <v>0.01</v>
      </c>
      <c r="D89" s="53">
        <f t="shared" si="11"/>
        <v>0.01</v>
      </c>
      <c r="E89" s="53">
        <f t="shared" si="12"/>
        <v>0</v>
      </c>
      <c r="F89" s="15">
        <v>1.0429999999999999</v>
      </c>
      <c r="G89">
        <v>1.383</v>
      </c>
      <c r="H89" t="s">
        <v>55</v>
      </c>
      <c r="I89" t="str">
        <f>VLOOKUP(A89,Setores!$A$2:$C$215,2,0)</f>
        <v>utilities</v>
      </c>
      <c r="J89" t="str">
        <f>VLOOKUP(A89,Setores!$A$2:$C$215,3,0)</f>
        <v>low_beta</v>
      </c>
      <c r="K89" s="17">
        <v>0</v>
      </c>
      <c r="L89" s="2">
        <v>0</v>
      </c>
      <c r="M89" s="5">
        <v>1.0827808024066701</v>
      </c>
      <c r="N89" s="41">
        <f>VLOOKUP(A89,'Mandato LP'!$A$2:$B$215,2,0)</f>
        <v>0</v>
      </c>
      <c r="O89" s="58">
        <f t="shared" si="13"/>
        <v>0</v>
      </c>
      <c r="P89" s="42">
        <f t="shared" si="14"/>
        <v>0.01</v>
      </c>
      <c r="Q89" s="41">
        <f>VLOOKUP(A89,'Mandato LP'!$A$2:$C$215,3,0)</f>
        <v>0</v>
      </c>
      <c r="R89" s="42">
        <f t="shared" si="15"/>
        <v>0</v>
      </c>
      <c r="S89" s="15">
        <v>-0.55000000000000004</v>
      </c>
      <c r="T89" s="15">
        <v>-0.73899999999999999</v>
      </c>
      <c r="U89" s="15">
        <v>-0.71599999999999997</v>
      </c>
      <c r="V89" s="15">
        <v>-0.42099999999999999</v>
      </c>
      <c r="W89" s="15">
        <v>-0.69199999999999995</v>
      </c>
      <c r="X89" s="15">
        <v>9.1999999999999998E-2</v>
      </c>
      <c r="Y89" s="15">
        <v>0.71899999999999997</v>
      </c>
      <c r="Z89" s="15">
        <v>-0.28799999999999998</v>
      </c>
      <c r="AA89" s="15">
        <v>0.48399999999999999</v>
      </c>
      <c r="AB89" s="15">
        <v>0.48199999999999998</v>
      </c>
      <c r="AC89" s="15">
        <v>0.63400000000000001</v>
      </c>
      <c r="AD89" s="15">
        <v>0.72099999999999997</v>
      </c>
      <c r="AE89" s="15">
        <v>0.59199999999999997</v>
      </c>
      <c r="AF89" s="14">
        <v>-0.27</v>
      </c>
      <c r="AG89" s="15">
        <v>-0.53200000000000003</v>
      </c>
      <c r="AH89" s="15">
        <v>-0.66800000000000004</v>
      </c>
      <c r="AI89" s="15">
        <v>-0.76300000000000001</v>
      </c>
      <c r="AJ89" s="15">
        <v>-0.67600000000000005</v>
      </c>
      <c r="AK89" s="16">
        <v>-0.88100000000000001</v>
      </c>
      <c r="AL89" s="4">
        <v>-0.182</v>
      </c>
      <c r="AM89" s="4">
        <v>0.187</v>
      </c>
      <c r="AN89" s="4">
        <v>-0.59899999999999998</v>
      </c>
      <c r="AO89" s="4">
        <v>-0.217</v>
      </c>
      <c r="AP89" s="4">
        <v>-0.27</v>
      </c>
      <c r="AQ89" s="4">
        <v>6.0000000000000001E-3</v>
      </c>
      <c r="AR89" s="4">
        <v>-0.13600000000000001</v>
      </c>
      <c r="AS89" s="4">
        <v>0.17599999999999999</v>
      </c>
      <c r="AT89" s="4">
        <v>0.124</v>
      </c>
      <c r="AU89" s="4">
        <v>0.113</v>
      </c>
      <c r="AV89" s="4">
        <v>0.53700000000000003</v>
      </c>
      <c r="AW89" s="4">
        <v>2.1999999999999999E-2</v>
      </c>
      <c r="AX89" s="4">
        <v>0.89300000000000002</v>
      </c>
      <c r="AY89" s="4">
        <v>-0.84499999999999997</v>
      </c>
      <c r="AZ89" s="4">
        <v>0.438</v>
      </c>
      <c r="BA89" s="4">
        <v>-6.5000000000000002E-2</v>
      </c>
      <c r="BB89" s="4">
        <v>0.88500000000000001</v>
      </c>
      <c r="BC89" s="4">
        <v>-0.16400000000000001</v>
      </c>
      <c r="BD89" s="4">
        <v>-0.36799999999999999</v>
      </c>
      <c r="BE89" s="4">
        <v>0.36399999999999999</v>
      </c>
      <c r="BF89" s="4">
        <v>-0.16600000000000001</v>
      </c>
      <c r="BG89" s="4">
        <v>0.11600000000000001</v>
      </c>
      <c r="BH89" s="4">
        <v>0.83899999999999997</v>
      </c>
      <c r="BI89" s="4">
        <v>-0.379</v>
      </c>
      <c r="BJ89" s="4">
        <v>-0.30099999999999999</v>
      </c>
      <c r="BK89" s="4">
        <v>0.93100000000000005</v>
      </c>
      <c r="BL89" s="4">
        <v>5.3999999999999999E-2</v>
      </c>
      <c r="BM89" s="4"/>
      <c r="BN89" s="4"/>
    </row>
    <row r="90" spans="1:66" x14ac:dyDescent="0.3">
      <c r="A90" t="s">
        <v>78</v>
      </c>
      <c r="B90" s="53">
        <v>0</v>
      </c>
      <c r="C90" s="53">
        <f t="shared" si="10"/>
        <v>-2E-3</v>
      </c>
      <c r="D90" s="53">
        <f t="shared" si="11"/>
        <v>0</v>
      </c>
      <c r="E90" s="53">
        <f t="shared" si="12"/>
        <v>2E-3</v>
      </c>
      <c r="F90" s="15">
        <v>1.0409999999999999</v>
      </c>
      <c r="G90">
        <v>1.1870000000000001</v>
      </c>
      <c r="H90" t="s">
        <v>57</v>
      </c>
      <c r="I90" t="str">
        <f>VLOOKUP(A90,Setores!$A$2:$C$215,2,0)</f>
        <v>transportation</v>
      </c>
      <c r="J90" t="str">
        <f>VLOOKUP(A90,Setores!$A$2:$C$215,3,0)</f>
        <v>neutral_beta</v>
      </c>
      <c r="K90" s="17">
        <v>0</v>
      </c>
      <c r="L90" s="2">
        <v>-2E-3</v>
      </c>
      <c r="M90" s="5">
        <v>2.75</v>
      </c>
      <c r="N90" s="41">
        <f>VLOOKUP(A90,'Mandato LP'!$A$2:$B$215,2,0)</f>
        <v>0</v>
      </c>
      <c r="O90" s="58">
        <f t="shared" si="13"/>
        <v>0</v>
      </c>
      <c r="P90" s="42">
        <f t="shared" si="14"/>
        <v>0</v>
      </c>
      <c r="Q90" s="41">
        <f>VLOOKUP(A90,'Mandato LP'!$A$2:$C$215,3,0)</f>
        <v>0</v>
      </c>
      <c r="R90" s="42">
        <f t="shared" si="15"/>
        <v>0</v>
      </c>
      <c r="S90" s="15">
        <v>-0.23899999999999999</v>
      </c>
      <c r="T90" s="15">
        <v>-0.78700000000000003</v>
      </c>
      <c r="U90" s="15">
        <v>-3.0000000000000001E-3</v>
      </c>
      <c r="V90" s="15">
        <v>-0.308</v>
      </c>
      <c r="W90" s="15">
        <v>-0.46400000000000002</v>
      </c>
      <c r="X90" s="15">
        <v>3.1E-2</v>
      </c>
      <c r="Y90" s="15">
        <v>0.3</v>
      </c>
      <c r="Z90" s="15">
        <v>-0.35399999999999998</v>
      </c>
      <c r="AA90" s="15">
        <v>0.214</v>
      </c>
      <c r="AB90" s="15">
        <v>0.218</v>
      </c>
      <c r="AC90" s="15">
        <v>0.58199999999999996</v>
      </c>
      <c r="AD90" s="15">
        <v>0.54300000000000004</v>
      </c>
      <c r="AE90" s="15">
        <v>0.53400000000000003</v>
      </c>
      <c r="AF90" s="14">
        <v>2.9000000000000001E-2</v>
      </c>
      <c r="AG90" s="15">
        <v>-0.27800000000000002</v>
      </c>
      <c r="AH90" s="15">
        <v>-1</v>
      </c>
      <c r="AI90" s="15">
        <v>-0.113</v>
      </c>
      <c r="AJ90" s="15">
        <v>-0.51700000000000002</v>
      </c>
      <c r="AK90" s="16">
        <v>0.81599999999999995</v>
      </c>
      <c r="AL90" s="4">
        <v>-0.219</v>
      </c>
      <c r="AM90" s="4">
        <v>0.35099999999999998</v>
      </c>
      <c r="AN90" s="4">
        <v>-0.86199999999999999</v>
      </c>
      <c r="AO90" s="4">
        <v>0.24099999999999999</v>
      </c>
      <c r="AP90" s="4">
        <v>-0.55100000000000005</v>
      </c>
      <c r="AQ90" s="4">
        <v>-0.67700000000000005</v>
      </c>
      <c r="AR90" s="4">
        <v>0.104</v>
      </c>
      <c r="AS90" s="4">
        <v>0.19400000000000001</v>
      </c>
      <c r="AT90" s="4">
        <v>-0.318</v>
      </c>
      <c r="AU90" s="4">
        <v>0.81699999999999995</v>
      </c>
      <c r="AV90" s="4">
        <v>-0.28000000000000003</v>
      </c>
      <c r="AW90" s="4">
        <v>0.17599999999999999</v>
      </c>
      <c r="AX90" s="4">
        <v>0.378</v>
      </c>
      <c r="AY90" s="4">
        <v>0.214</v>
      </c>
      <c r="AZ90" s="4">
        <v>0.85099999999999998</v>
      </c>
      <c r="BA90" s="4">
        <v>0.318</v>
      </c>
      <c r="BB90" s="4">
        <v>0.42099999999999999</v>
      </c>
      <c r="BC90" s="4">
        <v>-0.13100000000000001</v>
      </c>
      <c r="BD90" s="4">
        <v>-0.36199999999999999</v>
      </c>
      <c r="BE90" s="4">
        <v>0.34699999999999998</v>
      </c>
      <c r="BF90" s="4">
        <v>-0.23899999999999999</v>
      </c>
      <c r="BG90" s="4">
        <v>-0.27400000000000002</v>
      </c>
      <c r="BH90" s="4">
        <v>0.75</v>
      </c>
      <c r="BI90" s="4">
        <v>-0.59599999999999997</v>
      </c>
      <c r="BJ90" s="4">
        <v>0.24299999999999999</v>
      </c>
      <c r="BK90" s="4">
        <v>0.36799999999999999</v>
      </c>
      <c r="BL90" s="4">
        <v>0.58799999999999997</v>
      </c>
      <c r="BM90" s="4"/>
      <c r="BN90" s="4"/>
    </row>
    <row r="91" spans="1:66" x14ac:dyDescent="0.3">
      <c r="A91" t="s">
        <v>142</v>
      </c>
      <c r="B91" s="53">
        <v>0</v>
      </c>
      <c r="C91" s="53">
        <f t="shared" si="10"/>
        <v>0</v>
      </c>
      <c r="D91" s="53">
        <f t="shared" si="11"/>
        <v>0</v>
      </c>
      <c r="E91" s="53">
        <f t="shared" si="12"/>
        <v>0</v>
      </c>
      <c r="F91" s="15">
        <v>1</v>
      </c>
      <c r="G91">
        <v>0.81899999999999995</v>
      </c>
      <c r="H91" t="s">
        <v>53</v>
      </c>
      <c r="I91" t="str">
        <f>VLOOKUP(A91,Setores!$A$2:$C$215,2,0)</f>
        <v>consumer_staples</v>
      </c>
      <c r="J91" t="str">
        <f>VLOOKUP(A91,Setores!$A$2:$C$215,3,0)</f>
        <v>low_beta</v>
      </c>
      <c r="K91" s="17">
        <v>0</v>
      </c>
      <c r="L91" s="2">
        <v>0</v>
      </c>
      <c r="M91" s="5">
        <v>0.79897617743000005</v>
      </c>
      <c r="N91" s="41">
        <f>VLOOKUP(A91,'Mandato LP'!$A$2:$B$215,2,0)</f>
        <v>0</v>
      </c>
      <c r="O91" s="58">
        <f t="shared" si="13"/>
        <v>0</v>
      </c>
      <c r="P91" s="42">
        <f t="shared" si="14"/>
        <v>0</v>
      </c>
      <c r="Q91" s="41">
        <f>VLOOKUP(A91,'Mandato LP'!$A$2:$C$215,3,0)</f>
        <v>0</v>
      </c>
      <c r="R91" s="42">
        <f t="shared" si="15"/>
        <v>0</v>
      </c>
      <c r="S91" s="15">
        <v>3.1E-2</v>
      </c>
      <c r="T91" s="15">
        <v>-0.48399999999999999</v>
      </c>
      <c r="U91" s="15">
        <v>-9.6000000000000002E-2</v>
      </c>
      <c r="V91" s="15">
        <v>-0.123</v>
      </c>
      <c r="W91" s="15">
        <v>-0.38400000000000001</v>
      </c>
      <c r="X91" s="15">
        <v>-4.5999999999999999E-2</v>
      </c>
      <c r="Y91" s="15">
        <v>-0.115</v>
      </c>
      <c r="Z91" s="15">
        <v>-0.61699999999999999</v>
      </c>
      <c r="AA91" s="15">
        <v>0.20499999999999999</v>
      </c>
      <c r="AB91" s="15">
        <v>0.20300000000000001</v>
      </c>
      <c r="AC91" s="15">
        <v>0.65200000000000002</v>
      </c>
      <c r="AD91" s="15">
        <v>0.56100000000000005</v>
      </c>
      <c r="AE91" s="15">
        <v>0.59099999999999997</v>
      </c>
      <c r="AF91" s="14">
        <v>0.33100000000000002</v>
      </c>
      <c r="AG91" s="15">
        <v>0.04</v>
      </c>
      <c r="AH91" s="15">
        <v>-0.85499999999999998</v>
      </c>
      <c r="AI91" s="15">
        <v>-0.58399999999999996</v>
      </c>
      <c r="AJ91" s="15">
        <v>-0.80300000000000005</v>
      </c>
      <c r="AK91" s="16">
        <v>0.03</v>
      </c>
      <c r="AL91" s="4">
        <v>-5.8000000000000003E-2</v>
      </c>
      <c r="AM91" s="4">
        <v>-0.50800000000000001</v>
      </c>
      <c r="AN91" s="4">
        <v>-0.123</v>
      </c>
      <c r="AO91" s="4">
        <v>0.42</v>
      </c>
      <c r="AP91" s="4">
        <v>-0.53800000000000003</v>
      </c>
      <c r="AQ91" s="4">
        <v>-0.3</v>
      </c>
      <c r="AR91" s="4">
        <v>0.38500000000000001</v>
      </c>
      <c r="AS91" s="4">
        <v>0.51900000000000002</v>
      </c>
      <c r="AT91" s="4">
        <v>0.18099999999999999</v>
      </c>
      <c r="AU91" s="4">
        <v>0.13200000000000001</v>
      </c>
      <c r="AV91" s="4">
        <v>-0.35699999999999998</v>
      </c>
      <c r="AW91" s="4">
        <v>0.55700000000000005</v>
      </c>
      <c r="AX91" s="4">
        <v>0.54400000000000004</v>
      </c>
      <c r="AY91" s="4">
        <v>0.26200000000000001</v>
      </c>
      <c r="AZ91" s="4">
        <v>0.877</v>
      </c>
      <c r="BA91" s="4">
        <v>1</v>
      </c>
      <c r="BB91" s="4">
        <v>0.64400000000000002</v>
      </c>
      <c r="BC91" s="4">
        <v>9.0999999999999998E-2</v>
      </c>
      <c r="BD91" s="4">
        <v>-6.0000000000000001E-3</v>
      </c>
      <c r="BE91" s="4">
        <v>0.51500000000000001</v>
      </c>
      <c r="BF91" s="4">
        <v>7.9000000000000001E-2</v>
      </c>
      <c r="BG91" s="4">
        <v>1</v>
      </c>
      <c r="BH91" s="4">
        <v>0.111</v>
      </c>
      <c r="BI91" s="4">
        <v>-3.2000000000000001E-2</v>
      </c>
      <c r="BJ91" s="4">
        <v>-0.247</v>
      </c>
      <c r="BK91" s="4">
        <v>0.52600000000000002</v>
      </c>
      <c r="BL91" s="4">
        <v>7.2999999999999995E-2</v>
      </c>
      <c r="BM91" s="4"/>
      <c r="BN91" s="4"/>
    </row>
    <row r="92" spans="1:66" x14ac:dyDescent="0.3">
      <c r="A92" t="s">
        <v>108</v>
      </c>
      <c r="B92" s="53">
        <v>0</v>
      </c>
      <c r="C92" s="53">
        <f t="shared" si="10"/>
        <v>0</v>
      </c>
      <c r="D92" s="53">
        <f t="shared" si="11"/>
        <v>0</v>
      </c>
      <c r="E92" s="53">
        <f t="shared" si="12"/>
        <v>0</v>
      </c>
      <c r="F92" s="15">
        <v>0.98599999999999999</v>
      </c>
      <c r="G92">
        <v>1.29</v>
      </c>
      <c r="H92" t="s">
        <v>55</v>
      </c>
      <c r="I92" t="str">
        <f>VLOOKUP(A92,Setores!$A$2:$C$215,2,0)</f>
        <v>utilities</v>
      </c>
      <c r="J92" t="str">
        <f>VLOOKUP(A92,Setores!$A$2:$C$215,3,0)</f>
        <v>very_low_beta</v>
      </c>
      <c r="K92" s="17">
        <v>0</v>
      </c>
      <c r="L92" s="2">
        <v>0</v>
      </c>
      <c r="M92" s="5">
        <v>1.08146631923333</v>
      </c>
      <c r="N92" s="41">
        <f>VLOOKUP(A92,'Mandato LP'!$A$2:$B$215,2,0)</f>
        <v>0</v>
      </c>
      <c r="O92" s="58">
        <f t="shared" si="13"/>
        <v>0</v>
      </c>
      <c r="P92" s="42">
        <f t="shared" si="14"/>
        <v>0</v>
      </c>
      <c r="Q92" s="41">
        <f>VLOOKUP(A92,'Mandato LP'!$A$2:$C$215,3,0)</f>
        <v>0</v>
      </c>
      <c r="R92" s="42">
        <f t="shared" si="15"/>
        <v>0</v>
      </c>
      <c r="S92" s="15">
        <v>-0.621</v>
      </c>
      <c r="T92" s="15">
        <v>-0.76400000000000001</v>
      </c>
      <c r="U92" s="15">
        <v>-0.72499999999999998</v>
      </c>
      <c r="V92" s="15">
        <v>-0.45300000000000001</v>
      </c>
      <c r="W92" s="15">
        <v>-0.70699999999999996</v>
      </c>
      <c r="X92" s="15">
        <v>0.04</v>
      </c>
      <c r="Y92" s="15">
        <v>0.67300000000000004</v>
      </c>
      <c r="Z92" s="15">
        <v>-0.308</v>
      </c>
      <c r="AA92" s="15">
        <v>0.57099999999999995</v>
      </c>
      <c r="AB92" s="15">
        <v>0.56899999999999995</v>
      </c>
      <c r="AC92" s="15">
        <v>0.61499999999999999</v>
      </c>
      <c r="AD92" s="15">
        <v>0.72</v>
      </c>
      <c r="AE92" s="15">
        <v>0.57899999999999996</v>
      </c>
      <c r="AF92" s="14">
        <v>-0.26500000000000001</v>
      </c>
      <c r="AG92" s="15">
        <v>-0.52800000000000002</v>
      </c>
      <c r="AH92" s="15">
        <v>-0.70599999999999996</v>
      </c>
      <c r="AI92" s="15">
        <v>-0.76100000000000001</v>
      </c>
      <c r="AJ92" s="15">
        <v>-0.70899999999999996</v>
      </c>
      <c r="AK92" s="16">
        <v>-0.88100000000000001</v>
      </c>
      <c r="AL92" s="4">
        <v>-0.182</v>
      </c>
      <c r="AM92" s="4">
        <v>0.19400000000000001</v>
      </c>
      <c r="AN92" s="4">
        <v>-0.59899999999999998</v>
      </c>
      <c r="AO92" s="4">
        <v>-0.21299999999999999</v>
      </c>
      <c r="AP92" s="4">
        <v>-0.28999999999999998</v>
      </c>
      <c r="AQ92" s="4">
        <v>1.4E-2</v>
      </c>
      <c r="AR92" s="4">
        <v>-0.13600000000000001</v>
      </c>
      <c r="AS92" s="4">
        <v>0.17599999999999999</v>
      </c>
      <c r="AT92" s="4">
        <v>0.124</v>
      </c>
      <c r="AU92" s="4">
        <v>0.113</v>
      </c>
      <c r="AV92" s="4">
        <v>0.53700000000000003</v>
      </c>
      <c r="AW92" s="4">
        <v>2.1999999999999999E-2</v>
      </c>
      <c r="AX92" s="4">
        <v>0.9</v>
      </c>
      <c r="AY92" s="4">
        <v>-0.84499999999999997</v>
      </c>
      <c r="AZ92" s="4">
        <v>0.438</v>
      </c>
      <c r="BA92" s="4">
        <v>3.7999999999999999E-2</v>
      </c>
      <c r="BB92" s="4">
        <v>0.22900000000000001</v>
      </c>
      <c r="BC92" s="4">
        <v>-0.16400000000000001</v>
      </c>
      <c r="BD92" s="4">
        <v>-0.36799999999999999</v>
      </c>
      <c r="BE92" s="4">
        <v>0.35899999999999999</v>
      </c>
      <c r="BF92" s="4">
        <v>-0.192</v>
      </c>
      <c r="BG92" s="4">
        <v>4.1000000000000002E-2</v>
      </c>
      <c r="BH92" s="4">
        <v>0.86599999999999999</v>
      </c>
      <c r="BI92" s="4">
        <v>-0.36399999999999999</v>
      </c>
      <c r="BJ92" s="4">
        <v>-0.34599999999999997</v>
      </c>
      <c r="BK92" s="4">
        <v>1</v>
      </c>
      <c r="BL92" s="4">
        <v>5.3999999999999999E-2</v>
      </c>
      <c r="BM92" s="4"/>
      <c r="BN92" s="4"/>
    </row>
    <row r="93" spans="1:66" x14ac:dyDescent="0.3">
      <c r="A93" t="s">
        <v>185</v>
      </c>
      <c r="B93" s="53">
        <v>5.0000000000000001E-3</v>
      </c>
      <c r="C93" s="53">
        <f t="shared" si="10"/>
        <v>-1E-3</v>
      </c>
      <c r="D93" s="53">
        <f t="shared" si="11"/>
        <v>5.0000000000000001E-3</v>
      </c>
      <c r="E93" s="53">
        <f t="shared" si="12"/>
        <v>6.0000000000000001E-3</v>
      </c>
      <c r="F93" s="15">
        <v>0.97299999999999998</v>
      </c>
      <c r="G93">
        <v>1.544</v>
      </c>
      <c r="H93" t="s">
        <v>55</v>
      </c>
      <c r="I93" t="str">
        <f>VLOOKUP(A93,Setores!$A$2:$C$215,2,0)</f>
        <v>utilities</v>
      </c>
      <c r="J93" t="str">
        <f>VLOOKUP(A93,Setores!$A$2:$C$215,3,0)</f>
        <v>neutral_beta</v>
      </c>
      <c r="K93" s="17">
        <v>0</v>
      </c>
      <c r="L93" s="2">
        <v>-6.0000000000000001E-3</v>
      </c>
      <c r="M93" s="5">
        <v>0.71701094132999998</v>
      </c>
      <c r="N93" s="41">
        <f>VLOOKUP(A93,'Mandato LP'!$A$2:$B$215,2,0)</f>
        <v>0</v>
      </c>
      <c r="O93" s="58">
        <f t="shared" si="13"/>
        <v>0</v>
      </c>
      <c r="P93" s="42">
        <f t="shared" si="14"/>
        <v>5.0000000000000001E-3</v>
      </c>
      <c r="Q93" s="41">
        <f>VLOOKUP(A93,'Mandato LP'!$A$2:$C$215,3,0)</f>
        <v>1.29529563484444E-2</v>
      </c>
      <c r="R93" s="42">
        <f t="shared" si="15"/>
        <v>-1.29529563484444E-2</v>
      </c>
      <c r="S93" s="15">
        <v>-0.60599999999999998</v>
      </c>
      <c r="T93" s="15">
        <v>-0.51500000000000001</v>
      </c>
      <c r="U93" s="15">
        <v>-0.92200000000000004</v>
      </c>
      <c r="V93" s="15">
        <v>-0.45100000000000001</v>
      </c>
      <c r="W93" s="15">
        <v>-0.75900000000000001</v>
      </c>
      <c r="X93" s="15">
        <v>-7.0999999999999994E-2</v>
      </c>
      <c r="Y93" s="15">
        <v>8.8999999999999996E-2</v>
      </c>
      <c r="Z93" s="15">
        <v>-0.13800000000000001</v>
      </c>
      <c r="AA93" s="15">
        <v>0.33500000000000002</v>
      </c>
      <c r="AB93" s="15">
        <v>0.33700000000000002</v>
      </c>
      <c r="AC93" s="15">
        <v>0.74099999999999999</v>
      </c>
      <c r="AD93" s="15">
        <v>0.79600000000000004</v>
      </c>
      <c r="AE93" s="15">
        <v>0.67200000000000004</v>
      </c>
      <c r="AF93" s="14">
        <v>-0.76600000000000001</v>
      </c>
      <c r="AG93" s="15">
        <v>-0.47</v>
      </c>
      <c r="AH93" s="15">
        <v>6.5000000000000002E-2</v>
      </c>
      <c r="AI93" s="15">
        <v>-0.94599999999999995</v>
      </c>
      <c r="AJ93" s="15">
        <v>-0.435</v>
      </c>
      <c r="AK93" s="16">
        <v>-0.93899999999999995</v>
      </c>
      <c r="AL93" s="4">
        <v>-0.34499999999999997</v>
      </c>
      <c r="AM93" s="4">
        <v>-0.23</v>
      </c>
      <c r="AN93" s="4">
        <v>-0.65900000000000003</v>
      </c>
      <c r="AO93" s="4">
        <v>-0.55400000000000005</v>
      </c>
      <c r="AP93" s="4">
        <v>0.40300000000000002</v>
      </c>
      <c r="AQ93" s="4">
        <v>0.82399999999999995</v>
      </c>
      <c r="AR93" s="4">
        <v>0.254</v>
      </c>
      <c r="AS93" s="4">
        <v>0.30099999999999999</v>
      </c>
      <c r="AT93" s="4">
        <v>0.45400000000000001</v>
      </c>
      <c r="AU93" s="4">
        <v>4.0000000000000001E-3</v>
      </c>
      <c r="AV93" s="4">
        <v>-0.29399999999999998</v>
      </c>
      <c r="AW93" s="4">
        <v>-0.27900000000000003</v>
      </c>
      <c r="AX93" s="4">
        <v>0.66200000000000003</v>
      </c>
      <c r="AY93" s="4">
        <v>-0.53800000000000003</v>
      </c>
      <c r="AZ93" s="4">
        <v>0.94599999999999995</v>
      </c>
      <c r="BA93" s="4">
        <v>1</v>
      </c>
      <c r="BB93" s="4">
        <v>0.56499999999999995</v>
      </c>
      <c r="BC93" s="4">
        <v>0.152</v>
      </c>
      <c r="BD93" s="4">
        <v>-0.38</v>
      </c>
      <c r="BE93" s="4">
        <v>0.38300000000000001</v>
      </c>
      <c r="BF93" s="4">
        <v>-0.23499999999999999</v>
      </c>
      <c r="BG93" s="4">
        <v>-0.18099999999999999</v>
      </c>
      <c r="BH93" s="4">
        <v>0.8</v>
      </c>
      <c r="BI93" s="4">
        <v>-0.89</v>
      </c>
      <c r="BJ93" s="4">
        <v>-0.11700000000000001</v>
      </c>
      <c r="BK93" s="4">
        <v>-0.37</v>
      </c>
      <c r="BL93" s="4">
        <v>-0.45100000000000001</v>
      </c>
      <c r="BM93" s="4"/>
      <c r="BN93" s="4"/>
    </row>
    <row r="94" spans="1:66" x14ac:dyDescent="0.3">
      <c r="A94" t="s">
        <v>154</v>
      </c>
      <c r="B94" s="53">
        <v>0</v>
      </c>
      <c r="C94" s="53">
        <f t="shared" si="10"/>
        <v>-3.5999999999999997E-2</v>
      </c>
      <c r="D94" s="53">
        <f t="shared" si="11"/>
        <v>0</v>
      </c>
      <c r="E94" s="53">
        <f t="shared" si="12"/>
        <v>3.5999999999999997E-2</v>
      </c>
      <c r="F94" s="15">
        <v>0.97</v>
      </c>
      <c r="G94">
        <v>2.1819999999999999</v>
      </c>
      <c r="H94" t="s">
        <v>55</v>
      </c>
      <c r="I94" t="str">
        <f>VLOOKUP(A94,Setores!$A$2:$C$215,2,0)</f>
        <v>utilities</v>
      </c>
      <c r="J94" t="str">
        <f>VLOOKUP(A94,Setores!$A$2:$C$215,3,0)</f>
        <v>low_beta</v>
      </c>
      <c r="K94" s="17">
        <v>0</v>
      </c>
      <c r="L94" s="2">
        <v>-3.5999999999999997E-2</v>
      </c>
      <c r="M94" s="5">
        <v>1.36641615795333</v>
      </c>
      <c r="N94" s="41">
        <f>VLOOKUP(A94,'Mandato LP'!$A$2:$B$215,2,0)</f>
        <v>0</v>
      </c>
      <c r="O94" s="58">
        <f t="shared" si="13"/>
        <v>0</v>
      </c>
      <c r="P94" s="42">
        <f t="shared" si="14"/>
        <v>0</v>
      </c>
      <c r="Q94" s="41">
        <f>VLOOKUP(A94,'Mandato LP'!$A$2:$C$215,3,0)</f>
        <v>2.9631415760998901E-2</v>
      </c>
      <c r="R94" s="42">
        <f t="shared" si="15"/>
        <v>-2.9631415760998901E-2</v>
      </c>
      <c r="S94" s="15">
        <v>-0.82</v>
      </c>
      <c r="T94" s="15">
        <v>-0.67300000000000004</v>
      </c>
      <c r="U94" s="15">
        <v>-0.93</v>
      </c>
      <c r="V94" s="15">
        <v>-0.627</v>
      </c>
      <c r="W94" s="15">
        <v>-0.75</v>
      </c>
      <c r="X94" s="15">
        <v>-0.24</v>
      </c>
      <c r="Y94" s="15">
        <v>0.124</v>
      </c>
      <c r="Z94" s="15">
        <v>0.13200000000000001</v>
      </c>
      <c r="AA94" s="15">
        <v>0.54900000000000004</v>
      </c>
      <c r="AB94" s="15">
        <v>0.55200000000000005</v>
      </c>
      <c r="AC94" s="15">
        <v>0.64900000000000002</v>
      </c>
      <c r="AD94" s="15">
        <v>0.65500000000000003</v>
      </c>
      <c r="AE94" s="15">
        <v>0.58599999999999997</v>
      </c>
      <c r="AF94" s="14">
        <v>-0.77500000000000002</v>
      </c>
      <c r="AG94" s="15">
        <v>-0.68899999999999995</v>
      </c>
      <c r="AH94" s="15">
        <v>0.20200000000000001</v>
      </c>
      <c r="AI94" s="15">
        <v>-0.878</v>
      </c>
      <c r="AJ94" s="15">
        <v>-0.496</v>
      </c>
      <c r="AK94" s="16">
        <v>-0.96599999999999997</v>
      </c>
      <c r="AL94" s="4">
        <v>-0.32400000000000001</v>
      </c>
      <c r="AM94" s="4">
        <v>0.56499999999999995</v>
      </c>
      <c r="AN94" s="4">
        <v>-0.52200000000000002</v>
      </c>
      <c r="AO94" s="4">
        <v>-0.55000000000000004</v>
      </c>
      <c r="AP94" s="4">
        <v>0.27700000000000002</v>
      </c>
      <c r="AQ94" s="4">
        <v>0.55900000000000005</v>
      </c>
      <c r="AR94" s="4">
        <v>-0.23799999999999999</v>
      </c>
      <c r="AS94" s="4">
        <v>0.187</v>
      </c>
      <c r="AT94" s="4">
        <v>-0.246</v>
      </c>
      <c r="AU94" s="4">
        <v>0.2</v>
      </c>
      <c r="AV94" s="4">
        <v>-0.33100000000000002</v>
      </c>
      <c r="AW94" s="4">
        <v>-0.55800000000000005</v>
      </c>
      <c r="AX94" s="4">
        <v>0.55300000000000005</v>
      </c>
      <c r="AY94" s="4">
        <v>-0.59699999999999998</v>
      </c>
      <c r="AZ94" s="4">
        <v>0.85299999999999998</v>
      </c>
      <c r="BA94" s="4">
        <v>0.41</v>
      </c>
      <c r="BB94" s="4">
        <v>-0.40600000000000003</v>
      </c>
      <c r="BC94" s="4">
        <v>-0.432</v>
      </c>
      <c r="BD94" s="4">
        <v>-0.66500000000000004</v>
      </c>
      <c r="BE94" s="4">
        <v>0.222</v>
      </c>
      <c r="BF94" s="4">
        <v>8.5999999999999993E-2</v>
      </c>
      <c r="BG94" s="4">
        <v>0.25</v>
      </c>
      <c r="BH94" s="4">
        <v>0.98299999999999998</v>
      </c>
      <c r="BI94" s="4">
        <v>-0.65400000000000003</v>
      </c>
      <c r="BJ94" s="4">
        <v>-0.29299999999999998</v>
      </c>
      <c r="BK94" s="4">
        <v>-0.114</v>
      </c>
      <c r="BL94" s="4">
        <v>-0.378</v>
      </c>
      <c r="BM94" s="4"/>
      <c r="BN94" s="4"/>
    </row>
    <row r="95" spans="1:66" x14ac:dyDescent="0.3">
      <c r="A95" t="s">
        <v>61</v>
      </c>
      <c r="B95" s="53">
        <v>0</v>
      </c>
      <c r="C95" s="53">
        <f t="shared" si="10"/>
        <v>-1E-3</v>
      </c>
      <c r="D95" s="53">
        <f t="shared" si="11"/>
        <v>0</v>
      </c>
      <c r="E95" s="53">
        <f t="shared" si="12"/>
        <v>1E-3</v>
      </c>
      <c r="F95" s="15">
        <v>0.92800000000000005</v>
      </c>
      <c r="G95">
        <v>1.087</v>
      </c>
      <c r="H95" t="s">
        <v>57</v>
      </c>
      <c r="I95" t="str">
        <f>VLOOKUP(A95,Setores!$A$2:$C$215,2,0)</f>
        <v>homebuilders</v>
      </c>
      <c r="J95" t="str">
        <f>VLOOKUP(A95,Setores!$A$2:$C$215,3,0)</f>
        <v>high_beta</v>
      </c>
      <c r="K95" s="17">
        <v>0</v>
      </c>
      <c r="L95" s="2">
        <v>-1E-3</v>
      </c>
      <c r="M95" s="5">
        <v>1.41808382127667</v>
      </c>
      <c r="N95" s="41">
        <f>VLOOKUP(A95,'Mandato LP'!$A$2:$B$215,2,0)</f>
        <v>0</v>
      </c>
      <c r="O95" s="58">
        <f t="shared" si="13"/>
        <v>0</v>
      </c>
      <c r="P95" s="42">
        <f t="shared" si="14"/>
        <v>0</v>
      </c>
      <c r="Q95" s="41">
        <f>VLOOKUP(A95,'Mandato LP'!$A$2:$C$215,3,0)</f>
        <v>0</v>
      </c>
      <c r="R95" s="42">
        <f t="shared" si="15"/>
        <v>0</v>
      </c>
      <c r="S95" s="15">
        <v>-0.434</v>
      </c>
      <c r="T95" s="15">
        <v>-0.75600000000000001</v>
      </c>
      <c r="U95" s="15">
        <v>-0.13900000000000001</v>
      </c>
      <c r="V95" s="15">
        <v>-0.52200000000000002</v>
      </c>
      <c r="W95" s="15">
        <v>-0.51700000000000002</v>
      </c>
      <c r="X95" s="15">
        <v>-0.113</v>
      </c>
      <c r="Y95" s="15">
        <v>0.14799999999999999</v>
      </c>
      <c r="Z95" s="15">
        <v>-0.216</v>
      </c>
      <c r="AA95" s="15">
        <v>0.121</v>
      </c>
      <c r="AB95" s="15">
        <v>0.11799999999999999</v>
      </c>
      <c r="AC95" s="15">
        <v>0.434</v>
      </c>
      <c r="AD95" s="15">
        <v>0.66600000000000004</v>
      </c>
      <c r="AE95" s="15">
        <v>0.56100000000000005</v>
      </c>
      <c r="AF95" s="14">
        <v>-0.46</v>
      </c>
      <c r="AG95" s="15">
        <v>0.246</v>
      </c>
      <c r="AH95" s="15">
        <v>-0.54</v>
      </c>
      <c r="AI95" s="15">
        <v>8.9999999999999993E-3</v>
      </c>
      <c r="AJ95" s="15">
        <v>0.20200000000000001</v>
      </c>
      <c r="AK95" s="16">
        <v>-0.224</v>
      </c>
      <c r="AL95" s="4">
        <v>-0.246</v>
      </c>
      <c r="AM95" s="4">
        <v>0.64600000000000002</v>
      </c>
      <c r="AN95" s="4">
        <v>-0.56100000000000005</v>
      </c>
      <c r="AO95" s="4">
        <v>0.29499999999999998</v>
      </c>
      <c r="AP95" s="4">
        <v>-0.46500000000000002</v>
      </c>
      <c r="AQ95" s="4">
        <v>-0.90600000000000003</v>
      </c>
      <c r="AR95" s="4">
        <v>0.25600000000000001</v>
      </c>
      <c r="AS95" s="4">
        <v>9.7000000000000003E-2</v>
      </c>
      <c r="AT95" s="4">
        <v>-0.48199999999999998</v>
      </c>
      <c r="AU95" s="4">
        <v>8.8999999999999996E-2</v>
      </c>
      <c r="AV95" s="4">
        <v>-0.15</v>
      </c>
      <c r="AW95" s="4">
        <v>-0.54100000000000004</v>
      </c>
      <c r="AX95" s="4">
        <v>0.16700000000000001</v>
      </c>
      <c r="AY95" s="4">
        <v>0.188</v>
      </c>
      <c r="AZ95" s="4">
        <v>0.434</v>
      </c>
      <c r="BA95" s="4">
        <v>0.63900000000000001</v>
      </c>
      <c r="BB95" s="4">
        <v>0.41299999999999998</v>
      </c>
      <c r="BC95" s="4">
        <v>-0.42099999999999999</v>
      </c>
      <c r="BD95" s="4">
        <v>-0.34</v>
      </c>
      <c r="BE95" s="4">
        <v>-0.53100000000000003</v>
      </c>
      <c r="BF95" s="4">
        <v>0.76500000000000001</v>
      </c>
      <c r="BG95" s="4">
        <v>0.25900000000000001</v>
      </c>
      <c r="BH95" s="4">
        <v>0.73299999999999998</v>
      </c>
      <c r="BI95" s="4">
        <v>-0.81699999999999995</v>
      </c>
      <c r="BJ95" s="4">
        <v>0.54400000000000004</v>
      </c>
      <c r="BK95" s="4">
        <v>0.436</v>
      </c>
      <c r="BL95" s="4">
        <v>0.20799999999999999</v>
      </c>
      <c r="BM95" s="4"/>
      <c r="BN95" s="4"/>
    </row>
    <row r="96" spans="1:66" x14ac:dyDescent="0.3">
      <c r="A96" t="s">
        <v>203</v>
      </c>
      <c r="B96" s="53">
        <v>0</v>
      </c>
      <c r="C96" s="53">
        <f t="shared" si="10"/>
        <v>-1E-3</v>
      </c>
      <c r="D96" s="53">
        <f t="shared" si="11"/>
        <v>0</v>
      </c>
      <c r="E96" s="53">
        <f t="shared" si="12"/>
        <v>1E-3</v>
      </c>
      <c r="F96" s="15">
        <v>0.90800000000000003</v>
      </c>
      <c r="G96">
        <v>0.97899999999999998</v>
      </c>
      <c r="H96" t="s">
        <v>53</v>
      </c>
      <c r="I96" t="str">
        <f>VLOOKUP(A96,Setores!$A$2:$C$215,2,0)</f>
        <v>healthcare</v>
      </c>
      <c r="J96" t="str">
        <f>VLOOKUP(A96,Setores!$A$2:$C$215,3,0)</f>
        <v>very_low_beta</v>
      </c>
      <c r="K96" s="17">
        <v>0</v>
      </c>
      <c r="L96" s="2">
        <v>-1E-3</v>
      </c>
      <c r="M96" s="5">
        <v>1.17479</v>
      </c>
      <c r="N96" s="41">
        <f>VLOOKUP(A96,'Mandato LP'!$A$2:$B$215,2,0)</f>
        <v>0</v>
      </c>
      <c r="O96" s="58">
        <f t="shared" si="13"/>
        <v>0</v>
      </c>
      <c r="P96" s="42">
        <f t="shared" si="14"/>
        <v>0</v>
      </c>
      <c r="Q96" s="41">
        <f>VLOOKUP(A96,'Mandato LP'!$A$2:$C$215,3,0)</f>
        <v>0</v>
      </c>
      <c r="R96" s="42">
        <f t="shared" si="15"/>
        <v>0</v>
      </c>
      <c r="S96" s="15">
        <v>-0.221</v>
      </c>
      <c r="T96" s="15">
        <v>-0.45300000000000001</v>
      </c>
      <c r="U96" s="15">
        <v>-0.72099999999999997</v>
      </c>
      <c r="V96" s="15">
        <v>-0.25</v>
      </c>
      <c r="W96" s="15">
        <v>-0.63500000000000001</v>
      </c>
      <c r="X96" s="15">
        <v>2E-3</v>
      </c>
      <c r="Y96" s="15">
        <v>0.29899999999999999</v>
      </c>
      <c r="Z96" s="15">
        <v>-0.52200000000000002</v>
      </c>
      <c r="AA96" s="15">
        <v>0.13700000000000001</v>
      </c>
      <c r="AB96" s="15">
        <v>0.13800000000000001</v>
      </c>
      <c r="AC96" s="15">
        <v>0.626</v>
      </c>
      <c r="AD96" s="15">
        <v>0.72199999999999998</v>
      </c>
      <c r="AE96" s="15">
        <v>0.56399999999999995</v>
      </c>
      <c r="AF96" s="14">
        <v>2.3E-2</v>
      </c>
      <c r="AG96" s="15">
        <v>-0.38100000000000001</v>
      </c>
      <c r="AH96" s="15">
        <v>-0.64900000000000002</v>
      </c>
      <c r="AI96" s="15">
        <v>-0.83</v>
      </c>
      <c r="AJ96" s="15">
        <v>-0.77</v>
      </c>
      <c r="AK96" s="16">
        <v>-0.78400000000000003</v>
      </c>
      <c r="AL96" s="4">
        <v>-0.17699999999999999</v>
      </c>
      <c r="AM96" s="4">
        <v>-0.35099999999999998</v>
      </c>
      <c r="AN96" s="4">
        <v>-0.51400000000000001</v>
      </c>
      <c r="AO96" s="4">
        <v>0.28000000000000003</v>
      </c>
      <c r="AP96" s="4">
        <v>-0.379</v>
      </c>
      <c r="AQ96" s="4">
        <v>0.23899999999999999</v>
      </c>
      <c r="AR96" s="4">
        <v>-1E-3</v>
      </c>
      <c r="AS96" s="4">
        <v>1</v>
      </c>
      <c r="AT96" s="4">
        <v>0.755</v>
      </c>
      <c r="AU96" s="4">
        <v>9.5000000000000001E-2</v>
      </c>
      <c r="AV96" s="4">
        <v>0.26</v>
      </c>
      <c r="AW96" s="4">
        <v>0.46</v>
      </c>
      <c r="AX96" s="4">
        <v>0.441</v>
      </c>
      <c r="AY96" s="4">
        <v>-0.36699999999999999</v>
      </c>
      <c r="AZ96" s="4">
        <v>0.81499999999999995</v>
      </c>
      <c r="BA96" s="4">
        <v>0.53600000000000003</v>
      </c>
      <c r="BB96" s="4">
        <v>0.92500000000000004</v>
      </c>
      <c r="BC96" s="4">
        <v>-0.127</v>
      </c>
      <c r="BD96" s="4">
        <v>-0.29899999999999999</v>
      </c>
      <c r="BE96" s="4">
        <v>0.39700000000000002</v>
      </c>
      <c r="BF96" s="4">
        <v>-0.76100000000000001</v>
      </c>
      <c r="BG96" s="4">
        <v>-0.16700000000000001</v>
      </c>
      <c r="BH96" s="4">
        <v>0.45900000000000002</v>
      </c>
      <c r="BI96" s="4">
        <v>0.109</v>
      </c>
      <c r="BJ96" s="4">
        <v>-0.377</v>
      </c>
      <c r="BK96" s="4">
        <v>8.0000000000000002E-3</v>
      </c>
      <c r="BL96" s="4">
        <v>-0.39</v>
      </c>
      <c r="BM96" s="4"/>
      <c r="BN96" s="4"/>
    </row>
    <row r="97" spans="1:66" x14ac:dyDescent="0.3">
      <c r="A97" t="s">
        <v>210</v>
      </c>
      <c r="B97" s="53">
        <v>0</v>
      </c>
      <c r="C97" s="53">
        <f t="shared" si="10"/>
        <v>-1.4E-2</v>
      </c>
      <c r="D97" s="53">
        <f t="shared" si="11"/>
        <v>0</v>
      </c>
      <c r="E97" s="53">
        <f t="shared" si="12"/>
        <v>1.4E-2</v>
      </c>
      <c r="F97" s="15">
        <v>0.89200000000000002</v>
      </c>
      <c r="G97">
        <v>1.593</v>
      </c>
      <c r="H97" t="s">
        <v>55</v>
      </c>
      <c r="I97" t="str">
        <f>VLOOKUP(A97,Setores!$A$2:$C$215,2,0)</f>
        <v>utilities</v>
      </c>
      <c r="J97" t="str">
        <f>VLOOKUP(A97,Setores!$A$2:$C$215,3,0)</f>
        <v>high_beta</v>
      </c>
      <c r="K97" s="17">
        <v>0</v>
      </c>
      <c r="L97" s="2">
        <v>-1.4E-2</v>
      </c>
      <c r="M97" s="5">
        <v>1.6833631119066701</v>
      </c>
      <c r="N97" s="41">
        <f>VLOOKUP(A97,'Mandato LP'!$A$2:$B$215,2,0)</f>
        <v>0</v>
      </c>
      <c r="O97" s="58">
        <f t="shared" si="13"/>
        <v>0</v>
      </c>
      <c r="P97" s="42">
        <f t="shared" si="14"/>
        <v>0</v>
      </c>
      <c r="Q97" s="41">
        <f>VLOOKUP(A97,'Mandato LP'!$A$2:$C$215,3,0)</f>
        <v>1.63747434111341E-2</v>
      </c>
      <c r="R97" s="42">
        <f t="shared" si="15"/>
        <v>-1.63747434111341E-2</v>
      </c>
      <c r="S97" s="15">
        <v>-0.52300000000000002</v>
      </c>
      <c r="T97" s="15">
        <v>-0.47499999999999998</v>
      </c>
      <c r="U97" s="15">
        <v>-0.90600000000000003</v>
      </c>
      <c r="V97" s="15">
        <v>-0.34200000000000003</v>
      </c>
      <c r="W97" s="15">
        <v>-0.72199999999999998</v>
      </c>
      <c r="X97" s="15">
        <v>-0.11899999999999999</v>
      </c>
      <c r="Y97" s="15">
        <v>0.109</v>
      </c>
      <c r="Z97" s="15">
        <v>-0.38100000000000001</v>
      </c>
      <c r="AA97" s="15">
        <v>0.33100000000000002</v>
      </c>
      <c r="AB97" s="15">
        <v>0.33300000000000002</v>
      </c>
      <c r="AC97" s="15">
        <v>0.78</v>
      </c>
      <c r="AD97" s="15">
        <v>0.92900000000000005</v>
      </c>
      <c r="AE97" s="15">
        <v>0.63600000000000001</v>
      </c>
      <c r="AF97" s="14">
        <v>-0.46</v>
      </c>
      <c r="AG97" s="15">
        <v>-0.252</v>
      </c>
      <c r="AH97" s="15">
        <v>1.4E-2</v>
      </c>
      <c r="AI97" s="15">
        <v>-1</v>
      </c>
      <c r="AJ97" s="15">
        <v>-0.69199999999999995</v>
      </c>
      <c r="AK97" s="16">
        <v>-0.86499999999999999</v>
      </c>
      <c r="AL97" s="4">
        <v>-0.378</v>
      </c>
      <c r="AM97" s="4">
        <v>-0.59699999999999998</v>
      </c>
      <c r="AN97" s="4">
        <v>-0.55300000000000005</v>
      </c>
      <c r="AO97" s="4">
        <v>-0.23400000000000001</v>
      </c>
      <c r="AP97" s="4">
        <v>0.28799999999999998</v>
      </c>
      <c r="AQ97" s="4">
        <v>0.378</v>
      </c>
      <c r="AR97" s="4">
        <v>0.46899999999999997</v>
      </c>
      <c r="AS97" s="4">
        <v>1</v>
      </c>
      <c r="AT97" s="4">
        <v>0.65</v>
      </c>
      <c r="AU97" s="4">
        <v>-0.216</v>
      </c>
      <c r="AV97" s="4">
        <v>2E-3</v>
      </c>
      <c r="AW97" s="4">
        <v>0.14499999999999999</v>
      </c>
      <c r="AX97" s="4">
        <v>0.252</v>
      </c>
      <c r="AY97" s="4">
        <v>-0.58199999999999996</v>
      </c>
      <c r="AZ97" s="4">
        <v>0.63900000000000001</v>
      </c>
      <c r="BA97" s="4">
        <v>0.32900000000000001</v>
      </c>
      <c r="BB97" s="4">
        <v>8.0000000000000002E-3</v>
      </c>
      <c r="BC97" s="4">
        <v>-7.3999999999999996E-2</v>
      </c>
      <c r="BD97" s="4">
        <v>-0.29499999999999998</v>
      </c>
      <c r="BE97" s="4">
        <v>0.71299999999999997</v>
      </c>
      <c r="BF97" s="4">
        <v>0.27300000000000002</v>
      </c>
      <c r="BG97" s="4">
        <v>0.71399999999999997</v>
      </c>
      <c r="BH97" s="4">
        <v>0.83499999999999996</v>
      </c>
      <c r="BI97" s="4">
        <v>-0.66600000000000004</v>
      </c>
      <c r="BJ97" s="4">
        <v>7.0999999999999994E-2</v>
      </c>
      <c r="BK97" s="4">
        <v>-0.26</v>
      </c>
      <c r="BL97" s="4">
        <v>-1</v>
      </c>
      <c r="BM97" s="4"/>
      <c r="BN97" s="4"/>
    </row>
    <row r="98" spans="1:66" x14ac:dyDescent="0.3">
      <c r="A98" t="s">
        <v>111</v>
      </c>
      <c r="B98" s="53">
        <v>0</v>
      </c>
      <c r="C98" s="53">
        <f t="shared" si="10"/>
        <v>0</v>
      </c>
      <c r="D98" s="53">
        <f t="shared" si="11"/>
        <v>0</v>
      </c>
      <c r="E98" s="53">
        <f t="shared" si="12"/>
        <v>0</v>
      </c>
      <c r="F98" s="15">
        <v>0.88500000000000001</v>
      </c>
      <c r="G98">
        <v>0.8</v>
      </c>
      <c r="H98" t="s">
        <v>53</v>
      </c>
      <c r="I98" t="str">
        <f>VLOOKUP(A98,Setores!$A$2:$C$215,2,0)</f>
        <v>consumer_staples</v>
      </c>
      <c r="J98" t="str">
        <f>VLOOKUP(A98,Setores!$A$2:$C$215,3,0)</f>
        <v>very_high_beta</v>
      </c>
      <c r="K98" s="17">
        <v>0</v>
      </c>
      <c r="L98" s="2">
        <v>0</v>
      </c>
      <c r="M98" s="5">
        <v>0.27955455352000003</v>
      </c>
      <c r="N98" s="41">
        <f>VLOOKUP(A98,'Mandato LP'!$A$2:$B$215,2,0)</f>
        <v>0</v>
      </c>
      <c r="O98" s="58">
        <f t="shared" si="13"/>
        <v>0</v>
      </c>
      <c r="P98" s="42">
        <f t="shared" si="14"/>
        <v>0</v>
      </c>
      <c r="Q98" s="41">
        <f>VLOOKUP(A98,'Mandato LP'!$A$2:$C$215,3,0)</f>
        <v>0</v>
      </c>
      <c r="R98" s="42">
        <f t="shared" si="15"/>
        <v>0</v>
      </c>
      <c r="S98" s="15">
        <v>-0.41699999999999998</v>
      </c>
      <c r="T98" s="15">
        <v>-0.189</v>
      </c>
      <c r="U98" s="15">
        <v>-0.32700000000000001</v>
      </c>
      <c r="V98" s="15">
        <v>-0.58799999999999997</v>
      </c>
      <c r="W98" s="15">
        <v>-0.41099999999999998</v>
      </c>
      <c r="X98" s="15">
        <v>-0.49199999999999999</v>
      </c>
      <c r="Y98" s="15">
        <v>-0.371</v>
      </c>
      <c r="Z98" s="15">
        <v>-0.49299999999999999</v>
      </c>
      <c r="AA98" s="15">
        <v>0.379</v>
      </c>
      <c r="AB98" s="15">
        <v>0.375</v>
      </c>
      <c r="AC98" s="15">
        <v>0.88200000000000001</v>
      </c>
      <c r="AD98" s="15">
        <v>0.78300000000000003</v>
      </c>
      <c r="AE98" s="15">
        <v>0.72699999999999998</v>
      </c>
      <c r="AF98" s="14">
        <v>-0.56499999999999995</v>
      </c>
      <c r="AG98" s="15">
        <v>-0.53100000000000003</v>
      </c>
      <c r="AH98" s="15">
        <v>6.5000000000000002E-2</v>
      </c>
      <c r="AI98" s="15">
        <v>-0.188</v>
      </c>
      <c r="AJ98" s="15">
        <v>0.60199999999999998</v>
      </c>
      <c r="AK98" s="16">
        <v>-0.60299999999999998</v>
      </c>
      <c r="AL98" s="4">
        <v>-0.14399999999999999</v>
      </c>
      <c r="AM98" s="4">
        <v>-0.35899999999999999</v>
      </c>
      <c r="AN98" s="4">
        <v>0.13600000000000001</v>
      </c>
      <c r="AO98" s="4">
        <v>-0.16900000000000001</v>
      </c>
      <c r="AP98" s="4">
        <v>2.3E-2</v>
      </c>
      <c r="AQ98" s="4">
        <v>0.193</v>
      </c>
      <c r="AR98" s="4">
        <v>-0.14699999999999999</v>
      </c>
      <c r="AS98" s="4">
        <v>-0.12</v>
      </c>
      <c r="AT98" s="4">
        <v>-0.45400000000000001</v>
      </c>
      <c r="AU98" s="4">
        <v>8.9999999999999993E-3</v>
      </c>
      <c r="AV98" s="4">
        <v>-0.26300000000000001</v>
      </c>
      <c r="AW98" s="4">
        <v>-0.22600000000000001</v>
      </c>
      <c r="AX98" s="4">
        <v>0.31</v>
      </c>
      <c r="AY98" s="4">
        <v>-0.20699999999999999</v>
      </c>
      <c r="AZ98" s="4">
        <v>0.55700000000000005</v>
      </c>
      <c r="BA98" s="4">
        <v>-0.122</v>
      </c>
      <c r="BB98" s="4">
        <v>-0.24099999999999999</v>
      </c>
      <c r="BC98" s="4">
        <v>0.20499999999999999</v>
      </c>
      <c r="BD98" s="4">
        <v>7.5999999999999998E-2</v>
      </c>
      <c r="BE98" s="4">
        <v>0.437</v>
      </c>
      <c r="BF98" s="4">
        <v>0.372</v>
      </c>
      <c r="BG98" s="4">
        <v>0.79500000000000004</v>
      </c>
      <c r="BH98" s="4">
        <v>0.439</v>
      </c>
      <c r="BI98" s="4">
        <v>-8.4000000000000005E-2</v>
      </c>
      <c r="BJ98" s="4">
        <v>0.38200000000000001</v>
      </c>
      <c r="BK98" s="4">
        <v>0.55900000000000005</v>
      </c>
      <c r="BL98" s="4">
        <v>0.53300000000000003</v>
      </c>
      <c r="BM98" s="4"/>
      <c r="BN98" s="4"/>
    </row>
    <row r="99" spans="1:66" x14ac:dyDescent="0.3">
      <c r="A99" t="s">
        <v>113</v>
      </c>
      <c r="B99" s="53">
        <v>0</v>
      </c>
      <c r="C99" s="53">
        <f t="shared" si="10"/>
        <v>-3.1E-2</v>
      </c>
      <c r="D99" s="53">
        <f t="shared" si="11"/>
        <v>0</v>
      </c>
      <c r="E99" s="53">
        <f t="shared" si="12"/>
        <v>3.1E-2</v>
      </c>
      <c r="F99" s="15">
        <v>0.88</v>
      </c>
      <c r="G99">
        <v>2.0049999999999999</v>
      </c>
      <c r="H99" t="s">
        <v>57</v>
      </c>
      <c r="I99" t="str">
        <f>VLOOKUP(A99,Setores!$A$2:$C$215,2,0)</f>
        <v>banks</v>
      </c>
      <c r="J99" t="str">
        <f>VLOOKUP(A99,Setores!$A$2:$C$215,3,0)</f>
        <v>neutral_beta</v>
      </c>
      <c r="K99" s="17">
        <v>0</v>
      </c>
      <c r="L99" s="2">
        <v>-3.1E-2</v>
      </c>
      <c r="M99" s="5">
        <v>1.20038977633333</v>
      </c>
      <c r="N99" s="41">
        <f>VLOOKUP(A99,'Mandato LP'!$A$2:$B$215,2,0)</f>
        <v>0</v>
      </c>
      <c r="O99" s="58">
        <f t="shared" si="13"/>
        <v>0</v>
      </c>
      <c r="P99" s="42">
        <f t="shared" si="14"/>
        <v>0</v>
      </c>
      <c r="Q99" s="41">
        <f>VLOOKUP(A99,'Mandato LP'!$A$2:$C$215,3,0)</f>
        <v>0</v>
      </c>
      <c r="R99" s="42">
        <f t="shared" si="15"/>
        <v>0</v>
      </c>
      <c r="S99" s="15">
        <v>-0.60199999999999998</v>
      </c>
      <c r="T99" s="15">
        <v>-0.623</v>
      </c>
      <c r="U99" s="15">
        <v>-0.81899999999999995</v>
      </c>
      <c r="V99" s="15">
        <v>-0.55600000000000005</v>
      </c>
      <c r="W99" s="15">
        <v>-0.71599999999999997</v>
      </c>
      <c r="X99" s="15">
        <v>-0.20699999999999999</v>
      </c>
      <c r="Y99" s="15">
        <v>2E-3</v>
      </c>
      <c r="Z99" s="15">
        <v>-0.29399999999999998</v>
      </c>
      <c r="AA99" s="15">
        <v>0.49199999999999999</v>
      </c>
      <c r="AB99" s="15">
        <v>0.49099999999999999</v>
      </c>
      <c r="AC99" s="15">
        <v>0.69699999999999995</v>
      </c>
      <c r="AD99" s="15">
        <v>0.79</v>
      </c>
      <c r="AE99" s="15">
        <v>0.66600000000000004</v>
      </c>
      <c r="AF99" s="14">
        <v>-0.61599999999999999</v>
      </c>
      <c r="AG99" s="15">
        <v>-0.24299999999999999</v>
      </c>
      <c r="AH99" s="15">
        <v>-8.3000000000000004E-2</v>
      </c>
      <c r="AI99" s="15">
        <v>-0.91</v>
      </c>
      <c r="AJ99" s="15">
        <v>-0.90900000000000003</v>
      </c>
      <c r="AK99" s="16">
        <v>-1</v>
      </c>
      <c r="AL99" s="4">
        <v>-0.19</v>
      </c>
      <c r="AM99" s="4">
        <v>0.19400000000000001</v>
      </c>
      <c r="AN99" s="4">
        <v>-4.1000000000000002E-2</v>
      </c>
      <c r="AO99" s="4">
        <v>0.115</v>
      </c>
      <c r="AP99" s="4">
        <v>-0.152</v>
      </c>
      <c r="AQ99" s="4">
        <v>-0.20300000000000001</v>
      </c>
      <c r="AR99" s="4">
        <v>3.9E-2</v>
      </c>
      <c r="AS99" s="4">
        <v>0.13500000000000001</v>
      </c>
      <c r="AT99" s="4">
        <v>0.41699999999999998</v>
      </c>
      <c r="AU99" s="4">
        <v>-0.156</v>
      </c>
      <c r="AV99" s="4">
        <v>-0.53</v>
      </c>
      <c r="AW99" s="4">
        <v>-0.39500000000000002</v>
      </c>
      <c r="AX99" s="4">
        <v>0.36699999999999999</v>
      </c>
      <c r="AY99" s="4">
        <v>-0.26600000000000001</v>
      </c>
      <c r="AZ99" s="4">
        <v>5.8999999999999997E-2</v>
      </c>
      <c r="BA99" s="4">
        <v>0.23599999999999999</v>
      </c>
      <c r="BB99" s="4">
        <v>0.73799999999999999</v>
      </c>
      <c r="BC99" s="4">
        <v>-0.28000000000000003</v>
      </c>
      <c r="BD99" s="4">
        <v>-0.154</v>
      </c>
      <c r="BE99" s="4">
        <v>0.42199999999999999</v>
      </c>
      <c r="BF99" s="4">
        <v>7.0000000000000001E-3</v>
      </c>
      <c r="BG99" s="4">
        <v>0.152</v>
      </c>
      <c r="BH99" s="4">
        <v>0.98399999999999999</v>
      </c>
      <c r="BI99" s="4">
        <v>-0.36499999999999999</v>
      </c>
      <c r="BJ99" s="4">
        <v>-0.10199999999999999</v>
      </c>
      <c r="BK99" s="4">
        <v>0.20599999999999999</v>
      </c>
      <c r="BL99" s="4">
        <v>-0.76500000000000001</v>
      </c>
      <c r="BM99" s="4"/>
      <c r="BN99" s="4"/>
    </row>
    <row r="100" spans="1:66" x14ac:dyDescent="0.3">
      <c r="A100" t="s">
        <v>199</v>
      </c>
      <c r="B100" s="53">
        <v>0</v>
      </c>
      <c r="C100" s="53">
        <f t="shared" si="10"/>
        <v>0</v>
      </c>
      <c r="D100" s="53">
        <f t="shared" si="11"/>
        <v>0</v>
      </c>
      <c r="E100" s="53">
        <f t="shared" si="12"/>
        <v>0</v>
      </c>
      <c r="F100" s="15">
        <v>0.85699999999999998</v>
      </c>
      <c r="G100">
        <v>1.022</v>
      </c>
      <c r="H100" t="s">
        <v>55</v>
      </c>
      <c r="I100" t="str">
        <f>VLOOKUP(A100,Setores!$A$2:$C$215,2,0)</f>
        <v>utilities</v>
      </c>
      <c r="J100" t="str">
        <f>VLOOKUP(A100,Setores!$A$2:$C$215,3,0)</f>
        <v>very_high_beta</v>
      </c>
      <c r="K100" s="17">
        <v>0</v>
      </c>
      <c r="L100" s="2">
        <v>0</v>
      </c>
      <c r="M100" s="5">
        <v>0</v>
      </c>
      <c r="N100" s="41">
        <f>VLOOKUP(A100,'Mandato LP'!$A$2:$B$215,2,0)</f>
        <v>0</v>
      </c>
      <c r="O100" s="58">
        <f t="shared" si="13"/>
        <v>0</v>
      </c>
      <c r="P100" s="42">
        <f t="shared" si="14"/>
        <v>0</v>
      </c>
      <c r="Q100" s="41">
        <f>VLOOKUP(A100,'Mandato LP'!$A$2:$C$215,3,0)</f>
        <v>0</v>
      </c>
      <c r="R100" s="42">
        <f t="shared" si="15"/>
        <v>0</v>
      </c>
      <c r="S100" s="15">
        <v>-0.32500000000000001</v>
      </c>
      <c r="T100" s="15">
        <v>-0.30199999999999999</v>
      </c>
      <c r="U100" s="15">
        <v>-0.8</v>
      </c>
      <c r="V100" s="15">
        <v>-0.252</v>
      </c>
      <c r="W100" s="15">
        <v>-0.63600000000000001</v>
      </c>
      <c r="X100" s="15">
        <v>-0.20499999999999999</v>
      </c>
      <c r="Y100" s="15">
        <v>-9.6000000000000002E-2</v>
      </c>
      <c r="Z100" s="15">
        <v>-0.45300000000000001</v>
      </c>
      <c r="AA100" s="15">
        <v>0.38700000000000001</v>
      </c>
      <c r="AB100" s="15">
        <v>0.38100000000000001</v>
      </c>
      <c r="AC100" s="15">
        <v>0.52300000000000002</v>
      </c>
      <c r="AD100" s="15">
        <v>0.63200000000000001</v>
      </c>
      <c r="AE100" s="15">
        <v>0.55800000000000005</v>
      </c>
      <c r="AF100" s="14">
        <v>-0.51100000000000001</v>
      </c>
      <c r="AG100" s="15">
        <v>-0.35799999999999998</v>
      </c>
      <c r="AH100" s="15">
        <v>-0.14799999999999999</v>
      </c>
      <c r="AI100" s="15">
        <v>-0.86299999999999999</v>
      </c>
      <c r="AJ100" s="15">
        <v>0.39600000000000002</v>
      </c>
      <c r="AK100" s="16">
        <v>-0.55500000000000005</v>
      </c>
      <c r="AL100" s="4">
        <v>-0.48</v>
      </c>
      <c r="AM100" s="4">
        <v>-1</v>
      </c>
      <c r="AN100" s="4">
        <v>-0.88400000000000001</v>
      </c>
      <c r="AO100" s="4">
        <v>0.13300000000000001</v>
      </c>
      <c r="AP100" s="4">
        <v>0.56599999999999995</v>
      </c>
      <c r="AQ100" s="4">
        <v>0.749</v>
      </c>
      <c r="AR100" s="4">
        <v>0.64800000000000002</v>
      </c>
      <c r="AS100" s="4">
        <v>1</v>
      </c>
      <c r="AT100" s="4">
        <v>0.66300000000000003</v>
      </c>
      <c r="AU100" s="4">
        <v>-0.16600000000000001</v>
      </c>
      <c r="AV100" s="4">
        <v>5.8999999999999997E-2</v>
      </c>
      <c r="AW100" s="4">
        <v>0.41499999999999998</v>
      </c>
      <c r="AX100" s="4">
        <v>0.51100000000000001</v>
      </c>
      <c r="AY100" s="4">
        <v>-8.8999999999999996E-2</v>
      </c>
      <c r="AZ100" s="4">
        <v>0.52</v>
      </c>
      <c r="BA100" s="4">
        <v>0.17799999999999999</v>
      </c>
      <c r="BB100" s="4">
        <v>-0.23899999999999999</v>
      </c>
      <c r="BC100" s="4">
        <v>-0.71199999999999997</v>
      </c>
      <c r="BD100" s="4">
        <v>-0.83699999999999997</v>
      </c>
      <c r="BE100" s="4">
        <v>0.38700000000000001</v>
      </c>
      <c r="BF100" s="4">
        <v>-0.48</v>
      </c>
      <c r="BG100" s="4">
        <v>-0.51700000000000002</v>
      </c>
      <c r="BH100" s="4">
        <v>0.375</v>
      </c>
      <c r="BI100" s="4">
        <v>-0.70199999999999996</v>
      </c>
      <c r="BJ100" s="4">
        <v>0.26300000000000001</v>
      </c>
      <c r="BK100" s="4">
        <v>-9.1999999999999998E-2</v>
      </c>
      <c r="BL100" s="4">
        <v>0.29499999999999998</v>
      </c>
      <c r="BM100" s="4"/>
      <c r="BN100" s="4"/>
    </row>
    <row r="101" spans="1:66" x14ac:dyDescent="0.3">
      <c r="A101" t="s">
        <v>244</v>
      </c>
      <c r="B101" s="53">
        <v>0</v>
      </c>
      <c r="C101" s="53">
        <f t="shared" si="10"/>
        <v>0</v>
      </c>
      <c r="D101" s="53">
        <f t="shared" si="11"/>
        <v>0</v>
      </c>
      <c r="E101" s="53">
        <f t="shared" si="12"/>
        <v>0</v>
      </c>
      <c r="F101" s="15">
        <v>0.85</v>
      </c>
      <c r="G101">
        <v>0.60699999999999998</v>
      </c>
      <c r="H101" t="s">
        <v>57</v>
      </c>
      <c r="I101" t="str">
        <f>VLOOKUP(A101,Setores!$A$2:$C$215,2,0)</f>
        <v>consumer_durables</v>
      </c>
      <c r="J101" t="str">
        <f>VLOOKUP(A101,Setores!$A$2:$C$215,3,0)</f>
        <v>high_beta</v>
      </c>
      <c r="K101" s="17">
        <v>0</v>
      </c>
      <c r="L101" s="2">
        <v>0</v>
      </c>
      <c r="M101" s="5">
        <v>0</v>
      </c>
      <c r="N101" s="41">
        <f>VLOOKUP(A101,'Mandato LP'!$A$2:$B$215,2,0)</f>
        <v>0</v>
      </c>
      <c r="O101" s="58">
        <f t="shared" si="13"/>
        <v>0</v>
      </c>
      <c r="P101" s="42">
        <f t="shared" si="14"/>
        <v>0</v>
      </c>
      <c r="Q101" s="41">
        <f>VLOOKUP(A101,'Mandato LP'!$A$2:$C$215,3,0)</f>
        <v>0</v>
      </c>
      <c r="R101" s="42">
        <f t="shared" si="15"/>
        <v>0</v>
      </c>
      <c r="S101" s="15">
        <v>-0.13600000000000001</v>
      </c>
      <c r="T101" s="15">
        <v>0.76300000000000001</v>
      </c>
      <c r="U101" s="15">
        <v>-0.14599999999999999</v>
      </c>
      <c r="V101" s="15">
        <v>-0.59399999999999997</v>
      </c>
      <c r="W101" s="15">
        <v>-1.6E-2</v>
      </c>
      <c r="X101" s="15">
        <v>-0.749</v>
      </c>
      <c r="Y101" s="15">
        <v>-0.83499999999999996</v>
      </c>
      <c r="Z101" s="15">
        <v>-0.74199999999999999</v>
      </c>
      <c r="AA101" s="15">
        <v>0.161</v>
      </c>
      <c r="AB101" s="15">
        <v>0.159</v>
      </c>
      <c r="AC101" s="15">
        <v>0.29899999999999999</v>
      </c>
      <c r="AD101" s="15">
        <v>1</v>
      </c>
      <c r="AE101" s="15">
        <v>0.79300000000000004</v>
      </c>
      <c r="AF101" s="14">
        <v>-0.69299999999999995</v>
      </c>
      <c r="AG101" s="15">
        <v>-9.4E-2</v>
      </c>
      <c r="AH101" s="15">
        <v>0.90600000000000003</v>
      </c>
      <c r="AI101" s="15">
        <v>0.48599999999999999</v>
      </c>
      <c r="AJ101" s="15">
        <v>1</v>
      </c>
      <c r="AK101" s="16">
        <v>-0.66900000000000004</v>
      </c>
      <c r="AL101" s="4">
        <v>0.13800000000000001</v>
      </c>
      <c r="AM101" s="4">
        <v>-1</v>
      </c>
      <c r="AN101" s="4">
        <v>0.997</v>
      </c>
      <c r="AO101" s="4">
        <v>-7.0999999999999994E-2</v>
      </c>
      <c r="AP101" s="4">
        <v>-2.4E-2</v>
      </c>
      <c r="AQ101" s="4">
        <v>0.63400000000000001</v>
      </c>
      <c r="AR101" s="4">
        <v>-0.3</v>
      </c>
      <c r="AS101" s="4">
        <v>0.48699999999999999</v>
      </c>
      <c r="AT101" s="4">
        <v>0.27300000000000002</v>
      </c>
      <c r="AU101" s="4">
        <v>-0.26100000000000001</v>
      </c>
      <c r="AV101" s="4">
        <v>-0.65500000000000003</v>
      </c>
      <c r="AW101" s="4">
        <v>-0.63100000000000001</v>
      </c>
      <c r="AX101" s="4">
        <v>-0.56999999999999995</v>
      </c>
      <c r="AY101" s="4">
        <v>-0.20799999999999999</v>
      </c>
      <c r="AZ101" s="4">
        <v>-0.93899999999999995</v>
      </c>
      <c r="BA101" s="4">
        <v>-1</v>
      </c>
      <c r="BB101" s="4">
        <v>2.1999999999999999E-2</v>
      </c>
      <c r="BC101" s="4">
        <v>0.318</v>
      </c>
      <c r="BD101" s="4">
        <v>0.30199999999999999</v>
      </c>
      <c r="BE101" s="4">
        <v>0.40100000000000002</v>
      </c>
      <c r="BF101" s="4">
        <v>1</v>
      </c>
      <c r="BG101" s="4">
        <v>0.436</v>
      </c>
      <c r="BH101" s="4">
        <v>0.156</v>
      </c>
      <c r="BI101" s="4">
        <v>1</v>
      </c>
      <c r="BJ101" s="4">
        <v>0.248</v>
      </c>
      <c r="BK101" s="4">
        <v>-0.19900000000000001</v>
      </c>
      <c r="BL101" s="4">
        <v>0.5</v>
      </c>
      <c r="BM101" s="4"/>
      <c r="BN101" s="4"/>
    </row>
    <row r="102" spans="1:66" x14ac:dyDescent="0.3">
      <c r="A102" t="s">
        <v>151</v>
      </c>
      <c r="B102" s="53">
        <v>0</v>
      </c>
      <c r="C102" s="53">
        <f t="shared" si="10"/>
        <v>-7.0000000000000001E-3</v>
      </c>
      <c r="D102" s="53">
        <f t="shared" si="11"/>
        <v>0</v>
      </c>
      <c r="E102" s="53">
        <f t="shared" si="12"/>
        <v>7.0000000000000001E-3</v>
      </c>
      <c r="F102" s="15">
        <v>0.84799999999999998</v>
      </c>
      <c r="G102">
        <v>1.01</v>
      </c>
      <c r="H102" t="s">
        <v>57</v>
      </c>
      <c r="I102" t="str">
        <f>VLOOKUP(A102,Setores!$A$2:$C$215,2,0)</f>
        <v>homebuilders</v>
      </c>
      <c r="J102" t="str">
        <f>VLOOKUP(A102,Setores!$A$2:$C$215,3,0)</f>
        <v>very_high_beta</v>
      </c>
      <c r="K102" s="17">
        <v>0</v>
      </c>
      <c r="L102" s="2">
        <v>-7.0000000000000001E-3</v>
      </c>
      <c r="M102" s="5">
        <v>2.0055555555333302</v>
      </c>
      <c r="N102" s="41">
        <f>VLOOKUP(A102,'Mandato LP'!$A$2:$B$215,2,0)</f>
        <v>0</v>
      </c>
      <c r="O102" s="58">
        <f t="shared" si="13"/>
        <v>0</v>
      </c>
      <c r="P102" s="42">
        <f t="shared" si="14"/>
        <v>0</v>
      </c>
      <c r="Q102" s="41">
        <f>VLOOKUP(A102,'Mandato LP'!$A$2:$C$215,3,0)</f>
        <v>0</v>
      </c>
      <c r="R102" s="42">
        <f t="shared" si="15"/>
        <v>0</v>
      </c>
      <c r="S102" s="15">
        <v>-0.39</v>
      </c>
      <c r="T102" s="15">
        <v>-0.84599999999999997</v>
      </c>
      <c r="U102" s="15">
        <v>-0.59099999999999997</v>
      </c>
      <c r="V102" s="15">
        <v>-0.152</v>
      </c>
      <c r="W102" s="15">
        <v>-0.628</v>
      </c>
      <c r="X102" s="15">
        <v>-7.0999999999999994E-2</v>
      </c>
      <c r="Y102" s="15">
        <v>8.8999999999999996E-2</v>
      </c>
      <c r="Z102" s="15">
        <v>-0.183</v>
      </c>
      <c r="AA102" s="15">
        <v>-2.1999999999999999E-2</v>
      </c>
      <c r="AB102" s="15">
        <v>-2.3E-2</v>
      </c>
      <c r="AC102" s="15">
        <v>0.62</v>
      </c>
      <c r="AD102" s="15">
        <v>0.51400000000000001</v>
      </c>
      <c r="AE102" s="15">
        <v>0.434</v>
      </c>
      <c r="AF102" s="14">
        <v>0.32300000000000001</v>
      </c>
      <c r="AG102" s="15">
        <v>0.46300000000000002</v>
      </c>
      <c r="AH102" s="15">
        <v>-0.84799999999999998</v>
      </c>
      <c r="AI102" s="15">
        <v>-0.44900000000000001</v>
      </c>
      <c r="AJ102" s="15">
        <v>-0.65500000000000003</v>
      </c>
      <c r="AK102" s="16">
        <v>-0.50900000000000001</v>
      </c>
      <c r="AL102" s="4">
        <v>-0.1</v>
      </c>
      <c r="AM102" s="4">
        <v>0.58099999999999996</v>
      </c>
      <c r="AN102" s="4">
        <v>-0.73299999999999998</v>
      </c>
      <c r="AO102" s="4">
        <v>0.496</v>
      </c>
      <c r="AP102" s="4">
        <v>-0.59399999999999997</v>
      </c>
      <c r="AQ102" s="4">
        <v>-0.39300000000000002</v>
      </c>
      <c r="AR102" s="4">
        <v>0.42099999999999999</v>
      </c>
      <c r="AS102" s="4">
        <v>0.36</v>
      </c>
      <c r="AT102" s="4">
        <v>-6.0000000000000001E-3</v>
      </c>
      <c r="AU102" s="4">
        <v>0.26500000000000001</v>
      </c>
      <c r="AV102" s="4">
        <v>0</v>
      </c>
      <c r="AW102" s="4">
        <v>0.23699999999999999</v>
      </c>
      <c r="AX102" s="4">
        <v>6.0000000000000001E-3</v>
      </c>
      <c r="AY102" s="4">
        <v>-2.9000000000000001E-2</v>
      </c>
      <c r="AZ102" s="4">
        <v>0.64700000000000002</v>
      </c>
      <c r="BA102" s="4">
        <v>1</v>
      </c>
      <c r="BB102" s="4">
        <v>8.8999999999999996E-2</v>
      </c>
      <c r="BC102" s="4">
        <v>-0.38700000000000001</v>
      </c>
      <c r="BD102" s="4">
        <v>-0.10299999999999999</v>
      </c>
      <c r="BE102" s="4">
        <v>7.3999999999999996E-2</v>
      </c>
      <c r="BF102" s="4">
        <v>-0.183</v>
      </c>
      <c r="BG102" s="4">
        <v>-0.36699999999999999</v>
      </c>
      <c r="BH102" s="4">
        <v>0.108</v>
      </c>
      <c r="BI102" s="4">
        <v>-0.95499999999999996</v>
      </c>
      <c r="BJ102" s="4">
        <v>0.66400000000000003</v>
      </c>
      <c r="BK102" s="4">
        <v>-0.72699999999999998</v>
      </c>
      <c r="BL102" s="4">
        <v>-0.22900000000000001</v>
      </c>
      <c r="BM102" s="4"/>
      <c r="BN102" s="4"/>
    </row>
    <row r="103" spans="1:66" x14ac:dyDescent="0.3">
      <c r="A103" t="s">
        <v>138</v>
      </c>
      <c r="B103" s="53">
        <v>0</v>
      </c>
      <c r="C103" s="53">
        <f t="shared" si="10"/>
        <v>-1E-3</v>
      </c>
      <c r="D103" s="53">
        <f t="shared" si="11"/>
        <v>0</v>
      </c>
      <c r="E103" s="53">
        <f t="shared" si="12"/>
        <v>1E-3</v>
      </c>
      <c r="F103" s="15">
        <v>0.84499999999999997</v>
      </c>
      <c r="G103">
        <v>0.86099999999999999</v>
      </c>
      <c r="H103" t="s">
        <v>71</v>
      </c>
      <c r="I103" t="str">
        <f>VLOOKUP(A103,Setores!$A$2:$C$215,2,0)</f>
        <v>basic_materials</v>
      </c>
      <c r="J103" t="str">
        <f>VLOOKUP(A103,Setores!$A$2:$C$215,3,0)</f>
        <v>low_beta</v>
      </c>
      <c r="K103" s="17">
        <v>0</v>
      </c>
      <c r="L103" s="2">
        <v>-1E-3</v>
      </c>
      <c r="M103" s="5">
        <v>0.64699784929166704</v>
      </c>
      <c r="N103" s="41">
        <f>VLOOKUP(A103,'Mandato LP'!$A$2:$B$215,2,0)</f>
        <v>0</v>
      </c>
      <c r="O103" s="58">
        <f t="shared" si="13"/>
        <v>0</v>
      </c>
      <c r="P103" s="42">
        <f t="shared" si="14"/>
        <v>0</v>
      </c>
      <c r="Q103" s="41">
        <f>VLOOKUP(A103,'Mandato LP'!$A$2:$C$215,3,0)</f>
        <v>0</v>
      </c>
      <c r="R103" s="42">
        <f t="shared" si="15"/>
        <v>0</v>
      </c>
      <c r="S103" s="15">
        <v>-0.54</v>
      </c>
      <c r="T103" s="15">
        <v>-0.4</v>
      </c>
      <c r="U103" s="15">
        <v>-0.36099999999999999</v>
      </c>
      <c r="V103" s="15">
        <v>-0.71299999999999997</v>
      </c>
      <c r="W103" s="15">
        <v>-0.55000000000000004</v>
      </c>
      <c r="X103" s="15">
        <v>-0.34899999999999998</v>
      </c>
      <c r="Y103" s="15">
        <v>-0.501</v>
      </c>
      <c r="Z103" s="15">
        <v>-0.312</v>
      </c>
      <c r="AA103" s="15">
        <v>0.45200000000000001</v>
      </c>
      <c r="AB103" s="15">
        <v>0.44400000000000001</v>
      </c>
      <c r="AC103" s="15">
        <v>0.50800000000000001</v>
      </c>
      <c r="AD103" s="15">
        <v>0.66700000000000004</v>
      </c>
      <c r="AE103" s="15">
        <v>0.71599999999999997</v>
      </c>
      <c r="AF103" s="14">
        <v>-0.48699999999999999</v>
      </c>
      <c r="AG103" s="15">
        <v>-0.96</v>
      </c>
      <c r="AH103" s="15">
        <v>-0.45</v>
      </c>
      <c r="AI103" s="15">
        <v>-0.11</v>
      </c>
      <c r="AJ103" s="15">
        <v>7.3999999999999996E-2</v>
      </c>
      <c r="AK103" s="16">
        <v>-0.36499999999999999</v>
      </c>
      <c r="AL103" s="4">
        <v>-0.17100000000000001</v>
      </c>
      <c r="AM103" s="4">
        <v>0.25900000000000001</v>
      </c>
      <c r="AN103" s="4">
        <v>-8.5999999999999993E-2</v>
      </c>
      <c r="AO103" s="4">
        <v>-0.106</v>
      </c>
      <c r="AP103" s="4">
        <v>4.0000000000000001E-3</v>
      </c>
      <c r="AQ103" s="4">
        <v>4.9000000000000002E-2</v>
      </c>
      <c r="AR103" s="4">
        <v>-0.91300000000000003</v>
      </c>
      <c r="AS103" s="4">
        <v>-0.23100000000000001</v>
      </c>
      <c r="AT103" s="4">
        <v>-0.16400000000000001</v>
      </c>
      <c r="AU103" s="4">
        <v>-8.3000000000000004E-2</v>
      </c>
      <c r="AV103" s="4">
        <v>-0.501</v>
      </c>
      <c r="AW103" s="4">
        <v>-0.224</v>
      </c>
      <c r="AX103" s="4">
        <v>0.39300000000000002</v>
      </c>
      <c r="AY103" s="4">
        <v>0.498</v>
      </c>
      <c r="AZ103" s="4">
        <v>0.82099999999999995</v>
      </c>
      <c r="BA103" s="4">
        <v>-1.9E-2</v>
      </c>
      <c r="BB103" s="4">
        <v>0.83</v>
      </c>
      <c r="BC103" s="4">
        <v>0.186</v>
      </c>
      <c r="BD103" s="4">
        <v>0.17199999999999999</v>
      </c>
      <c r="BE103" s="4">
        <v>0.36199999999999999</v>
      </c>
      <c r="BF103" s="4">
        <v>0.48599999999999999</v>
      </c>
      <c r="BG103" s="4">
        <v>1</v>
      </c>
      <c r="BH103" s="4">
        <v>0.29799999999999999</v>
      </c>
      <c r="BI103" s="4">
        <v>-3.5000000000000003E-2</v>
      </c>
      <c r="BJ103" s="4">
        <v>-0.69399999999999995</v>
      </c>
      <c r="BK103" s="4">
        <v>0.65</v>
      </c>
      <c r="BL103" s="4">
        <v>0.63700000000000001</v>
      </c>
      <c r="BM103" s="4"/>
      <c r="BN103" s="4"/>
    </row>
    <row r="104" spans="1:66" x14ac:dyDescent="0.3">
      <c r="A104" t="s">
        <v>117</v>
      </c>
      <c r="B104" s="53">
        <v>0</v>
      </c>
      <c r="C104" s="53">
        <f t="shared" si="10"/>
        <v>-1.4E-2</v>
      </c>
      <c r="D104" s="53">
        <f t="shared" si="11"/>
        <v>0</v>
      </c>
      <c r="E104" s="53">
        <f t="shared" si="12"/>
        <v>1.4E-2</v>
      </c>
      <c r="F104" s="15">
        <v>0.84299999999999997</v>
      </c>
      <c r="G104">
        <v>1.5269999999999999</v>
      </c>
      <c r="H104" t="s">
        <v>55</v>
      </c>
      <c r="I104" t="str">
        <f>VLOOKUP(A104,Setores!$A$2:$C$215,2,0)</f>
        <v>utilities</v>
      </c>
      <c r="J104" t="str">
        <f>VLOOKUP(A104,Setores!$A$2:$C$215,3,0)</f>
        <v>neutral_beta</v>
      </c>
      <c r="K104" s="17">
        <v>0</v>
      </c>
      <c r="L104" s="2">
        <v>-1.4E-2</v>
      </c>
      <c r="M104" s="5">
        <v>3.3543492129999999</v>
      </c>
      <c r="N104" s="41">
        <f>VLOOKUP(A104,'Mandato LP'!$A$2:$B$215,2,0)</f>
        <v>0</v>
      </c>
      <c r="O104" s="58">
        <f t="shared" si="13"/>
        <v>0</v>
      </c>
      <c r="P104" s="42">
        <f t="shared" si="14"/>
        <v>0</v>
      </c>
      <c r="Q104" s="41">
        <f>VLOOKUP(A104,'Mandato LP'!$A$2:$C$215,3,0)</f>
        <v>0</v>
      </c>
      <c r="R104" s="42">
        <f t="shared" si="15"/>
        <v>0</v>
      </c>
      <c r="S104" s="15">
        <v>-0.73899999999999999</v>
      </c>
      <c r="T104" s="15">
        <v>-0.73399999999999999</v>
      </c>
      <c r="U104" s="15">
        <v>-0.90100000000000002</v>
      </c>
      <c r="V104" s="15">
        <v>-0.495</v>
      </c>
      <c r="W104" s="15">
        <v>-0.75700000000000001</v>
      </c>
      <c r="X104" s="15">
        <v>-0.29199999999999998</v>
      </c>
      <c r="Y104" s="15">
        <v>7.0999999999999994E-2</v>
      </c>
      <c r="Z104" s="15">
        <v>-0.18</v>
      </c>
      <c r="AA104" s="15">
        <v>0.50700000000000001</v>
      </c>
      <c r="AB104" s="15">
        <v>0.50800000000000001</v>
      </c>
      <c r="AC104" s="15">
        <v>0.70799999999999996</v>
      </c>
      <c r="AD104" s="15">
        <v>0.747</v>
      </c>
      <c r="AE104" s="15">
        <v>0.59699999999999998</v>
      </c>
      <c r="AF104" s="14">
        <v>-0.54100000000000004</v>
      </c>
      <c r="AG104" s="15">
        <v>-0.63400000000000001</v>
      </c>
      <c r="AH104" s="15">
        <v>-0.17899999999999999</v>
      </c>
      <c r="AI104" s="15">
        <v>-0.92500000000000004</v>
      </c>
      <c r="AJ104" s="15">
        <v>-0.68700000000000006</v>
      </c>
      <c r="AK104" s="16">
        <v>-0.95199999999999996</v>
      </c>
      <c r="AL104" s="4">
        <v>-0.26200000000000001</v>
      </c>
      <c r="AM104" s="4">
        <v>0.11899999999999999</v>
      </c>
      <c r="AN104" s="4">
        <v>-0.66700000000000004</v>
      </c>
      <c r="AO104" s="4">
        <v>-0.498</v>
      </c>
      <c r="AP104" s="4">
        <v>0.16</v>
      </c>
      <c r="AQ104" s="4">
        <v>0.29399999999999998</v>
      </c>
      <c r="AR104" s="4">
        <v>-0.128</v>
      </c>
      <c r="AS104" s="4">
        <v>0.315</v>
      </c>
      <c r="AT104" s="4">
        <v>0.28000000000000003</v>
      </c>
      <c r="AU104" s="4">
        <v>0.371</v>
      </c>
      <c r="AV104" s="4">
        <v>-0.113</v>
      </c>
      <c r="AW104" s="4">
        <v>-0.109</v>
      </c>
      <c r="AX104" s="4">
        <v>0.73199999999999998</v>
      </c>
      <c r="AY104" s="4">
        <v>-0.54500000000000004</v>
      </c>
      <c r="AZ104" s="4">
        <v>0.94199999999999995</v>
      </c>
      <c r="BA104" s="4">
        <v>-0.13700000000000001</v>
      </c>
      <c r="BB104" s="4">
        <v>0.126</v>
      </c>
      <c r="BC104" s="4">
        <v>-0.28399999999999997</v>
      </c>
      <c r="BD104" s="4">
        <v>-0.33900000000000002</v>
      </c>
      <c r="BE104" s="4">
        <v>0.376</v>
      </c>
      <c r="BF104" s="4">
        <v>-2.3E-2</v>
      </c>
      <c r="BG104" s="4">
        <v>-0.57599999999999996</v>
      </c>
      <c r="BH104" s="4">
        <v>0.54400000000000004</v>
      </c>
      <c r="BI104" s="4">
        <v>-0.624</v>
      </c>
      <c r="BJ104" s="4">
        <v>3.0000000000000001E-3</v>
      </c>
      <c r="BK104" s="4">
        <v>0.14599999999999999</v>
      </c>
      <c r="BL104" s="4">
        <v>-0.51300000000000001</v>
      </c>
      <c r="BM104" s="4"/>
      <c r="BN104" s="4"/>
    </row>
    <row r="105" spans="1:66" x14ac:dyDescent="0.3">
      <c r="A105" t="s">
        <v>135</v>
      </c>
      <c r="B105" s="53">
        <v>2.5000000000000001E-2</v>
      </c>
      <c r="C105" s="53">
        <f t="shared" si="10"/>
        <v>-2.8000000000000004E-2</v>
      </c>
      <c r="D105" s="53">
        <f t="shared" si="11"/>
        <v>0</v>
      </c>
      <c r="E105" s="53">
        <f t="shared" si="12"/>
        <v>5.3000000000000005E-2</v>
      </c>
      <c r="F105" s="15">
        <v>0.84099999999999997</v>
      </c>
      <c r="G105">
        <v>1.917</v>
      </c>
      <c r="H105" t="s">
        <v>57</v>
      </c>
      <c r="I105" t="str">
        <f>VLOOKUP(A105,Setores!$A$2:$C$215,2,0)</f>
        <v>banks</v>
      </c>
      <c r="J105" t="str">
        <f>VLOOKUP(A105,Setores!$A$2:$C$215,3,0)</f>
        <v>neutral_beta</v>
      </c>
      <c r="K105" s="17">
        <v>2.5000000000000001E-2</v>
      </c>
      <c r="L105" s="2">
        <v>-2.8000000000000001E-2</v>
      </c>
      <c r="M105" s="5">
        <v>2.7220146271366699</v>
      </c>
      <c r="N105" s="41">
        <f>VLOOKUP(A105,'Mandato LP'!$A$2:$B$215,2,0)</f>
        <v>0</v>
      </c>
      <c r="O105" s="58">
        <f t="shared" si="13"/>
        <v>2.5000000000000001E-2</v>
      </c>
      <c r="P105" s="42">
        <f t="shared" si="14"/>
        <v>2.5000000000000001E-2</v>
      </c>
      <c r="Q105" s="41">
        <f>VLOOKUP(A105,'Mandato LP'!$A$2:$C$215,3,0)</f>
        <v>0</v>
      </c>
      <c r="R105" s="42">
        <f t="shared" si="15"/>
        <v>2.5000000000000001E-2</v>
      </c>
      <c r="S105" s="15">
        <v>-0.70299999999999996</v>
      </c>
      <c r="T105" s="15">
        <v>-0.749</v>
      </c>
      <c r="U105" s="15">
        <v>-0.9</v>
      </c>
      <c r="V105" s="15">
        <v>-0.48699999999999999</v>
      </c>
      <c r="W105" s="15">
        <v>-0.75800000000000001</v>
      </c>
      <c r="X105" s="15">
        <v>-0.23400000000000001</v>
      </c>
      <c r="Y105" s="15">
        <v>8.2000000000000003E-2</v>
      </c>
      <c r="Z105" s="15">
        <v>-0.20200000000000001</v>
      </c>
      <c r="AA105" s="15">
        <v>0.38600000000000001</v>
      </c>
      <c r="AB105" s="15">
        <v>0.38400000000000001</v>
      </c>
      <c r="AC105" s="15">
        <v>0.73499999999999999</v>
      </c>
      <c r="AD105" s="15">
        <v>0.78200000000000003</v>
      </c>
      <c r="AE105" s="15">
        <v>0.61799999999999999</v>
      </c>
      <c r="AF105" s="14">
        <v>-0.60699999999999998</v>
      </c>
      <c r="AG105" s="15">
        <v>0.106</v>
      </c>
      <c r="AH105" s="15">
        <v>-0.156</v>
      </c>
      <c r="AI105" s="15">
        <v>-0.94699999999999995</v>
      </c>
      <c r="AJ105" s="15">
        <v>-0.872</v>
      </c>
      <c r="AK105" s="16">
        <v>-0.97299999999999998</v>
      </c>
      <c r="AL105" s="4">
        <v>-0.23100000000000001</v>
      </c>
      <c r="AM105" s="4">
        <v>7.3999999999999996E-2</v>
      </c>
      <c r="AN105" s="4">
        <v>-0.52700000000000002</v>
      </c>
      <c r="AO105" s="4">
        <v>-7.2999999999999995E-2</v>
      </c>
      <c r="AP105" s="4">
        <v>0.14799999999999999</v>
      </c>
      <c r="AQ105" s="4">
        <v>-0.34399999999999997</v>
      </c>
      <c r="AR105" s="4">
        <v>0.26</v>
      </c>
      <c r="AS105" s="4">
        <v>0.26900000000000002</v>
      </c>
      <c r="AT105" s="4">
        <v>-0.112</v>
      </c>
      <c r="AU105" s="4">
        <v>-7.3999999999999996E-2</v>
      </c>
      <c r="AV105" s="4">
        <v>-0.20399999999999999</v>
      </c>
      <c r="AW105" s="4">
        <v>-0.23599999999999999</v>
      </c>
      <c r="AX105" s="4">
        <v>0.44400000000000001</v>
      </c>
      <c r="AY105" s="4">
        <v>-0.437</v>
      </c>
      <c r="AZ105" s="4">
        <v>0.83399999999999996</v>
      </c>
      <c r="BA105" s="4">
        <v>0.44500000000000001</v>
      </c>
      <c r="BB105" s="4">
        <v>0.64800000000000002</v>
      </c>
      <c r="BC105" s="4">
        <v>-0.36799999999999999</v>
      </c>
      <c r="BD105" s="4">
        <v>-0.192</v>
      </c>
      <c r="BE105" s="4">
        <v>0.30299999999999999</v>
      </c>
      <c r="BF105" s="4">
        <v>5.0000000000000001E-3</v>
      </c>
      <c r="BG105" s="4">
        <v>-4.1000000000000002E-2</v>
      </c>
      <c r="BH105" s="4">
        <v>0.90900000000000003</v>
      </c>
      <c r="BI105" s="4">
        <v>-0.71199999999999997</v>
      </c>
      <c r="BJ105" s="4">
        <v>-0.153</v>
      </c>
      <c r="BK105" s="4">
        <v>-0.184</v>
      </c>
      <c r="BL105" s="4">
        <v>-0.93899999999999995</v>
      </c>
      <c r="BM105" s="4"/>
      <c r="BN105" s="4"/>
    </row>
    <row r="106" spans="1:66" x14ac:dyDescent="0.3">
      <c r="A106" t="s">
        <v>182</v>
      </c>
      <c r="B106" s="53">
        <v>2.5000000000000001E-2</v>
      </c>
      <c r="C106" s="53">
        <f t="shared" si="10"/>
        <v>-4.4000000000000004E-2</v>
      </c>
      <c r="D106" s="53">
        <f t="shared" si="11"/>
        <v>-2.9999999999999992E-3</v>
      </c>
      <c r="E106" s="53">
        <f t="shared" si="12"/>
        <v>6.9000000000000006E-2</v>
      </c>
      <c r="F106" s="15">
        <v>0.83599999999999997</v>
      </c>
      <c r="G106">
        <v>1.718</v>
      </c>
      <c r="H106" t="s">
        <v>71</v>
      </c>
      <c r="I106" t="str">
        <f>VLOOKUP(A106,Setores!$A$2:$C$215,2,0)</f>
        <v>basic_materials</v>
      </c>
      <c r="J106" t="str">
        <f>VLOOKUP(A106,Setores!$A$2:$C$215,3,0)</f>
        <v>low_beta</v>
      </c>
      <c r="K106" s="17">
        <v>2.8000000000000001E-2</v>
      </c>
      <c r="L106" s="2">
        <v>-4.1000000000000002E-2</v>
      </c>
      <c r="M106" s="5">
        <v>5.7406721923333297</v>
      </c>
      <c r="N106" s="41">
        <f>VLOOKUP(A106,'Mandato LP'!$A$2:$B$215,2,0)</f>
        <v>0</v>
      </c>
      <c r="O106" s="58">
        <f t="shared" si="13"/>
        <v>2.8000000000000001E-2</v>
      </c>
      <c r="P106" s="42">
        <f t="shared" si="14"/>
        <v>2.5000000000000001E-2</v>
      </c>
      <c r="Q106" s="41">
        <f>VLOOKUP(A106,'Mandato LP'!$A$2:$C$215,3,0)</f>
        <v>2.68309263256939E-2</v>
      </c>
      <c r="R106" s="42">
        <f t="shared" si="15"/>
        <v>1.1690736743061002E-3</v>
      </c>
      <c r="S106" s="15">
        <v>-0.85599999999999998</v>
      </c>
      <c r="T106" s="15">
        <v>-0.55900000000000005</v>
      </c>
      <c r="U106" s="15">
        <v>-0.98399999999999999</v>
      </c>
      <c r="V106" s="15">
        <v>-0.65300000000000002</v>
      </c>
      <c r="W106" s="15">
        <v>-0.76100000000000001</v>
      </c>
      <c r="X106" s="15">
        <v>-0.56699999999999995</v>
      </c>
      <c r="Y106" s="15">
        <v>-0.42899999999999999</v>
      </c>
      <c r="Z106" s="15">
        <v>-8.0000000000000002E-3</v>
      </c>
      <c r="AA106" s="15">
        <v>0.64400000000000002</v>
      </c>
      <c r="AB106" s="15">
        <v>0.64200000000000002</v>
      </c>
      <c r="AC106" s="15">
        <v>0.73799999999999999</v>
      </c>
      <c r="AD106" s="15">
        <v>0.72499999999999998</v>
      </c>
      <c r="AE106" s="15">
        <v>0.69299999999999995</v>
      </c>
      <c r="AF106" s="14">
        <v>-0.70199999999999996</v>
      </c>
      <c r="AG106" s="15">
        <v>-0.92900000000000005</v>
      </c>
      <c r="AH106" s="15">
        <v>0.157</v>
      </c>
      <c r="AI106" s="15">
        <v>-1</v>
      </c>
      <c r="AJ106" s="15">
        <v>-0.69599999999999995</v>
      </c>
      <c r="AK106" s="16">
        <v>-1</v>
      </c>
      <c r="AL106" s="4">
        <v>-0.26500000000000001</v>
      </c>
      <c r="AM106" s="4">
        <v>0.104</v>
      </c>
      <c r="AN106" s="4">
        <v>-0.6</v>
      </c>
      <c r="AO106" s="4">
        <v>-0.68500000000000005</v>
      </c>
      <c r="AP106" s="4">
        <v>0.81899999999999995</v>
      </c>
      <c r="AQ106" s="4">
        <v>0.11700000000000001</v>
      </c>
      <c r="AR106" s="4">
        <v>-0.83699999999999997</v>
      </c>
      <c r="AS106" s="4">
        <v>0.433</v>
      </c>
      <c r="AT106" s="4">
        <v>0.34899999999999998</v>
      </c>
      <c r="AU106" s="4">
        <v>9.0999999999999998E-2</v>
      </c>
      <c r="AV106" s="4">
        <v>-0.17499999999999999</v>
      </c>
      <c r="AW106" s="4">
        <v>-0.221</v>
      </c>
      <c r="AX106" s="4">
        <v>0.58299999999999996</v>
      </c>
      <c r="AY106" s="4">
        <v>-0.185</v>
      </c>
      <c r="AZ106" s="4">
        <v>0.54400000000000004</v>
      </c>
      <c r="BA106" s="4">
        <v>-0.95399999999999996</v>
      </c>
      <c r="BB106" s="4">
        <v>-0.17199999999999999</v>
      </c>
      <c r="BC106" s="4">
        <v>0.17100000000000001</v>
      </c>
      <c r="BD106" s="4">
        <v>0.123</v>
      </c>
      <c r="BE106" s="4">
        <v>0.59899999999999998</v>
      </c>
      <c r="BF106" s="4">
        <v>-0.57699999999999996</v>
      </c>
      <c r="BG106" s="4">
        <v>0.436</v>
      </c>
      <c r="BH106" s="4">
        <v>0.39</v>
      </c>
      <c r="BI106" s="4">
        <v>-0.36499999999999999</v>
      </c>
      <c r="BJ106" s="4">
        <v>-0.46400000000000002</v>
      </c>
      <c r="BK106" s="4">
        <v>-0.38600000000000001</v>
      </c>
      <c r="BL106" s="4">
        <v>-1</v>
      </c>
      <c r="BM106" s="4"/>
      <c r="BN106" s="4"/>
    </row>
    <row r="107" spans="1:66" x14ac:dyDescent="0.3">
      <c r="A107" t="s">
        <v>122</v>
      </c>
      <c r="B107" s="53">
        <v>0</v>
      </c>
      <c r="C107" s="53">
        <f t="shared" si="10"/>
        <v>-1E-3</v>
      </c>
      <c r="D107" s="53">
        <f t="shared" si="11"/>
        <v>0</v>
      </c>
      <c r="E107" s="53">
        <f t="shared" si="12"/>
        <v>1E-3</v>
      </c>
      <c r="F107" s="15">
        <v>0.83399999999999996</v>
      </c>
      <c r="G107">
        <v>0.79900000000000004</v>
      </c>
      <c r="H107" t="s">
        <v>57</v>
      </c>
      <c r="I107" t="str">
        <f>VLOOKUP(A107,Setores!$A$2:$C$215,2,0)</f>
        <v>banks</v>
      </c>
      <c r="J107" t="str">
        <f>VLOOKUP(A107,Setores!$A$2:$C$215,3,0)</f>
        <v>very_low_beta</v>
      </c>
      <c r="K107" s="17">
        <v>0</v>
      </c>
      <c r="L107" s="2">
        <v>-1E-3</v>
      </c>
      <c r="M107" s="5">
        <v>1.61</v>
      </c>
      <c r="N107" s="41">
        <f>VLOOKUP(A107,'Mandato LP'!$A$2:$B$215,2,0)</f>
        <v>0</v>
      </c>
      <c r="O107" s="58">
        <f t="shared" si="13"/>
        <v>0</v>
      </c>
      <c r="P107" s="42">
        <f t="shared" si="14"/>
        <v>0</v>
      </c>
      <c r="Q107" s="41">
        <f>VLOOKUP(A107,'Mandato LP'!$A$2:$C$215,3,0)</f>
        <v>0</v>
      </c>
      <c r="R107" s="42">
        <f t="shared" si="15"/>
        <v>0</v>
      </c>
      <c r="S107" s="15">
        <v>-0.34799999999999998</v>
      </c>
      <c r="T107" s="15">
        <v>-0.48799999999999999</v>
      </c>
      <c r="U107" s="15">
        <v>-0.10199999999999999</v>
      </c>
      <c r="V107" s="15">
        <v>-0.69499999999999995</v>
      </c>
      <c r="W107" s="15">
        <v>-0.6</v>
      </c>
      <c r="X107" s="15">
        <v>-0.253</v>
      </c>
      <c r="Y107" s="15">
        <v>-0.126</v>
      </c>
      <c r="Z107" s="15">
        <v>-0.31</v>
      </c>
      <c r="AA107" s="15">
        <v>-7.0000000000000001E-3</v>
      </c>
      <c r="AB107" s="15">
        <v>-7.0000000000000001E-3</v>
      </c>
      <c r="AC107" s="15">
        <v>0.50600000000000001</v>
      </c>
      <c r="AD107" s="15">
        <v>0.44800000000000001</v>
      </c>
      <c r="AE107" s="15">
        <v>0.60199999999999998</v>
      </c>
      <c r="AF107" s="14">
        <v>-0.51200000000000001</v>
      </c>
      <c r="AG107" s="15">
        <v>-0.83</v>
      </c>
      <c r="AH107" s="15">
        <v>-0.755</v>
      </c>
      <c r="AI107" s="15">
        <v>-0.39800000000000002</v>
      </c>
      <c r="AJ107" s="15">
        <v>0.28999999999999998</v>
      </c>
      <c r="AK107" s="16">
        <v>0.63700000000000001</v>
      </c>
      <c r="AL107" s="4">
        <v>-0.72799999999999998</v>
      </c>
      <c r="AM107" s="4">
        <v>0.25700000000000001</v>
      </c>
      <c r="AN107" s="4">
        <v>-0.65600000000000003</v>
      </c>
      <c r="AO107" s="4">
        <v>-0.19400000000000001</v>
      </c>
      <c r="AP107" s="4">
        <v>-0.219</v>
      </c>
      <c r="AQ107" s="4">
        <v>0.29399999999999998</v>
      </c>
      <c r="AR107" s="4">
        <v>-0.29599999999999999</v>
      </c>
      <c r="AS107" s="4">
        <v>0.122</v>
      </c>
      <c r="AT107" s="4">
        <v>-0.156</v>
      </c>
      <c r="AU107" s="4">
        <v>-0.33500000000000002</v>
      </c>
      <c r="AV107" s="4">
        <v>0.188</v>
      </c>
      <c r="AW107" s="4">
        <v>-0.27300000000000002</v>
      </c>
      <c r="AX107" s="4">
        <v>0.53400000000000003</v>
      </c>
      <c r="AY107" s="4">
        <v>1</v>
      </c>
      <c r="AZ107" s="4">
        <v>-0.14199999999999999</v>
      </c>
      <c r="BA107" s="4">
        <v>1</v>
      </c>
      <c r="BB107" s="4">
        <v>0.501</v>
      </c>
      <c r="BC107" s="4">
        <v>-0.32</v>
      </c>
      <c r="BD107" s="4">
        <v>0.34200000000000003</v>
      </c>
      <c r="BE107" s="4">
        <v>-0.436</v>
      </c>
      <c r="BF107" s="4">
        <v>-3.3000000000000002E-2</v>
      </c>
      <c r="BG107" s="4">
        <v>-0.55000000000000004</v>
      </c>
      <c r="BH107" s="4">
        <v>0.372</v>
      </c>
      <c r="BI107" s="4">
        <v>-0.57399999999999995</v>
      </c>
      <c r="BJ107" s="4">
        <v>-0.54600000000000004</v>
      </c>
      <c r="BK107" s="4">
        <v>0.63200000000000001</v>
      </c>
      <c r="BL107" s="4">
        <v>0.76800000000000002</v>
      </c>
      <c r="BM107" s="4"/>
      <c r="BN107" s="4"/>
    </row>
    <row r="108" spans="1:66" x14ac:dyDescent="0.3">
      <c r="A108" t="s">
        <v>179</v>
      </c>
      <c r="B108" s="53">
        <v>0</v>
      </c>
      <c r="C108" s="53">
        <f t="shared" si="10"/>
        <v>-1E-3</v>
      </c>
      <c r="D108" s="53">
        <f t="shared" si="11"/>
        <v>0</v>
      </c>
      <c r="E108" s="53">
        <f t="shared" si="12"/>
        <v>1E-3</v>
      </c>
      <c r="F108" s="15">
        <v>0.80600000000000005</v>
      </c>
      <c r="G108">
        <v>0.626</v>
      </c>
      <c r="H108" t="s">
        <v>71</v>
      </c>
      <c r="I108" t="str">
        <f>VLOOKUP(A108,Setores!$A$2:$C$215,2,0)</f>
        <v>basic_materials</v>
      </c>
      <c r="J108" t="str">
        <f>VLOOKUP(A108,Setores!$A$2:$C$215,3,0)</f>
        <v>neutral_beta</v>
      </c>
      <c r="K108" s="17">
        <v>0</v>
      </c>
      <c r="L108" s="2">
        <v>-1E-3</v>
      </c>
      <c r="M108" s="5">
        <v>0.18870531930333301</v>
      </c>
      <c r="N108" s="41">
        <f>VLOOKUP(A108,'Mandato LP'!$A$2:$B$215,2,0)</f>
        <v>0</v>
      </c>
      <c r="O108" s="58">
        <f t="shared" si="13"/>
        <v>0</v>
      </c>
      <c r="P108" s="42">
        <f t="shared" si="14"/>
        <v>0</v>
      </c>
      <c r="Q108" s="41">
        <f>VLOOKUP(A108,'Mandato LP'!$A$2:$C$215,3,0)</f>
        <v>0</v>
      </c>
      <c r="R108" s="42">
        <f t="shared" si="15"/>
        <v>0</v>
      </c>
      <c r="S108" s="15">
        <v>-0.622</v>
      </c>
      <c r="T108" s="15">
        <v>0.11799999999999999</v>
      </c>
      <c r="U108" s="15">
        <v>-0.86799999999999999</v>
      </c>
      <c r="V108" s="15">
        <v>-0.41199999999999998</v>
      </c>
      <c r="W108" s="15">
        <v>-0.35899999999999999</v>
      </c>
      <c r="X108" s="15">
        <v>-0.751</v>
      </c>
      <c r="Y108" s="15">
        <v>-0.871</v>
      </c>
      <c r="Z108" s="15">
        <v>-0.21</v>
      </c>
      <c r="AA108" s="15">
        <v>0.33400000000000002</v>
      </c>
      <c r="AB108" s="15">
        <v>0.33600000000000002</v>
      </c>
      <c r="AC108" s="15">
        <v>0.45900000000000002</v>
      </c>
      <c r="AD108" s="15">
        <v>0.66700000000000004</v>
      </c>
      <c r="AE108" s="15">
        <v>0.78300000000000003</v>
      </c>
      <c r="AF108" s="14">
        <v>-0.21</v>
      </c>
      <c r="AG108" s="15">
        <v>-0.49099999999999999</v>
      </c>
      <c r="AH108" s="15">
        <v>1</v>
      </c>
      <c r="AI108" s="15">
        <v>-0.73099999999999998</v>
      </c>
      <c r="AJ108" s="15">
        <v>-0.19600000000000001</v>
      </c>
      <c r="AK108" s="16">
        <v>-0.92600000000000005</v>
      </c>
      <c r="AL108" s="4">
        <v>-0.254</v>
      </c>
      <c r="AM108" s="4">
        <v>-0.64500000000000002</v>
      </c>
      <c r="AN108" s="4">
        <v>0.224</v>
      </c>
      <c r="AO108" s="4">
        <v>-0.46100000000000002</v>
      </c>
      <c r="AP108" s="4">
        <v>0.67300000000000004</v>
      </c>
      <c r="AQ108" s="4">
        <v>0.70299999999999996</v>
      </c>
      <c r="AR108" s="4">
        <v>-0.53500000000000003</v>
      </c>
      <c r="AS108" s="4">
        <v>1</v>
      </c>
      <c r="AT108" s="4">
        <v>0.155</v>
      </c>
      <c r="AU108" s="4">
        <v>-0.11799999999999999</v>
      </c>
      <c r="AV108" s="4">
        <v>-0.8</v>
      </c>
      <c r="AW108" s="4">
        <v>0.05</v>
      </c>
      <c r="AX108" s="4">
        <v>-0.114</v>
      </c>
      <c r="AY108" s="4">
        <v>0.124</v>
      </c>
      <c r="AZ108" s="4">
        <v>0.622</v>
      </c>
      <c r="BA108" s="4">
        <v>-1</v>
      </c>
      <c r="BB108" s="4">
        <v>0.13700000000000001</v>
      </c>
      <c r="BC108" s="4">
        <v>0.50600000000000001</v>
      </c>
      <c r="BD108" s="4">
        <v>0.26600000000000001</v>
      </c>
      <c r="BE108" s="4">
        <v>0.81599999999999995</v>
      </c>
      <c r="BF108" s="4">
        <v>-1</v>
      </c>
      <c r="BG108" s="4">
        <v>0.29599999999999999</v>
      </c>
      <c r="BH108" s="4">
        <v>-0.58199999999999996</v>
      </c>
      <c r="BI108" s="4">
        <v>-1.0999999999999999E-2</v>
      </c>
      <c r="BJ108" s="4">
        <v>-0.28899999999999998</v>
      </c>
      <c r="BK108" s="4">
        <v>-0.41699999999999998</v>
      </c>
      <c r="BL108" s="4">
        <v>-8.9999999999999993E-3</v>
      </c>
      <c r="BM108" s="4"/>
      <c r="BN108" s="4"/>
    </row>
    <row r="109" spans="1:66" x14ac:dyDescent="0.3">
      <c r="A109" t="s">
        <v>88</v>
      </c>
      <c r="B109" s="53">
        <v>0</v>
      </c>
      <c r="C109" s="53">
        <f t="shared" si="10"/>
        <v>-1E-3</v>
      </c>
      <c r="D109" s="53">
        <f t="shared" si="11"/>
        <v>0</v>
      </c>
      <c r="E109" s="53">
        <f t="shared" si="12"/>
        <v>1E-3</v>
      </c>
      <c r="F109" s="15">
        <v>0.80300000000000005</v>
      </c>
      <c r="G109">
        <v>0.96499999999999997</v>
      </c>
      <c r="H109" t="s">
        <v>53</v>
      </c>
      <c r="I109" t="str">
        <f>VLOOKUP(A109,Setores!$A$2:$C$215,2,0)</f>
        <v>consumer_staples</v>
      </c>
      <c r="J109" t="str">
        <f>VLOOKUP(A109,Setores!$A$2:$C$215,3,0)</f>
        <v>very_low_beta</v>
      </c>
      <c r="K109" s="17">
        <v>0</v>
      </c>
      <c r="L109" s="2">
        <v>-1E-3</v>
      </c>
      <c r="M109" s="5">
        <v>0.62641918340000002</v>
      </c>
      <c r="N109" s="41">
        <f>VLOOKUP(A109,'Mandato LP'!$A$2:$B$215,2,0)</f>
        <v>0</v>
      </c>
      <c r="O109" s="58">
        <f t="shared" si="13"/>
        <v>0</v>
      </c>
      <c r="P109" s="42">
        <f t="shared" si="14"/>
        <v>0</v>
      </c>
      <c r="Q109" s="41">
        <f>VLOOKUP(A109,'Mandato LP'!$A$2:$C$215,3,0)</f>
        <v>0</v>
      </c>
      <c r="R109" s="42">
        <f t="shared" si="15"/>
        <v>0</v>
      </c>
      <c r="S109" s="15">
        <v>-0.623</v>
      </c>
      <c r="T109" s="15">
        <v>-0.63400000000000001</v>
      </c>
      <c r="U109" s="15">
        <v>-0.54100000000000004</v>
      </c>
      <c r="V109" s="15">
        <v>-0.62</v>
      </c>
      <c r="W109" s="15">
        <v>-0.63600000000000001</v>
      </c>
      <c r="X109" s="15">
        <v>-0.35</v>
      </c>
      <c r="Y109" s="15">
        <v>3.1E-2</v>
      </c>
      <c r="Z109" s="15">
        <v>-0.39300000000000002</v>
      </c>
      <c r="AA109" s="15">
        <v>0.36399999999999999</v>
      </c>
      <c r="AB109" s="15">
        <v>0.36</v>
      </c>
      <c r="AC109" s="15">
        <v>0.70699999999999996</v>
      </c>
      <c r="AD109" s="15">
        <v>0.69599999999999995</v>
      </c>
      <c r="AE109" s="15">
        <v>0.65500000000000003</v>
      </c>
      <c r="AF109" s="14">
        <v>-0.38300000000000001</v>
      </c>
      <c r="AG109" s="15">
        <v>-0.85799999999999998</v>
      </c>
      <c r="AH109" s="15">
        <v>-0.40500000000000003</v>
      </c>
      <c r="AI109" s="15">
        <v>-0.17299999999999999</v>
      </c>
      <c r="AJ109" s="15">
        <v>0.31</v>
      </c>
      <c r="AK109" s="16">
        <v>-0.58699999999999997</v>
      </c>
      <c r="AL109" s="4">
        <v>-0.08</v>
      </c>
      <c r="AM109" s="4">
        <v>3.1E-2</v>
      </c>
      <c r="AN109" s="4">
        <v>-0.48899999999999999</v>
      </c>
      <c r="AO109" s="4">
        <v>-0.10299999999999999</v>
      </c>
      <c r="AP109" s="4">
        <v>-9.6000000000000002E-2</v>
      </c>
      <c r="AQ109" s="4">
        <v>-5.1999999999999998E-2</v>
      </c>
      <c r="AR109" s="4">
        <v>-0.32900000000000001</v>
      </c>
      <c r="AS109" s="4">
        <v>-0.44</v>
      </c>
      <c r="AT109" s="4">
        <v>-0.374</v>
      </c>
      <c r="AU109" s="4">
        <v>7.8E-2</v>
      </c>
      <c r="AV109" s="4">
        <v>-7.6999999999999999E-2</v>
      </c>
      <c r="AW109" s="4">
        <v>-4.2000000000000003E-2</v>
      </c>
      <c r="AX109" s="4">
        <v>0.66600000000000004</v>
      </c>
      <c r="AY109" s="4">
        <v>0</v>
      </c>
      <c r="AZ109" s="4">
        <v>0.49299999999999999</v>
      </c>
      <c r="BA109" s="4">
        <v>-7.8E-2</v>
      </c>
      <c r="BB109" s="4">
        <v>6.7000000000000004E-2</v>
      </c>
      <c r="BC109" s="4">
        <v>-0.09</v>
      </c>
      <c r="BD109" s="4">
        <v>-0.158</v>
      </c>
      <c r="BE109" s="4">
        <v>0.379</v>
      </c>
      <c r="BF109" s="4">
        <v>8.6999999999999994E-2</v>
      </c>
      <c r="BG109" s="4">
        <v>0.26800000000000002</v>
      </c>
      <c r="BH109" s="4">
        <v>0.72899999999999998</v>
      </c>
      <c r="BI109" s="4">
        <v>-0.3</v>
      </c>
      <c r="BJ109" s="4">
        <v>-0.41899999999999998</v>
      </c>
      <c r="BK109" s="4">
        <v>0.54500000000000004</v>
      </c>
      <c r="BL109" s="4">
        <v>0.56799999999999995</v>
      </c>
      <c r="BM109" s="4"/>
      <c r="BN109" s="4"/>
    </row>
    <row r="110" spans="1:66" x14ac:dyDescent="0.3">
      <c r="A110" t="s">
        <v>102</v>
      </c>
      <c r="B110" s="53">
        <v>0</v>
      </c>
      <c r="C110" s="53">
        <f t="shared" si="10"/>
        <v>-1E-3</v>
      </c>
      <c r="D110" s="53">
        <f t="shared" si="11"/>
        <v>0</v>
      </c>
      <c r="E110" s="53">
        <f t="shared" si="12"/>
        <v>1E-3</v>
      </c>
      <c r="F110" s="15">
        <v>0.8</v>
      </c>
      <c r="G110">
        <v>0.64</v>
      </c>
      <c r="H110" t="s">
        <v>57</v>
      </c>
      <c r="I110" t="str">
        <f>VLOOKUP(A110,Setores!$A$2:$C$215,2,0)</f>
        <v>education</v>
      </c>
      <c r="J110" t="str">
        <f>VLOOKUP(A110,Setores!$A$2:$C$215,3,0)</f>
        <v>high_beta</v>
      </c>
      <c r="K110" s="17">
        <v>0</v>
      </c>
      <c r="L110" s="2">
        <v>-1E-3</v>
      </c>
      <c r="M110" s="5">
        <v>6.17737954326667E-2</v>
      </c>
      <c r="N110" s="41">
        <f>VLOOKUP(A110,'Mandato LP'!$A$2:$B$215,2,0)</f>
        <v>0</v>
      </c>
      <c r="O110" s="58">
        <f t="shared" si="13"/>
        <v>0</v>
      </c>
      <c r="P110" s="42">
        <f t="shared" si="14"/>
        <v>0</v>
      </c>
      <c r="Q110" s="41">
        <f>VLOOKUP(A110,'Mandato LP'!$A$2:$C$215,3,0)</f>
        <v>0</v>
      </c>
      <c r="R110" s="42">
        <f t="shared" si="15"/>
        <v>0</v>
      </c>
      <c r="S110" s="15">
        <v>-0.20699999999999999</v>
      </c>
      <c r="T110" s="15">
        <v>-0.34200000000000003</v>
      </c>
      <c r="U110" s="15">
        <v>-0.38300000000000001</v>
      </c>
      <c r="V110" s="15">
        <v>-8.6999999999999994E-2</v>
      </c>
      <c r="W110" s="15">
        <v>-0.22900000000000001</v>
      </c>
      <c r="X110" s="15">
        <v>-0.29199999999999998</v>
      </c>
      <c r="Y110" s="15">
        <v>-0.20399999999999999</v>
      </c>
      <c r="Z110" s="15">
        <v>-0.69799999999999995</v>
      </c>
      <c r="AA110" s="15">
        <v>0.14099999999999999</v>
      </c>
      <c r="AB110" s="15">
        <v>0.14000000000000001</v>
      </c>
      <c r="AC110" s="15">
        <v>0.69799999999999995</v>
      </c>
      <c r="AD110" s="15">
        <v>0.55000000000000004</v>
      </c>
      <c r="AE110" s="15">
        <v>0.55000000000000004</v>
      </c>
      <c r="AF110" s="14">
        <v>0.48499999999999999</v>
      </c>
      <c r="AG110" s="15">
        <v>1</v>
      </c>
      <c r="AH110" s="15">
        <v>-0.26400000000000001</v>
      </c>
      <c r="AI110" s="15">
        <v>-0.252</v>
      </c>
      <c r="AJ110" s="15">
        <v>-0.621</v>
      </c>
      <c r="AK110" s="16">
        <v>4.8000000000000001E-2</v>
      </c>
      <c r="AL110" s="4">
        <v>-2.8000000000000001E-2</v>
      </c>
      <c r="AM110" s="4">
        <v>-0.72599999999999998</v>
      </c>
      <c r="AN110" s="4">
        <v>0.47</v>
      </c>
      <c r="AO110" s="4">
        <v>0.52300000000000002</v>
      </c>
      <c r="AP110" s="4">
        <v>-0.41699999999999998</v>
      </c>
      <c r="AQ110" s="4">
        <v>-0.46100000000000002</v>
      </c>
      <c r="AR110" s="4">
        <v>0.57699999999999996</v>
      </c>
      <c r="AS110" s="4">
        <v>0.51500000000000001</v>
      </c>
      <c r="AT110" s="4">
        <v>0.125</v>
      </c>
      <c r="AU110" s="4">
        <v>-6.5000000000000002E-2</v>
      </c>
      <c r="AV110" s="4">
        <v>5.8000000000000003E-2</v>
      </c>
      <c r="AW110" s="4">
        <v>0.29299999999999998</v>
      </c>
      <c r="AX110" s="4">
        <v>-0.38500000000000001</v>
      </c>
      <c r="AY110" s="4">
        <v>-0.48799999999999999</v>
      </c>
      <c r="AZ110" s="4">
        <v>0.77500000000000002</v>
      </c>
      <c r="BA110" s="4">
        <v>-0.48599999999999999</v>
      </c>
      <c r="BB110" s="4">
        <v>0.46700000000000003</v>
      </c>
      <c r="BC110" s="4">
        <v>7.6999999999999999E-2</v>
      </c>
      <c r="BD110" s="4">
        <v>-0.13900000000000001</v>
      </c>
      <c r="BE110" s="4">
        <v>0.38200000000000001</v>
      </c>
      <c r="BF110" s="4">
        <v>0.52800000000000002</v>
      </c>
      <c r="BG110" s="4">
        <v>0.56100000000000005</v>
      </c>
      <c r="BH110" s="4">
        <v>0.53900000000000003</v>
      </c>
      <c r="BI110" s="4">
        <v>-0.20899999999999999</v>
      </c>
      <c r="BJ110" s="4">
        <v>5.0999999999999997E-2</v>
      </c>
      <c r="BK110" s="4">
        <v>-0.79100000000000004</v>
      </c>
      <c r="BL110" s="4">
        <v>-0.4</v>
      </c>
      <c r="BM110" s="4"/>
      <c r="BN110" s="4"/>
    </row>
    <row r="111" spans="1:66" x14ac:dyDescent="0.3">
      <c r="A111" t="s">
        <v>112</v>
      </c>
      <c r="B111" s="53">
        <v>0</v>
      </c>
      <c r="C111" s="53">
        <f t="shared" si="10"/>
        <v>-1.7000000000000001E-2</v>
      </c>
      <c r="D111" s="53">
        <f t="shared" si="11"/>
        <v>0</v>
      </c>
      <c r="E111" s="53">
        <f t="shared" si="12"/>
        <v>1.7000000000000001E-2</v>
      </c>
      <c r="F111" s="15">
        <v>0.78600000000000003</v>
      </c>
      <c r="G111">
        <v>1.272</v>
      </c>
      <c r="H111" t="s">
        <v>55</v>
      </c>
      <c r="I111" t="str">
        <f>VLOOKUP(A111,Setores!$A$2:$C$215,2,0)</f>
        <v>utilities</v>
      </c>
      <c r="J111" t="str">
        <f>VLOOKUP(A111,Setores!$A$2:$C$215,3,0)</f>
        <v>low_beta</v>
      </c>
      <c r="K111" s="17">
        <v>0</v>
      </c>
      <c r="L111" s="2">
        <v>-1.7000000000000001E-2</v>
      </c>
      <c r="M111" s="5">
        <v>2.4749152128333298</v>
      </c>
      <c r="N111" s="41">
        <f>VLOOKUP(A111,'Mandato LP'!$A$2:$B$215,2,0)</f>
        <v>0</v>
      </c>
      <c r="O111" s="58">
        <f t="shared" si="13"/>
        <v>0</v>
      </c>
      <c r="P111" s="42">
        <f t="shared" si="14"/>
        <v>0</v>
      </c>
      <c r="Q111" s="41">
        <f>VLOOKUP(A111,'Mandato LP'!$A$2:$C$215,3,0)</f>
        <v>2.4802408635807901E-2</v>
      </c>
      <c r="R111" s="42">
        <f t="shared" si="15"/>
        <v>-2.4802408635807901E-2</v>
      </c>
      <c r="S111" s="15">
        <v>-0.89500000000000002</v>
      </c>
      <c r="T111" s="15">
        <v>-0.75800000000000001</v>
      </c>
      <c r="U111" s="15">
        <v>-0.98899999999999999</v>
      </c>
      <c r="V111" s="15">
        <v>-0.67300000000000004</v>
      </c>
      <c r="W111" s="15">
        <v>-0.81399999999999995</v>
      </c>
      <c r="X111" s="15">
        <v>-0.55000000000000004</v>
      </c>
      <c r="Y111" s="15">
        <v>-7.2999999999999995E-2</v>
      </c>
      <c r="Z111" s="15">
        <v>-7.5999999999999998E-2</v>
      </c>
      <c r="AA111" s="15">
        <v>0.63500000000000001</v>
      </c>
      <c r="AB111" s="15">
        <v>0.63600000000000001</v>
      </c>
      <c r="AC111" s="15">
        <v>0.755</v>
      </c>
      <c r="AD111" s="15">
        <v>0.65500000000000003</v>
      </c>
      <c r="AE111" s="15">
        <v>0.60099999999999998</v>
      </c>
      <c r="AF111" s="14">
        <v>-0.85399999999999998</v>
      </c>
      <c r="AG111" s="15">
        <v>-0.74299999999999999</v>
      </c>
      <c r="AH111" s="15">
        <v>0.25</v>
      </c>
      <c r="AI111" s="15">
        <v>-0.91500000000000004</v>
      </c>
      <c r="AJ111" s="15">
        <v>-0.218</v>
      </c>
      <c r="AK111" s="16">
        <v>-0.90300000000000002</v>
      </c>
      <c r="AL111" s="4">
        <v>-0.37</v>
      </c>
      <c r="AM111" s="4">
        <v>-0.03</v>
      </c>
      <c r="AN111" s="4">
        <v>-0.72099999999999997</v>
      </c>
      <c r="AO111" s="4">
        <v>-0.78</v>
      </c>
      <c r="AP111" s="4">
        <v>0.69299999999999995</v>
      </c>
      <c r="AQ111" s="4">
        <v>0.11799999999999999</v>
      </c>
      <c r="AR111" s="4">
        <v>7.5999999999999998E-2</v>
      </c>
      <c r="AS111" s="4">
        <v>5.0999999999999997E-2</v>
      </c>
      <c r="AT111" s="4">
        <v>-0.67600000000000005</v>
      </c>
      <c r="AU111" s="4">
        <v>0.21099999999999999</v>
      </c>
      <c r="AV111" s="4">
        <v>5.5E-2</v>
      </c>
      <c r="AW111" s="4">
        <v>-0.317</v>
      </c>
      <c r="AX111" s="4">
        <v>0.59099999999999997</v>
      </c>
      <c r="AY111" s="4">
        <v>-0.47699999999999998</v>
      </c>
      <c r="AZ111" s="4">
        <v>1</v>
      </c>
      <c r="BA111" s="4">
        <v>-8.1000000000000003E-2</v>
      </c>
      <c r="BB111" s="4">
        <v>-0.75700000000000001</v>
      </c>
      <c r="BC111" s="4">
        <v>-0.33800000000000002</v>
      </c>
      <c r="BD111" s="4">
        <v>-0.621</v>
      </c>
      <c r="BE111" s="4">
        <v>0.40400000000000003</v>
      </c>
      <c r="BF111" s="4">
        <v>-0.26900000000000002</v>
      </c>
      <c r="BG111" s="4">
        <v>0.3</v>
      </c>
      <c r="BH111" s="4">
        <v>0.85599999999999998</v>
      </c>
      <c r="BI111" s="4">
        <v>-1</v>
      </c>
      <c r="BJ111" s="4">
        <v>-0.28899999999999998</v>
      </c>
      <c r="BK111" s="4">
        <v>-0.39600000000000002</v>
      </c>
      <c r="BL111" s="4">
        <v>-0.111</v>
      </c>
      <c r="BM111" s="4"/>
      <c r="BN111" s="4"/>
    </row>
    <row r="112" spans="1:66" x14ac:dyDescent="0.3">
      <c r="A112" t="s">
        <v>83</v>
      </c>
      <c r="B112" s="53">
        <v>0</v>
      </c>
      <c r="C112" s="53">
        <f t="shared" si="10"/>
        <v>-8.9999999999999993E-3</v>
      </c>
      <c r="D112" s="53">
        <f t="shared" si="11"/>
        <v>0</v>
      </c>
      <c r="E112" s="53">
        <f t="shared" si="12"/>
        <v>8.9999999999999993E-3</v>
      </c>
      <c r="F112" s="15">
        <v>0.77900000000000003</v>
      </c>
      <c r="G112">
        <v>1.145</v>
      </c>
      <c r="H112" t="s">
        <v>53</v>
      </c>
      <c r="I112" t="str">
        <f>VLOOKUP(A112,Setores!$A$2:$C$215,2,0)</f>
        <v>consumer_staples</v>
      </c>
      <c r="J112" t="str">
        <f>VLOOKUP(A112,Setores!$A$2:$C$215,3,0)</f>
        <v>low_beta</v>
      </c>
      <c r="K112" s="17">
        <v>0</v>
      </c>
      <c r="L112" s="2">
        <v>-8.9999999999999993E-3</v>
      </c>
      <c r="M112" s="5">
        <v>0.83730000000000004</v>
      </c>
      <c r="N112" s="41">
        <f>VLOOKUP(A112,'Mandato LP'!$A$2:$B$215,2,0)</f>
        <v>0</v>
      </c>
      <c r="O112" s="58">
        <f t="shared" si="13"/>
        <v>0</v>
      </c>
      <c r="P112" s="42">
        <f t="shared" si="14"/>
        <v>0</v>
      </c>
      <c r="Q112" s="41">
        <f>VLOOKUP(A112,'Mandato LP'!$A$2:$C$215,3,0)</f>
        <v>1.2211113033477E-2</v>
      </c>
      <c r="R112" s="42">
        <f t="shared" si="15"/>
        <v>-1.2211113033477E-2</v>
      </c>
      <c r="S112" s="15">
        <v>-0.63200000000000001</v>
      </c>
      <c r="T112" s="15">
        <v>-0.69099999999999995</v>
      </c>
      <c r="U112" s="15">
        <v>-0.85299999999999998</v>
      </c>
      <c r="V112" s="15">
        <v>-0.14199999999999999</v>
      </c>
      <c r="W112" s="15">
        <v>-0.60499999999999998</v>
      </c>
      <c r="X112" s="15">
        <v>-0.57499999999999996</v>
      </c>
      <c r="Y112" s="15">
        <v>-0.38300000000000001</v>
      </c>
      <c r="Z112" s="15">
        <v>-0.157</v>
      </c>
      <c r="AA112" s="15">
        <v>0.28699999999999998</v>
      </c>
      <c r="AB112" s="15">
        <v>0.28699999999999998</v>
      </c>
      <c r="AC112" s="15">
        <v>0.69299999999999995</v>
      </c>
      <c r="AD112" s="15">
        <v>0.7</v>
      </c>
      <c r="AE112" s="15">
        <v>0.54900000000000004</v>
      </c>
      <c r="AF112" s="14">
        <v>0.26100000000000001</v>
      </c>
      <c r="AG112" s="15">
        <v>-0.61899999999999999</v>
      </c>
      <c r="AH112" s="15">
        <v>-0.42299999999999999</v>
      </c>
      <c r="AI112" s="15">
        <v>-1</v>
      </c>
      <c r="AJ112" s="15">
        <v>-0.93300000000000005</v>
      </c>
      <c r="AK112" s="16">
        <v>-0.64100000000000001</v>
      </c>
      <c r="AL112" s="4">
        <v>-0.28899999999999998</v>
      </c>
      <c r="AM112" s="4">
        <v>-0.19800000000000001</v>
      </c>
      <c r="AN112" s="4">
        <v>-0.94199999999999995</v>
      </c>
      <c r="AO112" s="4">
        <v>-0.16300000000000001</v>
      </c>
      <c r="AP112" s="4">
        <v>0.31900000000000001</v>
      </c>
      <c r="AQ112" s="4">
        <v>4.2999999999999997E-2</v>
      </c>
      <c r="AR112" s="4">
        <v>0.18099999999999999</v>
      </c>
      <c r="AS112" s="4">
        <v>0.29499999999999998</v>
      </c>
      <c r="AT112" s="4">
        <v>-3.6999999999999998E-2</v>
      </c>
      <c r="AU112" s="4">
        <v>0.435</v>
      </c>
      <c r="AV112" s="4">
        <v>0.09</v>
      </c>
      <c r="AW112" s="4">
        <v>0.90800000000000003</v>
      </c>
      <c r="AX112" s="4">
        <v>0.71399999999999997</v>
      </c>
      <c r="AY112" s="4">
        <v>0.53100000000000003</v>
      </c>
      <c r="AZ112" s="4">
        <v>0.65100000000000002</v>
      </c>
      <c r="BA112" s="4">
        <v>-0.55300000000000005</v>
      </c>
      <c r="BB112" s="4">
        <v>-0.26500000000000001</v>
      </c>
      <c r="BC112" s="4">
        <v>0.19</v>
      </c>
      <c r="BD112" s="4">
        <v>0.13900000000000001</v>
      </c>
      <c r="BE112" s="4">
        <v>0.51</v>
      </c>
      <c r="BF112" s="4">
        <v>-0.82299999999999995</v>
      </c>
      <c r="BG112" s="4">
        <v>-1</v>
      </c>
      <c r="BH112" s="4">
        <v>-0.54100000000000004</v>
      </c>
      <c r="BI112" s="4">
        <v>-0.21299999999999999</v>
      </c>
      <c r="BJ112" s="4">
        <v>-0.21099999999999999</v>
      </c>
      <c r="BK112" s="4">
        <v>-0.11899999999999999</v>
      </c>
      <c r="BL112" s="4">
        <v>-1</v>
      </c>
      <c r="BM112" s="4"/>
      <c r="BN112" s="4"/>
    </row>
    <row r="113" spans="1:66" x14ac:dyDescent="0.3">
      <c r="A113" t="s">
        <v>147</v>
      </c>
      <c r="B113" s="53">
        <v>0</v>
      </c>
      <c r="C113" s="53">
        <f t="shared" si="10"/>
        <v>-2E-3</v>
      </c>
      <c r="D113" s="53">
        <f t="shared" si="11"/>
        <v>0</v>
      </c>
      <c r="E113" s="53">
        <f t="shared" si="12"/>
        <v>2E-3</v>
      </c>
      <c r="F113" s="15">
        <v>0.76900000000000002</v>
      </c>
      <c r="G113">
        <v>0.76800000000000002</v>
      </c>
      <c r="H113" t="s">
        <v>57</v>
      </c>
      <c r="I113" t="str">
        <f>VLOOKUP(A113,Setores!$A$2:$C$215,2,0)</f>
        <v>apparel</v>
      </c>
      <c r="J113" t="str">
        <f>VLOOKUP(A113,Setores!$A$2:$C$215,3,0)</f>
        <v>neutral_beta</v>
      </c>
      <c r="K113" s="17">
        <v>0</v>
      </c>
      <c r="L113" s="2">
        <v>-2E-3</v>
      </c>
      <c r="M113" s="5">
        <v>0.78340575868266704</v>
      </c>
      <c r="N113" s="41">
        <f>VLOOKUP(A113,'Mandato LP'!$A$2:$B$215,2,0)</f>
        <v>0</v>
      </c>
      <c r="O113" s="58">
        <f t="shared" si="13"/>
        <v>0</v>
      </c>
      <c r="P113" s="42">
        <f t="shared" si="14"/>
        <v>0</v>
      </c>
      <c r="Q113" s="41">
        <f>VLOOKUP(A113,'Mandato LP'!$A$2:$C$215,3,0)</f>
        <v>0</v>
      </c>
      <c r="R113" s="42">
        <f t="shared" si="15"/>
        <v>0</v>
      </c>
      <c r="S113" s="15">
        <v>-0.30099999999999999</v>
      </c>
      <c r="T113" s="15">
        <v>-0.60699999999999998</v>
      </c>
      <c r="U113" s="15">
        <v>-0.65500000000000003</v>
      </c>
      <c r="V113" s="15">
        <v>-9.5000000000000001E-2</v>
      </c>
      <c r="W113" s="15">
        <v>-0.496</v>
      </c>
      <c r="X113" s="15">
        <v>-0.27400000000000002</v>
      </c>
      <c r="Y113" s="15">
        <v>-0.24399999999999999</v>
      </c>
      <c r="Z113" s="15">
        <v>-0.45300000000000001</v>
      </c>
      <c r="AA113" s="15">
        <v>3.5000000000000003E-2</v>
      </c>
      <c r="AB113" s="15">
        <v>3.3000000000000002E-2</v>
      </c>
      <c r="AC113" s="15">
        <v>0.64300000000000002</v>
      </c>
      <c r="AD113" s="15">
        <v>0.60199999999999998</v>
      </c>
      <c r="AE113" s="15">
        <v>0.497</v>
      </c>
      <c r="AF113" s="14">
        <v>0.67600000000000005</v>
      </c>
      <c r="AG113" s="15">
        <v>-8.2000000000000003E-2</v>
      </c>
      <c r="AH113" s="15">
        <v>-0.72399999999999998</v>
      </c>
      <c r="AI113" s="15">
        <v>-0.76500000000000001</v>
      </c>
      <c r="AJ113" s="15">
        <v>-0.83</v>
      </c>
      <c r="AK113" s="16">
        <v>-0.121</v>
      </c>
      <c r="AL113" s="4">
        <v>0.10100000000000001</v>
      </c>
      <c r="AM113" s="4">
        <v>-0.222</v>
      </c>
      <c r="AN113" s="4">
        <v>-0.56899999999999995</v>
      </c>
      <c r="AO113" s="4">
        <v>0.54800000000000004</v>
      </c>
      <c r="AP113" s="4">
        <v>-0.32700000000000001</v>
      </c>
      <c r="AQ113" s="4">
        <v>7.1999999999999995E-2</v>
      </c>
      <c r="AR113" s="4">
        <v>0.219</v>
      </c>
      <c r="AS113" s="4">
        <v>0.34200000000000003</v>
      </c>
      <c r="AT113" s="4">
        <v>0.104</v>
      </c>
      <c r="AU113" s="4">
        <v>0.34100000000000003</v>
      </c>
      <c r="AV113" s="4">
        <v>-2.8000000000000001E-2</v>
      </c>
      <c r="AW113" s="4">
        <v>0.90800000000000003</v>
      </c>
      <c r="AX113" s="4">
        <v>-0.217</v>
      </c>
      <c r="AY113" s="4">
        <v>0.46500000000000002</v>
      </c>
      <c r="AZ113" s="4">
        <v>0.88100000000000001</v>
      </c>
      <c r="BA113" s="4">
        <v>6.2E-2</v>
      </c>
      <c r="BB113" s="4">
        <v>1.7000000000000001E-2</v>
      </c>
      <c r="BC113" s="4">
        <v>0.127</v>
      </c>
      <c r="BD113" s="4">
        <v>0.12</v>
      </c>
      <c r="BE113" s="4">
        <v>0.40799999999999997</v>
      </c>
      <c r="BF113" s="4">
        <v>-6.8000000000000005E-2</v>
      </c>
      <c r="BG113" s="4">
        <v>-0.24</v>
      </c>
      <c r="BH113" s="4">
        <v>8.5999999999999993E-2</v>
      </c>
      <c r="BI113" s="4">
        <v>0.04</v>
      </c>
      <c r="BJ113" s="4">
        <v>-9.9000000000000005E-2</v>
      </c>
      <c r="BK113" s="4">
        <v>-0.94799999999999995</v>
      </c>
      <c r="BL113" s="4">
        <v>-0.56699999999999995</v>
      </c>
      <c r="BM113" s="4"/>
      <c r="BN113" s="4"/>
    </row>
    <row r="114" spans="1:66" x14ac:dyDescent="0.3">
      <c r="A114" t="s">
        <v>186</v>
      </c>
      <c r="B114" s="53">
        <v>0</v>
      </c>
      <c r="C114" s="53">
        <f t="shared" si="10"/>
        <v>-4.0000000000000001E-3</v>
      </c>
      <c r="D114" s="53">
        <f t="shared" si="11"/>
        <v>0</v>
      </c>
      <c r="E114" s="53">
        <f t="shared" si="12"/>
        <v>4.0000000000000001E-3</v>
      </c>
      <c r="F114" s="15">
        <v>0.749</v>
      </c>
      <c r="G114">
        <v>0.95599999999999996</v>
      </c>
      <c r="H114" t="s">
        <v>71</v>
      </c>
      <c r="I114" t="str">
        <f>VLOOKUP(A114,Setores!$A$2:$C$215,2,0)</f>
        <v>basic_materials</v>
      </c>
      <c r="J114" t="str">
        <f>VLOOKUP(A114,Setores!$A$2:$C$215,3,0)</f>
        <v>low_beta</v>
      </c>
      <c r="K114" s="17">
        <v>0</v>
      </c>
      <c r="L114" s="2">
        <v>-4.0000000000000001E-3</v>
      </c>
      <c r="M114" s="5">
        <v>0.8111111111</v>
      </c>
      <c r="N114" s="41">
        <f>VLOOKUP(A114,'Mandato LP'!$A$2:$B$215,2,0)</f>
        <v>0</v>
      </c>
      <c r="O114" s="58">
        <f t="shared" si="13"/>
        <v>0</v>
      </c>
      <c r="P114" s="42">
        <f t="shared" si="14"/>
        <v>0</v>
      </c>
      <c r="Q114" s="41">
        <f>VLOOKUP(A114,'Mandato LP'!$A$2:$C$215,3,0)</f>
        <v>0</v>
      </c>
      <c r="R114" s="42">
        <f t="shared" si="15"/>
        <v>0</v>
      </c>
      <c r="S114" s="15">
        <v>-0.754</v>
      </c>
      <c r="T114" s="15">
        <v>-0.32100000000000001</v>
      </c>
      <c r="U114" s="15">
        <v>-0.94199999999999995</v>
      </c>
      <c r="V114" s="15">
        <v>-0.63900000000000001</v>
      </c>
      <c r="W114" s="15">
        <v>-0.71899999999999997</v>
      </c>
      <c r="X114" s="15">
        <v>-0.55000000000000004</v>
      </c>
      <c r="Y114" s="15">
        <v>-0.61899999999999999</v>
      </c>
      <c r="Z114" s="15">
        <v>-0.29399999999999998</v>
      </c>
      <c r="AA114" s="15">
        <v>0.51200000000000001</v>
      </c>
      <c r="AB114" s="15">
        <v>0.51200000000000001</v>
      </c>
      <c r="AC114" s="15">
        <v>0.628</v>
      </c>
      <c r="AD114" s="15">
        <v>0.78200000000000003</v>
      </c>
      <c r="AE114" s="15">
        <v>0.745</v>
      </c>
      <c r="AF114" s="14">
        <v>-0.65500000000000003</v>
      </c>
      <c r="AG114" s="15">
        <v>-0.89300000000000002</v>
      </c>
      <c r="AH114" s="15">
        <v>0.44800000000000001</v>
      </c>
      <c r="AI114" s="15">
        <v>-0.93600000000000005</v>
      </c>
      <c r="AJ114" s="15">
        <v>-0.57499999999999996</v>
      </c>
      <c r="AK114" s="16">
        <v>-0.96</v>
      </c>
      <c r="AL114" s="4">
        <v>-0.15</v>
      </c>
      <c r="AM114" s="4">
        <v>-0.437</v>
      </c>
      <c r="AN114" s="4">
        <v>-0.26</v>
      </c>
      <c r="AO114" s="4">
        <v>-0.64400000000000002</v>
      </c>
      <c r="AP114" s="4">
        <v>0.52900000000000003</v>
      </c>
      <c r="AQ114" s="4">
        <v>0.41599999999999998</v>
      </c>
      <c r="AR114" s="4">
        <v>-0.86699999999999999</v>
      </c>
      <c r="AS114" s="4">
        <v>0.47899999999999998</v>
      </c>
      <c r="AT114" s="4">
        <v>0.40300000000000002</v>
      </c>
      <c r="AU114" s="4">
        <v>9.7000000000000003E-2</v>
      </c>
      <c r="AV114" s="4">
        <v>-0.53400000000000003</v>
      </c>
      <c r="AW114" s="4">
        <v>-0.15</v>
      </c>
      <c r="AX114" s="4">
        <v>0.46200000000000002</v>
      </c>
      <c r="AY114" s="4">
        <v>-6.2E-2</v>
      </c>
      <c r="AZ114" s="4">
        <v>0.81399999999999995</v>
      </c>
      <c r="BA114" s="4">
        <v>-0.376</v>
      </c>
      <c r="BB114" s="4">
        <v>0.56799999999999995</v>
      </c>
      <c r="BC114" s="4">
        <v>0.19400000000000001</v>
      </c>
      <c r="BD114" s="4">
        <v>7.2999999999999995E-2</v>
      </c>
      <c r="BE114" s="4">
        <v>0.64600000000000002</v>
      </c>
      <c r="BF114" s="4">
        <v>-1</v>
      </c>
      <c r="BG114" s="4">
        <v>-0.83399999999999996</v>
      </c>
      <c r="BH114" s="4">
        <v>0.34399999999999997</v>
      </c>
      <c r="BI114" s="4">
        <v>-0.25700000000000001</v>
      </c>
      <c r="BJ114" s="4">
        <v>-0.504</v>
      </c>
      <c r="BK114" s="4">
        <v>-0.28100000000000003</v>
      </c>
      <c r="BL114" s="4">
        <v>-0.57899999999999996</v>
      </c>
      <c r="BM114" s="4"/>
      <c r="BN114" s="4"/>
    </row>
    <row r="115" spans="1:66" x14ac:dyDescent="0.3">
      <c r="A115" t="s">
        <v>155</v>
      </c>
      <c r="B115" s="53">
        <v>0</v>
      </c>
      <c r="C115" s="53">
        <f t="shared" si="10"/>
        <v>0</v>
      </c>
      <c r="D115" s="53">
        <f t="shared" si="11"/>
        <v>0</v>
      </c>
      <c r="E115" s="53">
        <f t="shared" si="12"/>
        <v>0</v>
      </c>
      <c r="F115" s="15">
        <v>0.74199999999999999</v>
      </c>
      <c r="G115">
        <v>0.54100000000000004</v>
      </c>
      <c r="H115" t="s">
        <v>55</v>
      </c>
      <c r="I115" t="str">
        <f>VLOOKUP(A115,Setores!$A$2:$C$215,2,0)</f>
        <v>utilities</v>
      </c>
      <c r="J115" t="str">
        <f>VLOOKUP(A115,Setores!$A$2:$C$215,3,0)</f>
        <v>low_beta</v>
      </c>
      <c r="K115" s="17">
        <v>0</v>
      </c>
      <c r="L115" s="2">
        <v>0</v>
      </c>
      <c r="M115" s="5">
        <v>0</v>
      </c>
      <c r="N115" s="41">
        <f>VLOOKUP(A115,'Mandato LP'!$A$2:$B$215,2,0)</f>
        <v>0</v>
      </c>
      <c r="O115" s="58">
        <f t="shared" si="13"/>
        <v>0</v>
      </c>
      <c r="P115" s="42">
        <f t="shared" si="14"/>
        <v>0</v>
      </c>
      <c r="Q115" s="41">
        <f>VLOOKUP(A115,'Mandato LP'!$A$2:$C$215,3,0)</f>
        <v>0</v>
      </c>
      <c r="R115" s="42">
        <f t="shared" si="15"/>
        <v>0</v>
      </c>
      <c r="S115" s="15">
        <v>-0.28199999999999997</v>
      </c>
      <c r="T115" s="15">
        <v>-0.125</v>
      </c>
      <c r="U115" s="15">
        <v>-0.10299999999999999</v>
      </c>
      <c r="V115" s="15">
        <v>-0.52700000000000002</v>
      </c>
      <c r="W115" s="15">
        <v>-0.28799999999999998</v>
      </c>
      <c r="X115" s="15">
        <v>-0.55400000000000005</v>
      </c>
      <c r="Y115" s="15">
        <v>-0.66900000000000004</v>
      </c>
      <c r="Z115" s="15">
        <v>-0.86599999999999999</v>
      </c>
      <c r="AA115" s="15">
        <v>0.59899999999999998</v>
      </c>
      <c r="AB115" s="15">
        <v>0.59599999999999997</v>
      </c>
      <c r="AC115" s="15">
        <v>0.47099999999999997</v>
      </c>
      <c r="AD115" s="15">
        <v>0.68</v>
      </c>
      <c r="AE115" s="15">
        <v>0.65</v>
      </c>
      <c r="AF115" s="14">
        <v>-0.46100000000000002</v>
      </c>
      <c r="AG115" s="15">
        <v>0.72299999999999998</v>
      </c>
      <c r="AH115" s="15">
        <v>-0.22900000000000001</v>
      </c>
      <c r="AI115" s="15">
        <v>0.65300000000000002</v>
      </c>
      <c r="AJ115" s="15">
        <v>-0.18099999999999999</v>
      </c>
      <c r="AK115" s="16">
        <v>-0.59</v>
      </c>
      <c r="AL115" s="4">
        <v>0.31900000000000001</v>
      </c>
      <c r="AM115" s="4">
        <v>-1</v>
      </c>
      <c r="AN115" s="4">
        <v>0.92800000000000005</v>
      </c>
      <c r="AO115" s="4">
        <v>-0.32700000000000001</v>
      </c>
      <c r="AP115" s="4">
        <v>-0.58399999999999996</v>
      </c>
      <c r="AQ115" s="4">
        <v>0.16500000000000001</v>
      </c>
      <c r="AR115" s="4">
        <v>0.13700000000000001</v>
      </c>
      <c r="AS115" s="4">
        <v>1</v>
      </c>
      <c r="AT115" s="4">
        <v>0.44400000000000001</v>
      </c>
      <c r="AU115" s="4">
        <v>0.38700000000000001</v>
      </c>
      <c r="AV115" s="4">
        <v>-0.48799999999999999</v>
      </c>
      <c r="AW115" s="4">
        <v>-0.63700000000000001</v>
      </c>
      <c r="AX115" s="4">
        <v>-0.28699999999999998</v>
      </c>
      <c r="AY115" s="4">
        <v>-0.83799999999999997</v>
      </c>
      <c r="AZ115" s="4">
        <v>-0.126</v>
      </c>
      <c r="BA115" s="4">
        <v>0.16600000000000001</v>
      </c>
      <c r="BB115" s="4">
        <v>3.3000000000000002E-2</v>
      </c>
      <c r="BC115" s="4">
        <v>-0.376</v>
      </c>
      <c r="BD115" s="4">
        <v>-0.60399999999999998</v>
      </c>
      <c r="BE115" s="4">
        <v>0.24099999999999999</v>
      </c>
      <c r="BF115" s="4">
        <v>0.999</v>
      </c>
      <c r="BG115" s="4">
        <v>0.26800000000000002</v>
      </c>
      <c r="BH115" s="4">
        <v>0.436</v>
      </c>
      <c r="BI115" s="4">
        <v>6.6000000000000003E-2</v>
      </c>
      <c r="BJ115" s="4">
        <v>-0.29099999999999998</v>
      </c>
      <c r="BK115" s="4">
        <v>0.52500000000000002</v>
      </c>
      <c r="BL115" s="4">
        <v>0.80900000000000005</v>
      </c>
      <c r="BM115" s="4"/>
      <c r="BN115" s="4"/>
    </row>
    <row r="116" spans="1:66" x14ac:dyDescent="0.3">
      <c r="A116" t="s">
        <v>98</v>
      </c>
      <c r="B116" s="53">
        <v>0</v>
      </c>
      <c r="C116" s="53">
        <f t="shared" si="10"/>
        <v>-5.0000000000000001E-3</v>
      </c>
      <c r="D116" s="53">
        <f t="shared" si="11"/>
        <v>0</v>
      </c>
      <c r="E116" s="53">
        <f t="shared" si="12"/>
        <v>5.0000000000000001E-3</v>
      </c>
      <c r="F116" s="15">
        <v>0.72399999999999998</v>
      </c>
      <c r="G116">
        <v>0.76700000000000002</v>
      </c>
      <c r="H116" t="s">
        <v>68</v>
      </c>
      <c r="I116" t="str">
        <f>VLOOKUP(A116,Setores!$A$2:$C$215,2,0)</f>
        <v>chemicals</v>
      </c>
      <c r="J116" t="str">
        <f>VLOOKUP(A116,Setores!$A$2:$C$215,3,0)</f>
        <v>low_beta</v>
      </c>
      <c r="K116" s="17">
        <v>0</v>
      </c>
      <c r="L116" s="2">
        <v>-5.0000000000000001E-3</v>
      </c>
      <c r="M116" s="5">
        <v>5.9948431111833296</v>
      </c>
      <c r="N116" s="41">
        <f>VLOOKUP(A116,'Mandato LP'!$A$2:$B$215,2,0)</f>
        <v>0</v>
      </c>
      <c r="O116" s="58">
        <f t="shared" si="13"/>
        <v>0</v>
      </c>
      <c r="P116" s="42">
        <f t="shared" si="14"/>
        <v>0</v>
      </c>
      <c r="Q116" s="41">
        <f>VLOOKUP(A116,'Mandato LP'!$A$2:$C$215,3,0)</f>
        <v>0</v>
      </c>
      <c r="R116" s="42">
        <f t="shared" si="15"/>
        <v>0</v>
      </c>
      <c r="S116" s="15">
        <v>-0.86199999999999999</v>
      </c>
      <c r="T116" s="15">
        <v>-0.79500000000000004</v>
      </c>
      <c r="U116" s="15">
        <v>-0.83399999999999996</v>
      </c>
      <c r="V116" s="15">
        <v>-0.76800000000000002</v>
      </c>
      <c r="W116" s="15">
        <v>-0.78600000000000003</v>
      </c>
      <c r="X116" s="15">
        <v>-0.63500000000000001</v>
      </c>
      <c r="Y116" s="15">
        <v>-0.378</v>
      </c>
      <c r="Z116" s="15">
        <v>-0.09</v>
      </c>
      <c r="AA116" s="15">
        <v>0.58799999999999997</v>
      </c>
      <c r="AB116" s="15">
        <v>0.58199999999999996</v>
      </c>
      <c r="AC116" s="15">
        <v>0.60499999999999998</v>
      </c>
      <c r="AD116" s="15">
        <v>0.54600000000000004</v>
      </c>
      <c r="AE116" s="15">
        <v>0.57299999999999995</v>
      </c>
      <c r="AF116" s="14">
        <v>-0.66700000000000004</v>
      </c>
      <c r="AG116" s="15">
        <v>-0.88400000000000001</v>
      </c>
      <c r="AH116" s="15">
        <v>-0.54700000000000004</v>
      </c>
      <c r="AI116" s="15">
        <v>-0.50700000000000001</v>
      </c>
      <c r="AJ116" s="15">
        <v>-0.32700000000000001</v>
      </c>
      <c r="AK116" s="16">
        <v>-0.872</v>
      </c>
      <c r="AL116" s="4">
        <v>-6.6000000000000003E-2</v>
      </c>
      <c r="AM116" s="4">
        <v>0.68200000000000005</v>
      </c>
      <c r="AN116" s="4">
        <v>-0.60799999999999998</v>
      </c>
      <c r="AO116" s="4">
        <v>-0.23799999999999999</v>
      </c>
      <c r="AP116" s="4">
        <v>0.191</v>
      </c>
      <c r="AQ116" s="4">
        <v>-5.0000000000000001E-3</v>
      </c>
      <c r="AR116" s="4">
        <v>-0.73599999999999999</v>
      </c>
      <c r="AS116" s="4">
        <v>-0.48699999999999999</v>
      </c>
      <c r="AT116" s="4">
        <v>-0.36799999999999999</v>
      </c>
      <c r="AU116" s="4">
        <v>0.17</v>
      </c>
      <c r="AV116" s="4">
        <v>-0.23100000000000001</v>
      </c>
      <c r="AW116" s="4">
        <v>-0.51</v>
      </c>
      <c r="AX116" s="4">
        <v>0.47899999999999998</v>
      </c>
      <c r="AY116" s="4">
        <v>-0.186</v>
      </c>
      <c r="AZ116" s="4">
        <v>0.64600000000000002</v>
      </c>
      <c r="BA116" s="4">
        <v>0.70399999999999996</v>
      </c>
      <c r="BB116" s="4">
        <v>-1</v>
      </c>
      <c r="BC116" s="4">
        <v>3.9E-2</v>
      </c>
      <c r="BD116" s="4">
        <v>-0.36399999999999999</v>
      </c>
      <c r="BE116" s="4">
        <v>0.14899999999999999</v>
      </c>
      <c r="BF116" s="4">
        <v>-0.64300000000000002</v>
      </c>
      <c r="BG116" s="4">
        <v>-1.4E-2</v>
      </c>
      <c r="BH116" s="4">
        <v>0.53300000000000003</v>
      </c>
      <c r="BI116" s="4">
        <v>-0.35499999999999998</v>
      </c>
      <c r="BJ116" s="4">
        <v>-0.32800000000000001</v>
      </c>
      <c r="BK116" s="4">
        <v>0.36099999999999999</v>
      </c>
      <c r="BL116" s="4">
        <v>2.5000000000000001E-2</v>
      </c>
      <c r="BM116" s="4"/>
      <c r="BN116" s="4"/>
    </row>
    <row r="117" spans="1:66" x14ac:dyDescent="0.3">
      <c r="A117" t="s">
        <v>226</v>
      </c>
      <c r="B117" s="53">
        <v>0</v>
      </c>
      <c r="C117" s="53">
        <f t="shared" si="10"/>
        <v>-7.0000000000000001E-3</v>
      </c>
      <c r="D117" s="53">
        <f t="shared" si="11"/>
        <v>0</v>
      </c>
      <c r="E117" s="53">
        <f t="shared" si="12"/>
        <v>7.0000000000000001E-3</v>
      </c>
      <c r="F117" s="15">
        <v>0.71499999999999997</v>
      </c>
      <c r="G117">
        <v>0.84399999999999997</v>
      </c>
      <c r="H117" t="s">
        <v>55</v>
      </c>
      <c r="I117" t="str">
        <f>VLOOKUP(A117,Setores!$A$2:$C$215,2,0)</f>
        <v>utilities</v>
      </c>
      <c r="J117" t="str">
        <f>VLOOKUP(A117,Setores!$A$2:$C$215,3,0)</f>
        <v>high_beta</v>
      </c>
      <c r="K117" s="17">
        <v>0</v>
      </c>
      <c r="L117" s="2">
        <v>-7.0000000000000001E-3</v>
      </c>
      <c r="M117" s="5">
        <v>0</v>
      </c>
      <c r="N117" s="41">
        <f>VLOOKUP(A117,'Mandato LP'!$A$2:$B$215,2,0)</f>
        <v>0</v>
      </c>
      <c r="O117" s="58">
        <f t="shared" si="13"/>
        <v>0</v>
      </c>
      <c r="P117" s="42">
        <f t="shared" si="14"/>
        <v>0</v>
      </c>
      <c r="Q117" s="41">
        <f>VLOOKUP(A117,'Mandato LP'!$A$2:$C$215,3,0)</f>
        <v>0</v>
      </c>
      <c r="R117" s="42">
        <f t="shared" si="15"/>
        <v>0</v>
      </c>
      <c r="S117" s="15">
        <v>-0.58399999999999996</v>
      </c>
      <c r="T117" s="15">
        <v>-0.46899999999999997</v>
      </c>
      <c r="U117" s="15">
        <v>-0.93100000000000005</v>
      </c>
      <c r="V117" s="15">
        <v>-0.53400000000000003</v>
      </c>
      <c r="W117" s="15">
        <v>-0.79</v>
      </c>
      <c r="X117" s="15">
        <v>-0.2</v>
      </c>
      <c r="Y117" s="15">
        <v>-9.6000000000000002E-2</v>
      </c>
      <c r="Z117" s="15">
        <v>-0.498</v>
      </c>
      <c r="AA117" s="15">
        <v>0.11</v>
      </c>
      <c r="AB117" s="15">
        <v>0.111</v>
      </c>
      <c r="AC117" s="15">
        <v>0.67500000000000004</v>
      </c>
      <c r="AD117" s="15">
        <v>0.67400000000000004</v>
      </c>
      <c r="AE117" s="15">
        <v>0.63400000000000001</v>
      </c>
      <c r="AF117" s="14">
        <v>-0.56999999999999995</v>
      </c>
      <c r="AG117" s="15">
        <v>-0.65900000000000003</v>
      </c>
      <c r="AH117" s="15">
        <v>5.1999999999999998E-2</v>
      </c>
      <c r="AI117" s="15">
        <v>-0.996</v>
      </c>
      <c r="AJ117" s="15">
        <v>-0.43099999999999999</v>
      </c>
      <c r="AK117" s="16">
        <v>-0.85099999999999998</v>
      </c>
      <c r="AL117" s="4">
        <v>-0.36</v>
      </c>
      <c r="AM117" s="4">
        <v>-1</v>
      </c>
      <c r="AN117" s="4">
        <v>-0.72099999999999997</v>
      </c>
      <c r="AO117" s="4">
        <v>-0.20399999999999999</v>
      </c>
      <c r="AP117" s="4">
        <v>0.52100000000000002</v>
      </c>
      <c r="AQ117" s="4">
        <v>1</v>
      </c>
      <c r="AR117" s="4">
        <v>0.38600000000000001</v>
      </c>
      <c r="AS117" s="4">
        <v>-0.315</v>
      </c>
      <c r="AT117" s="4">
        <v>-1.0999999999999999E-2</v>
      </c>
      <c r="AU117" s="4">
        <v>-0.1</v>
      </c>
      <c r="AV117" s="4">
        <v>-0.153</v>
      </c>
      <c r="AW117" s="4">
        <v>0.23300000000000001</v>
      </c>
      <c r="AX117" s="4">
        <v>0.26300000000000001</v>
      </c>
      <c r="AY117" s="4">
        <v>-0.33600000000000002</v>
      </c>
      <c r="AZ117" s="4">
        <v>0.69699999999999995</v>
      </c>
      <c r="BA117" s="4">
        <v>1</v>
      </c>
      <c r="BB117" s="4">
        <v>0.78400000000000003</v>
      </c>
      <c r="BC117" s="4">
        <v>-0.11799999999999999</v>
      </c>
      <c r="BD117" s="4">
        <v>-0.47599999999999998</v>
      </c>
      <c r="BE117" s="4">
        <v>0.72599999999999998</v>
      </c>
      <c r="BF117" s="4">
        <v>-0.441</v>
      </c>
      <c r="BG117" s="4">
        <v>0.32600000000000001</v>
      </c>
      <c r="BH117" s="4">
        <v>0.871</v>
      </c>
      <c r="BI117" s="4">
        <v>-0.56999999999999995</v>
      </c>
      <c r="BJ117" s="4">
        <v>5.8999999999999997E-2</v>
      </c>
      <c r="BK117" s="4">
        <v>-0.46800000000000003</v>
      </c>
      <c r="BL117" s="4">
        <v>-0.49</v>
      </c>
      <c r="BM117" s="4"/>
      <c r="BN117" s="4"/>
    </row>
    <row r="118" spans="1:66" x14ac:dyDescent="0.3">
      <c r="A118" t="s">
        <v>134</v>
      </c>
      <c r="B118" s="53">
        <v>0</v>
      </c>
      <c r="C118" s="53">
        <f t="shared" si="10"/>
        <v>-3.7999999999999999E-2</v>
      </c>
      <c r="D118" s="53">
        <f t="shared" si="11"/>
        <v>0</v>
      </c>
      <c r="E118" s="53">
        <f t="shared" si="12"/>
        <v>3.7999999999999999E-2</v>
      </c>
      <c r="F118" s="15">
        <v>0.70799999999999996</v>
      </c>
      <c r="G118">
        <v>1.613</v>
      </c>
      <c r="H118" t="s">
        <v>57</v>
      </c>
      <c r="I118" t="str">
        <f>VLOOKUP(A118,Setores!$A$2:$C$215,2,0)</f>
        <v>banks</v>
      </c>
      <c r="J118" t="str">
        <f>VLOOKUP(A118,Setores!$A$2:$C$215,3,0)</f>
        <v>neutral_beta</v>
      </c>
      <c r="K118" s="17">
        <v>0</v>
      </c>
      <c r="L118" s="2">
        <v>-3.7999999999999999E-2</v>
      </c>
      <c r="M118" s="5">
        <v>1.3204287593333299</v>
      </c>
      <c r="N118" s="41">
        <f>VLOOKUP(A118,'Mandato LP'!$A$2:$B$215,2,0)</f>
        <v>0</v>
      </c>
      <c r="O118" s="58">
        <f t="shared" si="13"/>
        <v>0</v>
      </c>
      <c r="P118" s="42">
        <f t="shared" si="14"/>
        <v>0</v>
      </c>
      <c r="Q118" s="41">
        <f>VLOOKUP(A118,'Mandato LP'!$A$2:$C$215,3,0)</f>
        <v>0</v>
      </c>
      <c r="R118" s="42">
        <f t="shared" si="15"/>
        <v>0</v>
      </c>
      <c r="S118" s="15">
        <v>-0.746</v>
      </c>
      <c r="T118" s="15">
        <v>-0.71599999999999997</v>
      </c>
      <c r="U118" s="15">
        <v>-0.9</v>
      </c>
      <c r="V118" s="15">
        <v>-0.65700000000000003</v>
      </c>
      <c r="W118" s="15">
        <v>-0.79200000000000004</v>
      </c>
      <c r="X118" s="15">
        <v>-0.40400000000000003</v>
      </c>
      <c r="Y118" s="15">
        <v>-9.5000000000000001E-2</v>
      </c>
      <c r="Z118" s="15">
        <v>-0.44800000000000001</v>
      </c>
      <c r="AA118" s="15">
        <v>0.45300000000000001</v>
      </c>
      <c r="AB118" s="15">
        <v>0.45200000000000001</v>
      </c>
      <c r="AC118" s="15">
        <v>0.74199999999999999</v>
      </c>
      <c r="AD118" s="15">
        <v>0.81200000000000006</v>
      </c>
      <c r="AE118" s="15">
        <v>0.59499999999999997</v>
      </c>
      <c r="AF118" s="14">
        <v>-0.63900000000000001</v>
      </c>
      <c r="AG118" s="15">
        <v>-0.26500000000000001</v>
      </c>
      <c r="AH118" s="15">
        <v>-0.189</v>
      </c>
      <c r="AI118" s="15">
        <v>-0.91500000000000004</v>
      </c>
      <c r="AJ118" s="15">
        <v>-0.93799999999999994</v>
      </c>
      <c r="AK118" s="16">
        <v>-1</v>
      </c>
      <c r="AL118" s="4">
        <v>-0.219</v>
      </c>
      <c r="AM118" s="4">
        <v>0.13700000000000001</v>
      </c>
      <c r="AN118" s="4">
        <v>-3.3000000000000002E-2</v>
      </c>
      <c r="AO118" s="4">
        <v>0.10299999999999999</v>
      </c>
      <c r="AP118" s="4">
        <v>-0.19800000000000001</v>
      </c>
      <c r="AQ118" s="4">
        <v>-0.18099999999999999</v>
      </c>
      <c r="AR118" s="4">
        <v>-1E-3</v>
      </c>
      <c r="AS118" s="4">
        <v>0.13500000000000001</v>
      </c>
      <c r="AT118" s="4">
        <v>0.41699999999999998</v>
      </c>
      <c r="AU118" s="4">
        <v>-0.16400000000000001</v>
      </c>
      <c r="AV118" s="4">
        <v>-0.254</v>
      </c>
      <c r="AW118" s="4">
        <v>-0.41799999999999998</v>
      </c>
      <c r="AX118" s="4">
        <v>0.30299999999999999</v>
      </c>
      <c r="AY118" s="4">
        <v>-0.36199999999999999</v>
      </c>
      <c r="AZ118" s="4">
        <v>7.6999999999999999E-2</v>
      </c>
      <c r="BA118" s="4">
        <v>0.10299999999999999</v>
      </c>
      <c r="BB118" s="4">
        <v>0.11799999999999999</v>
      </c>
      <c r="BC118" s="4">
        <v>-0.17</v>
      </c>
      <c r="BD118" s="4">
        <v>-0.157</v>
      </c>
      <c r="BE118" s="4">
        <v>0.4</v>
      </c>
      <c r="BF118" s="4">
        <v>1.4999999999999999E-2</v>
      </c>
      <c r="BG118" s="4">
        <v>0.193</v>
      </c>
      <c r="BH118" s="4">
        <v>0.89600000000000002</v>
      </c>
      <c r="BI118" s="4">
        <v>-0.36499999999999999</v>
      </c>
      <c r="BJ118" s="4">
        <v>-4.1000000000000002E-2</v>
      </c>
      <c r="BK118" s="4">
        <v>-0.23799999999999999</v>
      </c>
      <c r="BL118" s="4">
        <v>-0.76500000000000001</v>
      </c>
      <c r="BM118" s="4"/>
      <c r="BN118" s="4"/>
    </row>
    <row r="119" spans="1:66" x14ac:dyDescent="0.3">
      <c r="A119" t="s">
        <v>114</v>
      </c>
      <c r="B119" s="53">
        <v>0</v>
      </c>
      <c r="C119" s="53">
        <f t="shared" si="10"/>
        <v>0</v>
      </c>
      <c r="D119" s="53">
        <f t="shared" si="11"/>
        <v>0</v>
      </c>
      <c r="E119" s="53">
        <f t="shared" si="12"/>
        <v>0</v>
      </c>
      <c r="F119" s="15">
        <v>0.69899999999999995</v>
      </c>
      <c r="G119">
        <v>0.93300000000000005</v>
      </c>
      <c r="H119" t="s">
        <v>55</v>
      </c>
      <c r="I119" t="str">
        <f>VLOOKUP(A119,Setores!$A$2:$C$215,2,0)</f>
        <v>utilities</v>
      </c>
      <c r="J119" t="str">
        <f>VLOOKUP(A119,Setores!$A$2:$C$215,3,0)</f>
        <v>low_beta</v>
      </c>
      <c r="K119" s="17">
        <v>0</v>
      </c>
      <c r="L119" s="2">
        <v>0</v>
      </c>
      <c r="M119" s="5">
        <v>1.0357692307433299</v>
      </c>
      <c r="N119" s="41">
        <f>VLOOKUP(A119,'Mandato LP'!$A$2:$B$215,2,0)</f>
        <v>0</v>
      </c>
      <c r="O119" s="58">
        <f t="shared" si="13"/>
        <v>0</v>
      </c>
      <c r="P119" s="42">
        <f t="shared" si="14"/>
        <v>0</v>
      </c>
      <c r="Q119" s="41">
        <f>VLOOKUP(A119,'Mandato LP'!$A$2:$C$215,3,0)</f>
        <v>0</v>
      </c>
      <c r="R119" s="42">
        <f t="shared" si="15"/>
        <v>0</v>
      </c>
      <c r="S119" s="15">
        <v>-0.72099999999999997</v>
      </c>
      <c r="T119" s="15">
        <v>-0.65900000000000003</v>
      </c>
      <c r="U119" s="15">
        <v>-0.85399999999999998</v>
      </c>
      <c r="V119" s="15">
        <v>-0.70399999999999996</v>
      </c>
      <c r="W119" s="15">
        <v>-0.80500000000000005</v>
      </c>
      <c r="X119" s="15">
        <v>-0.24299999999999999</v>
      </c>
      <c r="Y119" s="15">
        <v>0.33500000000000002</v>
      </c>
      <c r="Z119" s="15">
        <v>-0.64200000000000002</v>
      </c>
      <c r="AA119" s="15">
        <v>0.45400000000000001</v>
      </c>
      <c r="AB119" s="15">
        <v>0.45400000000000001</v>
      </c>
      <c r="AC119" s="15">
        <v>0.66800000000000004</v>
      </c>
      <c r="AD119" s="15">
        <v>0.67700000000000005</v>
      </c>
      <c r="AE119" s="15">
        <v>0.58499999999999996</v>
      </c>
      <c r="AF119" s="14">
        <v>-0.71</v>
      </c>
      <c r="AG119" s="15">
        <v>-0.72299999999999998</v>
      </c>
      <c r="AH119" s="15">
        <v>-0.40300000000000002</v>
      </c>
      <c r="AI119" s="15">
        <v>-0.752</v>
      </c>
      <c r="AJ119" s="15">
        <v>-0.628</v>
      </c>
      <c r="AK119" s="16">
        <v>-0.82099999999999995</v>
      </c>
      <c r="AL119" s="4">
        <v>-0.223</v>
      </c>
      <c r="AM119" s="4">
        <v>-0.45300000000000001</v>
      </c>
      <c r="AN119" s="4">
        <v>-0.28899999999999998</v>
      </c>
      <c r="AO119" s="4">
        <v>-0.36399999999999999</v>
      </c>
      <c r="AP119" s="4">
        <v>-0.13500000000000001</v>
      </c>
      <c r="AQ119" s="4">
        <v>-0.124</v>
      </c>
      <c r="AR119" s="4">
        <v>-0.13300000000000001</v>
      </c>
      <c r="AS119" s="4">
        <v>-1.6E-2</v>
      </c>
      <c r="AT119" s="4">
        <v>-4.0000000000000001E-3</v>
      </c>
      <c r="AU119" s="4">
        <v>-0.111</v>
      </c>
      <c r="AV119" s="4">
        <v>0.76300000000000001</v>
      </c>
      <c r="AW119" s="4">
        <v>-0.28899999999999998</v>
      </c>
      <c r="AX119" s="4">
        <v>0.77300000000000002</v>
      </c>
      <c r="AY119" s="4">
        <v>-0.39400000000000002</v>
      </c>
      <c r="AZ119" s="4">
        <v>0.72599999999999998</v>
      </c>
      <c r="BA119" s="4">
        <v>0.34499999999999997</v>
      </c>
      <c r="BB119" s="4">
        <v>0.44</v>
      </c>
      <c r="BC119" s="4">
        <v>-0.17100000000000001</v>
      </c>
      <c r="BD119" s="4">
        <v>-0.20100000000000001</v>
      </c>
      <c r="BE119" s="4">
        <v>0.31900000000000001</v>
      </c>
      <c r="BF119" s="4">
        <v>-0.14399999999999999</v>
      </c>
      <c r="BG119" s="4">
        <v>0.38</v>
      </c>
      <c r="BH119" s="4">
        <v>0.85099999999999998</v>
      </c>
      <c r="BI119" s="4">
        <v>-0.39400000000000002</v>
      </c>
      <c r="BJ119" s="4">
        <v>-0.28100000000000003</v>
      </c>
      <c r="BK119" s="4">
        <v>0.31900000000000001</v>
      </c>
      <c r="BL119" s="4">
        <v>0.13500000000000001</v>
      </c>
      <c r="BM119" s="4"/>
      <c r="BN119" s="4"/>
    </row>
    <row r="120" spans="1:66" x14ac:dyDescent="0.3">
      <c r="A120" t="s">
        <v>211</v>
      </c>
      <c r="B120" s="53">
        <v>0</v>
      </c>
      <c r="C120" s="53">
        <f t="shared" si="10"/>
        <v>-8.9999999999999993E-3</v>
      </c>
      <c r="D120" s="53">
        <f t="shared" si="11"/>
        <v>0</v>
      </c>
      <c r="E120" s="53">
        <f t="shared" si="12"/>
        <v>8.9999999999999993E-3</v>
      </c>
      <c r="F120" s="15">
        <v>0.69799999999999995</v>
      </c>
      <c r="G120">
        <v>1.0920000000000001</v>
      </c>
      <c r="H120" t="s">
        <v>57</v>
      </c>
      <c r="I120" t="str">
        <f>VLOOKUP(A120,Setores!$A$2:$C$215,2,0)</f>
        <v>banks</v>
      </c>
      <c r="J120" t="str">
        <f>VLOOKUP(A120,Setores!$A$2:$C$215,3,0)</f>
        <v>high_beta</v>
      </c>
      <c r="K120" s="17">
        <v>0</v>
      </c>
      <c r="L120" s="2">
        <v>-8.9999999999999993E-3</v>
      </c>
      <c r="M120" s="5">
        <v>0.96210772099999997</v>
      </c>
      <c r="N120" s="41">
        <f>VLOOKUP(A120,'Mandato LP'!$A$2:$B$215,2,0)</f>
        <v>0</v>
      </c>
      <c r="O120" s="58">
        <f t="shared" si="13"/>
        <v>0</v>
      </c>
      <c r="P120" s="42">
        <f t="shared" si="14"/>
        <v>0</v>
      </c>
      <c r="Q120" s="41">
        <f>VLOOKUP(A120,'Mandato LP'!$A$2:$C$215,3,0)</f>
        <v>0</v>
      </c>
      <c r="R120" s="42">
        <f t="shared" si="15"/>
        <v>0</v>
      </c>
      <c r="S120" s="15">
        <v>-0.48899999999999999</v>
      </c>
      <c r="T120" s="15">
        <v>-0.7</v>
      </c>
      <c r="U120" s="15">
        <v>-0.85799999999999998</v>
      </c>
      <c r="V120" s="15">
        <v>-0.43</v>
      </c>
      <c r="W120" s="15">
        <v>-0.78400000000000003</v>
      </c>
      <c r="X120" s="15">
        <v>-0.17599999999999999</v>
      </c>
      <c r="Y120" s="15">
        <v>7.5999999999999998E-2</v>
      </c>
      <c r="Z120" s="15">
        <v>-0.58799999999999997</v>
      </c>
      <c r="AA120" s="15">
        <v>0.16200000000000001</v>
      </c>
      <c r="AB120" s="15">
        <v>0.16200000000000001</v>
      </c>
      <c r="AC120" s="15">
        <v>0.74099999999999999</v>
      </c>
      <c r="AD120" s="15">
        <v>0.74099999999999999</v>
      </c>
      <c r="AE120" s="15">
        <v>0.45100000000000001</v>
      </c>
      <c r="AF120" s="14">
        <v>-0.432</v>
      </c>
      <c r="AG120" s="15">
        <v>-0.14099999999999999</v>
      </c>
      <c r="AH120" s="15">
        <v>-0.39200000000000002</v>
      </c>
      <c r="AI120" s="15">
        <v>-1</v>
      </c>
      <c r="AJ120" s="15">
        <v>-0.877</v>
      </c>
      <c r="AK120" s="16">
        <v>-0.69799999999999995</v>
      </c>
      <c r="AL120" s="4">
        <v>-0.27700000000000002</v>
      </c>
      <c r="AM120" s="4">
        <v>-0.68</v>
      </c>
      <c r="AN120" s="4">
        <v>-0.77</v>
      </c>
      <c r="AO120" s="4">
        <v>9.1999999999999998E-2</v>
      </c>
      <c r="AP120" s="4">
        <v>2.7E-2</v>
      </c>
      <c r="AQ120" s="4">
        <v>0.156</v>
      </c>
      <c r="AR120" s="4">
        <v>0.55400000000000005</v>
      </c>
      <c r="AS120" s="4">
        <v>0.254</v>
      </c>
      <c r="AT120" s="4">
        <v>0.251</v>
      </c>
      <c r="AU120" s="4">
        <v>-1.4E-2</v>
      </c>
      <c r="AV120" s="4">
        <v>0.26</v>
      </c>
      <c r="AW120" s="4">
        <v>0.25600000000000001</v>
      </c>
      <c r="AX120" s="4">
        <v>2.5999999999999999E-2</v>
      </c>
      <c r="AY120" s="4">
        <v>-0.46899999999999997</v>
      </c>
      <c r="AZ120" s="4">
        <v>-6.9000000000000006E-2</v>
      </c>
      <c r="BA120" s="4">
        <v>1</v>
      </c>
      <c r="BB120" s="4">
        <v>0.38500000000000001</v>
      </c>
      <c r="BC120" s="4">
        <v>-0.61799999999999999</v>
      </c>
      <c r="BD120" s="4">
        <v>2.7E-2</v>
      </c>
      <c r="BE120" s="4">
        <v>0.55200000000000005</v>
      </c>
      <c r="BF120" s="4">
        <v>-4.8000000000000001E-2</v>
      </c>
      <c r="BG120" s="4">
        <v>8.5999999999999993E-2</v>
      </c>
      <c r="BH120" s="4">
        <v>0.77900000000000003</v>
      </c>
      <c r="BI120" s="4">
        <v>-0.72099999999999997</v>
      </c>
      <c r="BJ120" s="4">
        <v>0.30399999999999999</v>
      </c>
      <c r="BK120" s="4">
        <v>-0.122</v>
      </c>
      <c r="BL120" s="4">
        <v>-0.82899999999999996</v>
      </c>
      <c r="BM120" s="4"/>
      <c r="BN120" s="4"/>
    </row>
    <row r="121" spans="1:66" x14ac:dyDescent="0.3">
      <c r="A121" t="s">
        <v>216</v>
      </c>
      <c r="B121" s="53">
        <v>0</v>
      </c>
      <c r="C121" s="53">
        <f t="shared" si="10"/>
        <v>0</v>
      </c>
      <c r="D121" s="53">
        <f t="shared" si="11"/>
        <v>0</v>
      </c>
      <c r="E121" s="53">
        <f t="shared" si="12"/>
        <v>0</v>
      </c>
      <c r="F121" s="15">
        <v>0.69699999999999995</v>
      </c>
      <c r="G121">
        <v>0.51500000000000001</v>
      </c>
      <c r="H121" t="s">
        <v>71</v>
      </c>
      <c r="I121" t="str">
        <f>VLOOKUP(A121,Setores!$A$2:$C$215,2,0)</f>
        <v>basic_materials</v>
      </c>
      <c r="J121" t="str">
        <f>VLOOKUP(A121,Setores!$A$2:$C$215,3,0)</f>
        <v>very_low_beta</v>
      </c>
      <c r="K121" s="17">
        <v>0</v>
      </c>
      <c r="L121" s="2">
        <v>0</v>
      </c>
      <c r="M121" s="5">
        <v>2.94355267333333E-2</v>
      </c>
      <c r="N121" s="41">
        <f>VLOOKUP(A121,'Mandato LP'!$A$2:$B$215,2,0)</f>
        <v>0</v>
      </c>
      <c r="O121" s="58">
        <f t="shared" si="13"/>
        <v>0</v>
      </c>
      <c r="P121" s="42">
        <f t="shared" si="14"/>
        <v>0</v>
      </c>
      <c r="Q121" s="41">
        <f>VLOOKUP(A121,'Mandato LP'!$A$2:$C$215,3,0)</f>
        <v>6.0070090799180199E-3</v>
      </c>
      <c r="R121" s="42">
        <f t="shared" si="15"/>
        <v>-6.0070090799180199E-3</v>
      </c>
      <c r="S121" s="15">
        <v>-0.753</v>
      </c>
      <c r="T121" s="15">
        <v>-0.224</v>
      </c>
      <c r="U121" s="15">
        <v>-0.92900000000000005</v>
      </c>
      <c r="V121" s="15">
        <v>-0.70499999999999996</v>
      </c>
      <c r="W121" s="15">
        <v>-0.70899999999999996</v>
      </c>
      <c r="X121" s="15">
        <v>-0.58699999999999997</v>
      </c>
      <c r="Y121" s="15">
        <v>-0.63600000000000001</v>
      </c>
      <c r="Z121" s="15">
        <v>-0.47199999999999998</v>
      </c>
      <c r="AA121" s="15">
        <v>0.497</v>
      </c>
      <c r="AB121" s="15">
        <v>0.49199999999999999</v>
      </c>
      <c r="AC121" s="15">
        <v>0.34699999999999998</v>
      </c>
      <c r="AD121" s="15">
        <v>0.60099999999999998</v>
      </c>
      <c r="AE121" s="15">
        <v>0.84399999999999997</v>
      </c>
      <c r="AF121" s="14">
        <v>-0.81200000000000006</v>
      </c>
      <c r="AG121" s="15">
        <v>-0.82099999999999995</v>
      </c>
      <c r="AH121" s="15">
        <v>0.51100000000000001</v>
      </c>
      <c r="AI121" s="15">
        <v>-0.77300000000000002</v>
      </c>
      <c r="AJ121" s="15">
        <v>0.83699999999999997</v>
      </c>
      <c r="AK121" s="16">
        <v>-0.89400000000000002</v>
      </c>
      <c r="AL121" s="4">
        <v>-0.214</v>
      </c>
      <c r="AM121" s="4">
        <v>-0.95099999999999996</v>
      </c>
      <c r="AN121" s="4">
        <v>-0.48699999999999999</v>
      </c>
      <c r="AO121" s="4">
        <v>-0.16600000000000001</v>
      </c>
      <c r="AP121" s="4">
        <v>1</v>
      </c>
      <c r="AQ121" s="4">
        <v>0.55100000000000005</v>
      </c>
      <c r="AR121" s="4">
        <v>-0.27</v>
      </c>
      <c r="AS121" s="4">
        <v>0.22700000000000001</v>
      </c>
      <c r="AT121" s="4">
        <v>-3.3000000000000002E-2</v>
      </c>
      <c r="AU121" s="4">
        <v>7.9000000000000001E-2</v>
      </c>
      <c r="AV121" s="4">
        <v>-0.57599999999999996</v>
      </c>
      <c r="AW121" s="4">
        <v>-0.38800000000000001</v>
      </c>
      <c r="AX121" s="4">
        <v>-0.2</v>
      </c>
      <c r="AY121" s="4">
        <v>-0.222</v>
      </c>
      <c r="AZ121" s="4">
        <v>0.49099999999999999</v>
      </c>
      <c r="BA121" s="4">
        <v>-0.93100000000000005</v>
      </c>
      <c r="BB121" s="4">
        <v>0.61099999999999999</v>
      </c>
      <c r="BC121" s="4">
        <v>-8.7999999999999995E-2</v>
      </c>
      <c r="BD121" s="4">
        <v>-0.23300000000000001</v>
      </c>
      <c r="BE121" s="4">
        <v>0.67400000000000004</v>
      </c>
      <c r="BF121" s="4">
        <v>-0.90600000000000003</v>
      </c>
      <c r="BG121" s="4">
        <v>-0.29199999999999998</v>
      </c>
      <c r="BH121" s="4">
        <v>1</v>
      </c>
      <c r="BI121" s="4">
        <v>-0.41499999999999998</v>
      </c>
      <c r="BJ121" s="4">
        <v>-0.99099999999999999</v>
      </c>
      <c r="BK121" s="4">
        <v>-0.17</v>
      </c>
      <c r="BL121" s="4">
        <v>0.187</v>
      </c>
      <c r="BM121" s="4"/>
      <c r="BN121" s="4"/>
    </row>
    <row r="122" spans="1:66" x14ac:dyDescent="0.3">
      <c r="A122" t="s">
        <v>215</v>
      </c>
      <c r="B122" s="53">
        <v>0</v>
      </c>
      <c r="C122" s="53">
        <f t="shared" si="10"/>
        <v>0</v>
      </c>
      <c r="D122" s="53">
        <f t="shared" si="11"/>
        <v>0</v>
      </c>
      <c r="E122" s="53">
        <f t="shared" si="12"/>
        <v>0</v>
      </c>
      <c r="F122" s="15">
        <v>0.69599999999999995</v>
      </c>
      <c r="G122">
        <v>0.496</v>
      </c>
      <c r="H122" t="s">
        <v>55</v>
      </c>
      <c r="I122" t="str">
        <f>VLOOKUP(A122,Setores!$A$2:$C$215,2,0)</f>
        <v>telecom</v>
      </c>
      <c r="J122" t="str">
        <f>VLOOKUP(A122,Setores!$A$2:$C$215,3,0)</f>
        <v>low_beta</v>
      </c>
      <c r="K122" s="17">
        <v>0</v>
      </c>
      <c r="L122" s="2">
        <v>0</v>
      </c>
      <c r="M122" s="5">
        <v>7.50879574733333E-2</v>
      </c>
      <c r="N122" s="41">
        <f>VLOOKUP(A122,'Mandato LP'!$A$2:$B$215,2,0)</f>
        <v>0</v>
      </c>
      <c r="O122" s="58">
        <f t="shared" si="13"/>
        <v>0</v>
      </c>
      <c r="P122" s="42">
        <f t="shared" si="14"/>
        <v>0</v>
      </c>
      <c r="Q122" s="41">
        <f>VLOOKUP(A122,'Mandato LP'!$A$2:$C$215,3,0)</f>
        <v>0</v>
      </c>
      <c r="R122" s="42">
        <f t="shared" si="15"/>
        <v>0</v>
      </c>
      <c r="S122" s="15">
        <v>-0.52500000000000002</v>
      </c>
      <c r="T122" s="15">
        <v>-0.26100000000000001</v>
      </c>
      <c r="U122" s="15">
        <v>-0.68799999999999994</v>
      </c>
      <c r="V122" s="15">
        <v>-0.69499999999999995</v>
      </c>
      <c r="W122" s="15">
        <v>-0.65800000000000003</v>
      </c>
      <c r="X122" s="15">
        <v>-0.39600000000000002</v>
      </c>
      <c r="Y122" s="15">
        <v>-0.23300000000000001</v>
      </c>
      <c r="Z122" s="15">
        <v>-0.69699999999999995</v>
      </c>
      <c r="AA122" s="15">
        <v>0.27</v>
      </c>
      <c r="AB122" s="15">
        <v>0.26</v>
      </c>
      <c r="AC122" s="15">
        <v>0.61199999999999999</v>
      </c>
      <c r="AD122" s="15">
        <v>0.51200000000000001</v>
      </c>
      <c r="AE122" s="15">
        <v>0.71299999999999997</v>
      </c>
      <c r="AF122" s="14">
        <v>-0.71899999999999997</v>
      </c>
      <c r="AG122" s="15">
        <v>-0.504</v>
      </c>
      <c r="AH122" s="15">
        <v>-0.17399999999999999</v>
      </c>
      <c r="AI122" s="15">
        <v>-0.47599999999999998</v>
      </c>
      <c r="AJ122" s="15">
        <v>0.96899999999999997</v>
      </c>
      <c r="AK122" s="16">
        <v>-0.39300000000000002</v>
      </c>
      <c r="AL122" s="4">
        <v>-0.19900000000000001</v>
      </c>
      <c r="AM122" s="4">
        <v>-0.92900000000000005</v>
      </c>
      <c r="AN122" s="4">
        <v>-0.29599999999999999</v>
      </c>
      <c r="AO122" s="4">
        <v>4.3999999999999997E-2</v>
      </c>
      <c r="AP122" s="4">
        <v>0.36499999999999999</v>
      </c>
      <c r="AQ122" s="4">
        <v>0.60799999999999998</v>
      </c>
      <c r="AR122" s="4">
        <v>6.3E-2</v>
      </c>
      <c r="AS122" s="4">
        <v>-0.14000000000000001</v>
      </c>
      <c r="AT122" s="4">
        <v>-0.42799999999999999</v>
      </c>
      <c r="AU122" s="4">
        <v>-0.129</v>
      </c>
      <c r="AV122" s="4">
        <v>0.189</v>
      </c>
      <c r="AW122" s="4">
        <v>-6.8000000000000005E-2</v>
      </c>
      <c r="AX122" s="4">
        <v>-0.43</v>
      </c>
      <c r="AY122" s="4">
        <v>-0.224</v>
      </c>
      <c r="AZ122" s="4">
        <v>0.71699999999999997</v>
      </c>
      <c r="BA122" s="4">
        <v>5.1999999999999998E-2</v>
      </c>
      <c r="BB122" s="4">
        <v>0.54100000000000004</v>
      </c>
      <c r="BC122" s="4">
        <v>-0.13</v>
      </c>
      <c r="BD122" s="4">
        <v>-0.495</v>
      </c>
      <c r="BE122" s="4">
        <v>0.56899999999999995</v>
      </c>
      <c r="BF122" s="4">
        <v>-0.64500000000000002</v>
      </c>
      <c r="BG122" s="4">
        <v>0.90600000000000003</v>
      </c>
      <c r="BH122" s="4">
        <v>1</v>
      </c>
      <c r="BI122" s="4">
        <v>-0.32800000000000001</v>
      </c>
      <c r="BJ122" s="4">
        <v>-0.311</v>
      </c>
      <c r="BK122" s="4">
        <v>-6.4000000000000001E-2</v>
      </c>
      <c r="BL122" s="4">
        <v>0.56999999999999995</v>
      </c>
      <c r="BM122" s="4"/>
      <c r="BN122" s="4"/>
    </row>
    <row r="123" spans="1:66" x14ac:dyDescent="0.3">
      <c r="A123" t="s">
        <v>124</v>
      </c>
      <c r="B123" s="53">
        <v>0</v>
      </c>
      <c r="C123" s="53">
        <f t="shared" si="10"/>
        <v>-1.4E-2</v>
      </c>
      <c r="D123" s="53">
        <f t="shared" si="11"/>
        <v>0</v>
      </c>
      <c r="E123" s="53">
        <f t="shared" si="12"/>
        <v>1.4E-2</v>
      </c>
      <c r="F123" s="15">
        <v>0.68400000000000005</v>
      </c>
      <c r="G123">
        <v>1.3029999999999999</v>
      </c>
      <c r="H123" t="s">
        <v>55</v>
      </c>
      <c r="I123" t="str">
        <f>VLOOKUP(A123,Setores!$A$2:$C$215,2,0)</f>
        <v>utilities</v>
      </c>
      <c r="J123" t="str">
        <f>VLOOKUP(A123,Setores!$A$2:$C$215,3,0)</f>
        <v>low_beta</v>
      </c>
      <c r="K123" s="17">
        <v>0</v>
      </c>
      <c r="L123" s="2">
        <v>-1.4E-2</v>
      </c>
      <c r="M123" s="5">
        <v>3.2483424072166698</v>
      </c>
      <c r="N123" s="41">
        <f>VLOOKUP(A123,'Mandato LP'!$A$2:$B$215,2,0)</f>
        <v>0</v>
      </c>
      <c r="O123" s="58">
        <f t="shared" si="13"/>
        <v>0</v>
      </c>
      <c r="P123" s="42">
        <f t="shared" si="14"/>
        <v>0</v>
      </c>
      <c r="Q123" s="41">
        <f>VLOOKUP(A123,'Mandato LP'!$A$2:$C$215,3,0)</f>
        <v>0</v>
      </c>
      <c r="R123" s="42">
        <f t="shared" si="15"/>
        <v>0</v>
      </c>
      <c r="S123" s="15">
        <v>-0.79600000000000004</v>
      </c>
      <c r="T123" s="15">
        <v>-0.81499999999999995</v>
      </c>
      <c r="U123" s="15">
        <v>-0.90200000000000002</v>
      </c>
      <c r="V123" s="15">
        <v>-0.55400000000000005</v>
      </c>
      <c r="W123" s="15">
        <v>-0.78700000000000003</v>
      </c>
      <c r="X123" s="15">
        <v>-0.42599999999999999</v>
      </c>
      <c r="Y123" s="15">
        <v>0.112</v>
      </c>
      <c r="Z123" s="15">
        <v>-0.38900000000000001</v>
      </c>
      <c r="AA123" s="15">
        <v>0.35</v>
      </c>
      <c r="AB123" s="15">
        <v>0.34899999999999998</v>
      </c>
      <c r="AC123" s="15">
        <v>0.623</v>
      </c>
      <c r="AD123" s="15">
        <v>0.69899999999999995</v>
      </c>
      <c r="AE123" s="15">
        <v>0.47499999999999998</v>
      </c>
      <c r="AF123" s="14">
        <v>-0.26500000000000001</v>
      </c>
      <c r="AG123" s="15">
        <v>-0.52900000000000003</v>
      </c>
      <c r="AH123" s="15">
        <v>-0.57099999999999995</v>
      </c>
      <c r="AI123" s="15">
        <v>-0.76100000000000001</v>
      </c>
      <c r="AJ123" s="15">
        <v>-0.60699999999999998</v>
      </c>
      <c r="AK123" s="16">
        <v>-0.88100000000000001</v>
      </c>
      <c r="AL123" s="4">
        <v>-0.182</v>
      </c>
      <c r="AM123" s="4">
        <v>0.19400000000000001</v>
      </c>
      <c r="AN123" s="4">
        <v>-0.59899999999999998</v>
      </c>
      <c r="AO123" s="4">
        <v>-0.21299999999999999</v>
      </c>
      <c r="AP123" s="4">
        <v>-0.246</v>
      </c>
      <c r="AQ123" s="4">
        <v>0.154</v>
      </c>
      <c r="AR123" s="4">
        <v>-0.13600000000000001</v>
      </c>
      <c r="AS123" s="4">
        <v>0.17599999999999999</v>
      </c>
      <c r="AT123" s="4">
        <v>0.124</v>
      </c>
      <c r="AU123" s="4">
        <v>0.113</v>
      </c>
      <c r="AV123" s="4">
        <v>0.53700000000000003</v>
      </c>
      <c r="AW123" s="4">
        <v>2.1999999999999999E-2</v>
      </c>
      <c r="AX123" s="4">
        <v>0.83299999999999996</v>
      </c>
      <c r="AY123" s="4">
        <v>-0.84499999999999997</v>
      </c>
      <c r="AZ123" s="4">
        <v>0.438</v>
      </c>
      <c r="BA123" s="4">
        <v>-8.5000000000000006E-2</v>
      </c>
      <c r="BB123" s="4">
        <v>-0.437</v>
      </c>
      <c r="BC123" s="4">
        <v>-0.16400000000000001</v>
      </c>
      <c r="BD123" s="4">
        <v>-0.36799999999999999</v>
      </c>
      <c r="BE123" s="4">
        <v>0.38400000000000001</v>
      </c>
      <c r="BF123" s="4">
        <v>-0.38400000000000001</v>
      </c>
      <c r="BG123" s="4">
        <v>-1</v>
      </c>
      <c r="BH123" s="4">
        <v>0.19900000000000001</v>
      </c>
      <c r="BI123" s="4">
        <v>-0.373</v>
      </c>
      <c r="BJ123" s="4">
        <v>-0.22700000000000001</v>
      </c>
      <c r="BK123" s="4">
        <v>-0.12</v>
      </c>
      <c r="BL123" s="4">
        <v>5.3999999999999999E-2</v>
      </c>
      <c r="BM123" s="4"/>
      <c r="BN123" s="4"/>
    </row>
    <row r="124" spans="1:66" x14ac:dyDescent="0.3">
      <c r="A124" t="s">
        <v>250</v>
      </c>
      <c r="B124" s="53">
        <v>0</v>
      </c>
      <c r="C124" s="53">
        <f t="shared" si="10"/>
        <v>0</v>
      </c>
      <c r="D124" s="53">
        <f t="shared" si="11"/>
        <v>0</v>
      </c>
      <c r="E124" s="53">
        <f t="shared" si="12"/>
        <v>0</v>
      </c>
      <c r="F124" s="15">
        <v>0.67600000000000005</v>
      </c>
      <c r="G124">
        <v>0.52700000000000002</v>
      </c>
      <c r="H124" t="s">
        <v>57</v>
      </c>
      <c r="I124" t="str">
        <f>VLOOKUP(A124,Setores!$A$2:$C$215,2,0)</f>
        <v>tech</v>
      </c>
      <c r="J124" t="str">
        <f>VLOOKUP(A124,Setores!$A$2:$C$215,3,0)</f>
        <v>high_beta</v>
      </c>
      <c r="K124" s="17">
        <v>0</v>
      </c>
      <c r="L124" s="2">
        <v>0</v>
      </c>
      <c r="M124" s="5">
        <v>0.126097141066667</v>
      </c>
      <c r="N124" s="41">
        <f>VLOOKUP(A124,'Mandato LP'!$A$2:$B$215,2,0)</f>
        <v>0</v>
      </c>
      <c r="O124" s="58">
        <f t="shared" si="13"/>
        <v>0</v>
      </c>
      <c r="P124" s="42">
        <f t="shared" si="14"/>
        <v>0</v>
      </c>
      <c r="Q124" s="41">
        <f>VLOOKUP(A124,'Mandato LP'!$A$2:$C$215,3,0)</f>
        <v>0</v>
      </c>
      <c r="R124" s="42">
        <f t="shared" si="15"/>
        <v>0</v>
      </c>
      <c r="S124" s="15">
        <v>-0.06</v>
      </c>
      <c r="T124" s="15">
        <v>-0.16900000000000001</v>
      </c>
      <c r="U124" s="15">
        <v>-1.7000000000000001E-2</v>
      </c>
      <c r="V124" s="15">
        <v>-0.52500000000000002</v>
      </c>
      <c r="W124" s="15">
        <v>-0.36499999999999999</v>
      </c>
      <c r="X124" s="15">
        <v>-0.47499999999999998</v>
      </c>
      <c r="Y124" s="15">
        <v>-0.64500000000000002</v>
      </c>
      <c r="Z124" s="15">
        <v>-0.627</v>
      </c>
      <c r="AA124" s="15">
        <v>-0.34</v>
      </c>
      <c r="AB124" s="15">
        <v>-0.34399999999999997</v>
      </c>
      <c r="AC124" s="15">
        <v>0.63500000000000001</v>
      </c>
      <c r="AD124" s="15">
        <v>0.61299999999999999</v>
      </c>
      <c r="AE124" s="15">
        <v>0.28899999999999998</v>
      </c>
      <c r="AF124" s="14">
        <v>-3.9E-2</v>
      </c>
      <c r="AG124" s="15">
        <v>-0.25</v>
      </c>
      <c r="AH124" s="15">
        <v>-0.61299999999999999</v>
      </c>
      <c r="AI124" s="15">
        <v>-0.31900000000000001</v>
      </c>
      <c r="AJ124" s="15">
        <v>0.246</v>
      </c>
      <c r="AK124" s="16">
        <v>0.46700000000000003</v>
      </c>
      <c r="AL124" s="4">
        <v>-0.379</v>
      </c>
      <c r="AM124" s="4">
        <v>-0.42299999999999999</v>
      </c>
      <c r="AN124" s="4">
        <v>-0.36799999999999999</v>
      </c>
      <c r="AO124" s="4">
        <v>0.42</v>
      </c>
      <c r="AP124" s="4">
        <v>-0.22600000000000001</v>
      </c>
      <c r="AQ124" s="4">
        <v>0.40799999999999997</v>
      </c>
      <c r="AR124" s="4">
        <v>-0.23</v>
      </c>
      <c r="AS124" s="4">
        <v>0.59</v>
      </c>
      <c r="AT124" s="4">
        <v>-0.14299999999999999</v>
      </c>
      <c r="AU124" s="4">
        <v>-0.314</v>
      </c>
      <c r="AV124" s="4">
        <v>-0.41699999999999998</v>
      </c>
      <c r="AW124" s="4">
        <v>0.435</v>
      </c>
      <c r="AX124" s="4">
        <v>-0.35899999999999999</v>
      </c>
      <c r="AY124" s="4">
        <v>0.16300000000000001</v>
      </c>
      <c r="AZ124" s="4">
        <v>0.64700000000000002</v>
      </c>
      <c r="BA124" s="4">
        <v>0.63600000000000001</v>
      </c>
      <c r="BB124" s="4">
        <v>0.29899999999999999</v>
      </c>
      <c r="BC124" s="4">
        <v>0.48</v>
      </c>
      <c r="BD124" s="4">
        <v>0.26</v>
      </c>
      <c r="BE124" s="4">
        <v>0.47</v>
      </c>
      <c r="BF124" s="4">
        <v>-0.59799999999999998</v>
      </c>
      <c r="BG124" s="4">
        <v>0.44700000000000001</v>
      </c>
      <c r="BH124" s="4">
        <v>6.7000000000000004E-2</v>
      </c>
      <c r="BI124" s="4">
        <v>0.503</v>
      </c>
      <c r="BJ124" s="4">
        <v>0.253</v>
      </c>
      <c r="BK124" s="4">
        <v>4.4999999999999998E-2</v>
      </c>
      <c r="BL124" s="4">
        <v>0.22600000000000001</v>
      </c>
      <c r="BM124" s="4"/>
      <c r="BN124" s="4"/>
    </row>
    <row r="125" spans="1:66" x14ac:dyDescent="0.3">
      <c r="A125" t="s">
        <v>144</v>
      </c>
      <c r="B125" s="53">
        <v>0</v>
      </c>
      <c r="C125" s="53">
        <f t="shared" si="10"/>
        <v>-0.02</v>
      </c>
      <c r="D125" s="53">
        <f t="shared" si="11"/>
        <v>0</v>
      </c>
      <c r="E125" s="53">
        <f t="shared" si="12"/>
        <v>0.02</v>
      </c>
      <c r="F125" s="15">
        <v>0.67400000000000004</v>
      </c>
      <c r="G125">
        <v>1.413</v>
      </c>
      <c r="H125" t="s">
        <v>55</v>
      </c>
      <c r="I125" t="str">
        <f>VLOOKUP(A125,Setores!$A$2:$C$215,2,0)</f>
        <v>utilities</v>
      </c>
      <c r="J125" t="str">
        <f>VLOOKUP(A125,Setores!$A$2:$C$215,3,0)</f>
        <v>low_beta</v>
      </c>
      <c r="K125" s="17">
        <v>0</v>
      </c>
      <c r="L125" s="2">
        <v>-0.02</v>
      </c>
      <c r="M125" s="5">
        <v>2.1385023333333302</v>
      </c>
      <c r="N125" s="41">
        <f>VLOOKUP(A125,'Mandato LP'!$A$2:$B$215,2,0)</f>
        <v>0</v>
      </c>
      <c r="O125" s="58">
        <f t="shared" si="13"/>
        <v>0</v>
      </c>
      <c r="P125" s="42">
        <f t="shared" si="14"/>
        <v>0</v>
      </c>
      <c r="Q125" s="41">
        <f>VLOOKUP(A125,'Mandato LP'!$A$2:$C$215,3,0)</f>
        <v>0</v>
      </c>
      <c r="R125" s="42">
        <f t="shared" si="15"/>
        <v>0</v>
      </c>
      <c r="S125" s="15">
        <v>-0.875</v>
      </c>
      <c r="T125" s="15">
        <v>-0.73499999999999999</v>
      </c>
      <c r="U125" s="15">
        <v>-0.95199999999999996</v>
      </c>
      <c r="V125" s="15">
        <v>-0.74399999999999999</v>
      </c>
      <c r="W125" s="15">
        <v>-0.80600000000000005</v>
      </c>
      <c r="X125" s="15">
        <v>-0.63800000000000001</v>
      </c>
      <c r="Y125" s="15">
        <v>-0.216</v>
      </c>
      <c r="Z125" s="15">
        <v>-0.30599999999999999</v>
      </c>
      <c r="AA125" s="15">
        <v>0.36399999999999999</v>
      </c>
      <c r="AB125" s="15">
        <v>0.36699999999999999</v>
      </c>
      <c r="AC125" s="15">
        <v>0.67800000000000005</v>
      </c>
      <c r="AD125" s="15">
        <v>0.73799999999999999</v>
      </c>
      <c r="AE125" s="15">
        <v>0.58899999999999997</v>
      </c>
      <c r="AF125" s="14">
        <v>-0.745</v>
      </c>
      <c r="AG125" s="15">
        <v>-0.84799999999999998</v>
      </c>
      <c r="AH125" s="15">
        <v>0.129</v>
      </c>
      <c r="AI125" s="15">
        <v>-0.84799999999999998</v>
      </c>
      <c r="AJ125" s="15">
        <v>-0.41599999999999998</v>
      </c>
      <c r="AK125" s="16">
        <v>-0.94799999999999995</v>
      </c>
      <c r="AL125" s="4">
        <v>-0.32700000000000001</v>
      </c>
      <c r="AM125" s="4">
        <v>0.08</v>
      </c>
      <c r="AN125" s="4">
        <v>-0.35399999999999998</v>
      </c>
      <c r="AO125" s="4">
        <v>-0.69599999999999995</v>
      </c>
      <c r="AP125" s="4">
        <v>0.249</v>
      </c>
      <c r="AQ125" s="4">
        <v>0.33800000000000002</v>
      </c>
      <c r="AR125" s="4">
        <v>-0.48299999999999998</v>
      </c>
      <c r="AS125" s="4">
        <v>0.12</v>
      </c>
      <c r="AT125" s="4">
        <v>-0.245</v>
      </c>
      <c r="AU125" s="4">
        <v>-0.152</v>
      </c>
      <c r="AV125" s="4">
        <v>-2.5999999999999999E-2</v>
      </c>
      <c r="AW125" s="4">
        <v>-0.42399999999999999</v>
      </c>
      <c r="AX125" s="4">
        <v>0.84799999999999998</v>
      </c>
      <c r="AY125" s="4">
        <v>-0.80300000000000005</v>
      </c>
      <c r="AZ125" s="4">
        <v>0.75900000000000001</v>
      </c>
      <c r="BA125" s="4">
        <v>-0.78</v>
      </c>
      <c r="BB125" s="4">
        <v>0.153</v>
      </c>
      <c r="BC125" s="4">
        <v>-0.151</v>
      </c>
      <c r="BD125" s="4">
        <v>-0.53700000000000003</v>
      </c>
      <c r="BE125" s="4">
        <v>0.35899999999999999</v>
      </c>
      <c r="BF125" s="4">
        <v>-0.35399999999999998</v>
      </c>
      <c r="BG125" s="4">
        <v>-0.875</v>
      </c>
      <c r="BH125" s="4">
        <v>0.58599999999999997</v>
      </c>
      <c r="BI125" s="4">
        <v>-0.41099999999999998</v>
      </c>
      <c r="BJ125" s="4">
        <v>-0.23300000000000001</v>
      </c>
      <c r="BK125" s="4">
        <v>9.8000000000000004E-2</v>
      </c>
      <c r="BL125" s="4">
        <v>-0.122</v>
      </c>
      <c r="BM125" s="4"/>
      <c r="BN125" s="4"/>
    </row>
    <row r="126" spans="1:66" x14ac:dyDescent="0.3">
      <c r="A126" t="s">
        <v>214</v>
      </c>
      <c r="B126" s="53">
        <v>0</v>
      </c>
      <c r="C126" s="53">
        <f t="shared" si="10"/>
        <v>0</v>
      </c>
      <c r="D126" s="53">
        <f t="shared" si="11"/>
        <v>0</v>
      </c>
      <c r="E126" s="53">
        <f t="shared" si="12"/>
        <v>0</v>
      </c>
      <c r="F126" s="15">
        <v>0.66400000000000003</v>
      </c>
      <c r="G126">
        <v>0.69699999999999995</v>
      </c>
      <c r="H126" t="s">
        <v>53</v>
      </c>
      <c r="I126" t="str">
        <f>VLOOKUP(A126,Setores!$A$2:$C$215,2,0)</f>
        <v>float_financials</v>
      </c>
      <c r="J126" t="str">
        <f>VLOOKUP(A126,Setores!$A$2:$C$215,3,0)</f>
        <v>low_beta</v>
      </c>
      <c r="K126" s="17">
        <v>0</v>
      </c>
      <c r="L126" s="2">
        <v>0</v>
      </c>
      <c r="M126" s="5">
        <v>0.32121109474333298</v>
      </c>
      <c r="N126" s="41">
        <f>VLOOKUP(A126,'Mandato LP'!$A$2:$B$215,2,0)</f>
        <v>0</v>
      </c>
      <c r="O126" s="58">
        <f t="shared" si="13"/>
        <v>0</v>
      </c>
      <c r="P126" s="42">
        <f t="shared" si="14"/>
        <v>0</v>
      </c>
      <c r="Q126" s="41">
        <f>VLOOKUP(A126,'Mandato LP'!$A$2:$C$215,3,0)</f>
        <v>0</v>
      </c>
      <c r="R126" s="42">
        <f t="shared" si="15"/>
        <v>0</v>
      </c>
      <c r="S126" s="15">
        <v>-0.40600000000000003</v>
      </c>
      <c r="T126" s="15">
        <v>-0.36</v>
      </c>
      <c r="U126" s="15">
        <v>-0.66600000000000004</v>
      </c>
      <c r="V126" s="15">
        <v>-0.56399999999999995</v>
      </c>
      <c r="W126" s="15">
        <v>-0.63100000000000001</v>
      </c>
      <c r="X126" s="15">
        <v>-0.46400000000000002</v>
      </c>
      <c r="Y126" s="15">
        <v>-0.33900000000000002</v>
      </c>
      <c r="Z126" s="15">
        <v>-0.73299999999999998</v>
      </c>
      <c r="AA126" s="15">
        <v>4.8000000000000001E-2</v>
      </c>
      <c r="AB126" s="15">
        <v>5.0999999999999997E-2</v>
      </c>
      <c r="AC126" s="15">
        <v>0.61899999999999999</v>
      </c>
      <c r="AD126" s="15">
        <v>0.69299999999999995</v>
      </c>
      <c r="AE126" s="15">
        <v>0.57099999999999995</v>
      </c>
      <c r="AF126" s="14">
        <v>-0.54</v>
      </c>
      <c r="AG126" s="15">
        <v>-0.28299999999999997</v>
      </c>
      <c r="AH126" s="15">
        <v>-0.23400000000000001</v>
      </c>
      <c r="AI126" s="15">
        <v>-0.49399999999999999</v>
      </c>
      <c r="AJ126" s="15">
        <v>-0.29499999999999998</v>
      </c>
      <c r="AK126" s="16">
        <v>-0.11899999999999999</v>
      </c>
      <c r="AL126" s="4">
        <v>-0.16800000000000001</v>
      </c>
      <c r="AM126" s="4">
        <v>-0.89200000000000002</v>
      </c>
      <c r="AN126" s="4">
        <v>-0.29299999999999998</v>
      </c>
      <c r="AO126" s="4">
        <v>0.45200000000000001</v>
      </c>
      <c r="AP126" s="4">
        <v>9.4E-2</v>
      </c>
      <c r="AQ126" s="4">
        <v>-7.6999999999999999E-2</v>
      </c>
      <c r="AR126" s="4">
        <v>0.42599999999999999</v>
      </c>
      <c r="AS126" s="4">
        <v>2.8000000000000001E-2</v>
      </c>
      <c r="AT126" s="4">
        <v>-3.1E-2</v>
      </c>
      <c r="AU126" s="4">
        <v>7.0999999999999994E-2</v>
      </c>
      <c r="AV126" s="4">
        <v>-0.245</v>
      </c>
      <c r="AW126" s="4">
        <v>-0.21</v>
      </c>
      <c r="AX126" s="4">
        <v>0.308</v>
      </c>
      <c r="AY126" s="4">
        <v>0.3</v>
      </c>
      <c r="AZ126" s="4">
        <v>0.751</v>
      </c>
      <c r="BA126" s="4">
        <v>-0.378</v>
      </c>
      <c r="BB126" s="4">
        <v>0.74199999999999999</v>
      </c>
      <c r="BC126" s="4">
        <v>8.8999999999999996E-2</v>
      </c>
      <c r="BD126" s="4">
        <v>-2.5000000000000001E-2</v>
      </c>
      <c r="BE126" s="4">
        <v>0.64500000000000002</v>
      </c>
      <c r="BF126" s="4">
        <v>-0.41799999999999998</v>
      </c>
      <c r="BG126" s="4">
        <v>0.33500000000000002</v>
      </c>
      <c r="BH126" s="4">
        <v>0.53800000000000003</v>
      </c>
      <c r="BI126" s="4">
        <v>3.1E-2</v>
      </c>
      <c r="BJ126" s="4">
        <v>-0.25700000000000001</v>
      </c>
      <c r="BK126" s="4">
        <v>-0.21299999999999999</v>
      </c>
      <c r="BL126" s="4">
        <v>0.621</v>
      </c>
      <c r="BM126" s="4"/>
      <c r="BN126" s="4"/>
    </row>
    <row r="127" spans="1:66" x14ac:dyDescent="0.3">
      <c r="A127" t="s">
        <v>173</v>
      </c>
      <c r="B127" s="53">
        <v>0</v>
      </c>
      <c r="C127" s="53">
        <f t="shared" si="10"/>
        <v>-0.02</v>
      </c>
      <c r="D127" s="53">
        <f t="shared" si="11"/>
        <v>0</v>
      </c>
      <c r="E127" s="53">
        <f t="shared" si="12"/>
        <v>0.02</v>
      </c>
      <c r="F127" s="15">
        <v>0.66300000000000003</v>
      </c>
      <c r="G127">
        <v>1.23</v>
      </c>
      <c r="H127" t="s">
        <v>55</v>
      </c>
      <c r="I127" t="str">
        <f>VLOOKUP(A127,Setores!$A$2:$C$215,2,0)</f>
        <v>utilities</v>
      </c>
      <c r="J127" t="str">
        <f>VLOOKUP(A127,Setores!$A$2:$C$215,3,0)</f>
        <v>low_beta</v>
      </c>
      <c r="K127" s="17">
        <v>0</v>
      </c>
      <c r="L127" s="2">
        <v>-0.02</v>
      </c>
      <c r="M127" s="5">
        <v>1.95611604828667</v>
      </c>
      <c r="N127" s="41">
        <f>VLOOKUP(A127,'Mandato LP'!$A$2:$B$215,2,0)</f>
        <v>0</v>
      </c>
      <c r="O127" s="58">
        <f t="shared" si="13"/>
        <v>0</v>
      </c>
      <c r="P127" s="42">
        <f t="shared" si="14"/>
        <v>0</v>
      </c>
      <c r="Q127" s="41">
        <f>VLOOKUP(A127,'Mandato LP'!$A$2:$C$215,3,0)</f>
        <v>0</v>
      </c>
      <c r="R127" s="42">
        <f t="shared" si="15"/>
        <v>0</v>
      </c>
      <c r="S127" s="15">
        <v>-0.84799999999999998</v>
      </c>
      <c r="T127" s="15">
        <v>-0.75600000000000001</v>
      </c>
      <c r="U127" s="15">
        <v>-0.95299999999999996</v>
      </c>
      <c r="V127" s="15">
        <v>-0.74199999999999999</v>
      </c>
      <c r="W127" s="15">
        <v>-0.85099999999999998</v>
      </c>
      <c r="X127" s="15">
        <v>-0.46400000000000002</v>
      </c>
      <c r="Y127" s="15">
        <v>0.12</v>
      </c>
      <c r="Z127" s="15">
        <v>-0.505</v>
      </c>
      <c r="AA127" s="15">
        <v>0.46500000000000002</v>
      </c>
      <c r="AB127" s="15">
        <v>0.46600000000000003</v>
      </c>
      <c r="AC127" s="15">
        <v>0.624</v>
      </c>
      <c r="AD127" s="15">
        <v>0.64800000000000002</v>
      </c>
      <c r="AE127" s="15">
        <v>0.54600000000000004</v>
      </c>
      <c r="AF127" s="14">
        <v>-0.78100000000000003</v>
      </c>
      <c r="AG127" s="15">
        <v>-0.88300000000000001</v>
      </c>
      <c r="AH127" s="15">
        <v>-0.27200000000000002</v>
      </c>
      <c r="AI127" s="15">
        <v>-0.96</v>
      </c>
      <c r="AJ127" s="15">
        <v>-0.61299999999999999</v>
      </c>
      <c r="AK127" s="16">
        <v>-1</v>
      </c>
      <c r="AL127" s="4">
        <v>-0.316</v>
      </c>
      <c r="AM127" s="4">
        <v>-0.27600000000000002</v>
      </c>
      <c r="AN127" s="4">
        <v>-0.70499999999999996</v>
      </c>
      <c r="AO127" s="4">
        <v>-0.35399999999999998</v>
      </c>
      <c r="AP127" s="4">
        <v>0.217</v>
      </c>
      <c r="AQ127" s="4">
        <v>0.40500000000000003</v>
      </c>
      <c r="AR127" s="4">
        <v>-0.22500000000000001</v>
      </c>
      <c r="AS127" s="4">
        <v>0.158</v>
      </c>
      <c r="AT127" s="4">
        <v>-5.7000000000000002E-2</v>
      </c>
      <c r="AU127" s="4">
        <v>6.9000000000000006E-2</v>
      </c>
      <c r="AV127" s="4">
        <v>0.40899999999999997</v>
      </c>
      <c r="AW127" s="4">
        <v>-0.33600000000000002</v>
      </c>
      <c r="AX127" s="4">
        <v>0.748</v>
      </c>
      <c r="AY127" s="4">
        <v>-0.52700000000000002</v>
      </c>
      <c r="AZ127" s="4">
        <v>0.75600000000000001</v>
      </c>
      <c r="BA127" s="4">
        <v>-0.249</v>
      </c>
      <c r="BB127" s="4">
        <v>-0.40500000000000003</v>
      </c>
      <c r="BC127" s="4">
        <v>-0.44700000000000001</v>
      </c>
      <c r="BD127" s="4">
        <v>-0.58199999999999996</v>
      </c>
      <c r="BE127" s="4">
        <v>0.253</v>
      </c>
      <c r="BF127" s="4">
        <v>-0.105</v>
      </c>
      <c r="BG127" s="4">
        <v>-0.22</v>
      </c>
      <c r="BH127" s="4">
        <v>0.88800000000000001</v>
      </c>
      <c r="BI127" s="4">
        <v>-0.33300000000000002</v>
      </c>
      <c r="BJ127" s="4">
        <v>-0.191</v>
      </c>
      <c r="BK127" s="4">
        <v>0.224</v>
      </c>
      <c r="BL127" s="4">
        <v>-0.378</v>
      </c>
      <c r="BM127" s="4"/>
      <c r="BN127" s="4"/>
    </row>
    <row r="128" spans="1:66" x14ac:dyDescent="0.3">
      <c r="A128" t="s">
        <v>229</v>
      </c>
      <c r="B128" s="53">
        <v>0</v>
      </c>
      <c r="C128" s="53">
        <f t="shared" si="10"/>
        <v>0</v>
      </c>
      <c r="D128" s="53">
        <f t="shared" si="11"/>
        <v>0</v>
      </c>
      <c r="E128" s="53">
        <f t="shared" si="12"/>
        <v>0</v>
      </c>
      <c r="F128" s="15">
        <v>0.65</v>
      </c>
      <c r="G128">
        <v>0.502</v>
      </c>
      <c r="H128" t="s">
        <v>71</v>
      </c>
      <c r="I128" t="str">
        <f>VLOOKUP(A128,Setores!$A$2:$C$215,2,0)</f>
        <v>food</v>
      </c>
      <c r="J128" t="str">
        <f>VLOOKUP(A128,Setores!$A$2:$C$215,3,0)</f>
        <v>very_low_beta</v>
      </c>
      <c r="K128" s="17">
        <v>0</v>
      </c>
      <c r="L128" s="2">
        <v>0</v>
      </c>
      <c r="M128" s="5">
        <v>1.0152809786366701</v>
      </c>
      <c r="N128" s="41">
        <f>VLOOKUP(A128,'Mandato LP'!$A$2:$B$215,2,0)</f>
        <v>0</v>
      </c>
      <c r="O128" s="58">
        <f t="shared" si="13"/>
        <v>0</v>
      </c>
      <c r="P128" s="42">
        <f t="shared" si="14"/>
        <v>0</v>
      </c>
      <c r="Q128" s="41">
        <f>VLOOKUP(A128,'Mandato LP'!$A$2:$C$215,3,0)</f>
        <v>7.6273833042149897E-3</v>
      </c>
      <c r="R128" s="42">
        <f t="shared" si="15"/>
        <v>-7.6273833042149897E-3</v>
      </c>
      <c r="S128" s="15">
        <v>-0.753</v>
      </c>
      <c r="T128" s="15">
        <v>-0.14099999999999999</v>
      </c>
      <c r="U128" s="15">
        <v>-0.90100000000000002</v>
      </c>
      <c r="V128" s="15">
        <v>-0.70899999999999996</v>
      </c>
      <c r="W128" s="15">
        <v>-0.67</v>
      </c>
      <c r="X128" s="15">
        <v>-0.68</v>
      </c>
      <c r="Y128" s="15">
        <v>-0.71599999999999997</v>
      </c>
      <c r="Z128" s="15">
        <v>-0.50700000000000001</v>
      </c>
      <c r="AA128" s="15">
        <v>0.24399999999999999</v>
      </c>
      <c r="AB128" s="15">
        <v>0.246</v>
      </c>
      <c r="AC128" s="15">
        <v>0.65700000000000003</v>
      </c>
      <c r="AD128" s="15">
        <v>0.69399999999999995</v>
      </c>
      <c r="AE128" s="15">
        <v>0.65600000000000003</v>
      </c>
      <c r="AF128" s="14">
        <v>-0.85499999999999998</v>
      </c>
      <c r="AG128" s="15">
        <v>-0.65800000000000003</v>
      </c>
      <c r="AH128" s="15">
        <v>0.48399999999999999</v>
      </c>
      <c r="AI128" s="15">
        <v>-0.6</v>
      </c>
      <c r="AJ128" s="15">
        <v>-7.1999999999999995E-2</v>
      </c>
      <c r="AK128" s="16">
        <v>-0.86599999999999999</v>
      </c>
      <c r="AL128" s="4">
        <v>-0.32200000000000001</v>
      </c>
      <c r="AM128" s="4">
        <v>-0.49199999999999999</v>
      </c>
      <c r="AN128" s="4">
        <v>-0.20699999999999999</v>
      </c>
      <c r="AO128" s="4">
        <v>-0.27400000000000002</v>
      </c>
      <c r="AP128" s="4">
        <v>0.29799999999999999</v>
      </c>
      <c r="AQ128" s="4">
        <v>0.86099999999999999</v>
      </c>
      <c r="AR128" s="4">
        <v>-0.40899999999999997</v>
      </c>
      <c r="AS128" s="4">
        <v>0.85799999999999998</v>
      </c>
      <c r="AT128" s="4">
        <v>0.30599999999999999</v>
      </c>
      <c r="AU128" s="4">
        <v>-9.0999999999999998E-2</v>
      </c>
      <c r="AV128" s="4">
        <v>-0.17699999999999999</v>
      </c>
      <c r="AW128" s="4">
        <v>-0.54200000000000004</v>
      </c>
      <c r="AX128" s="4">
        <v>0.19700000000000001</v>
      </c>
      <c r="AY128" s="4">
        <v>-0.25700000000000001</v>
      </c>
      <c r="AZ128" s="4">
        <v>0.376</v>
      </c>
      <c r="BA128" s="4">
        <v>-0.54600000000000004</v>
      </c>
      <c r="BB128" s="4">
        <v>-1.2E-2</v>
      </c>
      <c r="BC128" s="4">
        <v>-9.8000000000000004E-2</v>
      </c>
      <c r="BD128" s="4">
        <v>-0.41199999999999998</v>
      </c>
      <c r="BE128" s="4">
        <v>0.29199999999999998</v>
      </c>
      <c r="BF128" s="4">
        <v>-0.86399999999999999</v>
      </c>
      <c r="BG128" s="4">
        <v>0.249</v>
      </c>
      <c r="BH128" s="4">
        <v>2.9000000000000001E-2</v>
      </c>
      <c r="BI128" s="4">
        <v>0.26500000000000001</v>
      </c>
      <c r="BJ128" s="4">
        <v>-0.63200000000000001</v>
      </c>
      <c r="BK128" s="4">
        <v>-0.219</v>
      </c>
      <c r="BL128" s="4">
        <v>5.2999999999999999E-2</v>
      </c>
      <c r="BM128" s="4"/>
      <c r="BN128" s="4"/>
    </row>
    <row r="129" spans="1:66" x14ac:dyDescent="0.3">
      <c r="A129" t="s">
        <v>80</v>
      </c>
      <c r="B129" s="53">
        <v>0</v>
      </c>
      <c r="C129" s="53">
        <f t="shared" si="10"/>
        <v>-2E-3</v>
      </c>
      <c r="D129" s="53">
        <f t="shared" si="11"/>
        <v>0</v>
      </c>
      <c r="E129" s="53">
        <f t="shared" si="12"/>
        <v>2E-3</v>
      </c>
      <c r="F129" s="15">
        <v>0.63200000000000001</v>
      </c>
      <c r="G129">
        <v>0.64400000000000002</v>
      </c>
      <c r="H129" t="s">
        <v>57</v>
      </c>
      <c r="I129" t="str">
        <f>VLOOKUP(A129,Setores!$A$2:$C$215,2,0)</f>
        <v>tech</v>
      </c>
      <c r="J129" t="str">
        <f>VLOOKUP(A129,Setores!$A$2:$C$215,3,0)</f>
        <v>very_low_beta</v>
      </c>
      <c r="K129" s="17">
        <v>0</v>
      </c>
      <c r="L129" s="2">
        <v>-2E-3</v>
      </c>
      <c r="M129" s="5">
        <v>1.93860050269333</v>
      </c>
      <c r="N129" s="41">
        <f>VLOOKUP(A129,'Mandato LP'!$A$2:$B$215,2,0)</f>
        <v>0</v>
      </c>
      <c r="O129" s="58">
        <f t="shared" si="13"/>
        <v>0</v>
      </c>
      <c r="P129" s="42">
        <f t="shared" si="14"/>
        <v>0</v>
      </c>
      <c r="Q129" s="41">
        <f>VLOOKUP(A129,'Mandato LP'!$A$2:$C$215,3,0)</f>
        <v>0</v>
      </c>
      <c r="R129" s="42">
        <f t="shared" si="15"/>
        <v>0</v>
      </c>
      <c r="S129" s="15">
        <v>-0.57899999999999996</v>
      </c>
      <c r="T129" s="15">
        <v>-0.77600000000000002</v>
      </c>
      <c r="U129" s="15">
        <v>-0.245</v>
      </c>
      <c r="V129" s="15">
        <v>-0.627</v>
      </c>
      <c r="W129" s="15">
        <v>-0.59699999999999998</v>
      </c>
      <c r="X129" s="15">
        <v>-0.65800000000000003</v>
      </c>
      <c r="Y129" s="15">
        <v>-0.629</v>
      </c>
      <c r="Z129" s="15">
        <v>-0.57899999999999996</v>
      </c>
      <c r="AA129" s="15">
        <v>0.154</v>
      </c>
      <c r="AB129" s="15">
        <v>0.156</v>
      </c>
      <c r="AC129" s="15">
        <v>0.54</v>
      </c>
      <c r="AD129" s="15">
        <v>0.52100000000000002</v>
      </c>
      <c r="AE129" s="15">
        <v>0.47599999999999998</v>
      </c>
      <c r="AF129" s="14">
        <v>-0.36099999999999999</v>
      </c>
      <c r="AG129" s="15">
        <v>-0.222</v>
      </c>
      <c r="AH129" s="15">
        <v>-0.755</v>
      </c>
      <c r="AI129" s="15">
        <v>0.16800000000000001</v>
      </c>
      <c r="AJ129" s="15">
        <v>-0.40699999999999997</v>
      </c>
      <c r="AK129" s="16">
        <v>0.28799999999999998</v>
      </c>
      <c r="AL129" s="4">
        <v>4.1000000000000002E-2</v>
      </c>
      <c r="AM129" s="4">
        <v>0.20399999999999999</v>
      </c>
      <c r="AN129" s="4">
        <v>-0.29499999999999998</v>
      </c>
      <c r="AO129" s="4">
        <v>-8.5000000000000006E-2</v>
      </c>
      <c r="AP129" s="4">
        <v>-0.42199999999999999</v>
      </c>
      <c r="AQ129" s="4">
        <v>-0.377</v>
      </c>
      <c r="AR129" s="4">
        <v>0.13600000000000001</v>
      </c>
      <c r="AS129" s="4">
        <v>7.6999999999999999E-2</v>
      </c>
      <c r="AT129" s="4">
        <v>-0.54200000000000004</v>
      </c>
      <c r="AU129" s="4">
        <v>0.24199999999999999</v>
      </c>
      <c r="AV129" s="4">
        <v>-0.22600000000000001</v>
      </c>
      <c r="AW129" s="4">
        <v>-0.42699999999999999</v>
      </c>
      <c r="AX129" s="4">
        <v>0.38800000000000001</v>
      </c>
      <c r="AY129" s="4">
        <v>0.17799999999999999</v>
      </c>
      <c r="AZ129" s="4">
        <v>0.747</v>
      </c>
      <c r="BA129" s="4">
        <v>0.27400000000000002</v>
      </c>
      <c r="BB129" s="4">
        <v>0.72299999999999998</v>
      </c>
      <c r="BC129" s="4">
        <v>2E-3</v>
      </c>
      <c r="BD129" s="4">
        <v>-0.191</v>
      </c>
      <c r="BE129" s="4">
        <v>0.155</v>
      </c>
      <c r="BF129" s="4">
        <v>0.104</v>
      </c>
      <c r="BG129" s="4">
        <v>0.33900000000000002</v>
      </c>
      <c r="BH129" s="4">
        <v>-0.312</v>
      </c>
      <c r="BI129" s="4">
        <v>-0.64600000000000002</v>
      </c>
      <c r="BJ129" s="4">
        <v>-0.39500000000000002</v>
      </c>
      <c r="BK129" s="4">
        <v>0.498</v>
      </c>
      <c r="BL129" s="4">
        <v>0.40799999999999997</v>
      </c>
      <c r="BM129" s="4"/>
      <c r="BN129" s="4"/>
    </row>
    <row r="130" spans="1:66" x14ac:dyDescent="0.3">
      <c r="A130" t="s">
        <v>180</v>
      </c>
      <c r="B130" s="53">
        <v>0</v>
      </c>
      <c r="C130" s="53">
        <f t="shared" si="10"/>
        <v>0</v>
      </c>
      <c r="D130" s="53">
        <f t="shared" si="11"/>
        <v>0</v>
      </c>
      <c r="E130" s="53">
        <f t="shared" si="12"/>
        <v>0</v>
      </c>
      <c r="F130" s="15">
        <v>0.628</v>
      </c>
      <c r="G130">
        <v>0.69499999999999995</v>
      </c>
      <c r="H130" t="s">
        <v>57</v>
      </c>
      <c r="I130" t="str">
        <f>VLOOKUP(A130,Setores!$A$2:$C$215,2,0)</f>
        <v>apparel</v>
      </c>
      <c r="J130" t="str">
        <f>VLOOKUP(A130,Setores!$A$2:$C$215,3,0)</f>
        <v>high_beta</v>
      </c>
      <c r="K130" s="17">
        <v>0</v>
      </c>
      <c r="L130" s="2">
        <v>0</v>
      </c>
      <c r="M130" s="5">
        <v>0.2103036154</v>
      </c>
      <c r="N130" s="41">
        <f>VLOOKUP(A130,'Mandato LP'!$A$2:$B$215,2,0)</f>
        <v>0</v>
      </c>
      <c r="O130" s="58">
        <f t="shared" si="13"/>
        <v>0</v>
      </c>
      <c r="P130" s="42">
        <f t="shared" si="14"/>
        <v>0</v>
      </c>
      <c r="Q130" s="41">
        <f>VLOOKUP(A130,'Mandato LP'!$A$2:$C$215,3,0)</f>
        <v>0</v>
      </c>
      <c r="R130" s="42">
        <f t="shared" si="15"/>
        <v>0</v>
      </c>
      <c r="S130" s="15">
        <v>-0.35799999999999998</v>
      </c>
      <c r="T130" s="15">
        <v>-0.73499999999999999</v>
      </c>
      <c r="U130" s="15">
        <v>-0.22700000000000001</v>
      </c>
      <c r="V130" s="15">
        <v>-0.53800000000000003</v>
      </c>
      <c r="W130" s="15">
        <v>-0.65600000000000003</v>
      </c>
      <c r="X130" s="15">
        <v>-0.39200000000000002</v>
      </c>
      <c r="Y130" s="15">
        <v>-0.248</v>
      </c>
      <c r="Z130" s="15">
        <v>-0.74199999999999999</v>
      </c>
      <c r="AA130" s="15">
        <v>5.0999999999999997E-2</v>
      </c>
      <c r="AB130" s="15">
        <v>5.1999999999999998E-2</v>
      </c>
      <c r="AC130" s="15">
        <v>0.55400000000000005</v>
      </c>
      <c r="AD130" s="15">
        <v>0.46700000000000003</v>
      </c>
      <c r="AE130" s="15">
        <v>0.253</v>
      </c>
      <c r="AF130" s="14">
        <v>-0.20799999999999999</v>
      </c>
      <c r="AG130" s="15">
        <v>-0.68100000000000005</v>
      </c>
      <c r="AH130" s="15">
        <v>-0.84099999999999997</v>
      </c>
      <c r="AI130" s="15">
        <v>-0.57099999999999995</v>
      </c>
      <c r="AJ130" s="15">
        <v>-1.0999999999999999E-2</v>
      </c>
      <c r="AK130" s="16">
        <v>0.93</v>
      </c>
      <c r="AL130" s="4">
        <v>-0.46899999999999997</v>
      </c>
      <c r="AM130" s="4">
        <v>-0.76300000000000001</v>
      </c>
      <c r="AN130" s="4">
        <v>-0.97299999999999998</v>
      </c>
      <c r="AO130" s="4">
        <v>0.23699999999999999</v>
      </c>
      <c r="AP130" s="4">
        <v>-0.38100000000000001</v>
      </c>
      <c r="AQ130" s="4">
        <v>-0.12</v>
      </c>
      <c r="AR130" s="4">
        <v>5.2999999999999999E-2</v>
      </c>
      <c r="AS130" s="4">
        <v>0.125</v>
      </c>
      <c r="AT130" s="4">
        <v>-0.53900000000000003</v>
      </c>
      <c r="AU130" s="4">
        <v>0.78100000000000003</v>
      </c>
      <c r="AV130" s="4">
        <v>6.2E-2</v>
      </c>
      <c r="AW130" s="4">
        <v>0.623</v>
      </c>
      <c r="AX130" s="4">
        <v>0.38600000000000001</v>
      </c>
      <c r="AY130" s="4">
        <v>8.5000000000000006E-2</v>
      </c>
      <c r="AZ130" s="4">
        <v>0.89800000000000002</v>
      </c>
      <c r="BA130" s="4">
        <v>0.97699999999999998</v>
      </c>
      <c r="BB130" s="4">
        <v>0.42199999999999999</v>
      </c>
      <c r="BC130" s="4">
        <v>-0.60399999999999998</v>
      </c>
      <c r="BD130" s="4">
        <v>-0.57199999999999995</v>
      </c>
      <c r="BE130" s="4">
        <v>0.23499999999999999</v>
      </c>
      <c r="BF130" s="4">
        <v>-0.71099999999999997</v>
      </c>
      <c r="BG130" s="4">
        <v>-0.18</v>
      </c>
      <c r="BH130" s="4">
        <v>0.29199999999999998</v>
      </c>
      <c r="BI130" s="4">
        <v>-0.33600000000000002</v>
      </c>
      <c r="BJ130" s="4">
        <v>0.104</v>
      </c>
      <c r="BK130" s="4">
        <v>0.35099999999999998</v>
      </c>
      <c r="BL130" s="4">
        <v>0.71599999999999997</v>
      </c>
      <c r="BM130" s="4"/>
      <c r="BN130" s="4"/>
    </row>
    <row r="131" spans="1:66" x14ac:dyDescent="0.3">
      <c r="A131" t="s">
        <v>233</v>
      </c>
      <c r="B131" s="53">
        <v>0</v>
      </c>
      <c r="C131" s="53">
        <f t="shared" si="10"/>
        <v>-1E-3</v>
      </c>
      <c r="D131" s="53">
        <f t="shared" si="11"/>
        <v>0</v>
      </c>
      <c r="E131" s="53">
        <f t="shared" si="12"/>
        <v>1E-3</v>
      </c>
      <c r="F131" s="15">
        <v>0.627</v>
      </c>
      <c r="G131">
        <v>0.50700000000000001</v>
      </c>
      <c r="H131" t="s">
        <v>71</v>
      </c>
      <c r="I131" t="str">
        <f>VLOOKUP(A131,Setores!$A$2:$C$215,2,0)</f>
        <v>crude_oil</v>
      </c>
      <c r="J131" t="str">
        <f>VLOOKUP(A131,Setores!$A$2:$C$215,3,0)</f>
        <v>very_low_beta</v>
      </c>
      <c r="K131" s="17">
        <v>0</v>
      </c>
      <c r="L131" s="2">
        <v>-1E-3</v>
      </c>
      <c r="M131" s="5">
        <v>0.16953446957000001</v>
      </c>
      <c r="N131" s="41">
        <f>VLOOKUP(A131,'Mandato LP'!$A$2:$B$215,2,0)</f>
        <v>0</v>
      </c>
      <c r="O131" s="58">
        <f t="shared" si="13"/>
        <v>0</v>
      </c>
      <c r="P131" s="42">
        <f t="shared" si="14"/>
        <v>0</v>
      </c>
      <c r="Q131" s="41">
        <f>VLOOKUP(A131,'Mandato LP'!$A$2:$C$215,3,0)</f>
        <v>0</v>
      </c>
      <c r="R131" s="42">
        <f t="shared" si="15"/>
        <v>0</v>
      </c>
      <c r="S131" s="15">
        <v>-0.83399999999999996</v>
      </c>
      <c r="T131" s="15">
        <v>-8.6999999999999994E-2</v>
      </c>
      <c r="U131" s="15">
        <v>-0.97</v>
      </c>
      <c r="V131" s="15">
        <v>-0.72099999999999997</v>
      </c>
      <c r="W131" s="15">
        <v>-0.66100000000000003</v>
      </c>
      <c r="X131" s="15">
        <v>-0.73799999999999999</v>
      </c>
      <c r="Y131" s="15">
        <v>-0.755</v>
      </c>
      <c r="Z131" s="15">
        <v>-0.57399999999999995</v>
      </c>
      <c r="AA131" s="15">
        <v>0.17299999999999999</v>
      </c>
      <c r="AB131" s="15">
        <v>0.17399999999999999</v>
      </c>
      <c r="AC131" s="15">
        <v>0.76800000000000002</v>
      </c>
      <c r="AD131" s="15">
        <v>0.79800000000000004</v>
      </c>
      <c r="AE131" s="15">
        <v>0.64700000000000002</v>
      </c>
      <c r="AF131" s="14">
        <v>-0.749</v>
      </c>
      <c r="AG131" s="15">
        <v>-0.437</v>
      </c>
      <c r="AH131" s="15">
        <v>0.97399999999999998</v>
      </c>
      <c r="AI131" s="15">
        <v>-0.64900000000000002</v>
      </c>
      <c r="AJ131" s="15">
        <v>-0.158</v>
      </c>
      <c r="AK131" s="16">
        <v>-0.90700000000000003</v>
      </c>
      <c r="AL131" s="4">
        <v>0.105</v>
      </c>
      <c r="AM131" s="4">
        <v>-0.96099999999999997</v>
      </c>
      <c r="AN131" s="4">
        <v>4.2000000000000003E-2</v>
      </c>
      <c r="AO131" s="4">
        <v>0.41099999999999998</v>
      </c>
      <c r="AP131" s="4">
        <v>0.56100000000000005</v>
      </c>
      <c r="AQ131" s="4">
        <v>0.72</v>
      </c>
      <c r="AR131" s="4">
        <v>-0.45</v>
      </c>
      <c r="AS131" s="4">
        <v>-0.32700000000000001</v>
      </c>
      <c r="AT131" s="4">
        <v>-0.46899999999999997</v>
      </c>
      <c r="AU131" s="4">
        <v>-0.316</v>
      </c>
      <c r="AV131" s="4">
        <v>-0.17100000000000001</v>
      </c>
      <c r="AW131" s="4">
        <v>-0.33600000000000002</v>
      </c>
      <c r="AX131" s="4">
        <v>0.106</v>
      </c>
      <c r="AY131" s="4">
        <v>-0.31</v>
      </c>
      <c r="AZ131" s="4">
        <v>0.32800000000000001</v>
      </c>
      <c r="BA131" s="4">
        <v>-0.72199999999999998</v>
      </c>
      <c r="BB131" s="4">
        <v>-0.19</v>
      </c>
      <c r="BC131" s="4">
        <v>-0.36199999999999999</v>
      </c>
      <c r="BD131" s="4">
        <v>0.32300000000000001</v>
      </c>
      <c r="BE131" s="4">
        <v>-0.14599999999999999</v>
      </c>
      <c r="BF131" s="4">
        <v>-0.22600000000000001</v>
      </c>
      <c r="BG131" s="4">
        <v>0.56999999999999995</v>
      </c>
      <c r="BH131" s="4">
        <v>0.27900000000000003</v>
      </c>
      <c r="BI131" s="4">
        <v>0.26500000000000001</v>
      </c>
      <c r="BJ131" s="4">
        <v>-0.98299999999999998</v>
      </c>
      <c r="BK131" s="4">
        <v>-0.91900000000000004</v>
      </c>
      <c r="BL131" s="4">
        <v>0.19</v>
      </c>
      <c r="BM131" s="4"/>
      <c r="BN131" s="4"/>
    </row>
    <row r="132" spans="1:66" x14ac:dyDescent="0.3">
      <c r="A132" t="s">
        <v>168</v>
      </c>
      <c r="B132" s="53">
        <v>0</v>
      </c>
      <c r="C132" s="53">
        <f t="shared" si="10"/>
        <v>-8.9999999999999993E-3</v>
      </c>
      <c r="D132" s="53">
        <f t="shared" si="11"/>
        <v>0</v>
      </c>
      <c r="E132" s="53">
        <f t="shared" si="12"/>
        <v>8.9999999999999993E-3</v>
      </c>
      <c r="F132" s="15">
        <v>0.626</v>
      </c>
      <c r="G132">
        <v>0.82599999999999996</v>
      </c>
      <c r="H132" t="s">
        <v>68</v>
      </c>
      <c r="I132" t="str">
        <f>VLOOKUP(A132,Setores!$A$2:$C$215,2,0)</f>
        <v>capital_goods</v>
      </c>
      <c r="J132" t="str">
        <f>VLOOKUP(A132,Setores!$A$2:$C$215,3,0)</f>
        <v>very_low_beta</v>
      </c>
      <c r="K132" s="17">
        <v>0</v>
      </c>
      <c r="L132" s="2">
        <v>-8.9999999999999993E-3</v>
      </c>
      <c r="M132" s="5">
        <v>1.2139407764666701</v>
      </c>
      <c r="N132" s="41">
        <f>VLOOKUP(A132,'Mandato LP'!$A$2:$B$215,2,0)</f>
        <v>0</v>
      </c>
      <c r="O132" s="58">
        <f t="shared" si="13"/>
        <v>0</v>
      </c>
      <c r="P132" s="42">
        <f t="shared" si="14"/>
        <v>0</v>
      </c>
      <c r="Q132" s="41">
        <f>VLOOKUP(A132,'Mandato LP'!$A$2:$C$215,3,0)</f>
        <v>0</v>
      </c>
      <c r="R132" s="42">
        <f t="shared" si="15"/>
        <v>0</v>
      </c>
      <c r="S132" s="15">
        <v>-0.67200000000000004</v>
      </c>
      <c r="T132" s="15">
        <v>-0.83</v>
      </c>
      <c r="U132" s="15">
        <v>-0.86799999999999999</v>
      </c>
      <c r="V132" s="15">
        <v>-0.63500000000000001</v>
      </c>
      <c r="W132" s="15">
        <v>-0.84899999999999998</v>
      </c>
      <c r="X132" s="15">
        <v>-0.443</v>
      </c>
      <c r="Y132" s="15">
        <v>-0.18</v>
      </c>
      <c r="Z132" s="15">
        <v>-0.64900000000000002</v>
      </c>
      <c r="AA132" s="15">
        <v>0.29099999999999998</v>
      </c>
      <c r="AB132" s="15">
        <v>0.29199999999999998</v>
      </c>
      <c r="AC132" s="15">
        <v>0.63600000000000001</v>
      </c>
      <c r="AD132" s="15">
        <v>0.57199999999999995</v>
      </c>
      <c r="AE132" s="15">
        <v>0.46400000000000002</v>
      </c>
      <c r="AF132" s="14">
        <v>-0.40300000000000002</v>
      </c>
      <c r="AG132" s="15">
        <v>-0.66200000000000003</v>
      </c>
      <c r="AH132" s="15">
        <v>-0.79400000000000004</v>
      </c>
      <c r="AI132" s="15">
        <v>-1</v>
      </c>
      <c r="AJ132" s="15">
        <v>-0.97499999999999998</v>
      </c>
      <c r="AK132" s="16">
        <v>-0.64100000000000001</v>
      </c>
      <c r="AL132" s="4">
        <v>-0.39100000000000001</v>
      </c>
      <c r="AM132" s="4">
        <v>-0.55900000000000005</v>
      </c>
      <c r="AN132" s="4">
        <v>-0.96899999999999997</v>
      </c>
      <c r="AO132" s="4">
        <v>0.56699999999999995</v>
      </c>
      <c r="AP132" s="4">
        <v>5.6000000000000001E-2</v>
      </c>
      <c r="AQ132" s="4">
        <v>-0.41799999999999998</v>
      </c>
      <c r="AR132" s="4">
        <v>0.17899999999999999</v>
      </c>
      <c r="AS132" s="4">
        <v>0.252</v>
      </c>
      <c r="AT132" s="4">
        <v>-0.52500000000000002</v>
      </c>
      <c r="AU132" s="4">
        <v>0.72799999999999998</v>
      </c>
      <c r="AV132" s="4">
        <v>-0.11</v>
      </c>
      <c r="AW132" s="4">
        <v>0.17</v>
      </c>
      <c r="AX132" s="4">
        <v>0.61399999999999999</v>
      </c>
      <c r="AY132" s="4">
        <v>0.53700000000000003</v>
      </c>
      <c r="AZ132" s="4">
        <v>0.94099999999999995</v>
      </c>
      <c r="BA132" s="4">
        <v>0.51800000000000002</v>
      </c>
      <c r="BB132" s="4">
        <v>0.218</v>
      </c>
      <c r="BC132" s="4">
        <v>0.189</v>
      </c>
      <c r="BD132" s="4">
        <v>0.26200000000000001</v>
      </c>
      <c r="BE132" s="4">
        <v>0.22700000000000001</v>
      </c>
      <c r="BF132" s="4">
        <v>0.157</v>
      </c>
      <c r="BG132" s="4">
        <v>0.38200000000000001</v>
      </c>
      <c r="BH132" s="4">
        <v>0.48599999999999999</v>
      </c>
      <c r="BI132" s="4">
        <v>-0.34699999999999998</v>
      </c>
      <c r="BJ132" s="4">
        <v>-1.7000000000000001E-2</v>
      </c>
      <c r="BK132" s="4">
        <v>-9.5000000000000001E-2</v>
      </c>
      <c r="BL132" s="4">
        <v>-1</v>
      </c>
      <c r="BM132" s="4"/>
      <c r="BN132" s="4"/>
    </row>
    <row r="133" spans="1:66" x14ac:dyDescent="0.3">
      <c r="A133" t="s">
        <v>209</v>
      </c>
      <c r="B133" s="53">
        <v>0</v>
      </c>
      <c r="C133" s="53">
        <f t="shared" si="10"/>
        <v>0</v>
      </c>
      <c r="D133" s="53">
        <f t="shared" si="11"/>
        <v>0</v>
      </c>
      <c r="E133" s="53">
        <f t="shared" si="12"/>
        <v>0</v>
      </c>
      <c r="F133" s="15">
        <v>0.61899999999999999</v>
      </c>
      <c r="G133">
        <v>0.80900000000000005</v>
      </c>
      <c r="H133" t="s">
        <v>55</v>
      </c>
      <c r="I133" t="str">
        <f>VLOOKUP(A133,Setores!$A$2:$C$215,2,0)</f>
        <v>utilities</v>
      </c>
      <c r="J133" t="str">
        <f>VLOOKUP(A133,Setores!$A$2:$C$215,3,0)</f>
        <v>high_beta</v>
      </c>
      <c r="K133" s="17">
        <v>0</v>
      </c>
      <c r="L133" s="2">
        <v>0</v>
      </c>
      <c r="M133" s="5">
        <v>0</v>
      </c>
      <c r="N133" s="41">
        <f>VLOOKUP(A133,'Mandato LP'!$A$2:$B$215,2,0)</f>
        <v>0</v>
      </c>
      <c r="O133" s="58">
        <f t="shared" si="13"/>
        <v>0</v>
      </c>
      <c r="P133" s="42">
        <f t="shared" si="14"/>
        <v>0</v>
      </c>
      <c r="Q133" s="41">
        <f>VLOOKUP(A133,'Mandato LP'!$A$2:$C$215,3,0)</f>
        <v>0</v>
      </c>
      <c r="R133" s="42">
        <f t="shared" si="15"/>
        <v>0</v>
      </c>
      <c r="S133" s="15">
        <v>-0.69599999999999995</v>
      </c>
      <c r="T133" s="15">
        <v>-0.72499999999999998</v>
      </c>
      <c r="U133" s="15">
        <v>-0.92600000000000005</v>
      </c>
      <c r="V133" s="15">
        <v>-0.754</v>
      </c>
      <c r="W133" s="15">
        <v>-0.88400000000000001</v>
      </c>
      <c r="X133" s="15">
        <v>-0.42699999999999999</v>
      </c>
      <c r="Y133" s="15">
        <v>-0.20499999999999999</v>
      </c>
      <c r="Z133" s="15">
        <v>-0.73599999999999999</v>
      </c>
      <c r="AA133" s="15">
        <v>9.4E-2</v>
      </c>
      <c r="AB133" s="15">
        <v>9.9000000000000005E-2</v>
      </c>
      <c r="AC133" s="15">
        <v>0.77900000000000003</v>
      </c>
      <c r="AD133" s="15">
        <v>0.81399999999999995</v>
      </c>
      <c r="AE133" s="15">
        <v>0.56499999999999995</v>
      </c>
      <c r="AF133" s="14">
        <v>-1</v>
      </c>
      <c r="AG133" s="15">
        <v>-0.48799999999999999</v>
      </c>
      <c r="AH133" s="15">
        <v>-0.42599999999999999</v>
      </c>
      <c r="AI133" s="15">
        <v>-1</v>
      </c>
      <c r="AJ133" s="15">
        <v>-0.89400000000000002</v>
      </c>
      <c r="AK133" s="16">
        <v>-0.89600000000000002</v>
      </c>
      <c r="AL133" s="4">
        <v>-0.378</v>
      </c>
      <c r="AM133" s="4">
        <v>-0.746</v>
      </c>
      <c r="AN133" s="4">
        <v>-0.55300000000000005</v>
      </c>
      <c r="AO133" s="4">
        <v>-0.34100000000000003</v>
      </c>
      <c r="AP133" s="4">
        <v>0.161</v>
      </c>
      <c r="AQ133" s="4">
        <v>0.39800000000000002</v>
      </c>
      <c r="AR133" s="4">
        <v>0.24</v>
      </c>
      <c r="AS133" s="4">
        <v>0.82699999999999996</v>
      </c>
      <c r="AT133" s="4">
        <v>0.40500000000000003</v>
      </c>
      <c r="AU133" s="4">
        <v>-0.214</v>
      </c>
      <c r="AV133" s="4">
        <v>2E-3</v>
      </c>
      <c r="AW133" s="4">
        <v>-0.59099999999999997</v>
      </c>
      <c r="AX133" s="4">
        <v>0.52</v>
      </c>
      <c r="AY133" s="4">
        <v>-0.58199999999999996</v>
      </c>
      <c r="AZ133" s="4">
        <v>0.77900000000000003</v>
      </c>
      <c r="BA133" s="4">
        <v>0.502</v>
      </c>
      <c r="BB133" s="4">
        <v>0.79100000000000004</v>
      </c>
      <c r="BC133" s="4">
        <v>1.4999999999999999E-2</v>
      </c>
      <c r="BD133" s="4">
        <v>3.9E-2</v>
      </c>
      <c r="BE133" s="4">
        <v>0.49299999999999999</v>
      </c>
      <c r="BF133" s="4">
        <v>0.27300000000000002</v>
      </c>
      <c r="BG133" s="4">
        <v>0.14199999999999999</v>
      </c>
      <c r="BH133" s="4">
        <v>0.68300000000000005</v>
      </c>
      <c r="BI133" s="4">
        <v>-0.625</v>
      </c>
      <c r="BJ133" s="4">
        <v>0.154</v>
      </c>
      <c r="BK133" s="4">
        <v>0.17</v>
      </c>
      <c r="BL133" s="4">
        <v>-1</v>
      </c>
      <c r="BM133" s="4"/>
      <c r="BN133" s="4"/>
    </row>
    <row r="134" spans="1:66" x14ac:dyDescent="0.3">
      <c r="A134" t="s">
        <v>190</v>
      </c>
      <c r="B134" s="53">
        <v>0</v>
      </c>
      <c r="C134" s="53">
        <f t="shared" si="10"/>
        <v>0</v>
      </c>
      <c r="D134" s="53">
        <f t="shared" si="11"/>
        <v>0</v>
      </c>
      <c r="E134" s="53">
        <f t="shared" si="12"/>
        <v>0</v>
      </c>
      <c r="F134" s="15">
        <v>0.61899999999999999</v>
      </c>
      <c r="G134">
        <v>0.44500000000000001</v>
      </c>
      <c r="H134" t="s">
        <v>68</v>
      </c>
      <c r="I134" t="str">
        <f>VLOOKUP(A134,Setores!$A$2:$C$215,2,0)</f>
        <v>capital_goods</v>
      </c>
      <c r="J134" t="str">
        <f>VLOOKUP(A134,Setores!$A$2:$C$215,3,0)</f>
        <v>very_high_beta</v>
      </c>
      <c r="K134" s="17">
        <v>0</v>
      </c>
      <c r="L134" s="2">
        <v>0</v>
      </c>
      <c r="M134" s="5">
        <v>0.37920470976666698</v>
      </c>
      <c r="N134" s="41">
        <f>VLOOKUP(A134,'Mandato LP'!$A$2:$B$215,2,0)</f>
        <v>0</v>
      </c>
      <c r="O134" s="58">
        <f t="shared" si="13"/>
        <v>0</v>
      </c>
      <c r="P134" s="42">
        <f t="shared" si="14"/>
        <v>0</v>
      </c>
      <c r="Q134" s="41">
        <f>VLOOKUP(A134,'Mandato LP'!$A$2:$C$215,3,0)</f>
        <v>0</v>
      </c>
      <c r="R134" s="42">
        <f t="shared" si="15"/>
        <v>0</v>
      </c>
      <c r="S134" s="15">
        <v>-0.55100000000000005</v>
      </c>
      <c r="T134" s="15">
        <v>-0.372</v>
      </c>
      <c r="U134" s="15">
        <v>-0.21099999999999999</v>
      </c>
      <c r="V134" s="15">
        <v>-0.77200000000000002</v>
      </c>
      <c r="W134" s="15">
        <v>-0.50900000000000001</v>
      </c>
      <c r="X134" s="15">
        <v>-0.67200000000000004</v>
      </c>
      <c r="Y134" s="15">
        <v>-0.61599999999999999</v>
      </c>
      <c r="Z134" s="15">
        <v>-0.53</v>
      </c>
      <c r="AA134" s="15">
        <v>-9.4E-2</v>
      </c>
      <c r="AB134" s="15">
        <v>-0.1</v>
      </c>
      <c r="AC134" s="15">
        <v>0.35</v>
      </c>
      <c r="AD134" s="15">
        <v>-7.2999999999999995E-2</v>
      </c>
      <c r="AE134" s="15">
        <v>0.499</v>
      </c>
      <c r="AF134" s="14">
        <v>-0.69499999999999995</v>
      </c>
      <c r="AG134" s="15">
        <v>-0.29299999999999998</v>
      </c>
      <c r="AH134" s="15">
        <v>-0.42699999999999999</v>
      </c>
      <c r="AI134" s="15">
        <v>0.19500000000000001</v>
      </c>
      <c r="AJ134" s="15">
        <v>0.60599999999999998</v>
      </c>
      <c r="AK134" s="16">
        <v>-0.69299999999999995</v>
      </c>
      <c r="AL134" s="4">
        <v>-0.44</v>
      </c>
      <c r="AM134" s="4">
        <v>0.252</v>
      </c>
      <c r="AN134" s="4">
        <v>-0.24199999999999999</v>
      </c>
      <c r="AO134" s="4">
        <v>0.58299999999999996</v>
      </c>
      <c r="AP134" s="4">
        <v>-0.107</v>
      </c>
      <c r="AQ134" s="4">
        <v>-0.13</v>
      </c>
      <c r="AR134" s="4">
        <v>-0.23200000000000001</v>
      </c>
      <c r="AS134" s="4">
        <v>0.21</v>
      </c>
      <c r="AT134" s="4">
        <v>-0.2</v>
      </c>
      <c r="AU134" s="4">
        <v>-0.23799999999999999</v>
      </c>
      <c r="AV134" s="4">
        <v>-0.215</v>
      </c>
      <c r="AW134" s="4">
        <v>-0.63100000000000001</v>
      </c>
      <c r="AX134" s="4">
        <v>-0.70699999999999996</v>
      </c>
      <c r="AY134" s="4">
        <v>-0.193</v>
      </c>
      <c r="AZ134" s="4">
        <v>0.37</v>
      </c>
      <c r="BA134" s="4">
        <v>-7.6999999999999999E-2</v>
      </c>
      <c r="BB134" s="4">
        <v>-0.2</v>
      </c>
      <c r="BC134" s="4">
        <v>-0.47399999999999998</v>
      </c>
      <c r="BD134" s="4">
        <v>-0.76800000000000002</v>
      </c>
      <c r="BE134" s="4">
        <v>0.104</v>
      </c>
      <c r="BF134" s="4">
        <v>1</v>
      </c>
      <c r="BG134" s="4">
        <v>0.53400000000000003</v>
      </c>
      <c r="BH134" s="4">
        <v>0.33600000000000002</v>
      </c>
      <c r="BI134" s="4">
        <v>0.501</v>
      </c>
      <c r="BJ134" s="4">
        <v>1</v>
      </c>
      <c r="BK134" s="4">
        <v>0.61799999999999999</v>
      </c>
      <c r="BL134" s="4">
        <v>0.51</v>
      </c>
      <c r="BM134" s="4"/>
      <c r="BN134" s="4"/>
    </row>
    <row r="135" spans="1:66" x14ac:dyDescent="0.3">
      <c r="A135" t="s">
        <v>232</v>
      </c>
      <c r="B135" s="53">
        <v>0</v>
      </c>
      <c r="C135" s="53">
        <f t="shared" si="10"/>
        <v>0</v>
      </c>
      <c r="D135" s="53">
        <f t="shared" si="11"/>
        <v>0</v>
      </c>
      <c r="E135" s="53">
        <f t="shared" si="12"/>
        <v>0</v>
      </c>
      <c r="F135" s="15">
        <v>0.61799999999999999</v>
      </c>
      <c r="G135">
        <v>0.49199999999999999</v>
      </c>
      <c r="H135" t="s">
        <v>57</v>
      </c>
      <c r="I135" t="str">
        <f>VLOOKUP(A135,Setores!$A$2:$C$215,2,0)</f>
        <v>apparel</v>
      </c>
      <c r="J135" t="str">
        <f>VLOOKUP(A135,Setores!$A$2:$C$215,3,0)</f>
        <v>low_beta</v>
      </c>
      <c r="K135" s="17">
        <v>0</v>
      </c>
      <c r="L135" s="2">
        <v>0</v>
      </c>
      <c r="M135" s="5">
        <v>1.8415181742</v>
      </c>
      <c r="N135" s="41">
        <f>VLOOKUP(A135,'Mandato LP'!$A$2:$B$215,2,0)</f>
        <v>0</v>
      </c>
      <c r="O135" s="58">
        <f t="shared" si="13"/>
        <v>0</v>
      </c>
      <c r="P135" s="42">
        <f t="shared" si="14"/>
        <v>0</v>
      </c>
      <c r="Q135" s="41">
        <f>VLOOKUP(A135,'Mandato LP'!$A$2:$C$215,3,0)</f>
        <v>0</v>
      </c>
      <c r="R135" s="42">
        <f t="shared" si="15"/>
        <v>0</v>
      </c>
      <c r="S135" s="15">
        <v>-0.54</v>
      </c>
      <c r="T135" s="15">
        <v>-0.64500000000000002</v>
      </c>
      <c r="U135" s="15">
        <v>-0.313</v>
      </c>
      <c r="V135" s="15">
        <v>-0.37</v>
      </c>
      <c r="W135" s="15">
        <v>-0.34200000000000003</v>
      </c>
      <c r="X135" s="15">
        <v>-0.51200000000000001</v>
      </c>
      <c r="Y135" s="15">
        <v>-0.503</v>
      </c>
      <c r="Z135" s="15">
        <v>-0.61899999999999999</v>
      </c>
      <c r="AA135" s="15">
        <v>-5.3999999999999999E-2</v>
      </c>
      <c r="AB135" s="15">
        <v>-5.5E-2</v>
      </c>
      <c r="AC135" s="15">
        <v>0.64200000000000002</v>
      </c>
      <c r="AD135" s="15">
        <v>0.55700000000000005</v>
      </c>
      <c r="AE135" s="15">
        <v>0.219</v>
      </c>
      <c r="AF135" s="14">
        <v>0.94599999999999995</v>
      </c>
      <c r="AG135" s="15">
        <v>0.30599999999999999</v>
      </c>
      <c r="AH135" s="15">
        <v>-0.68100000000000005</v>
      </c>
      <c r="AI135" s="15">
        <v>0.13200000000000001</v>
      </c>
      <c r="AJ135" s="15">
        <v>-0.78400000000000003</v>
      </c>
      <c r="AK135" s="16">
        <v>-0.191</v>
      </c>
      <c r="AL135" s="4">
        <v>0.34599999999999997</v>
      </c>
      <c r="AM135" s="4">
        <v>3.3000000000000002E-2</v>
      </c>
      <c r="AN135" s="4">
        <v>0.378</v>
      </c>
      <c r="AO135" s="4">
        <v>1</v>
      </c>
      <c r="AP135" s="4">
        <v>-0.88500000000000001</v>
      </c>
      <c r="AQ135" s="4">
        <v>-0.41799999999999998</v>
      </c>
      <c r="AR135" s="4">
        <v>1.7999999999999999E-2</v>
      </c>
      <c r="AS135" s="4">
        <v>-0.42599999999999999</v>
      </c>
      <c r="AT135" s="4">
        <v>-0.75900000000000001</v>
      </c>
      <c r="AU135" s="4">
        <v>5.7000000000000002E-2</v>
      </c>
      <c r="AV135" s="4">
        <v>-0.26100000000000001</v>
      </c>
      <c r="AW135" s="4">
        <v>0.29199999999999998</v>
      </c>
      <c r="AX135" s="4">
        <v>-0.20699999999999999</v>
      </c>
      <c r="AY135" s="4">
        <v>-0.2</v>
      </c>
      <c r="AZ135" s="4">
        <v>0.79200000000000004</v>
      </c>
      <c r="BA135" s="4">
        <v>0.499</v>
      </c>
      <c r="BB135" s="4">
        <v>-0.60099999999999998</v>
      </c>
      <c r="BC135" s="4">
        <v>-0.51700000000000002</v>
      </c>
      <c r="BD135" s="4">
        <v>-0.17699999999999999</v>
      </c>
      <c r="BE135" s="4">
        <v>-0.10299999999999999</v>
      </c>
      <c r="BF135" s="4">
        <v>-0.04</v>
      </c>
      <c r="BG135" s="4">
        <v>0.749</v>
      </c>
      <c r="BH135" s="4">
        <v>0.19800000000000001</v>
      </c>
      <c r="BI135" s="4">
        <v>0.57099999999999995</v>
      </c>
      <c r="BJ135" s="4">
        <v>-0.32800000000000001</v>
      </c>
      <c r="BK135" s="4">
        <v>-0.76800000000000002</v>
      </c>
      <c r="BL135" s="4">
        <v>0.27100000000000002</v>
      </c>
      <c r="BM135" s="4"/>
      <c r="BN135" s="4"/>
    </row>
    <row r="136" spans="1:66" x14ac:dyDescent="0.3">
      <c r="A136" t="s">
        <v>177</v>
      </c>
      <c r="B136" s="53">
        <v>0</v>
      </c>
      <c r="C136" s="53">
        <f t="shared" si="10"/>
        <v>0</v>
      </c>
      <c r="D136" s="53">
        <f t="shared" si="11"/>
        <v>0</v>
      </c>
      <c r="E136" s="53">
        <f t="shared" si="12"/>
        <v>0</v>
      </c>
      <c r="F136" s="15">
        <v>0.61699999999999999</v>
      </c>
      <c r="G136">
        <v>0.75600000000000001</v>
      </c>
      <c r="H136" t="s">
        <v>71</v>
      </c>
      <c r="I136" t="str">
        <f>VLOOKUP(A136,Setores!$A$2:$C$215,2,0)</f>
        <v>basic_materials</v>
      </c>
      <c r="J136" t="str">
        <f>VLOOKUP(A136,Setores!$A$2:$C$215,3,0)</f>
        <v>low_beta</v>
      </c>
      <c r="K136" s="17">
        <v>0</v>
      </c>
      <c r="L136" s="2">
        <v>0</v>
      </c>
      <c r="M136" s="5">
        <v>0.24244550559866701</v>
      </c>
      <c r="N136" s="41">
        <f>VLOOKUP(A136,'Mandato LP'!$A$2:$B$215,2,0)</f>
        <v>0</v>
      </c>
      <c r="O136" s="58">
        <f t="shared" si="13"/>
        <v>0</v>
      </c>
      <c r="P136" s="42">
        <f t="shared" si="14"/>
        <v>0</v>
      </c>
      <c r="Q136" s="41">
        <f>VLOOKUP(A136,'Mandato LP'!$A$2:$C$215,3,0)</f>
        <v>0</v>
      </c>
      <c r="R136" s="42">
        <f t="shared" si="15"/>
        <v>0</v>
      </c>
      <c r="S136" s="15">
        <v>-0.90200000000000002</v>
      </c>
      <c r="T136" s="15">
        <v>-0.88700000000000001</v>
      </c>
      <c r="U136" s="15">
        <v>-0.91</v>
      </c>
      <c r="V136" s="15">
        <v>-0.85799999999999998</v>
      </c>
      <c r="W136" s="15">
        <v>-0.89400000000000002</v>
      </c>
      <c r="X136" s="15">
        <v>-0.56299999999999994</v>
      </c>
      <c r="Y136" s="15">
        <v>-0.223</v>
      </c>
      <c r="Z136" s="15">
        <v>-0.66300000000000003</v>
      </c>
      <c r="AA136" s="15">
        <v>0.58599999999999997</v>
      </c>
      <c r="AB136" s="15">
        <v>0.58099999999999996</v>
      </c>
      <c r="AC136" s="15">
        <v>0.58199999999999996</v>
      </c>
      <c r="AD136" s="15">
        <v>0.69799999999999995</v>
      </c>
      <c r="AE136" s="15">
        <v>0.56000000000000005</v>
      </c>
      <c r="AF136" s="14">
        <v>-0.78400000000000003</v>
      </c>
      <c r="AG136" s="15">
        <v>-0.97599999999999998</v>
      </c>
      <c r="AH136" s="15">
        <v>-0.68899999999999995</v>
      </c>
      <c r="AI136" s="15">
        <v>-0.80400000000000005</v>
      </c>
      <c r="AJ136" s="15">
        <v>-0.84099999999999997</v>
      </c>
      <c r="AK136" s="16">
        <v>-0.98599999999999999</v>
      </c>
      <c r="AL136" s="4">
        <v>5.8999999999999997E-2</v>
      </c>
      <c r="AM136" s="4">
        <v>-1.6E-2</v>
      </c>
      <c r="AN136" s="4">
        <v>-0.41799999999999998</v>
      </c>
      <c r="AO136" s="4">
        <v>-0.185</v>
      </c>
      <c r="AP136" s="4">
        <v>2.9000000000000001E-2</v>
      </c>
      <c r="AQ136" s="4">
        <v>-0.63400000000000001</v>
      </c>
      <c r="AR136" s="4">
        <v>-0.82299999999999995</v>
      </c>
      <c r="AS136" s="4">
        <v>-0.45500000000000002</v>
      </c>
      <c r="AT136" s="4">
        <v>-0.40300000000000002</v>
      </c>
      <c r="AU136" s="4">
        <v>-0.108</v>
      </c>
      <c r="AV136" s="4">
        <v>-0.187</v>
      </c>
      <c r="AW136" s="4">
        <v>-0.56799999999999995</v>
      </c>
      <c r="AX136" s="4">
        <v>0.99199999999999999</v>
      </c>
      <c r="AY136" s="4">
        <v>-0.373</v>
      </c>
      <c r="AZ136" s="4">
        <v>0.627</v>
      </c>
      <c r="BA136" s="4">
        <v>-0.50900000000000001</v>
      </c>
      <c r="BB136" s="4">
        <v>0.16200000000000001</v>
      </c>
      <c r="BC136" s="4">
        <v>6.0999999999999999E-2</v>
      </c>
      <c r="BD136" s="4">
        <v>6.9000000000000006E-2</v>
      </c>
      <c r="BE136" s="4">
        <v>0.31900000000000001</v>
      </c>
      <c r="BF136" s="4">
        <v>8.9999999999999993E-3</v>
      </c>
      <c r="BG136" s="4">
        <v>0.251</v>
      </c>
      <c r="BH136" s="4">
        <v>1</v>
      </c>
      <c r="BI136" s="4">
        <v>-0.161</v>
      </c>
      <c r="BJ136" s="4">
        <v>-0.60299999999999998</v>
      </c>
      <c r="BK136" s="4">
        <v>0.85899999999999999</v>
      </c>
      <c r="BL136" s="4">
        <v>-0.26700000000000002</v>
      </c>
      <c r="BM136" s="4"/>
      <c r="BN136" s="4"/>
    </row>
    <row r="137" spans="1:66" x14ac:dyDescent="0.3">
      <c r="A137" t="s">
        <v>159</v>
      </c>
      <c r="B137" s="53">
        <v>0</v>
      </c>
      <c r="C137" s="53">
        <f t="shared" si="10"/>
        <v>0</v>
      </c>
      <c r="D137" s="53">
        <f t="shared" si="11"/>
        <v>0</v>
      </c>
      <c r="E137" s="53">
        <f t="shared" si="12"/>
        <v>0</v>
      </c>
      <c r="F137" s="15">
        <v>0.61699999999999999</v>
      </c>
      <c r="G137">
        <v>0.76600000000000001</v>
      </c>
      <c r="H137" t="s">
        <v>71</v>
      </c>
      <c r="I137" t="str">
        <f>VLOOKUP(A137,Setores!$A$2:$C$215,2,0)</f>
        <v>basic_materials</v>
      </c>
      <c r="J137" t="str">
        <f>VLOOKUP(A137,Setores!$A$2:$C$215,3,0)</f>
        <v>low_beta</v>
      </c>
      <c r="K137" s="17">
        <v>0</v>
      </c>
      <c r="L137" s="2">
        <v>0</v>
      </c>
      <c r="M137" s="5">
        <v>0.24244550559866701</v>
      </c>
      <c r="N137" s="41">
        <f>VLOOKUP(A137,'Mandato LP'!$A$2:$B$215,2,0)</f>
        <v>0</v>
      </c>
      <c r="O137" s="58">
        <f t="shared" si="13"/>
        <v>0</v>
      </c>
      <c r="P137" s="42">
        <f t="shared" si="14"/>
        <v>0</v>
      </c>
      <c r="Q137" s="41">
        <f>VLOOKUP(A137,'Mandato LP'!$A$2:$C$215,3,0)</f>
        <v>0</v>
      </c>
      <c r="R137" s="42">
        <f t="shared" si="15"/>
        <v>0</v>
      </c>
      <c r="S137" s="15">
        <v>-0.88900000000000001</v>
      </c>
      <c r="T137" s="15">
        <v>-0.873</v>
      </c>
      <c r="U137" s="15">
        <v>-0.92200000000000004</v>
      </c>
      <c r="V137" s="15">
        <v>-0.85</v>
      </c>
      <c r="W137" s="15">
        <v>-0.89300000000000002</v>
      </c>
      <c r="X137" s="15">
        <v>-0.53400000000000003</v>
      </c>
      <c r="Y137" s="15">
        <v>-0.21099999999999999</v>
      </c>
      <c r="Z137" s="15">
        <v>-0.63500000000000001</v>
      </c>
      <c r="AA137" s="15">
        <v>0.48499999999999999</v>
      </c>
      <c r="AB137" s="15">
        <v>0.48</v>
      </c>
      <c r="AC137" s="15">
        <v>0.56399999999999995</v>
      </c>
      <c r="AD137" s="15">
        <v>0.69499999999999995</v>
      </c>
      <c r="AE137" s="15">
        <v>0.55800000000000005</v>
      </c>
      <c r="AF137" s="14">
        <v>-0.78300000000000003</v>
      </c>
      <c r="AG137" s="15">
        <v>-0.97599999999999998</v>
      </c>
      <c r="AH137" s="15">
        <v>-0.64200000000000002</v>
      </c>
      <c r="AI137" s="15">
        <v>-0.80400000000000005</v>
      </c>
      <c r="AJ137" s="15">
        <v>-0.80800000000000005</v>
      </c>
      <c r="AK137" s="16">
        <v>-0.98599999999999999</v>
      </c>
      <c r="AL137" s="4">
        <v>5.8999999999999997E-2</v>
      </c>
      <c r="AM137" s="4">
        <v>3.0000000000000001E-3</v>
      </c>
      <c r="AN137" s="4">
        <v>-0.41799999999999998</v>
      </c>
      <c r="AO137" s="4">
        <v>-0.187</v>
      </c>
      <c r="AP137" s="4">
        <v>5.7000000000000002E-2</v>
      </c>
      <c r="AQ137" s="4">
        <v>-0.59299999999999997</v>
      </c>
      <c r="AR137" s="4">
        <v>-0.82299999999999995</v>
      </c>
      <c r="AS137" s="4">
        <v>-0.45500000000000002</v>
      </c>
      <c r="AT137" s="4">
        <v>-0.40300000000000002</v>
      </c>
      <c r="AU137" s="4">
        <v>-0.108</v>
      </c>
      <c r="AV137" s="4">
        <v>-0.187</v>
      </c>
      <c r="AW137" s="4">
        <v>-0.56799999999999995</v>
      </c>
      <c r="AX137" s="4">
        <v>0.97199999999999998</v>
      </c>
      <c r="AY137" s="4">
        <v>-0.373</v>
      </c>
      <c r="AZ137" s="4">
        <v>0.627</v>
      </c>
      <c r="BA137" s="4">
        <v>-0.437</v>
      </c>
      <c r="BB137" s="4">
        <v>0.65200000000000002</v>
      </c>
      <c r="BC137" s="4">
        <v>6.0999999999999999E-2</v>
      </c>
      <c r="BD137" s="4">
        <v>6.9000000000000006E-2</v>
      </c>
      <c r="BE137" s="4">
        <v>0.33</v>
      </c>
      <c r="BF137" s="4">
        <v>0.04</v>
      </c>
      <c r="BG137" s="4">
        <v>0.47199999999999998</v>
      </c>
      <c r="BH137" s="4">
        <v>0.93100000000000005</v>
      </c>
      <c r="BI137" s="4">
        <v>-0.19600000000000001</v>
      </c>
      <c r="BJ137" s="4">
        <v>-0.57599999999999996</v>
      </c>
      <c r="BK137" s="4">
        <v>0.56499999999999995</v>
      </c>
      <c r="BL137" s="4">
        <v>-0.26700000000000002</v>
      </c>
      <c r="BM137" s="4"/>
      <c r="BN137" s="4"/>
    </row>
    <row r="138" spans="1:66" x14ac:dyDescent="0.3">
      <c r="A138" t="s">
        <v>158</v>
      </c>
      <c r="B138" s="53">
        <v>0</v>
      </c>
      <c r="C138" s="53">
        <f t="shared" ref="C138:C201" si="16">B138-E138</f>
        <v>-6.0000000000000001E-3</v>
      </c>
      <c r="D138" s="53">
        <f t="shared" ref="D138:D201" si="17">B138-K138</f>
        <v>0</v>
      </c>
      <c r="E138" s="53">
        <f t="shared" ref="E138:E201" si="18">K138-L138</f>
        <v>6.0000000000000001E-3</v>
      </c>
      <c r="F138" s="15">
        <v>0.61699999999999999</v>
      </c>
      <c r="G138">
        <v>0.90800000000000003</v>
      </c>
      <c r="H138" t="s">
        <v>71</v>
      </c>
      <c r="I138" t="str">
        <f>VLOOKUP(A138,Setores!$A$2:$C$215,2,0)</f>
        <v>food</v>
      </c>
      <c r="J138" t="str">
        <f>VLOOKUP(A138,Setores!$A$2:$C$215,3,0)</f>
        <v>very_low_beta</v>
      </c>
      <c r="K138" s="17">
        <v>0</v>
      </c>
      <c r="L138" s="2">
        <v>-6.0000000000000001E-3</v>
      </c>
      <c r="M138" s="5">
        <v>0.74532796420333303</v>
      </c>
      <c r="N138" s="41">
        <f>VLOOKUP(A138,'Mandato LP'!$A$2:$B$215,2,0)</f>
        <v>0</v>
      </c>
      <c r="O138" s="58">
        <f t="shared" ref="O138:O201" si="19">K138-N138</f>
        <v>0</v>
      </c>
      <c r="P138" s="42">
        <f t="shared" ref="P138:P201" si="20">B138-N138</f>
        <v>0</v>
      </c>
      <c r="Q138" s="41">
        <f>VLOOKUP(A138,'Mandato LP'!$A$2:$C$215,3,0)</f>
        <v>0</v>
      </c>
      <c r="R138" s="42">
        <f t="shared" ref="R138:R201" si="21">K138-Q138</f>
        <v>0</v>
      </c>
      <c r="S138" s="15">
        <v>-0.89900000000000002</v>
      </c>
      <c r="T138" s="15">
        <v>-0.75800000000000001</v>
      </c>
      <c r="U138" s="15">
        <v>-0.96199999999999997</v>
      </c>
      <c r="V138" s="15">
        <v>-0.81299999999999994</v>
      </c>
      <c r="W138" s="15">
        <v>-0.85399999999999998</v>
      </c>
      <c r="X138" s="15">
        <v>-0.65400000000000003</v>
      </c>
      <c r="Y138" s="15">
        <v>-0.52300000000000002</v>
      </c>
      <c r="Z138" s="15">
        <v>-0.54500000000000004</v>
      </c>
      <c r="AA138" s="15">
        <v>0.45200000000000001</v>
      </c>
      <c r="AB138" s="15">
        <v>0.44900000000000001</v>
      </c>
      <c r="AC138" s="15">
        <v>0.51700000000000002</v>
      </c>
      <c r="AD138" s="15">
        <v>0.61099999999999999</v>
      </c>
      <c r="AE138" s="15">
        <v>0.63</v>
      </c>
      <c r="AF138" s="14">
        <v>-0.90300000000000002</v>
      </c>
      <c r="AG138" s="15">
        <v>-1</v>
      </c>
      <c r="AH138" s="15">
        <v>2.4E-2</v>
      </c>
      <c r="AI138" s="15">
        <v>-0.80100000000000005</v>
      </c>
      <c r="AJ138" s="15">
        <v>9.5000000000000001E-2</v>
      </c>
      <c r="AK138" s="16">
        <v>-0.88700000000000001</v>
      </c>
      <c r="AL138" s="4">
        <v>-0.3</v>
      </c>
      <c r="AM138" s="4">
        <v>-0.30299999999999999</v>
      </c>
      <c r="AN138" s="4">
        <v>-0.57099999999999995</v>
      </c>
      <c r="AO138" s="4">
        <v>-0.38500000000000001</v>
      </c>
      <c r="AP138" s="4">
        <v>0.41</v>
      </c>
      <c r="AQ138" s="4">
        <v>0.872</v>
      </c>
      <c r="AR138" s="4">
        <v>-0.39600000000000002</v>
      </c>
      <c r="AS138" s="4">
        <v>-0.30299999999999999</v>
      </c>
      <c r="AT138" s="4">
        <v>-0.42899999999999999</v>
      </c>
      <c r="AU138" s="4">
        <v>-5.8000000000000003E-2</v>
      </c>
      <c r="AV138" s="4">
        <v>-0.50800000000000001</v>
      </c>
      <c r="AW138" s="4">
        <v>-0.47199999999999998</v>
      </c>
      <c r="AX138" s="4">
        <v>1</v>
      </c>
      <c r="AY138" s="4">
        <v>-0.36</v>
      </c>
      <c r="AZ138" s="4">
        <v>0.36</v>
      </c>
      <c r="BA138" s="4">
        <v>-0.92</v>
      </c>
      <c r="BB138" s="4">
        <v>-0.38400000000000001</v>
      </c>
      <c r="BC138" s="4">
        <v>-0.32400000000000001</v>
      </c>
      <c r="BD138" s="4">
        <v>-0.70299999999999996</v>
      </c>
      <c r="BE138" s="4">
        <v>0.222</v>
      </c>
      <c r="BF138" s="4">
        <v>-0.23</v>
      </c>
      <c r="BG138" s="4">
        <v>0.96699999999999997</v>
      </c>
      <c r="BH138" s="4">
        <v>0.81699999999999995</v>
      </c>
      <c r="BI138" s="4">
        <v>-0.19600000000000001</v>
      </c>
      <c r="BJ138" s="4">
        <v>-0.57299999999999995</v>
      </c>
      <c r="BK138" s="4">
        <v>4.5999999999999999E-2</v>
      </c>
      <c r="BL138" s="4">
        <v>-8.7999999999999995E-2</v>
      </c>
      <c r="BM138" s="4"/>
      <c r="BN138" s="4"/>
    </row>
    <row r="139" spans="1:66" x14ac:dyDescent="0.3">
      <c r="A139" t="s">
        <v>162</v>
      </c>
      <c r="B139" s="53">
        <v>0</v>
      </c>
      <c r="C139" s="53">
        <f t="shared" si="16"/>
        <v>0</v>
      </c>
      <c r="D139" s="53">
        <f t="shared" si="17"/>
        <v>0</v>
      </c>
      <c r="E139" s="53">
        <f t="shared" si="18"/>
        <v>0</v>
      </c>
      <c r="F139" s="15">
        <v>0.61599999999999999</v>
      </c>
      <c r="G139">
        <v>0.747</v>
      </c>
      <c r="H139" t="s">
        <v>57</v>
      </c>
      <c r="I139" t="str">
        <f>VLOOKUP(A139,Setores!$A$2:$C$215,2,0)</f>
        <v>banks</v>
      </c>
      <c r="J139" t="str">
        <f>VLOOKUP(A139,Setores!$A$2:$C$215,3,0)</f>
        <v>neutral_beta</v>
      </c>
      <c r="K139" s="17">
        <v>0</v>
      </c>
      <c r="L139" s="2">
        <v>0</v>
      </c>
      <c r="M139" s="5">
        <v>0.96552327685666695</v>
      </c>
      <c r="N139" s="41">
        <f>VLOOKUP(A139,'Mandato LP'!$A$2:$B$215,2,0)</f>
        <v>0</v>
      </c>
      <c r="O139" s="58">
        <f t="shared" si="19"/>
        <v>0</v>
      </c>
      <c r="P139" s="42">
        <f t="shared" si="20"/>
        <v>0</v>
      </c>
      <c r="Q139" s="41">
        <f>VLOOKUP(A139,'Mandato LP'!$A$2:$C$215,3,0)</f>
        <v>0</v>
      </c>
      <c r="R139" s="42">
        <f t="shared" si="21"/>
        <v>0</v>
      </c>
      <c r="S139" s="15">
        <v>-0.78</v>
      </c>
      <c r="T139" s="15">
        <v>-0.86799999999999999</v>
      </c>
      <c r="U139" s="15">
        <v>-0.77900000000000003</v>
      </c>
      <c r="V139" s="15">
        <v>-0.77100000000000002</v>
      </c>
      <c r="W139" s="15">
        <v>-0.83599999999999997</v>
      </c>
      <c r="X139" s="15">
        <v>-0.56799999999999995</v>
      </c>
      <c r="Y139" s="15">
        <v>-0.23499999999999999</v>
      </c>
      <c r="Z139" s="15">
        <v>-0.77300000000000002</v>
      </c>
      <c r="AA139" s="15">
        <v>0.5</v>
      </c>
      <c r="AB139" s="15">
        <v>0.495</v>
      </c>
      <c r="AC139" s="15">
        <v>0.66200000000000003</v>
      </c>
      <c r="AD139" s="15">
        <v>0.60699999999999998</v>
      </c>
      <c r="AE139" s="15">
        <v>0.56699999999999995</v>
      </c>
      <c r="AF139" s="14">
        <v>-0.71599999999999997</v>
      </c>
      <c r="AG139" s="15">
        <v>0.186</v>
      </c>
      <c r="AH139" s="15">
        <v>-0.75700000000000001</v>
      </c>
      <c r="AI139" s="15">
        <v>-0.86799999999999999</v>
      </c>
      <c r="AJ139" s="15">
        <v>-1</v>
      </c>
      <c r="AK139" s="16">
        <v>-0.998</v>
      </c>
      <c r="AL139" s="4">
        <v>-0.247</v>
      </c>
      <c r="AM139" s="4">
        <v>-2E-3</v>
      </c>
      <c r="AN139" s="4">
        <v>8.1000000000000003E-2</v>
      </c>
      <c r="AO139" s="4">
        <v>0.22600000000000001</v>
      </c>
      <c r="AP139" s="4">
        <v>-0.53400000000000003</v>
      </c>
      <c r="AQ139" s="4">
        <v>-0.46600000000000003</v>
      </c>
      <c r="AR139" s="4">
        <v>9.6000000000000002E-2</v>
      </c>
      <c r="AS139" s="4">
        <v>0.255</v>
      </c>
      <c r="AT139" s="4">
        <v>0.245</v>
      </c>
      <c r="AU139" s="4">
        <v>-0.17899999999999999</v>
      </c>
      <c r="AV139" s="4">
        <v>-0.35499999999999998</v>
      </c>
      <c r="AW139" s="4">
        <v>-0.72399999999999998</v>
      </c>
      <c r="AX139" s="4">
        <v>0.434</v>
      </c>
      <c r="AY139" s="4">
        <v>-0.438</v>
      </c>
      <c r="AZ139" s="4">
        <v>5.7000000000000002E-2</v>
      </c>
      <c r="BA139" s="4">
        <v>-0.6</v>
      </c>
      <c r="BB139" s="4">
        <v>0.27600000000000002</v>
      </c>
      <c r="BC139" s="4">
        <v>-0.108</v>
      </c>
      <c r="BD139" s="4">
        <v>-0.26900000000000002</v>
      </c>
      <c r="BE139" s="4">
        <v>0.23699999999999999</v>
      </c>
      <c r="BF139" s="4">
        <v>-0.11</v>
      </c>
      <c r="BG139" s="4">
        <v>0.29699999999999999</v>
      </c>
      <c r="BH139" s="4">
        <v>0.97299999999999998</v>
      </c>
      <c r="BI139" s="4">
        <v>-0.16800000000000001</v>
      </c>
      <c r="BJ139" s="4">
        <v>-0.14599999999999999</v>
      </c>
      <c r="BK139" s="4">
        <v>1</v>
      </c>
      <c r="BL139" s="4">
        <v>-0.57699999999999996</v>
      </c>
      <c r="BM139" s="4"/>
      <c r="BN139" s="4"/>
    </row>
    <row r="140" spans="1:66" x14ac:dyDescent="0.3">
      <c r="A140" t="s">
        <v>253</v>
      </c>
      <c r="B140" s="53">
        <v>0</v>
      </c>
      <c r="C140" s="53">
        <f t="shared" si="16"/>
        <v>0</v>
      </c>
      <c r="D140" s="53">
        <f t="shared" si="17"/>
        <v>0</v>
      </c>
      <c r="E140" s="53">
        <f t="shared" si="18"/>
        <v>0</v>
      </c>
      <c r="F140" s="15">
        <v>0.61099999999999999</v>
      </c>
      <c r="G140">
        <v>0.502</v>
      </c>
      <c r="H140" t="s">
        <v>68</v>
      </c>
      <c r="I140" t="str">
        <f>VLOOKUP(A140,Setores!$A$2:$C$215,2,0)</f>
        <v>capital_goods</v>
      </c>
      <c r="J140" t="str">
        <f>VLOOKUP(A140,Setores!$A$2:$C$215,3,0)</f>
        <v>very_high_beta</v>
      </c>
      <c r="K140" s="17">
        <v>0</v>
      </c>
      <c r="L140" s="2">
        <v>0</v>
      </c>
      <c r="M140" s="5">
        <v>0.33071511333333298</v>
      </c>
      <c r="N140" s="41">
        <f>VLOOKUP(A140,'Mandato LP'!$A$2:$B$215,2,0)</f>
        <v>0</v>
      </c>
      <c r="O140" s="58">
        <f t="shared" si="19"/>
        <v>0</v>
      </c>
      <c r="P140" s="42">
        <f t="shared" si="20"/>
        <v>0</v>
      </c>
      <c r="Q140" s="41">
        <f>VLOOKUP(A140,'Mandato LP'!$A$2:$C$215,3,0)</f>
        <v>0</v>
      </c>
      <c r="R140" s="42">
        <f t="shared" si="21"/>
        <v>0</v>
      </c>
      <c r="S140" s="15">
        <v>-0.52400000000000002</v>
      </c>
      <c r="T140" s="15">
        <v>-0.433</v>
      </c>
      <c r="U140" s="15">
        <v>-8.6999999999999994E-2</v>
      </c>
      <c r="V140" s="15">
        <v>-0.72899999999999998</v>
      </c>
      <c r="W140" s="15">
        <v>-0.47599999999999998</v>
      </c>
      <c r="X140" s="15">
        <v>-0.69099999999999995</v>
      </c>
      <c r="Y140" s="15">
        <v>-0.68400000000000005</v>
      </c>
      <c r="Z140" s="15">
        <v>-0.86899999999999999</v>
      </c>
      <c r="AA140" s="15">
        <v>0.26400000000000001</v>
      </c>
      <c r="AB140" s="15">
        <v>0.26300000000000001</v>
      </c>
      <c r="AC140" s="15">
        <v>0.53900000000000003</v>
      </c>
      <c r="AD140" s="15">
        <v>0.54</v>
      </c>
      <c r="AE140" s="15">
        <v>0.42099999999999999</v>
      </c>
      <c r="AF140" s="14">
        <v>-0.41599999999999998</v>
      </c>
      <c r="AG140" s="15">
        <v>-2.9000000000000001E-2</v>
      </c>
      <c r="AH140" s="15">
        <v>-0.34</v>
      </c>
      <c r="AI140" s="15">
        <v>1</v>
      </c>
      <c r="AJ140" s="15">
        <v>-0.60099999999999998</v>
      </c>
      <c r="AK140" s="16">
        <v>-0.66300000000000003</v>
      </c>
      <c r="AL140" s="4">
        <v>0.85099999999999998</v>
      </c>
      <c r="AM140" s="4">
        <v>-0.63500000000000001</v>
      </c>
      <c r="AN140" s="4">
        <v>0.63</v>
      </c>
      <c r="AO140" s="4">
        <v>-0.309</v>
      </c>
      <c r="AP140" s="4">
        <v>-0.71899999999999997</v>
      </c>
      <c r="AQ140" s="4">
        <v>-0.53400000000000003</v>
      </c>
      <c r="AR140" s="4">
        <v>-0.187</v>
      </c>
      <c r="AS140" s="4">
        <v>-0.23499999999999999</v>
      </c>
      <c r="AT140" s="4">
        <v>-0.436</v>
      </c>
      <c r="AU140" s="4">
        <v>3.2000000000000001E-2</v>
      </c>
      <c r="AV140" s="4">
        <v>-0.47099999999999997</v>
      </c>
      <c r="AW140" s="4">
        <v>-0.51100000000000001</v>
      </c>
      <c r="AX140" s="4">
        <v>-1.9E-2</v>
      </c>
      <c r="AY140" s="4">
        <v>-0.20100000000000001</v>
      </c>
      <c r="AZ140" s="4">
        <v>0.56899999999999995</v>
      </c>
      <c r="BA140" s="4">
        <v>6.5000000000000002E-2</v>
      </c>
      <c r="BB140" s="4">
        <v>-0.52600000000000002</v>
      </c>
      <c r="BC140" s="4">
        <v>8.1000000000000003E-2</v>
      </c>
      <c r="BD140" s="4">
        <v>0.27800000000000002</v>
      </c>
      <c r="BE140" s="4">
        <v>0.01</v>
      </c>
      <c r="BF140" s="4">
        <v>-0.13100000000000001</v>
      </c>
      <c r="BG140" s="4">
        <v>-7.0000000000000001E-3</v>
      </c>
      <c r="BH140" s="4">
        <v>0.57699999999999996</v>
      </c>
      <c r="BI140" s="4">
        <v>0.31</v>
      </c>
      <c r="BJ140" s="4">
        <v>0.67600000000000005</v>
      </c>
      <c r="BK140" s="4">
        <v>0.496</v>
      </c>
      <c r="BL140" s="4">
        <v>0.38400000000000001</v>
      </c>
      <c r="BM140" s="4"/>
      <c r="BN140" s="4"/>
    </row>
    <row r="141" spans="1:66" x14ac:dyDescent="0.3">
      <c r="A141" t="s">
        <v>161</v>
      </c>
      <c r="B141" s="53">
        <v>0</v>
      </c>
      <c r="C141" s="53">
        <f t="shared" si="16"/>
        <v>0</v>
      </c>
      <c r="D141" s="53">
        <f t="shared" si="17"/>
        <v>0</v>
      </c>
      <c r="E141" s="53">
        <f t="shared" si="18"/>
        <v>0</v>
      </c>
      <c r="F141" s="15">
        <v>0.60799999999999998</v>
      </c>
      <c r="G141">
        <v>0.71099999999999997</v>
      </c>
      <c r="H141" t="s">
        <v>57</v>
      </c>
      <c r="I141" t="str">
        <f>VLOOKUP(A141,Setores!$A$2:$C$215,2,0)</f>
        <v>banks</v>
      </c>
      <c r="J141" t="str">
        <f>VLOOKUP(A141,Setores!$A$2:$C$215,3,0)</f>
        <v>neutral_beta</v>
      </c>
      <c r="K141" s="17">
        <v>0</v>
      </c>
      <c r="L141" s="2">
        <v>0</v>
      </c>
      <c r="M141" s="5">
        <v>0.87774843350333298</v>
      </c>
      <c r="N141" s="41">
        <f>VLOOKUP(A141,'Mandato LP'!$A$2:$B$215,2,0)</f>
        <v>0</v>
      </c>
      <c r="O141" s="58">
        <f t="shared" si="19"/>
        <v>0</v>
      </c>
      <c r="P141" s="42">
        <f t="shared" si="20"/>
        <v>0</v>
      </c>
      <c r="Q141" s="41">
        <f>VLOOKUP(A141,'Mandato LP'!$A$2:$C$215,3,0)</f>
        <v>0</v>
      </c>
      <c r="R141" s="42">
        <f t="shared" si="21"/>
        <v>0</v>
      </c>
      <c r="S141" s="15">
        <v>-0.78700000000000003</v>
      </c>
      <c r="T141" s="15">
        <v>-0.87</v>
      </c>
      <c r="U141" s="15">
        <v>-0.78</v>
      </c>
      <c r="V141" s="15">
        <v>-0.78</v>
      </c>
      <c r="W141" s="15">
        <v>-0.84</v>
      </c>
      <c r="X141" s="15">
        <v>-0.61</v>
      </c>
      <c r="Y141" s="15">
        <v>-0.38100000000000001</v>
      </c>
      <c r="Z141" s="15">
        <v>-0.76800000000000002</v>
      </c>
      <c r="AA141" s="15">
        <v>0.46800000000000003</v>
      </c>
      <c r="AB141" s="15">
        <v>0.46400000000000002</v>
      </c>
      <c r="AC141" s="15">
        <v>0.63400000000000001</v>
      </c>
      <c r="AD141" s="15">
        <v>0.67100000000000004</v>
      </c>
      <c r="AE141" s="15">
        <v>0.56699999999999995</v>
      </c>
      <c r="AF141" s="14">
        <v>-0.73399999999999999</v>
      </c>
      <c r="AG141" s="15">
        <v>0.16800000000000001</v>
      </c>
      <c r="AH141" s="15">
        <v>-0.7</v>
      </c>
      <c r="AI141" s="15">
        <v>-0.871</v>
      </c>
      <c r="AJ141" s="15">
        <v>-1</v>
      </c>
      <c r="AK141" s="16">
        <v>-1</v>
      </c>
      <c r="AL141" s="4">
        <v>-0.22600000000000001</v>
      </c>
      <c r="AM141" s="4">
        <v>-1.4999999999999999E-2</v>
      </c>
      <c r="AN141" s="4">
        <v>7.9000000000000001E-2</v>
      </c>
      <c r="AO141" s="4">
        <v>0.20100000000000001</v>
      </c>
      <c r="AP141" s="4">
        <v>-0.47799999999999998</v>
      </c>
      <c r="AQ141" s="4">
        <v>-0.499</v>
      </c>
      <c r="AR141" s="4">
        <v>9.6000000000000002E-2</v>
      </c>
      <c r="AS141" s="4">
        <v>0.255</v>
      </c>
      <c r="AT141" s="4">
        <v>0.245</v>
      </c>
      <c r="AU141" s="4">
        <v>-0.19900000000000001</v>
      </c>
      <c r="AV141" s="4">
        <v>-0.52400000000000002</v>
      </c>
      <c r="AW141" s="4">
        <v>-0.74299999999999999</v>
      </c>
      <c r="AX141" s="4">
        <v>0.34100000000000003</v>
      </c>
      <c r="AY141" s="4">
        <v>-0.42099999999999999</v>
      </c>
      <c r="AZ141" s="4">
        <v>5.7000000000000002E-2</v>
      </c>
      <c r="BA141" s="4">
        <v>-0.437</v>
      </c>
      <c r="BB141" s="4">
        <v>0.19700000000000001</v>
      </c>
      <c r="BC141" s="4">
        <v>-0.158</v>
      </c>
      <c r="BD141" s="4">
        <v>-0.23</v>
      </c>
      <c r="BE141" s="4">
        <v>0.26</v>
      </c>
      <c r="BF141" s="4">
        <v>7.4999999999999997E-2</v>
      </c>
      <c r="BG141" s="4">
        <v>-0.124</v>
      </c>
      <c r="BH141" s="4">
        <v>0.92</v>
      </c>
      <c r="BI141" s="4">
        <v>-0.23</v>
      </c>
      <c r="BJ141" s="4">
        <v>-1.7999999999999999E-2</v>
      </c>
      <c r="BK141" s="4">
        <v>1</v>
      </c>
      <c r="BL141" s="4">
        <v>-0.57699999999999996</v>
      </c>
      <c r="BM141" s="4"/>
      <c r="BN141" s="4"/>
    </row>
    <row r="142" spans="1:66" x14ac:dyDescent="0.3">
      <c r="A142" t="s">
        <v>236</v>
      </c>
      <c r="B142" s="53">
        <v>0</v>
      </c>
      <c r="C142" s="53">
        <f t="shared" si="16"/>
        <v>0</v>
      </c>
      <c r="D142" s="53">
        <f t="shared" si="17"/>
        <v>0</v>
      </c>
      <c r="E142" s="53">
        <f t="shared" si="18"/>
        <v>0</v>
      </c>
      <c r="F142" s="15">
        <v>0.60699999999999998</v>
      </c>
      <c r="G142">
        <v>0.59399999999999997</v>
      </c>
      <c r="H142" t="s">
        <v>68</v>
      </c>
      <c r="I142" t="str">
        <f>VLOOKUP(A142,Setores!$A$2:$C$215,2,0)</f>
        <v>building_materials</v>
      </c>
      <c r="J142" t="str">
        <f>VLOOKUP(A142,Setores!$A$2:$C$215,3,0)</f>
        <v>very_high_beta</v>
      </c>
      <c r="K142" s="17">
        <v>0</v>
      </c>
      <c r="L142" s="2">
        <v>0</v>
      </c>
      <c r="M142" s="5">
        <v>0.113469799866667</v>
      </c>
      <c r="N142" s="41">
        <f>VLOOKUP(A142,'Mandato LP'!$A$2:$B$215,2,0)</f>
        <v>0</v>
      </c>
      <c r="O142" s="58">
        <f t="shared" si="19"/>
        <v>0</v>
      </c>
      <c r="P142" s="42">
        <f t="shared" si="20"/>
        <v>0</v>
      </c>
      <c r="Q142" s="41">
        <f>VLOOKUP(A142,'Mandato LP'!$A$2:$C$215,3,0)</f>
        <v>0</v>
      </c>
      <c r="R142" s="42">
        <f t="shared" si="21"/>
        <v>0</v>
      </c>
      <c r="S142" s="15">
        <v>-0.63400000000000001</v>
      </c>
      <c r="T142" s="15">
        <v>-0.41499999999999998</v>
      </c>
      <c r="U142" s="15">
        <v>-0.66300000000000003</v>
      </c>
      <c r="V142" s="15">
        <v>-0.76200000000000001</v>
      </c>
      <c r="W142" s="15">
        <v>-0.71299999999999997</v>
      </c>
      <c r="X142" s="15">
        <v>-0.77300000000000002</v>
      </c>
      <c r="Y142" s="15">
        <v>-0.77300000000000002</v>
      </c>
      <c r="Z142" s="15">
        <v>-0.77</v>
      </c>
      <c r="AA142" s="15">
        <v>0.107</v>
      </c>
      <c r="AB142" s="15">
        <v>0.104</v>
      </c>
      <c r="AC142" s="15">
        <v>0.64500000000000002</v>
      </c>
      <c r="AD142" s="15">
        <v>0.69799999999999995</v>
      </c>
      <c r="AE142" s="15">
        <v>0.63400000000000001</v>
      </c>
      <c r="AF142" s="14">
        <v>-0.46300000000000002</v>
      </c>
      <c r="AG142" s="15">
        <v>-0.74399999999999999</v>
      </c>
      <c r="AH142" s="15">
        <v>-0.248</v>
      </c>
      <c r="AI142" s="15">
        <v>-0.48499999999999999</v>
      </c>
      <c r="AJ142" s="15">
        <v>-0.312</v>
      </c>
      <c r="AK142" s="16">
        <v>-0.84199999999999997</v>
      </c>
      <c r="AL142" s="4">
        <v>6.8000000000000005E-2</v>
      </c>
      <c r="AM142" s="4">
        <v>-0.77900000000000003</v>
      </c>
      <c r="AN142" s="4">
        <v>6.9000000000000006E-2</v>
      </c>
      <c r="AO142" s="4">
        <v>-0.24</v>
      </c>
      <c r="AP142" s="4">
        <v>1.4999999999999999E-2</v>
      </c>
      <c r="AQ142" s="4">
        <v>-0.02</v>
      </c>
      <c r="AR142" s="4">
        <v>-0.71299999999999997</v>
      </c>
      <c r="AS142" s="4">
        <v>0.34599999999999997</v>
      </c>
      <c r="AT142" s="4">
        <v>0.30199999999999999</v>
      </c>
      <c r="AU142" s="4">
        <v>-0.129</v>
      </c>
      <c r="AV142" s="4">
        <v>-0.34399999999999997</v>
      </c>
      <c r="AW142" s="4">
        <v>-0.216</v>
      </c>
      <c r="AX142" s="4">
        <v>2.4E-2</v>
      </c>
      <c r="AY142" s="4">
        <v>-0.23899999999999999</v>
      </c>
      <c r="AZ142" s="4">
        <v>0.85299999999999998</v>
      </c>
      <c r="BA142" s="4">
        <v>0.14899999999999999</v>
      </c>
      <c r="BB142" s="4">
        <v>0.45100000000000001</v>
      </c>
      <c r="BC142" s="4">
        <v>-5.0000000000000001E-3</v>
      </c>
      <c r="BD142" s="4">
        <v>1.2999999999999999E-2</v>
      </c>
      <c r="BE142" s="4">
        <v>0.214</v>
      </c>
      <c r="BF142" s="4">
        <v>-0.11899999999999999</v>
      </c>
      <c r="BG142" s="4">
        <v>-0.155</v>
      </c>
      <c r="BH142" s="4">
        <v>1.4999999999999999E-2</v>
      </c>
      <c r="BI142" s="4">
        <v>0.17399999999999999</v>
      </c>
      <c r="BJ142" s="4">
        <v>0.76900000000000002</v>
      </c>
      <c r="BK142" s="4">
        <v>0.43</v>
      </c>
      <c r="BL142" s="4">
        <v>-0.14199999999999999</v>
      </c>
      <c r="BM142" s="4"/>
      <c r="BN142" s="4"/>
    </row>
    <row r="143" spans="1:66" x14ac:dyDescent="0.3">
      <c r="A143" t="s">
        <v>149</v>
      </c>
      <c r="B143" s="53">
        <v>0</v>
      </c>
      <c r="C143" s="53">
        <f t="shared" si="16"/>
        <v>0</v>
      </c>
      <c r="D143" s="53">
        <f t="shared" si="17"/>
        <v>0</v>
      </c>
      <c r="E143" s="53">
        <f t="shared" si="18"/>
        <v>0</v>
      </c>
      <c r="F143" s="15">
        <v>0.60299999999999998</v>
      </c>
      <c r="G143">
        <v>0.44900000000000001</v>
      </c>
      <c r="H143" t="s">
        <v>53</v>
      </c>
      <c r="I143" t="str">
        <f>VLOOKUP(A143,Setores!$A$2:$C$215,2,0)</f>
        <v>healthcare</v>
      </c>
      <c r="J143" t="str">
        <f>VLOOKUP(A143,Setores!$A$2:$C$215,3,0)</f>
        <v>very_high_beta</v>
      </c>
      <c r="K143" s="17">
        <v>0</v>
      </c>
      <c r="L143" s="2">
        <v>0</v>
      </c>
      <c r="M143" s="5">
        <v>1.8424286666666699E-3</v>
      </c>
      <c r="N143" s="41">
        <f>VLOOKUP(A143,'Mandato LP'!$A$2:$B$215,2,0)</f>
        <v>0</v>
      </c>
      <c r="O143" s="58">
        <f t="shared" si="19"/>
        <v>0</v>
      </c>
      <c r="P143" s="42">
        <f t="shared" si="20"/>
        <v>0</v>
      </c>
      <c r="Q143" s="41">
        <f>VLOOKUP(A143,'Mandato LP'!$A$2:$C$215,3,0)</f>
        <v>0</v>
      </c>
      <c r="R143" s="42">
        <f t="shared" si="21"/>
        <v>0</v>
      </c>
      <c r="S143" s="15">
        <v>-0.27500000000000002</v>
      </c>
      <c r="T143" s="15">
        <v>0.13600000000000001</v>
      </c>
      <c r="U143" s="15">
        <v>-0.14000000000000001</v>
      </c>
      <c r="V143" s="15">
        <v>-0.66300000000000003</v>
      </c>
      <c r="W143" s="15">
        <v>-0.3</v>
      </c>
      <c r="X143" s="15">
        <v>-0.72199999999999998</v>
      </c>
      <c r="Y143" s="15">
        <v>-0.66700000000000004</v>
      </c>
      <c r="Z143" s="15">
        <v>-0.876</v>
      </c>
      <c r="AA143" s="15">
        <v>-0.26100000000000001</v>
      </c>
      <c r="AB143" s="15">
        <v>-0.25800000000000001</v>
      </c>
      <c r="AC143" s="15">
        <v>0.26700000000000002</v>
      </c>
      <c r="AD143" s="15">
        <v>0.129</v>
      </c>
      <c r="AE143" s="15">
        <v>0.38800000000000001</v>
      </c>
      <c r="AF143" s="14">
        <v>-0.39300000000000002</v>
      </c>
      <c r="AG143" s="15">
        <v>-0.28899999999999998</v>
      </c>
      <c r="AH143" s="15">
        <v>-0.154</v>
      </c>
      <c r="AI143" s="15">
        <v>0.70799999999999996</v>
      </c>
      <c r="AJ143" s="15">
        <v>0.186</v>
      </c>
      <c r="AK143" s="16">
        <v>-0.23899999999999999</v>
      </c>
      <c r="AL143" s="4">
        <v>0.11600000000000001</v>
      </c>
      <c r="AM143" s="4">
        <v>-0.96199999999999997</v>
      </c>
      <c r="AN143" s="4">
        <v>0.34899999999999998</v>
      </c>
      <c r="AO143" s="4">
        <v>-0.23100000000000001</v>
      </c>
      <c r="AP143" s="4">
        <v>-0.46400000000000002</v>
      </c>
      <c r="AQ143" s="4">
        <v>-0.17799999999999999</v>
      </c>
      <c r="AR143" s="4">
        <v>-0.15</v>
      </c>
      <c r="AS143" s="4">
        <v>0.47399999999999998</v>
      </c>
      <c r="AT143" s="4">
        <v>0.438</v>
      </c>
      <c r="AU143" s="4">
        <v>-1E-3</v>
      </c>
      <c r="AV143" s="4">
        <v>0.32700000000000001</v>
      </c>
      <c r="AW143" s="4">
        <v>-0.152</v>
      </c>
      <c r="AX143" s="4">
        <v>-0.70399999999999996</v>
      </c>
      <c r="AY143" s="4">
        <v>-0.128</v>
      </c>
      <c r="AZ143" s="4">
        <v>0.49</v>
      </c>
      <c r="BA143" s="4">
        <v>-1</v>
      </c>
      <c r="BB143" s="4">
        <v>0.20899999999999999</v>
      </c>
      <c r="BC143" s="4">
        <v>0.22</v>
      </c>
      <c r="BD143" s="4">
        <v>0.248</v>
      </c>
      <c r="BE143" s="4">
        <v>0.34799999999999998</v>
      </c>
      <c r="BF143" s="4">
        <v>0.16800000000000001</v>
      </c>
      <c r="BG143" s="4">
        <v>-4.2999999999999997E-2</v>
      </c>
      <c r="BH143" s="4">
        <v>9.6000000000000002E-2</v>
      </c>
      <c r="BI143" s="4">
        <v>0.91200000000000003</v>
      </c>
      <c r="BJ143" s="4">
        <v>0.57899999999999996</v>
      </c>
      <c r="BK143" s="4">
        <v>-0.192</v>
      </c>
      <c r="BL143" s="4">
        <v>0.93</v>
      </c>
      <c r="BM143" s="4"/>
      <c r="BN143" s="4"/>
    </row>
    <row r="144" spans="1:66" x14ac:dyDescent="0.3">
      <c r="A144" t="s">
        <v>172</v>
      </c>
      <c r="B144" s="53">
        <v>0</v>
      </c>
      <c r="C144" s="53">
        <f t="shared" si="16"/>
        <v>-2E-3</v>
      </c>
      <c r="D144" s="53">
        <f t="shared" si="17"/>
        <v>0</v>
      </c>
      <c r="E144" s="53">
        <f t="shared" si="18"/>
        <v>2E-3</v>
      </c>
      <c r="F144" s="15">
        <v>0.59299999999999997</v>
      </c>
      <c r="G144">
        <v>0.76200000000000001</v>
      </c>
      <c r="H144" t="s">
        <v>71</v>
      </c>
      <c r="I144" t="str">
        <f>VLOOKUP(A144,Setores!$A$2:$C$215,2,0)</f>
        <v>basic_materials</v>
      </c>
      <c r="J144" t="str">
        <f>VLOOKUP(A144,Setores!$A$2:$C$215,3,0)</f>
        <v>low_beta</v>
      </c>
      <c r="K144" s="17">
        <v>0</v>
      </c>
      <c r="L144" s="2">
        <v>-2E-3</v>
      </c>
      <c r="M144" s="5">
        <v>1.2122275276666701</v>
      </c>
      <c r="N144" s="41">
        <f>VLOOKUP(A144,'Mandato LP'!$A$2:$B$215,2,0)</f>
        <v>0</v>
      </c>
      <c r="O144" s="58">
        <f t="shared" si="19"/>
        <v>0</v>
      </c>
      <c r="P144" s="42">
        <f t="shared" si="20"/>
        <v>0</v>
      </c>
      <c r="Q144" s="41">
        <f>VLOOKUP(A144,'Mandato LP'!$A$2:$C$215,3,0)</f>
        <v>0</v>
      </c>
      <c r="R144" s="42">
        <f t="shared" si="21"/>
        <v>0</v>
      </c>
      <c r="S144" s="15">
        <v>-0.94799999999999995</v>
      </c>
      <c r="T144" s="15">
        <v>-0.90500000000000003</v>
      </c>
      <c r="U144" s="15">
        <v>-0.98199999999999998</v>
      </c>
      <c r="V144" s="15">
        <v>-0.874</v>
      </c>
      <c r="W144" s="15">
        <v>-0.92100000000000004</v>
      </c>
      <c r="X144" s="15">
        <v>-0.67100000000000004</v>
      </c>
      <c r="Y144" s="15">
        <v>-0.36199999999999999</v>
      </c>
      <c r="Z144" s="15">
        <v>-0.67200000000000004</v>
      </c>
      <c r="AA144" s="15">
        <v>0.54400000000000004</v>
      </c>
      <c r="AB144" s="15">
        <v>0.53800000000000003</v>
      </c>
      <c r="AC144" s="15">
        <v>0.59299999999999997</v>
      </c>
      <c r="AD144" s="15">
        <v>0.65400000000000003</v>
      </c>
      <c r="AE144" s="15">
        <v>0.503</v>
      </c>
      <c r="AF144" s="14">
        <v>-0.78300000000000003</v>
      </c>
      <c r="AG144" s="15">
        <v>-0.97499999999999998</v>
      </c>
      <c r="AH144" s="15">
        <v>-0.56899999999999995</v>
      </c>
      <c r="AI144" s="15">
        <v>-0.80400000000000005</v>
      </c>
      <c r="AJ144" s="15">
        <v>-0.75600000000000001</v>
      </c>
      <c r="AK144" s="16">
        <v>-0.98599999999999999</v>
      </c>
      <c r="AL144" s="4">
        <v>5.8999999999999997E-2</v>
      </c>
      <c r="AM144" s="4">
        <v>0</v>
      </c>
      <c r="AN144" s="4">
        <v>-0.41799999999999998</v>
      </c>
      <c r="AO144" s="4">
        <v>-0.185</v>
      </c>
      <c r="AP144" s="4">
        <v>0.08</v>
      </c>
      <c r="AQ144" s="4">
        <v>-0.623</v>
      </c>
      <c r="AR144" s="4">
        <v>-0.82299999999999995</v>
      </c>
      <c r="AS144" s="4">
        <v>-0.45500000000000002</v>
      </c>
      <c r="AT144" s="4">
        <v>-0.40300000000000002</v>
      </c>
      <c r="AU144" s="4">
        <v>-0.108</v>
      </c>
      <c r="AV144" s="4">
        <v>-0.187</v>
      </c>
      <c r="AW144" s="4">
        <v>-0.56799999999999995</v>
      </c>
      <c r="AX144" s="4">
        <v>0.95699999999999996</v>
      </c>
      <c r="AY144" s="4">
        <v>-0.373</v>
      </c>
      <c r="AZ144" s="4">
        <v>0.627</v>
      </c>
      <c r="BA144" s="4">
        <v>-0.58399999999999996</v>
      </c>
      <c r="BB144" s="4">
        <v>-0.60799999999999998</v>
      </c>
      <c r="BC144" s="4">
        <v>6.0999999999999999E-2</v>
      </c>
      <c r="BD144" s="4">
        <v>6.9000000000000006E-2</v>
      </c>
      <c r="BE144" s="4">
        <v>0.32400000000000001</v>
      </c>
      <c r="BF144" s="4">
        <v>8.7999999999999995E-2</v>
      </c>
      <c r="BG144" s="4">
        <v>0.42899999999999999</v>
      </c>
      <c r="BH144" s="4">
        <v>0.98399999999999999</v>
      </c>
      <c r="BI144" s="4">
        <v>-0.219</v>
      </c>
      <c r="BJ144" s="4">
        <v>-0.60099999999999998</v>
      </c>
      <c r="BK144" s="4">
        <v>-4.2999999999999997E-2</v>
      </c>
      <c r="BL144" s="4">
        <v>-0.26700000000000002</v>
      </c>
      <c r="BM144" s="4"/>
      <c r="BN144" s="4"/>
    </row>
    <row r="145" spans="1:66" x14ac:dyDescent="0.3">
      <c r="A145" t="s">
        <v>200</v>
      </c>
      <c r="B145" s="53">
        <v>0</v>
      </c>
      <c r="C145" s="53">
        <f t="shared" si="16"/>
        <v>-2E-3</v>
      </c>
      <c r="D145" s="53">
        <f t="shared" si="17"/>
        <v>0</v>
      </c>
      <c r="E145" s="53">
        <f t="shared" si="18"/>
        <v>2E-3</v>
      </c>
      <c r="F145" s="15">
        <v>0.59099999999999997</v>
      </c>
      <c r="G145">
        <v>0.80200000000000005</v>
      </c>
      <c r="H145" t="s">
        <v>55</v>
      </c>
      <c r="I145" t="str">
        <f>VLOOKUP(A145,Setores!$A$2:$C$215,2,0)</f>
        <v>transportation</v>
      </c>
      <c r="J145" t="str">
        <f>VLOOKUP(A145,Setores!$A$2:$C$215,3,0)</f>
        <v>high_beta</v>
      </c>
      <c r="K145" s="17">
        <v>0</v>
      </c>
      <c r="L145" s="2">
        <v>-2E-3</v>
      </c>
      <c r="M145" s="5">
        <v>0.37345700204666699</v>
      </c>
      <c r="N145" s="41">
        <f>VLOOKUP(A145,'Mandato LP'!$A$2:$B$215,2,0)</f>
        <v>0</v>
      </c>
      <c r="O145" s="58">
        <f t="shared" si="19"/>
        <v>0</v>
      </c>
      <c r="P145" s="42">
        <f t="shared" si="20"/>
        <v>0</v>
      </c>
      <c r="Q145" s="41">
        <f>VLOOKUP(A145,'Mandato LP'!$A$2:$C$215,3,0)</f>
        <v>0</v>
      </c>
      <c r="R145" s="42">
        <f t="shared" si="21"/>
        <v>0</v>
      </c>
      <c r="S145" s="15">
        <v>-0.73099999999999998</v>
      </c>
      <c r="T145" s="15">
        <v>-0.82099999999999995</v>
      </c>
      <c r="U145" s="15">
        <v>-0.91400000000000003</v>
      </c>
      <c r="V145" s="15">
        <v>-0.70899999999999996</v>
      </c>
      <c r="W145" s="15">
        <v>-0.874</v>
      </c>
      <c r="X145" s="15">
        <v>-0.40799999999999997</v>
      </c>
      <c r="Y145" s="15">
        <v>5.0000000000000001E-3</v>
      </c>
      <c r="Z145" s="15">
        <v>-0.78400000000000003</v>
      </c>
      <c r="AA145" s="15">
        <v>-2.1999999999999999E-2</v>
      </c>
      <c r="AB145" s="15">
        <v>-1.9E-2</v>
      </c>
      <c r="AC145" s="15">
        <v>0.59699999999999998</v>
      </c>
      <c r="AD145" s="15">
        <v>0.58099999999999996</v>
      </c>
      <c r="AE145" s="15">
        <v>0.432</v>
      </c>
      <c r="AF145" s="14">
        <v>-0.497</v>
      </c>
      <c r="AG145" s="15">
        <v>-0.59599999999999997</v>
      </c>
      <c r="AH145" s="15">
        <v>-0.57599999999999996</v>
      </c>
      <c r="AI145" s="15">
        <v>-0.91300000000000003</v>
      </c>
      <c r="AJ145" s="15">
        <v>-0.81399999999999995</v>
      </c>
      <c r="AK145" s="16">
        <v>-0.95</v>
      </c>
      <c r="AL145" s="4">
        <v>-0.223</v>
      </c>
      <c r="AM145" s="4">
        <v>-0.60199999999999998</v>
      </c>
      <c r="AN145" s="4">
        <v>-0.55500000000000005</v>
      </c>
      <c r="AO145" s="4">
        <v>-0.14699999999999999</v>
      </c>
      <c r="AP145" s="4">
        <v>-0.30599999999999999</v>
      </c>
      <c r="AQ145" s="4">
        <v>0.12</v>
      </c>
      <c r="AR145" s="4">
        <v>0.20799999999999999</v>
      </c>
      <c r="AS145" s="4">
        <v>0.26</v>
      </c>
      <c r="AT145" s="4">
        <v>0.1</v>
      </c>
      <c r="AU145" s="4">
        <v>0.122</v>
      </c>
      <c r="AV145" s="4">
        <v>0.251</v>
      </c>
      <c r="AW145" s="4">
        <v>7.0000000000000001E-3</v>
      </c>
      <c r="AX145" s="4">
        <v>0.33200000000000002</v>
      </c>
      <c r="AY145" s="4">
        <v>-0.69199999999999995</v>
      </c>
      <c r="AZ145" s="4">
        <v>0.74399999999999999</v>
      </c>
      <c r="BA145" s="4">
        <v>3.3000000000000002E-2</v>
      </c>
      <c r="BB145" s="4">
        <v>0.79300000000000004</v>
      </c>
      <c r="BC145" s="4">
        <v>-0.309</v>
      </c>
      <c r="BD145" s="4">
        <v>-0.255</v>
      </c>
      <c r="BE145" s="4">
        <v>0.33600000000000002</v>
      </c>
      <c r="BF145" s="4">
        <v>8.2000000000000003E-2</v>
      </c>
      <c r="BG145" s="4">
        <v>-0.28299999999999997</v>
      </c>
      <c r="BH145" s="4">
        <v>0.7</v>
      </c>
      <c r="BI145" s="4">
        <v>-0.28899999999999998</v>
      </c>
      <c r="BJ145" s="4">
        <v>0.53500000000000003</v>
      </c>
      <c r="BK145" s="4">
        <v>-0.14099999999999999</v>
      </c>
      <c r="BL145" s="4">
        <v>-0.68799999999999994</v>
      </c>
      <c r="BM145" s="4"/>
      <c r="BN145" s="4"/>
    </row>
    <row r="146" spans="1:66" x14ac:dyDescent="0.3">
      <c r="A146" t="s">
        <v>148</v>
      </c>
      <c r="B146" s="53">
        <v>0</v>
      </c>
      <c r="C146" s="53">
        <f t="shared" si="16"/>
        <v>-2E-3</v>
      </c>
      <c r="D146" s="53">
        <f t="shared" si="17"/>
        <v>0</v>
      </c>
      <c r="E146" s="53">
        <f t="shared" si="18"/>
        <v>2E-3</v>
      </c>
      <c r="F146" s="15">
        <v>0.59099999999999997</v>
      </c>
      <c r="G146">
        <v>0.54900000000000004</v>
      </c>
      <c r="H146" t="s">
        <v>68</v>
      </c>
      <c r="I146" t="str">
        <f>VLOOKUP(A146,Setores!$A$2:$C$215,2,0)</f>
        <v>capital_goods</v>
      </c>
      <c r="J146" t="str">
        <f>VLOOKUP(A146,Setores!$A$2:$C$215,3,0)</f>
        <v>high_beta</v>
      </c>
      <c r="K146" s="17">
        <v>0</v>
      </c>
      <c r="L146" s="2">
        <v>-2E-3</v>
      </c>
      <c r="M146" s="5">
        <v>0.70166605666666704</v>
      </c>
      <c r="N146" s="41">
        <f>VLOOKUP(A146,'Mandato LP'!$A$2:$B$215,2,0)</f>
        <v>0</v>
      </c>
      <c r="O146" s="58">
        <f t="shared" si="19"/>
        <v>0</v>
      </c>
      <c r="P146" s="42">
        <f t="shared" si="20"/>
        <v>0</v>
      </c>
      <c r="Q146" s="41">
        <f>VLOOKUP(A146,'Mandato LP'!$A$2:$C$215,3,0)</f>
        <v>0</v>
      </c>
      <c r="R146" s="42">
        <f t="shared" si="21"/>
        <v>0</v>
      </c>
      <c r="S146" s="15">
        <v>-0.73499999999999999</v>
      </c>
      <c r="T146" s="15">
        <v>-0.85699999999999998</v>
      </c>
      <c r="U146" s="15">
        <v>-0.60599999999999998</v>
      </c>
      <c r="V146" s="15">
        <v>-0.78500000000000003</v>
      </c>
      <c r="W146" s="15">
        <v>-0.83199999999999996</v>
      </c>
      <c r="X146" s="15">
        <v>-0.50900000000000001</v>
      </c>
      <c r="Y146" s="15">
        <v>-0.17699999999999999</v>
      </c>
      <c r="Z146" s="15">
        <v>-0.74399999999999999</v>
      </c>
      <c r="AA146" s="15">
        <v>8.6999999999999994E-2</v>
      </c>
      <c r="AB146" s="15">
        <v>8.6999999999999994E-2</v>
      </c>
      <c r="AC146" s="15">
        <v>0.41899999999999998</v>
      </c>
      <c r="AD146" s="15">
        <v>0.46700000000000003</v>
      </c>
      <c r="AE146" s="15">
        <v>0.441</v>
      </c>
      <c r="AF146" s="14">
        <v>-0.39300000000000002</v>
      </c>
      <c r="AG146" s="15">
        <v>-0.97499999999999998</v>
      </c>
      <c r="AH146" s="15">
        <v>-0.97199999999999998</v>
      </c>
      <c r="AI146" s="15">
        <v>-0.153</v>
      </c>
      <c r="AJ146" s="15">
        <v>-0.35899999999999999</v>
      </c>
      <c r="AK146" s="16">
        <v>0.129</v>
      </c>
      <c r="AL146" s="4">
        <v>-5.7000000000000002E-2</v>
      </c>
      <c r="AM146" s="4">
        <v>0.104</v>
      </c>
      <c r="AN146" s="4">
        <v>-0.67200000000000004</v>
      </c>
      <c r="AO146" s="4">
        <v>-0.16700000000000001</v>
      </c>
      <c r="AP146" s="4">
        <v>-0.68799999999999994</v>
      </c>
      <c r="AQ146" s="4">
        <v>-0.4</v>
      </c>
      <c r="AR146" s="4">
        <v>-0.69599999999999995</v>
      </c>
      <c r="AS146" s="4">
        <v>-2.5999999999999999E-2</v>
      </c>
      <c r="AT146" s="4">
        <v>-0.21</v>
      </c>
      <c r="AU146" s="4">
        <v>0.42299999999999999</v>
      </c>
      <c r="AV146" s="4">
        <v>-0.23300000000000001</v>
      </c>
      <c r="AW146" s="4">
        <v>6.5000000000000002E-2</v>
      </c>
      <c r="AX146" s="4">
        <v>0.35899999999999999</v>
      </c>
      <c r="AY146" s="4">
        <v>0.45600000000000002</v>
      </c>
      <c r="AZ146" s="4">
        <v>0.65200000000000002</v>
      </c>
      <c r="BA146" s="4">
        <v>0.4</v>
      </c>
      <c r="BB146" s="4">
        <v>-0.44900000000000001</v>
      </c>
      <c r="BC146" s="4">
        <v>-0.16600000000000001</v>
      </c>
      <c r="BD146" s="4">
        <v>-0.125</v>
      </c>
      <c r="BE146" s="4">
        <v>0.21099999999999999</v>
      </c>
      <c r="BF146" s="4">
        <v>-5.8000000000000003E-2</v>
      </c>
      <c r="BG146" s="4">
        <v>0.67500000000000004</v>
      </c>
      <c r="BH146" s="4">
        <v>0.90800000000000003</v>
      </c>
      <c r="BI146" s="4">
        <v>-0.33800000000000002</v>
      </c>
      <c r="BJ146" s="4">
        <v>0.40200000000000002</v>
      </c>
      <c r="BK146" s="4">
        <v>-0.36599999999999999</v>
      </c>
      <c r="BL146" s="4">
        <v>0.48499999999999999</v>
      </c>
      <c r="BM146" s="4"/>
      <c r="BN146" s="4"/>
    </row>
    <row r="147" spans="1:66" x14ac:dyDescent="0.3">
      <c r="A147" t="s">
        <v>193</v>
      </c>
      <c r="B147" s="53">
        <v>0</v>
      </c>
      <c r="C147" s="53">
        <f t="shared" si="16"/>
        <v>-2E-3</v>
      </c>
      <c r="D147" s="53">
        <f t="shared" si="17"/>
        <v>0</v>
      </c>
      <c r="E147" s="53">
        <f t="shared" si="18"/>
        <v>2E-3</v>
      </c>
      <c r="F147" s="15">
        <v>0.58599999999999997</v>
      </c>
      <c r="G147">
        <v>0.83</v>
      </c>
      <c r="H147" t="s">
        <v>55</v>
      </c>
      <c r="I147" t="str">
        <f>VLOOKUP(A147,Setores!$A$2:$C$215,2,0)</f>
        <v>utilities</v>
      </c>
      <c r="J147" t="str">
        <f>VLOOKUP(A147,Setores!$A$2:$C$215,3,0)</f>
        <v>neutral_beta</v>
      </c>
      <c r="K147" s="17">
        <v>0</v>
      </c>
      <c r="L147" s="2">
        <v>-2E-3</v>
      </c>
      <c r="M147" s="5">
        <v>2.0488349456466701</v>
      </c>
      <c r="N147" s="41">
        <f>VLOOKUP(A147,'Mandato LP'!$A$2:$B$215,2,0)</f>
        <v>0</v>
      </c>
      <c r="O147" s="58">
        <f t="shared" si="19"/>
        <v>0</v>
      </c>
      <c r="P147" s="42">
        <f t="shared" si="20"/>
        <v>0</v>
      </c>
      <c r="Q147" s="41">
        <f>VLOOKUP(A147,'Mandato LP'!$A$2:$C$215,3,0)</f>
        <v>0</v>
      </c>
      <c r="R147" s="42">
        <f t="shared" si="21"/>
        <v>0</v>
      </c>
      <c r="S147" s="15">
        <v>-0.89</v>
      </c>
      <c r="T147" s="15">
        <v>-0.81200000000000006</v>
      </c>
      <c r="U147" s="15">
        <v>-0.97599999999999998</v>
      </c>
      <c r="V147" s="15">
        <v>-0.83199999999999996</v>
      </c>
      <c r="W147" s="15">
        <v>-0.89700000000000002</v>
      </c>
      <c r="X147" s="15">
        <v>-0.65900000000000003</v>
      </c>
      <c r="Y147" s="15">
        <v>-0.38200000000000001</v>
      </c>
      <c r="Z147" s="15">
        <v>-0.67300000000000004</v>
      </c>
      <c r="AA147" s="15">
        <v>0.14399999999999999</v>
      </c>
      <c r="AB147" s="15">
        <v>0.14899999999999999</v>
      </c>
      <c r="AC147" s="15">
        <v>0.71399999999999997</v>
      </c>
      <c r="AD147" s="15">
        <v>0.75</v>
      </c>
      <c r="AE147" s="15">
        <v>0.48699999999999999</v>
      </c>
      <c r="AF147" s="14">
        <v>-0.88700000000000001</v>
      </c>
      <c r="AG147" s="15">
        <v>-0.85199999999999998</v>
      </c>
      <c r="AH147" s="15">
        <v>1.4999999999999999E-2</v>
      </c>
      <c r="AI147" s="15">
        <v>-0.90300000000000002</v>
      </c>
      <c r="AJ147" s="15">
        <v>-0.55400000000000005</v>
      </c>
      <c r="AK147" s="16">
        <v>-0.99</v>
      </c>
      <c r="AL147" s="4">
        <v>-0.27</v>
      </c>
      <c r="AM147" s="4">
        <v>-0.44</v>
      </c>
      <c r="AN147" s="4">
        <v>-0.436</v>
      </c>
      <c r="AO147" s="4">
        <v>-0.40400000000000003</v>
      </c>
      <c r="AP147" s="4">
        <v>8.6999999999999994E-2</v>
      </c>
      <c r="AQ147" s="4">
        <v>0.307</v>
      </c>
      <c r="AR147" s="4">
        <v>-0.219</v>
      </c>
      <c r="AS147" s="4">
        <v>-0.11799999999999999</v>
      </c>
      <c r="AT147" s="4">
        <v>-0.504</v>
      </c>
      <c r="AU147" s="4">
        <v>3.0000000000000001E-3</v>
      </c>
      <c r="AV147" s="4">
        <v>-0.216</v>
      </c>
      <c r="AW147" s="4">
        <v>-0.53400000000000003</v>
      </c>
      <c r="AX147" s="4">
        <v>0.47699999999999998</v>
      </c>
      <c r="AY147" s="4">
        <v>-0.68500000000000005</v>
      </c>
      <c r="AZ147" s="4">
        <v>0.90900000000000003</v>
      </c>
      <c r="BA147" s="4">
        <v>0.247</v>
      </c>
      <c r="BB147" s="4">
        <v>-3.0000000000000001E-3</v>
      </c>
      <c r="BC147" s="4">
        <v>-0.29099999999999998</v>
      </c>
      <c r="BD147" s="4">
        <v>-0.41799999999999998</v>
      </c>
      <c r="BE147" s="4">
        <v>0.29799999999999999</v>
      </c>
      <c r="BF147" s="4">
        <v>0.14099999999999999</v>
      </c>
      <c r="BG147" s="4">
        <v>8.1000000000000003E-2</v>
      </c>
      <c r="BH147" s="4">
        <v>0.92</v>
      </c>
      <c r="BI147" s="4">
        <v>-0.41599999999999998</v>
      </c>
      <c r="BJ147" s="4">
        <v>-2.4E-2</v>
      </c>
      <c r="BK147" s="4">
        <v>-0.19</v>
      </c>
      <c r="BL147" s="4">
        <v>-0.22900000000000001</v>
      </c>
      <c r="BM147" s="4"/>
      <c r="BN147" s="4"/>
    </row>
    <row r="148" spans="1:66" x14ac:dyDescent="0.3">
      <c r="A148" t="s">
        <v>140</v>
      </c>
      <c r="B148" s="53">
        <v>0</v>
      </c>
      <c r="C148" s="53">
        <f t="shared" si="16"/>
        <v>-2.3E-2</v>
      </c>
      <c r="D148" s="53">
        <f t="shared" si="17"/>
        <v>0</v>
      </c>
      <c r="E148" s="53">
        <f t="shared" si="18"/>
        <v>2.3E-2</v>
      </c>
      <c r="F148" s="15">
        <v>0.58599999999999997</v>
      </c>
      <c r="G148">
        <v>0.47499999999999998</v>
      </c>
      <c r="H148" t="s">
        <v>71</v>
      </c>
      <c r="I148" t="str">
        <f>VLOOKUP(A148,Setores!$A$2:$C$215,2,0)</f>
        <v>food</v>
      </c>
      <c r="J148" t="str">
        <f>VLOOKUP(A148,Setores!$A$2:$C$215,3,0)</f>
        <v>very_low_beta</v>
      </c>
      <c r="K148" s="17">
        <v>0</v>
      </c>
      <c r="L148" s="2">
        <v>-2.3E-2</v>
      </c>
      <c r="M148" s="5">
        <v>1.8814107034666701</v>
      </c>
      <c r="N148" s="41">
        <f>VLOOKUP(A148,'Mandato LP'!$A$2:$B$215,2,0)</f>
        <v>0</v>
      </c>
      <c r="O148" s="58">
        <f t="shared" si="19"/>
        <v>0</v>
      </c>
      <c r="P148" s="42">
        <f t="shared" si="20"/>
        <v>0</v>
      </c>
      <c r="Q148" s="41">
        <f>VLOOKUP(A148,'Mandato LP'!$A$2:$C$215,3,0)</f>
        <v>0</v>
      </c>
      <c r="R148" s="42">
        <f t="shared" si="21"/>
        <v>0</v>
      </c>
      <c r="S148" s="15">
        <v>-0.90800000000000003</v>
      </c>
      <c r="T148" s="15">
        <v>-0.94599999999999995</v>
      </c>
      <c r="U148" s="15">
        <v>-0.95599999999999996</v>
      </c>
      <c r="V148" s="15">
        <v>-0.79400000000000004</v>
      </c>
      <c r="W148" s="15">
        <v>-0.90600000000000003</v>
      </c>
      <c r="X148" s="15">
        <v>-0.58399999999999996</v>
      </c>
      <c r="Y148" s="15">
        <v>-0.57799999999999996</v>
      </c>
      <c r="Z148" s="15">
        <v>-0.42</v>
      </c>
      <c r="AA148" s="15">
        <v>0.14799999999999999</v>
      </c>
      <c r="AB148" s="15">
        <v>0.14499999999999999</v>
      </c>
      <c r="AC148" s="15">
        <v>0.59599999999999997</v>
      </c>
      <c r="AD148" s="15">
        <v>0.51100000000000001</v>
      </c>
      <c r="AE148" s="15">
        <v>0.35599999999999998</v>
      </c>
      <c r="AF148" s="14">
        <v>-0.69599999999999995</v>
      </c>
      <c r="AG148" s="15">
        <v>-0.35399999999999998</v>
      </c>
      <c r="AH148" s="15">
        <v>-0.6</v>
      </c>
      <c r="AI148" s="15">
        <v>-0.73299999999999998</v>
      </c>
      <c r="AJ148" s="15">
        <v>-0.84899999999999998</v>
      </c>
      <c r="AK148" s="16">
        <v>-0.99</v>
      </c>
      <c r="AL148" s="4">
        <v>9.2999999999999999E-2</v>
      </c>
      <c r="AM148" s="4">
        <v>0.96599999999999997</v>
      </c>
      <c r="AN148" s="4">
        <v>-0.51500000000000001</v>
      </c>
      <c r="AO148" s="4">
        <v>-0.35099999999999998</v>
      </c>
      <c r="AP148" s="4">
        <v>-0.51100000000000001</v>
      </c>
      <c r="AQ148" s="4">
        <v>0.45800000000000002</v>
      </c>
      <c r="AR148" s="4">
        <v>2.1000000000000001E-2</v>
      </c>
      <c r="AS148" s="4">
        <v>-0.22500000000000001</v>
      </c>
      <c r="AT148" s="4">
        <v>-0.107</v>
      </c>
      <c r="AU148" s="4">
        <v>-1.9E-2</v>
      </c>
      <c r="AV148" s="4">
        <v>-0.61199999999999999</v>
      </c>
      <c r="AW148" s="4">
        <v>-0.54800000000000004</v>
      </c>
      <c r="AX148" s="4">
        <v>-3.3000000000000002E-2</v>
      </c>
      <c r="AY148" s="4">
        <v>-0.60099999999999998</v>
      </c>
      <c r="AZ148" s="4">
        <v>0.67100000000000004</v>
      </c>
      <c r="BA148" s="4">
        <v>0.66400000000000003</v>
      </c>
      <c r="BB148" s="4">
        <v>-0.55800000000000005</v>
      </c>
      <c r="BC148" s="4">
        <v>0.34200000000000003</v>
      </c>
      <c r="BD148" s="4">
        <v>-5.0000000000000001E-3</v>
      </c>
      <c r="BE148" s="4">
        <v>0.161</v>
      </c>
      <c r="BF148" s="4">
        <v>0.39700000000000002</v>
      </c>
      <c r="BG148" s="4">
        <v>1</v>
      </c>
      <c r="BH148" s="4">
        <v>0.38400000000000001</v>
      </c>
      <c r="BI148" s="4">
        <v>-0.76100000000000001</v>
      </c>
      <c r="BJ148" s="4">
        <v>-0.54700000000000004</v>
      </c>
      <c r="BK148" s="4">
        <v>-0.36899999999999999</v>
      </c>
      <c r="BL148" s="4">
        <v>-0.51600000000000001</v>
      </c>
      <c r="BM148" s="4"/>
      <c r="BN148" s="4"/>
    </row>
    <row r="149" spans="1:66" x14ac:dyDescent="0.3">
      <c r="A149" t="s">
        <v>171</v>
      </c>
      <c r="B149" s="53">
        <v>0</v>
      </c>
      <c r="C149" s="53">
        <f t="shared" si="16"/>
        <v>-1E-3</v>
      </c>
      <c r="D149" s="53">
        <f t="shared" si="17"/>
        <v>0</v>
      </c>
      <c r="E149" s="53">
        <f t="shared" si="18"/>
        <v>1E-3</v>
      </c>
      <c r="F149" s="15">
        <v>0.58299999999999996</v>
      </c>
      <c r="G149">
        <v>0.76100000000000001</v>
      </c>
      <c r="H149" t="s">
        <v>57</v>
      </c>
      <c r="I149" t="str">
        <f>VLOOKUP(A149,Setores!$A$2:$C$215,2,0)</f>
        <v>banks</v>
      </c>
      <c r="J149" t="str">
        <f>VLOOKUP(A149,Setores!$A$2:$C$215,3,0)</f>
        <v>neutral_beta</v>
      </c>
      <c r="K149" s="17">
        <v>0</v>
      </c>
      <c r="L149" s="2">
        <v>-1E-3</v>
      </c>
      <c r="M149" s="5">
        <v>1.84327171035667</v>
      </c>
      <c r="N149" s="41">
        <f>VLOOKUP(A149,'Mandato LP'!$A$2:$B$215,2,0)</f>
        <v>0</v>
      </c>
      <c r="O149" s="58">
        <f t="shared" si="19"/>
        <v>0</v>
      </c>
      <c r="P149" s="42">
        <f t="shared" si="20"/>
        <v>0</v>
      </c>
      <c r="Q149" s="41">
        <f>VLOOKUP(A149,'Mandato LP'!$A$2:$C$215,3,0)</f>
        <v>0</v>
      </c>
      <c r="R149" s="42">
        <f t="shared" si="21"/>
        <v>0</v>
      </c>
      <c r="S149" s="15">
        <v>-0.83799999999999997</v>
      </c>
      <c r="T149" s="15">
        <v>-0.89200000000000002</v>
      </c>
      <c r="U149" s="15">
        <v>-0.88800000000000001</v>
      </c>
      <c r="V149" s="15">
        <v>-0.80900000000000005</v>
      </c>
      <c r="W149" s="15">
        <v>-0.88100000000000001</v>
      </c>
      <c r="X149" s="15">
        <v>-0.66400000000000003</v>
      </c>
      <c r="Y149" s="15">
        <v>-0.432</v>
      </c>
      <c r="Z149" s="15">
        <v>-0.79900000000000004</v>
      </c>
      <c r="AA149" s="15">
        <v>0.315</v>
      </c>
      <c r="AB149" s="15">
        <v>0.311</v>
      </c>
      <c r="AC149" s="15">
        <v>0.60599999999999998</v>
      </c>
      <c r="AD149" s="15">
        <v>0.67300000000000004</v>
      </c>
      <c r="AE149" s="15">
        <v>0.51</v>
      </c>
      <c r="AF149" s="14">
        <v>-0.74199999999999999</v>
      </c>
      <c r="AG149" s="15">
        <v>0.18</v>
      </c>
      <c r="AH149" s="15">
        <v>-0.72499999999999998</v>
      </c>
      <c r="AI149" s="15">
        <v>-0.86899999999999999</v>
      </c>
      <c r="AJ149" s="15">
        <v>-1</v>
      </c>
      <c r="AK149" s="16">
        <v>-1</v>
      </c>
      <c r="AL149" s="4">
        <v>-0.21199999999999999</v>
      </c>
      <c r="AM149" s="4">
        <v>-6.0000000000000001E-3</v>
      </c>
      <c r="AN149" s="4">
        <v>8.1000000000000003E-2</v>
      </c>
      <c r="AO149" s="4">
        <v>0.214</v>
      </c>
      <c r="AP149" s="4">
        <v>-0.499</v>
      </c>
      <c r="AQ149" s="4">
        <v>-0.56499999999999995</v>
      </c>
      <c r="AR149" s="4">
        <v>5.6000000000000001E-2</v>
      </c>
      <c r="AS149" s="4">
        <v>0.255</v>
      </c>
      <c r="AT149" s="4">
        <v>0.245</v>
      </c>
      <c r="AU149" s="4">
        <v>-0.19900000000000001</v>
      </c>
      <c r="AV149" s="4">
        <v>-0.52400000000000002</v>
      </c>
      <c r="AW149" s="4">
        <v>-0.76400000000000001</v>
      </c>
      <c r="AX149" s="4">
        <v>0.33</v>
      </c>
      <c r="AY149" s="4">
        <v>-0.438</v>
      </c>
      <c r="AZ149" s="4">
        <v>7.4999999999999997E-2</v>
      </c>
      <c r="BA149" s="4">
        <v>-0.56100000000000005</v>
      </c>
      <c r="BB149" s="4">
        <v>0.39600000000000002</v>
      </c>
      <c r="BC149" s="4">
        <v>-6.9000000000000006E-2</v>
      </c>
      <c r="BD149" s="4">
        <v>-0.21099999999999999</v>
      </c>
      <c r="BE149" s="4">
        <v>0.27</v>
      </c>
      <c r="BF149" s="4">
        <v>0.1</v>
      </c>
      <c r="BG149" s="4">
        <v>0.52200000000000002</v>
      </c>
      <c r="BH149" s="4">
        <v>0.94299999999999995</v>
      </c>
      <c r="BI149" s="4">
        <v>-0.19800000000000001</v>
      </c>
      <c r="BJ149" s="4">
        <v>-0.126</v>
      </c>
      <c r="BK149" s="4">
        <v>0.191</v>
      </c>
      <c r="BL149" s="4">
        <v>-0.57699999999999996</v>
      </c>
      <c r="BM149" s="4"/>
      <c r="BN149" s="4"/>
    </row>
    <row r="150" spans="1:66" x14ac:dyDescent="0.3">
      <c r="A150" t="s">
        <v>192</v>
      </c>
      <c r="B150" s="53">
        <v>0</v>
      </c>
      <c r="C150" s="53">
        <f t="shared" si="16"/>
        <v>-3.6999999999999998E-2</v>
      </c>
      <c r="D150" s="53">
        <f t="shared" si="17"/>
        <v>0</v>
      </c>
      <c r="E150" s="53">
        <f t="shared" si="18"/>
        <v>3.6999999999999998E-2</v>
      </c>
      <c r="F150" s="15">
        <v>0.58199999999999996</v>
      </c>
      <c r="G150">
        <v>1.1100000000000001</v>
      </c>
      <c r="H150" t="s">
        <v>57</v>
      </c>
      <c r="I150" t="str">
        <f>VLOOKUP(A150,Setores!$A$2:$C$215,2,0)</f>
        <v>banks</v>
      </c>
      <c r="J150" t="str">
        <f>VLOOKUP(A150,Setores!$A$2:$C$215,3,0)</f>
        <v>neutral_beta</v>
      </c>
      <c r="K150" s="17">
        <v>0</v>
      </c>
      <c r="L150" s="2">
        <v>-3.6999999999999998E-2</v>
      </c>
      <c r="M150" s="5">
        <v>1.9285562518366699</v>
      </c>
      <c r="N150" s="41">
        <f>VLOOKUP(A150,'Mandato LP'!$A$2:$B$215,2,0)</f>
        <v>0</v>
      </c>
      <c r="O150" s="58">
        <f t="shared" si="19"/>
        <v>0</v>
      </c>
      <c r="P150" s="42">
        <f t="shared" si="20"/>
        <v>0</v>
      </c>
      <c r="Q150" s="41">
        <f>VLOOKUP(A150,'Mandato LP'!$A$2:$C$215,3,0)</f>
        <v>0</v>
      </c>
      <c r="R150" s="42">
        <f t="shared" si="21"/>
        <v>0</v>
      </c>
      <c r="S150" s="15">
        <v>-0.92600000000000005</v>
      </c>
      <c r="T150" s="15">
        <v>-0.85699999999999998</v>
      </c>
      <c r="U150" s="15">
        <v>-0.96599999999999997</v>
      </c>
      <c r="V150" s="15">
        <v>-0.85599999999999998</v>
      </c>
      <c r="W150" s="15">
        <v>-0.89</v>
      </c>
      <c r="X150" s="15">
        <v>-0.78300000000000003</v>
      </c>
      <c r="Y150" s="15">
        <v>-0.625</v>
      </c>
      <c r="Z150" s="15">
        <v>-0.73199999999999998</v>
      </c>
      <c r="AA150" s="15">
        <v>0.48399999999999999</v>
      </c>
      <c r="AB150" s="15">
        <v>0.48299999999999998</v>
      </c>
      <c r="AC150" s="15">
        <v>0.624</v>
      </c>
      <c r="AD150" s="15">
        <v>0.76400000000000001</v>
      </c>
      <c r="AE150" s="15">
        <v>0.51500000000000001</v>
      </c>
      <c r="AF150" s="14">
        <v>-0.79</v>
      </c>
      <c r="AG150" s="15">
        <v>-0.41</v>
      </c>
      <c r="AH150" s="15">
        <v>-0.155</v>
      </c>
      <c r="AI150" s="15">
        <v>-0.89600000000000002</v>
      </c>
      <c r="AJ150" s="15">
        <v>-1</v>
      </c>
      <c r="AK150" s="16">
        <v>-1</v>
      </c>
      <c r="AL150" s="4">
        <v>-2.8000000000000001E-2</v>
      </c>
      <c r="AM150" s="4">
        <v>-2.3E-2</v>
      </c>
      <c r="AN150" s="4">
        <v>0.42499999999999999</v>
      </c>
      <c r="AO150" s="4">
        <v>-0.502</v>
      </c>
      <c r="AP150" s="4">
        <v>-0.25</v>
      </c>
      <c r="AQ150" s="4">
        <v>-0.28100000000000003</v>
      </c>
      <c r="AR150" s="4">
        <v>-0.23799999999999999</v>
      </c>
      <c r="AS150" s="4">
        <v>3.1E-2</v>
      </c>
      <c r="AT150" s="4">
        <v>-0.25700000000000001</v>
      </c>
      <c r="AU150" s="4">
        <v>-0.189</v>
      </c>
      <c r="AV150" s="4">
        <v>-0.46899999999999997</v>
      </c>
      <c r="AW150" s="4">
        <v>-0.8</v>
      </c>
      <c r="AX150" s="4">
        <v>0.28799999999999998</v>
      </c>
      <c r="AY150" s="4">
        <v>-0.58399999999999996</v>
      </c>
      <c r="AZ150" s="4">
        <v>0.111</v>
      </c>
      <c r="BA150" s="4">
        <v>-0.22900000000000001</v>
      </c>
      <c r="BB150" s="4">
        <v>-0.60699999999999998</v>
      </c>
      <c r="BC150" s="4">
        <v>-0.17</v>
      </c>
      <c r="BD150" s="4">
        <v>-0.152</v>
      </c>
      <c r="BE150" s="4">
        <v>0.11799999999999999</v>
      </c>
      <c r="BF150" s="4">
        <v>0.26300000000000001</v>
      </c>
      <c r="BG150" s="4">
        <v>0.313</v>
      </c>
      <c r="BH150" s="4">
        <v>0.90800000000000003</v>
      </c>
      <c r="BI150" s="4">
        <v>-0.40400000000000003</v>
      </c>
      <c r="BJ150" s="4">
        <v>8.9999999999999993E-3</v>
      </c>
      <c r="BK150" s="4">
        <v>-0.32300000000000001</v>
      </c>
      <c r="BL150" s="4">
        <v>-0.63400000000000001</v>
      </c>
      <c r="BM150" s="4"/>
      <c r="BN150" s="4"/>
    </row>
    <row r="151" spans="1:66" x14ac:dyDescent="0.3">
      <c r="A151" t="s">
        <v>139</v>
      </c>
      <c r="B151" s="53">
        <v>0</v>
      </c>
      <c r="C151" s="53">
        <f t="shared" si="16"/>
        <v>-1.2999999999999999E-2</v>
      </c>
      <c r="D151" s="53">
        <f t="shared" si="17"/>
        <v>0</v>
      </c>
      <c r="E151" s="53">
        <f t="shared" si="18"/>
        <v>1.2999999999999999E-2</v>
      </c>
      <c r="F151" s="15">
        <v>0.58099999999999996</v>
      </c>
      <c r="G151">
        <v>0.89100000000000001</v>
      </c>
      <c r="H151" t="s">
        <v>71</v>
      </c>
      <c r="I151" t="str">
        <f>VLOOKUP(A151,Setores!$A$2:$C$215,2,0)</f>
        <v>basic_materials</v>
      </c>
      <c r="J151" t="str">
        <f>VLOOKUP(A151,Setores!$A$2:$C$215,3,0)</f>
        <v>neutral_beta</v>
      </c>
      <c r="K151" s="17">
        <v>0</v>
      </c>
      <c r="L151" s="2">
        <v>-1.2999999999999999E-2</v>
      </c>
      <c r="M151" s="5">
        <v>0.57698860520666695</v>
      </c>
      <c r="N151" s="41">
        <f>VLOOKUP(A151,'Mandato LP'!$A$2:$B$215,2,0)</f>
        <v>0</v>
      </c>
      <c r="O151" s="58">
        <f t="shared" si="19"/>
        <v>0</v>
      </c>
      <c r="P151" s="42">
        <f t="shared" si="20"/>
        <v>0</v>
      </c>
      <c r="Q151" s="41">
        <f>VLOOKUP(A151,'Mandato LP'!$A$2:$C$215,3,0)</f>
        <v>0</v>
      </c>
      <c r="R151" s="42">
        <f t="shared" si="21"/>
        <v>0</v>
      </c>
      <c r="S151" s="15">
        <v>-0.84199999999999997</v>
      </c>
      <c r="T151" s="15">
        <v>-0.91900000000000004</v>
      </c>
      <c r="U151" s="15">
        <v>-0.90800000000000003</v>
      </c>
      <c r="V151" s="15">
        <v>-0.79100000000000004</v>
      </c>
      <c r="W151" s="15">
        <v>-0.90100000000000002</v>
      </c>
      <c r="X151" s="15">
        <v>-0.56200000000000006</v>
      </c>
      <c r="Y151" s="15">
        <v>-0.371</v>
      </c>
      <c r="Z151" s="15">
        <v>-0.67900000000000005</v>
      </c>
      <c r="AA151" s="15">
        <v>0.24</v>
      </c>
      <c r="AB151" s="15">
        <v>0.23799999999999999</v>
      </c>
      <c r="AC151" s="15">
        <v>0.47099999999999997</v>
      </c>
      <c r="AD151" s="15">
        <v>0.47599999999999998</v>
      </c>
      <c r="AE151" s="15">
        <v>0.41299999999999998</v>
      </c>
      <c r="AF151" s="14">
        <v>-0.78800000000000003</v>
      </c>
      <c r="AG151" s="15">
        <v>-0.51500000000000001</v>
      </c>
      <c r="AH151" s="15">
        <v>-1</v>
      </c>
      <c r="AI151" s="15">
        <v>-0.90200000000000002</v>
      </c>
      <c r="AJ151" s="15">
        <v>-1</v>
      </c>
      <c r="AK151" s="16">
        <v>-0.93100000000000005</v>
      </c>
      <c r="AL151" s="4">
        <v>-0.40200000000000002</v>
      </c>
      <c r="AM151" s="4">
        <v>0.499</v>
      </c>
      <c r="AN151" s="4">
        <v>-0.76800000000000002</v>
      </c>
      <c r="AO151" s="4">
        <v>-0.50800000000000001</v>
      </c>
      <c r="AP151" s="4">
        <v>-0.42299999999999999</v>
      </c>
      <c r="AQ151" s="4">
        <v>-0.28799999999999998</v>
      </c>
      <c r="AR151" s="4">
        <v>2.5999999999999999E-2</v>
      </c>
      <c r="AS151" s="4">
        <v>0.93100000000000005</v>
      </c>
      <c r="AT151" s="4">
        <v>0.28999999999999998</v>
      </c>
      <c r="AU151" s="4">
        <v>0.20699999999999999</v>
      </c>
      <c r="AV151" s="4">
        <v>-9.0999999999999998E-2</v>
      </c>
      <c r="AW151" s="4">
        <v>-0.33500000000000002</v>
      </c>
      <c r="AX151" s="4">
        <v>0.17599999999999999</v>
      </c>
      <c r="AY151" s="4">
        <v>0.29599999999999999</v>
      </c>
      <c r="AZ151" s="4">
        <v>1.7999999999999999E-2</v>
      </c>
      <c r="BA151" s="4">
        <v>-0.98399999999999999</v>
      </c>
      <c r="BB151" s="4">
        <v>0.51100000000000001</v>
      </c>
      <c r="BC151" s="4">
        <v>0.29199999999999998</v>
      </c>
      <c r="BD151" s="4">
        <v>-3.6999999999999998E-2</v>
      </c>
      <c r="BE151" s="4">
        <v>0.32900000000000001</v>
      </c>
      <c r="BF151" s="4">
        <v>-0.65200000000000002</v>
      </c>
      <c r="BG151" s="4">
        <v>-0.46200000000000002</v>
      </c>
      <c r="BH151" s="4">
        <v>0.34899999999999998</v>
      </c>
      <c r="BI151" s="4">
        <v>-0.23200000000000001</v>
      </c>
      <c r="BJ151" s="4">
        <v>-0.35199999999999998</v>
      </c>
      <c r="BK151" s="4">
        <v>0.374</v>
      </c>
      <c r="BL151" s="4">
        <v>-0.35699999999999998</v>
      </c>
      <c r="BM151" s="4"/>
      <c r="BN151" s="4"/>
    </row>
    <row r="152" spans="1:66" x14ac:dyDescent="0.3">
      <c r="A152" t="s">
        <v>601</v>
      </c>
      <c r="B152" s="53">
        <v>0</v>
      </c>
      <c r="C152" s="53">
        <f t="shared" si="16"/>
        <v>0</v>
      </c>
      <c r="D152" s="53">
        <f t="shared" si="17"/>
        <v>0</v>
      </c>
      <c r="E152" s="53">
        <f t="shared" si="18"/>
        <v>0</v>
      </c>
      <c r="F152" s="15">
        <v>0.57899999999999996</v>
      </c>
      <c r="G152">
        <v>0.50900000000000001</v>
      </c>
      <c r="H152" t="s">
        <v>53</v>
      </c>
      <c r="I152" t="str">
        <f>VLOOKUP(A152,Setores!$A$2:$C$215,2,0)</f>
        <v>healthcare</v>
      </c>
      <c r="J152" t="str">
        <f>VLOOKUP(A152,Setores!$A$2:$C$215,3,0)</f>
        <v>neutral_beta</v>
      </c>
      <c r="K152" s="17">
        <v>0</v>
      </c>
      <c r="L152" s="2">
        <v>0</v>
      </c>
      <c r="M152" s="5">
        <v>0</v>
      </c>
      <c r="N152" s="41">
        <f>VLOOKUP(A152,'Mandato LP'!$A$2:$B$215,2,0)</f>
        <v>0</v>
      </c>
      <c r="O152" s="58">
        <f t="shared" si="19"/>
        <v>0</v>
      </c>
      <c r="P152" s="42">
        <f t="shared" si="20"/>
        <v>0</v>
      </c>
      <c r="Q152" s="41">
        <f>VLOOKUP(A152,'Mandato LP'!$A$2:$C$215,3,0)</f>
        <v>0</v>
      </c>
      <c r="R152" s="42">
        <f t="shared" si="21"/>
        <v>0</v>
      </c>
      <c r="S152" s="15">
        <v>-0.371</v>
      </c>
      <c r="T152" s="15">
        <v>-0.52600000000000002</v>
      </c>
      <c r="U152" s="15">
        <v>-0.40400000000000003</v>
      </c>
      <c r="V152" s="15">
        <v>-0.56999999999999995</v>
      </c>
      <c r="W152" s="15">
        <v>-0.629</v>
      </c>
      <c r="X152" s="15">
        <v>-0.63700000000000001</v>
      </c>
      <c r="Y152" s="15">
        <v>-0.61</v>
      </c>
      <c r="Z152" s="15">
        <v>-0.81100000000000005</v>
      </c>
      <c r="AA152" s="15">
        <v>-0.28499999999999998</v>
      </c>
      <c r="AB152" s="15">
        <v>-0.27600000000000002</v>
      </c>
      <c r="AC152" s="15">
        <v>0.42299999999999999</v>
      </c>
      <c r="AD152" s="15">
        <v>0.35199999999999998</v>
      </c>
      <c r="AE152" s="15">
        <v>0.246</v>
      </c>
      <c r="AF152" s="14">
        <v>-0.70699999999999996</v>
      </c>
      <c r="AG152" s="15">
        <v>-0.35199999999999998</v>
      </c>
      <c r="AH152" s="15">
        <v>-0.374</v>
      </c>
      <c r="AI152" s="15">
        <v>-0.55700000000000005</v>
      </c>
      <c r="AJ152" s="15">
        <v>-0.23</v>
      </c>
      <c r="AK152" s="16">
        <v>1</v>
      </c>
      <c r="AL152" s="4">
        <v>-0.73499999999999999</v>
      </c>
      <c r="AM152" s="4">
        <v>-1</v>
      </c>
      <c r="AN152" s="4">
        <v>-0.87</v>
      </c>
      <c r="AO152" s="4">
        <v>0.14799999999999999</v>
      </c>
      <c r="AP152" s="4">
        <v>7.1999999999999995E-2</v>
      </c>
      <c r="AQ152" s="4">
        <v>0.22600000000000001</v>
      </c>
      <c r="AR152" s="4">
        <v>0.85</v>
      </c>
      <c r="AS152" s="4">
        <v>1</v>
      </c>
      <c r="AT152" s="4">
        <v>1</v>
      </c>
      <c r="AU152" s="4">
        <v>-0.11</v>
      </c>
      <c r="AV152" s="4">
        <v>-0.621</v>
      </c>
      <c r="AW152" s="4">
        <v>0.12</v>
      </c>
      <c r="AX152" s="4">
        <v>0.109</v>
      </c>
      <c r="AY152" s="4">
        <v>-1.6E-2</v>
      </c>
      <c r="AZ152" s="4">
        <v>-0.27100000000000002</v>
      </c>
      <c r="BA152" s="4">
        <v>-1</v>
      </c>
      <c r="BB152" s="4">
        <v>0.56799999999999995</v>
      </c>
      <c r="BC152" s="4">
        <v>-0.70599999999999996</v>
      </c>
      <c r="BD152" s="4">
        <v>-0.64900000000000002</v>
      </c>
      <c r="BE152" s="4">
        <v>0.41399999999999998</v>
      </c>
      <c r="BF152" s="4">
        <v>-0.85499999999999998</v>
      </c>
      <c r="BG152" s="4">
        <v>2.4E-2</v>
      </c>
      <c r="BH152" s="4">
        <v>0.41099999999999998</v>
      </c>
      <c r="BI152" s="4">
        <v>-0.13600000000000001</v>
      </c>
      <c r="BJ152" s="4">
        <v>-0.13200000000000001</v>
      </c>
      <c r="BK152" s="4">
        <v>0.68200000000000005</v>
      </c>
      <c r="BL152" s="4">
        <v>0.66700000000000004</v>
      </c>
      <c r="BM152" s="4"/>
      <c r="BN152" s="4"/>
    </row>
    <row r="153" spans="1:66" x14ac:dyDescent="0.3">
      <c r="A153" t="s">
        <v>141</v>
      </c>
      <c r="B153" s="53">
        <v>0</v>
      </c>
      <c r="C153" s="53">
        <f t="shared" si="16"/>
        <v>0</v>
      </c>
      <c r="D153" s="53">
        <f t="shared" si="17"/>
        <v>0</v>
      </c>
      <c r="E153" s="53">
        <f t="shared" si="18"/>
        <v>0</v>
      </c>
      <c r="F153" s="15">
        <v>0.57799999999999996</v>
      </c>
      <c r="G153">
        <v>0.45600000000000002</v>
      </c>
      <c r="H153" t="s">
        <v>57</v>
      </c>
      <c r="I153" t="str">
        <f>VLOOKUP(A153,Setores!$A$2:$C$215,2,0)</f>
        <v>education</v>
      </c>
      <c r="J153" t="str">
        <f>VLOOKUP(A153,Setores!$A$2:$C$215,3,0)</f>
        <v>high_beta</v>
      </c>
      <c r="K153" s="17">
        <v>0</v>
      </c>
      <c r="L153" s="2">
        <v>0</v>
      </c>
      <c r="M153" s="5">
        <v>0.56297308642999999</v>
      </c>
      <c r="N153" s="41">
        <f>VLOOKUP(A153,'Mandato LP'!$A$2:$B$215,2,0)</f>
        <v>0</v>
      </c>
      <c r="O153" s="58">
        <f t="shared" si="19"/>
        <v>0</v>
      </c>
      <c r="P153" s="42">
        <f t="shared" si="20"/>
        <v>0</v>
      </c>
      <c r="Q153" s="41">
        <f>VLOOKUP(A153,'Mandato LP'!$A$2:$C$215,3,0)</f>
        <v>0</v>
      </c>
      <c r="R153" s="42">
        <f t="shared" si="21"/>
        <v>0</v>
      </c>
      <c r="S153" s="15">
        <v>-0.50900000000000001</v>
      </c>
      <c r="T153" s="15">
        <v>-0.71399999999999997</v>
      </c>
      <c r="U153" s="15">
        <v>-0.34399999999999997</v>
      </c>
      <c r="V153" s="15">
        <v>-0.45800000000000002</v>
      </c>
      <c r="W153" s="15">
        <v>-0.502</v>
      </c>
      <c r="X153" s="15">
        <v>-0.66300000000000003</v>
      </c>
      <c r="Y153" s="15">
        <v>-0.6</v>
      </c>
      <c r="Z153" s="15">
        <v>-0.79200000000000004</v>
      </c>
      <c r="AA153" s="15">
        <v>-0.33700000000000002</v>
      </c>
      <c r="AB153" s="15">
        <v>-0.33500000000000002</v>
      </c>
      <c r="AC153" s="15">
        <v>0.71199999999999997</v>
      </c>
      <c r="AD153" s="15">
        <v>0.6</v>
      </c>
      <c r="AE153" s="15">
        <v>0.217</v>
      </c>
      <c r="AF153" s="14">
        <v>9.8000000000000004E-2</v>
      </c>
      <c r="AG153" s="15">
        <v>0.23699999999999999</v>
      </c>
      <c r="AH153" s="15">
        <v>-0.69499999999999995</v>
      </c>
      <c r="AI153" s="15">
        <v>-4.3999999999999997E-2</v>
      </c>
      <c r="AJ153" s="15">
        <v>-0.56699999999999995</v>
      </c>
      <c r="AK153" s="16">
        <v>0.60799999999999998</v>
      </c>
      <c r="AL153" s="4">
        <v>0.251</v>
      </c>
      <c r="AM153" s="4">
        <v>-0.40600000000000003</v>
      </c>
      <c r="AN153" s="4">
        <v>-0.37</v>
      </c>
      <c r="AO153" s="4">
        <v>0.46100000000000002</v>
      </c>
      <c r="AP153" s="4">
        <v>-0.61099999999999999</v>
      </c>
      <c r="AQ153" s="4">
        <v>-0.39400000000000002</v>
      </c>
      <c r="AR153" s="4">
        <v>0.45800000000000002</v>
      </c>
      <c r="AS153" s="4">
        <v>-0.14799999999999999</v>
      </c>
      <c r="AT153" s="4">
        <v>-0.217</v>
      </c>
      <c r="AU153" s="4">
        <v>0.20699999999999999</v>
      </c>
      <c r="AV153" s="4">
        <v>2.5999999999999999E-2</v>
      </c>
      <c r="AW153" s="4">
        <v>0.34799999999999998</v>
      </c>
      <c r="AX153" s="4">
        <v>-0.40300000000000002</v>
      </c>
      <c r="AY153" s="4">
        <v>-0.51600000000000001</v>
      </c>
      <c r="AZ153" s="4">
        <v>0.72499999999999998</v>
      </c>
      <c r="BA153" s="4">
        <v>-0.29499999999999998</v>
      </c>
      <c r="BB153" s="4">
        <v>-0.115</v>
      </c>
      <c r="BC153" s="4">
        <v>0.20300000000000001</v>
      </c>
      <c r="BD153" s="4">
        <v>0.14299999999999999</v>
      </c>
      <c r="BE153" s="4">
        <v>0.186</v>
      </c>
      <c r="BF153" s="4">
        <v>0.34899999999999998</v>
      </c>
      <c r="BG153" s="4">
        <v>-0.91300000000000003</v>
      </c>
      <c r="BH153" s="4">
        <v>-1.0999999999999999E-2</v>
      </c>
      <c r="BI153" s="4">
        <v>0.186</v>
      </c>
      <c r="BJ153" s="4">
        <v>0.30399999999999999</v>
      </c>
      <c r="BK153" s="4">
        <v>-0.52700000000000002</v>
      </c>
      <c r="BL153" s="4">
        <v>0.05</v>
      </c>
      <c r="BM153" s="4"/>
      <c r="BN153" s="4"/>
    </row>
    <row r="154" spans="1:66" x14ac:dyDescent="0.3">
      <c r="A154" t="s">
        <v>133</v>
      </c>
      <c r="B154" s="53">
        <v>0</v>
      </c>
      <c r="C154" s="53">
        <f t="shared" si="16"/>
        <v>0</v>
      </c>
      <c r="D154" s="53">
        <f t="shared" si="17"/>
        <v>0</v>
      </c>
      <c r="E154" s="53">
        <f t="shared" si="18"/>
        <v>0</v>
      </c>
      <c r="F154" s="15">
        <v>0.57599999999999996</v>
      </c>
      <c r="G154">
        <v>0.69099999999999995</v>
      </c>
      <c r="H154" t="s">
        <v>68</v>
      </c>
      <c r="I154" t="str">
        <f>VLOOKUP(A154,Setores!$A$2:$C$215,2,0)</f>
        <v>capital_goods</v>
      </c>
      <c r="J154" t="str">
        <f>VLOOKUP(A154,Setores!$A$2:$C$215,3,0)</f>
        <v>very_low_beta</v>
      </c>
      <c r="K154" s="17">
        <v>0</v>
      </c>
      <c r="L154" s="2">
        <v>0</v>
      </c>
      <c r="M154" s="5">
        <v>0.699968253973</v>
      </c>
      <c r="N154" s="41">
        <f>VLOOKUP(A154,'Mandato LP'!$A$2:$B$215,2,0)</f>
        <v>0</v>
      </c>
      <c r="O154" s="58">
        <f t="shared" si="19"/>
        <v>0</v>
      </c>
      <c r="P154" s="42">
        <f t="shared" si="20"/>
        <v>0</v>
      </c>
      <c r="Q154" s="41">
        <f>VLOOKUP(A154,'Mandato LP'!$A$2:$C$215,3,0)</f>
        <v>0</v>
      </c>
      <c r="R154" s="42">
        <f t="shared" si="21"/>
        <v>0</v>
      </c>
      <c r="S154" s="15">
        <v>-0.79200000000000004</v>
      </c>
      <c r="T154" s="15">
        <v>-0.79800000000000004</v>
      </c>
      <c r="U154" s="15">
        <v>-0.35699999999999998</v>
      </c>
      <c r="V154" s="15">
        <v>-0.85499999999999998</v>
      </c>
      <c r="W154" s="15">
        <v>-0.73899999999999999</v>
      </c>
      <c r="X154" s="15">
        <v>-0.73</v>
      </c>
      <c r="Y154" s="15">
        <v>-0.51500000000000001</v>
      </c>
      <c r="Z154" s="15">
        <v>-0.78300000000000003</v>
      </c>
      <c r="AA154" s="15">
        <v>0.216</v>
      </c>
      <c r="AB154" s="15">
        <v>0.215</v>
      </c>
      <c r="AC154" s="15">
        <v>0.35099999999999998</v>
      </c>
      <c r="AD154" s="15">
        <v>0.40699999999999997</v>
      </c>
      <c r="AE154" s="15">
        <v>0.41499999999999998</v>
      </c>
      <c r="AF154" s="14">
        <v>-0.56200000000000006</v>
      </c>
      <c r="AG154" s="15">
        <v>-0.80900000000000005</v>
      </c>
      <c r="AH154" s="15">
        <v>-0.81299999999999994</v>
      </c>
      <c r="AI154" s="15">
        <v>0.57199999999999995</v>
      </c>
      <c r="AJ154" s="15">
        <v>-0.432</v>
      </c>
      <c r="AK154" s="16">
        <v>-0.35499999999999998</v>
      </c>
      <c r="AL154" s="4">
        <v>-0.20799999999999999</v>
      </c>
      <c r="AM154" s="4">
        <v>0.14399999999999999</v>
      </c>
      <c r="AN154" s="4">
        <v>0.23100000000000001</v>
      </c>
      <c r="AO154" s="4">
        <v>0.05</v>
      </c>
      <c r="AP154" s="4">
        <v>-0.58799999999999997</v>
      </c>
      <c r="AQ154" s="4">
        <v>-0.66700000000000004</v>
      </c>
      <c r="AR154" s="4">
        <v>-0.54200000000000004</v>
      </c>
      <c r="AS154" s="4">
        <v>-0.63600000000000001</v>
      </c>
      <c r="AT154" s="4">
        <v>-0.81499999999999995</v>
      </c>
      <c r="AU154" s="4">
        <v>-0.15</v>
      </c>
      <c r="AV154" s="4">
        <v>-0.40300000000000002</v>
      </c>
      <c r="AW154" s="4">
        <v>-0.38500000000000001</v>
      </c>
      <c r="AX154" s="4">
        <v>0.64500000000000002</v>
      </c>
      <c r="AY154" s="4">
        <v>-0.14899999999999999</v>
      </c>
      <c r="AZ154" s="4">
        <v>0.83299999999999996</v>
      </c>
      <c r="BA154" s="4">
        <v>-0.63800000000000001</v>
      </c>
      <c r="BB154" s="4">
        <v>0.45200000000000001</v>
      </c>
      <c r="BC154" s="4">
        <v>-0.10299999999999999</v>
      </c>
      <c r="BD154" s="4">
        <v>-0.33700000000000002</v>
      </c>
      <c r="BE154" s="4">
        <v>9.2999999999999999E-2</v>
      </c>
      <c r="BF154" s="4">
        <v>-0.11600000000000001</v>
      </c>
      <c r="BG154" s="4">
        <v>1</v>
      </c>
      <c r="BH154" s="4">
        <v>0.68100000000000005</v>
      </c>
      <c r="BI154" s="4">
        <v>0.28999999999999998</v>
      </c>
      <c r="BJ154" s="4">
        <v>-0.128</v>
      </c>
      <c r="BK154" s="4">
        <v>0.81299999999999994</v>
      </c>
      <c r="BL154" s="4">
        <v>0.75600000000000001</v>
      </c>
      <c r="BM154" s="4"/>
      <c r="BN154" s="4"/>
    </row>
    <row r="155" spans="1:66" x14ac:dyDescent="0.3">
      <c r="A155" t="s">
        <v>208</v>
      </c>
      <c r="B155" s="53">
        <v>0</v>
      </c>
      <c r="C155" s="53">
        <f t="shared" si="16"/>
        <v>0</v>
      </c>
      <c r="D155" s="53">
        <f t="shared" si="17"/>
        <v>0</v>
      </c>
      <c r="E155" s="53">
        <f t="shared" si="18"/>
        <v>0</v>
      </c>
      <c r="F155" s="15">
        <v>0.57399999999999995</v>
      </c>
      <c r="G155">
        <v>0.41599999999999998</v>
      </c>
      <c r="H155" t="s">
        <v>57</v>
      </c>
      <c r="I155" t="str">
        <f>VLOOKUP(A155,Setores!$A$2:$C$215,2,0)</f>
        <v>consumer_services</v>
      </c>
      <c r="J155" t="str">
        <f>VLOOKUP(A155,Setores!$A$2:$C$215,3,0)</f>
        <v>very_high_beta</v>
      </c>
      <c r="K155" s="17">
        <v>0</v>
      </c>
      <c r="L155" s="2">
        <v>0</v>
      </c>
      <c r="M155" s="5">
        <v>0.30983369599999999</v>
      </c>
      <c r="N155" s="41">
        <f>VLOOKUP(A155,'Mandato LP'!$A$2:$B$215,2,0)</f>
        <v>0</v>
      </c>
      <c r="O155" s="58">
        <f t="shared" si="19"/>
        <v>0</v>
      </c>
      <c r="P155" s="42">
        <f t="shared" si="20"/>
        <v>0</v>
      </c>
      <c r="Q155" s="41">
        <f>VLOOKUP(A155,'Mandato LP'!$A$2:$C$215,3,0)</f>
        <v>0</v>
      </c>
      <c r="R155" s="42">
        <f t="shared" si="21"/>
        <v>0</v>
      </c>
      <c r="S155" s="15">
        <v>-0.745</v>
      </c>
      <c r="T155" s="15">
        <v>-0.66200000000000003</v>
      </c>
      <c r="U155" s="15">
        <v>-0.81699999999999995</v>
      </c>
      <c r="V155" s="15">
        <v>-0.72</v>
      </c>
      <c r="W155" s="15">
        <v>-0.748</v>
      </c>
      <c r="X155" s="15">
        <v>-0.79900000000000004</v>
      </c>
      <c r="Y155" s="15">
        <v>-0.81200000000000006</v>
      </c>
      <c r="Z155" s="15">
        <v>-0.69699999999999995</v>
      </c>
      <c r="AA155" s="15">
        <v>0.03</v>
      </c>
      <c r="AB155" s="15">
        <v>2.3E-2</v>
      </c>
      <c r="AC155" s="15">
        <v>0.40200000000000002</v>
      </c>
      <c r="AD155" s="15">
        <v>0.46800000000000003</v>
      </c>
      <c r="AE155" s="15">
        <v>0.496</v>
      </c>
      <c r="AF155" s="14">
        <v>-0.38200000000000001</v>
      </c>
      <c r="AG155" s="15">
        <v>-0.28799999999999998</v>
      </c>
      <c r="AH155" s="15">
        <v>-0.32900000000000001</v>
      </c>
      <c r="AI155" s="15">
        <v>-0.40600000000000003</v>
      </c>
      <c r="AJ155" s="15">
        <v>0.20499999999999999</v>
      </c>
      <c r="AK155" s="16">
        <v>-0.76600000000000001</v>
      </c>
      <c r="AL155" s="4">
        <v>-0.122</v>
      </c>
      <c r="AM155" s="4">
        <v>-0.34300000000000003</v>
      </c>
      <c r="AN155" s="4">
        <v>-0.13</v>
      </c>
      <c r="AO155" s="4">
        <v>8.3000000000000004E-2</v>
      </c>
      <c r="AP155" s="4">
        <v>4.2000000000000003E-2</v>
      </c>
      <c r="AQ155" s="4">
        <v>-9.8000000000000004E-2</v>
      </c>
      <c r="AR155" s="4">
        <v>0.152</v>
      </c>
      <c r="AS155" s="4">
        <v>0.435</v>
      </c>
      <c r="AT155" s="4">
        <v>0.26200000000000001</v>
      </c>
      <c r="AU155" s="4">
        <v>8.9999999999999993E-3</v>
      </c>
      <c r="AV155" s="4">
        <v>-0.42599999999999999</v>
      </c>
      <c r="AW155" s="4">
        <v>-0.153</v>
      </c>
      <c r="AX155" s="4">
        <v>-0.93300000000000005</v>
      </c>
      <c r="AY155" s="4">
        <v>-0.47199999999999998</v>
      </c>
      <c r="AZ155" s="4">
        <v>-0.33100000000000002</v>
      </c>
      <c r="BA155" s="4">
        <v>0.29899999999999999</v>
      </c>
      <c r="BB155" s="4">
        <v>-0.27900000000000003</v>
      </c>
      <c r="BC155" s="4">
        <v>-0.26100000000000001</v>
      </c>
      <c r="BD155" s="4">
        <v>-0.51600000000000001</v>
      </c>
      <c r="BE155" s="4">
        <v>0.45600000000000002</v>
      </c>
      <c r="BF155" s="4">
        <v>0.94499999999999995</v>
      </c>
      <c r="BG155" s="4">
        <v>0.248</v>
      </c>
      <c r="BH155" s="4">
        <v>-4.0000000000000001E-3</v>
      </c>
      <c r="BI155" s="4">
        <v>-0.26400000000000001</v>
      </c>
      <c r="BJ155" s="4">
        <v>0.68</v>
      </c>
      <c r="BK155" s="4">
        <v>-0.65800000000000003</v>
      </c>
      <c r="BL155" s="4">
        <v>0.36199999999999999</v>
      </c>
      <c r="BM155" s="4"/>
      <c r="BN155" s="4"/>
    </row>
    <row r="156" spans="1:66" x14ac:dyDescent="0.3">
      <c r="A156" t="s">
        <v>189</v>
      </c>
      <c r="B156" s="53">
        <v>0</v>
      </c>
      <c r="C156" s="53">
        <f t="shared" si="16"/>
        <v>0</v>
      </c>
      <c r="D156" s="53">
        <f t="shared" si="17"/>
        <v>0</v>
      </c>
      <c r="E156" s="53">
        <f t="shared" si="18"/>
        <v>0</v>
      </c>
      <c r="F156" s="15">
        <v>0.57399999999999995</v>
      </c>
      <c r="G156">
        <v>0.68200000000000005</v>
      </c>
      <c r="H156" t="s">
        <v>68</v>
      </c>
      <c r="I156" t="str">
        <f>VLOOKUP(A156,Setores!$A$2:$C$215,2,0)</f>
        <v>capital_goods</v>
      </c>
      <c r="J156" t="str">
        <f>VLOOKUP(A156,Setores!$A$2:$C$215,3,0)</f>
        <v>low_beta</v>
      </c>
      <c r="K156" s="17">
        <v>0</v>
      </c>
      <c r="L156" s="2">
        <v>0</v>
      </c>
      <c r="M156" s="5">
        <v>0.61122012333333298</v>
      </c>
      <c r="N156" s="41">
        <f>VLOOKUP(A156,'Mandato LP'!$A$2:$B$215,2,0)</f>
        <v>0</v>
      </c>
      <c r="O156" s="58">
        <f t="shared" si="19"/>
        <v>0</v>
      </c>
      <c r="P156" s="42">
        <f t="shared" si="20"/>
        <v>0</v>
      </c>
      <c r="Q156" s="41">
        <f>VLOOKUP(A156,'Mandato LP'!$A$2:$C$215,3,0)</f>
        <v>0</v>
      </c>
      <c r="R156" s="42">
        <f t="shared" si="21"/>
        <v>0</v>
      </c>
      <c r="S156" s="15">
        <v>-0.75800000000000001</v>
      </c>
      <c r="T156" s="15">
        <v>-0.92300000000000004</v>
      </c>
      <c r="U156" s="15">
        <v>-0.74299999999999999</v>
      </c>
      <c r="V156" s="15">
        <v>-0.76700000000000002</v>
      </c>
      <c r="W156" s="15">
        <v>-0.88800000000000001</v>
      </c>
      <c r="X156" s="15">
        <v>-0.56999999999999995</v>
      </c>
      <c r="Y156" s="15">
        <v>-0.32</v>
      </c>
      <c r="Z156" s="15">
        <v>-0.82799999999999996</v>
      </c>
      <c r="AA156" s="15">
        <v>0.193</v>
      </c>
      <c r="AB156" s="15">
        <v>0.192</v>
      </c>
      <c r="AC156" s="15">
        <v>0.51300000000000001</v>
      </c>
      <c r="AD156" s="15">
        <v>0.49199999999999999</v>
      </c>
      <c r="AE156" s="15">
        <v>0.36599999999999999</v>
      </c>
      <c r="AF156" s="14">
        <v>-0.501</v>
      </c>
      <c r="AG156" s="15">
        <v>-0.55900000000000005</v>
      </c>
      <c r="AH156" s="15">
        <v>-1</v>
      </c>
      <c r="AI156" s="15">
        <v>-0.68600000000000005</v>
      </c>
      <c r="AJ156" s="15">
        <v>-0.77600000000000002</v>
      </c>
      <c r="AK156" s="16">
        <v>-0.36699999999999999</v>
      </c>
      <c r="AL156" s="4">
        <v>-8.1000000000000003E-2</v>
      </c>
      <c r="AM156" s="4">
        <v>-0.57999999999999996</v>
      </c>
      <c r="AN156" s="4">
        <v>-0.77900000000000003</v>
      </c>
      <c r="AO156" s="4">
        <v>-4.9000000000000002E-2</v>
      </c>
      <c r="AP156" s="4">
        <v>-0.44600000000000001</v>
      </c>
      <c r="AQ156" s="4">
        <v>-0.214</v>
      </c>
      <c r="AR156" s="4">
        <v>0.13700000000000001</v>
      </c>
      <c r="AS156" s="4">
        <v>-7.6999999999999999E-2</v>
      </c>
      <c r="AT156" s="4">
        <v>-0.66500000000000004</v>
      </c>
      <c r="AU156" s="4">
        <v>0.28199999999999997</v>
      </c>
      <c r="AV156" s="4">
        <v>-0.27100000000000002</v>
      </c>
      <c r="AW156" s="4">
        <v>0.113</v>
      </c>
      <c r="AX156" s="4">
        <v>0.70399999999999996</v>
      </c>
      <c r="AY156" s="4">
        <v>-4.9000000000000002E-2</v>
      </c>
      <c r="AZ156" s="4">
        <v>0.69799999999999995</v>
      </c>
      <c r="BA156" s="4">
        <v>0.73399999999999999</v>
      </c>
      <c r="BB156" s="4">
        <v>-0.377</v>
      </c>
      <c r="BC156" s="4">
        <v>-9.5000000000000001E-2</v>
      </c>
      <c r="BD156" s="4">
        <v>0.35299999999999998</v>
      </c>
      <c r="BE156" s="4">
        <v>7.8E-2</v>
      </c>
      <c r="BF156" s="4">
        <v>-0.81799999999999995</v>
      </c>
      <c r="BG156" s="4">
        <v>-0.52400000000000002</v>
      </c>
      <c r="BH156" s="4">
        <v>0.79500000000000004</v>
      </c>
      <c r="BI156" s="4">
        <v>-0.60699999999999998</v>
      </c>
      <c r="BJ156" s="4">
        <v>9.0999999999999998E-2</v>
      </c>
      <c r="BK156" s="4">
        <v>0.67500000000000004</v>
      </c>
      <c r="BL156" s="4">
        <v>-7.6999999999999999E-2</v>
      </c>
      <c r="BM156" s="4"/>
      <c r="BN156" s="4"/>
    </row>
    <row r="157" spans="1:66" x14ac:dyDescent="0.3">
      <c r="A157" t="s">
        <v>204</v>
      </c>
      <c r="B157" s="53">
        <v>0</v>
      </c>
      <c r="C157" s="53">
        <f t="shared" si="16"/>
        <v>-1.0999999999999999E-2</v>
      </c>
      <c r="D157" s="53">
        <f t="shared" si="17"/>
        <v>0</v>
      </c>
      <c r="E157" s="53">
        <f t="shared" si="18"/>
        <v>1.0999999999999999E-2</v>
      </c>
      <c r="F157" s="15">
        <v>0.56999999999999995</v>
      </c>
      <c r="G157">
        <v>0.96499999999999997</v>
      </c>
      <c r="H157" t="s">
        <v>55</v>
      </c>
      <c r="I157" t="str">
        <f>VLOOKUP(A157,Setores!$A$2:$C$215,2,0)</f>
        <v>utilities</v>
      </c>
      <c r="J157" t="str">
        <f>VLOOKUP(A157,Setores!$A$2:$C$215,3,0)</f>
        <v>low_beta</v>
      </c>
      <c r="K157" s="17">
        <v>0</v>
      </c>
      <c r="L157" s="2">
        <v>-1.0999999999999999E-2</v>
      </c>
      <c r="M157" s="5">
        <v>1.9500314894716699</v>
      </c>
      <c r="N157" s="41">
        <f>VLOOKUP(A157,'Mandato LP'!$A$2:$B$215,2,0)</f>
        <v>0</v>
      </c>
      <c r="O157" s="58">
        <f t="shared" si="19"/>
        <v>0</v>
      </c>
      <c r="P157" s="42">
        <f t="shared" si="20"/>
        <v>0</v>
      </c>
      <c r="Q157" s="41">
        <f>VLOOKUP(A157,'Mandato LP'!$A$2:$C$215,3,0)</f>
        <v>0</v>
      </c>
      <c r="R157" s="42">
        <f t="shared" si="21"/>
        <v>0</v>
      </c>
      <c r="S157" s="15">
        <v>-0.91</v>
      </c>
      <c r="T157" s="15">
        <v>-0.89400000000000002</v>
      </c>
      <c r="U157" s="15">
        <v>-1</v>
      </c>
      <c r="V157" s="15">
        <v>-0.80100000000000005</v>
      </c>
      <c r="W157" s="15">
        <v>-0.93200000000000005</v>
      </c>
      <c r="X157" s="15">
        <v>-0.72299999999999998</v>
      </c>
      <c r="Y157" s="15">
        <v>-0.46200000000000002</v>
      </c>
      <c r="Z157" s="15">
        <v>-0.746</v>
      </c>
      <c r="AA157" s="15">
        <v>0.18099999999999999</v>
      </c>
      <c r="AB157" s="15">
        <v>0.186</v>
      </c>
      <c r="AC157" s="15">
        <v>0.63500000000000001</v>
      </c>
      <c r="AD157" s="15">
        <v>0.60699999999999998</v>
      </c>
      <c r="AE157" s="15">
        <v>0.46800000000000003</v>
      </c>
      <c r="AF157" s="14">
        <v>-0.89</v>
      </c>
      <c r="AG157" s="15">
        <v>-0.61799999999999999</v>
      </c>
      <c r="AH157" s="15">
        <v>-0.2</v>
      </c>
      <c r="AI157" s="15">
        <v>-1</v>
      </c>
      <c r="AJ157" s="15">
        <v>-0.73099999999999998</v>
      </c>
      <c r="AK157" s="16">
        <v>-0.99</v>
      </c>
      <c r="AL157" s="4">
        <v>-0.56100000000000005</v>
      </c>
      <c r="AM157" s="4">
        <v>-0.69199999999999995</v>
      </c>
      <c r="AN157" s="4">
        <v>-0.73199999999999998</v>
      </c>
      <c r="AO157" s="4">
        <v>-0.29099999999999998</v>
      </c>
      <c r="AP157" s="4">
        <v>0.222</v>
      </c>
      <c r="AQ157" s="4">
        <v>0.33300000000000002</v>
      </c>
      <c r="AR157" s="4">
        <v>0.318</v>
      </c>
      <c r="AS157" s="4">
        <v>0.222</v>
      </c>
      <c r="AT157" s="4">
        <v>-2.7E-2</v>
      </c>
      <c r="AU157" s="4">
        <v>0.129</v>
      </c>
      <c r="AV157" s="4">
        <v>4.2999999999999997E-2</v>
      </c>
      <c r="AW157" s="4">
        <v>-0.32700000000000001</v>
      </c>
      <c r="AX157" s="4">
        <v>0.49</v>
      </c>
      <c r="AY157" s="4">
        <v>-0.39300000000000002</v>
      </c>
      <c r="AZ157" s="4">
        <v>0.65800000000000003</v>
      </c>
      <c r="BA157" s="4">
        <v>-0.19600000000000001</v>
      </c>
      <c r="BB157" s="4">
        <v>0.45200000000000001</v>
      </c>
      <c r="BC157" s="4">
        <v>-0.79</v>
      </c>
      <c r="BD157" s="4">
        <v>-0.84699999999999998</v>
      </c>
      <c r="BE157" s="4">
        <v>3.1E-2</v>
      </c>
      <c r="BF157" s="4">
        <v>-3.1E-2</v>
      </c>
      <c r="BG157" s="4">
        <v>-0.71</v>
      </c>
      <c r="BH157" s="4">
        <v>0.55400000000000005</v>
      </c>
      <c r="BI157" s="4">
        <v>-0.99299999999999999</v>
      </c>
      <c r="BJ157" s="4">
        <v>-0.26</v>
      </c>
      <c r="BK157" s="4">
        <v>-0.32500000000000001</v>
      </c>
      <c r="BL157" s="4">
        <v>-0.80200000000000005</v>
      </c>
      <c r="BM157" s="4"/>
      <c r="BN157" s="4"/>
    </row>
    <row r="158" spans="1:66" x14ac:dyDescent="0.3">
      <c r="A158" t="s">
        <v>241</v>
      </c>
      <c r="B158" s="53">
        <v>0</v>
      </c>
      <c r="C158" s="53">
        <f t="shared" si="16"/>
        <v>-2E-3</v>
      </c>
      <c r="D158" s="53">
        <f t="shared" si="17"/>
        <v>0</v>
      </c>
      <c r="E158" s="53">
        <f t="shared" si="18"/>
        <v>2E-3</v>
      </c>
      <c r="F158" s="15">
        <v>0.56999999999999995</v>
      </c>
      <c r="G158">
        <v>0.57599999999999996</v>
      </c>
      <c r="H158" t="s">
        <v>57</v>
      </c>
      <c r="I158" t="str">
        <f>VLOOKUP(A158,Setores!$A$2:$C$215,2,0)</f>
        <v>transportation</v>
      </c>
      <c r="J158" t="str">
        <f>VLOOKUP(A158,Setores!$A$2:$C$215,3,0)</f>
        <v>neutral_beta</v>
      </c>
      <c r="K158" s="17">
        <v>0</v>
      </c>
      <c r="L158" s="2">
        <v>-2E-3</v>
      </c>
      <c r="M158" s="5">
        <v>0.33708065394666697</v>
      </c>
      <c r="N158" s="41">
        <f>VLOOKUP(A158,'Mandato LP'!$A$2:$B$215,2,0)</f>
        <v>0</v>
      </c>
      <c r="O158" s="58">
        <f t="shared" si="19"/>
        <v>0</v>
      </c>
      <c r="P158" s="42">
        <f t="shared" si="20"/>
        <v>0</v>
      </c>
      <c r="Q158" s="41">
        <f>VLOOKUP(A158,'Mandato LP'!$A$2:$C$215,3,0)</f>
        <v>0</v>
      </c>
      <c r="R158" s="42">
        <f t="shared" si="21"/>
        <v>0</v>
      </c>
      <c r="S158" s="15">
        <v>-0.66700000000000004</v>
      </c>
      <c r="T158" s="15">
        <v>-0.78400000000000003</v>
      </c>
      <c r="U158" s="15">
        <v>-0.90900000000000003</v>
      </c>
      <c r="V158" s="15">
        <v>-0.70299999999999996</v>
      </c>
      <c r="W158" s="15">
        <v>-0.875</v>
      </c>
      <c r="X158" s="15">
        <v>-0.52700000000000002</v>
      </c>
      <c r="Y158" s="15">
        <v>-0.26</v>
      </c>
      <c r="Z158" s="15">
        <v>-0.81299999999999994</v>
      </c>
      <c r="AA158" s="15">
        <v>1E-3</v>
      </c>
      <c r="AB158" s="15">
        <v>0</v>
      </c>
      <c r="AC158" s="15">
        <v>0.45500000000000002</v>
      </c>
      <c r="AD158" s="15">
        <v>0.36899999999999999</v>
      </c>
      <c r="AE158" s="15">
        <v>0.29899999999999999</v>
      </c>
      <c r="AF158" s="14">
        <v>-0.76600000000000001</v>
      </c>
      <c r="AG158" s="15">
        <v>-4.2000000000000003E-2</v>
      </c>
      <c r="AH158" s="15">
        <v>-0.81499999999999995</v>
      </c>
      <c r="AI158" s="15">
        <v>-0.90200000000000002</v>
      </c>
      <c r="AJ158" s="15">
        <v>-0.92300000000000004</v>
      </c>
      <c r="AK158" s="16">
        <v>-0.88100000000000001</v>
      </c>
      <c r="AL158" s="4">
        <v>-0.23899999999999999</v>
      </c>
      <c r="AM158" s="4">
        <v>-0.60199999999999998</v>
      </c>
      <c r="AN158" s="4">
        <v>-0.67500000000000004</v>
      </c>
      <c r="AO158" s="4">
        <v>0.68</v>
      </c>
      <c r="AP158" s="4">
        <v>-0.30499999999999999</v>
      </c>
      <c r="AQ158" s="4">
        <v>0.13100000000000001</v>
      </c>
      <c r="AR158" s="4">
        <v>0.498</v>
      </c>
      <c r="AS158" s="4">
        <v>0.98799999999999999</v>
      </c>
      <c r="AT158" s="4">
        <v>0.36</v>
      </c>
      <c r="AU158" s="4">
        <v>-4.7E-2</v>
      </c>
      <c r="AV158" s="4">
        <v>0.192</v>
      </c>
      <c r="AW158" s="4">
        <v>-0.23200000000000001</v>
      </c>
      <c r="AX158" s="4">
        <v>0.23899999999999999</v>
      </c>
      <c r="AY158" s="4">
        <v>-0.42699999999999999</v>
      </c>
      <c r="AZ158" s="4">
        <v>0.65700000000000003</v>
      </c>
      <c r="BA158" s="4">
        <v>0.32900000000000001</v>
      </c>
      <c r="BB158" s="4">
        <v>0.314</v>
      </c>
      <c r="BC158" s="4">
        <v>-5.0000000000000001E-3</v>
      </c>
      <c r="BD158" s="4">
        <v>-0.48599999999999999</v>
      </c>
      <c r="BE158" s="4">
        <v>0.19500000000000001</v>
      </c>
      <c r="BF158" s="4">
        <v>-0.23799999999999999</v>
      </c>
      <c r="BG158" s="4">
        <v>-0.26400000000000001</v>
      </c>
      <c r="BH158" s="4">
        <v>0.438</v>
      </c>
      <c r="BI158" s="4">
        <v>4.3999999999999997E-2</v>
      </c>
      <c r="BJ158" s="4">
        <v>0.247</v>
      </c>
      <c r="BK158" s="4">
        <v>-0.35699999999999998</v>
      </c>
      <c r="BL158" s="4">
        <v>-0.65700000000000003</v>
      </c>
      <c r="BM158" s="4"/>
      <c r="BN158" s="4"/>
    </row>
    <row r="159" spans="1:66" x14ac:dyDescent="0.3">
      <c r="A159" t="s">
        <v>222</v>
      </c>
      <c r="B159" s="53">
        <v>0</v>
      </c>
      <c r="C159" s="53">
        <f t="shared" si="16"/>
        <v>-3.0000000000000001E-3</v>
      </c>
      <c r="D159" s="53">
        <f t="shared" si="17"/>
        <v>0</v>
      </c>
      <c r="E159" s="53">
        <f t="shared" si="18"/>
        <v>3.0000000000000001E-3</v>
      </c>
      <c r="F159" s="15">
        <v>0.56899999999999995</v>
      </c>
      <c r="G159">
        <v>0.65400000000000003</v>
      </c>
      <c r="H159" t="s">
        <v>71</v>
      </c>
      <c r="I159" t="str">
        <f>VLOOKUP(A159,Setores!$A$2:$C$215,2,0)</f>
        <v>basic_materials</v>
      </c>
      <c r="J159" t="str">
        <f>VLOOKUP(A159,Setores!$A$2:$C$215,3,0)</f>
        <v>very_low_beta</v>
      </c>
      <c r="K159" s="17">
        <v>0</v>
      </c>
      <c r="L159" s="2">
        <v>-3.0000000000000001E-3</v>
      </c>
      <c r="M159" s="5">
        <v>1.4339590476666699</v>
      </c>
      <c r="N159" s="41">
        <f>VLOOKUP(A159,'Mandato LP'!$A$2:$B$215,2,0)</f>
        <v>0</v>
      </c>
      <c r="O159" s="58">
        <f t="shared" si="19"/>
        <v>0</v>
      </c>
      <c r="P159" s="42">
        <f t="shared" si="20"/>
        <v>0</v>
      </c>
      <c r="Q159" s="41">
        <f>VLOOKUP(A159,'Mandato LP'!$A$2:$C$215,3,0)</f>
        <v>0</v>
      </c>
      <c r="R159" s="42">
        <f t="shared" si="21"/>
        <v>0</v>
      </c>
      <c r="S159" s="15">
        <v>-0.95399999999999996</v>
      </c>
      <c r="T159" s="15">
        <v>-0.92500000000000004</v>
      </c>
      <c r="U159" s="15">
        <v>-1</v>
      </c>
      <c r="V159" s="15">
        <v>-0.87</v>
      </c>
      <c r="W159" s="15">
        <v>-0.94599999999999995</v>
      </c>
      <c r="X159" s="15">
        <v>-0.70699999999999996</v>
      </c>
      <c r="Y159" s="15">
        <v>-0.40500000000000003</v>
      </c>
      <c r="Z159" s="15">
        <v>-0.83799999999999997</v>
      </c>
      <c r="AA159" s="15">
        <v>0.59399999999999997</v>
      </c>
      <c r="AB159" s="15">
        <v>0.59</v>
      </c>
      <c r="AC159" s="15">
        <v>0.504</v>
      </c>
      <c r="AD159" s="15">
        <v>0.52</v>
      </c>
      <c r="AE159" s="15">
        <v>0.43099999999999999</v>
      </c>
      <c r="AF159" s="14">
        <v>-0.64300000000000002</v>
      </c>
      <c r="AG159" s="15">
        <v>-0.90600000000000003</v>
      </c>
      <c r="AH159" s="15">
        <v>-0.73199999999999998</v>
      </c>
      <c r="AI159" s="15">
        <v>-0.90200000000000002</v>
      </c>
      <c r="AJ159" s="15">
        <v>-1</v>
      </c>
      <c r="AK159" s="16">
        <v>-1</v>
      </c>
      <c r="AL159" s="4">
        <v>-2.3E-2</v>
      </c>
      <c r="AM159" s="4">
        <v>-0.57099999999999995</v>
      </c>
      <c r="AN159" s="4">
        <v>-0.35399999999999998</v>
      </c>
      <c r="AO159" s="4">
        <v>3.5000000000000003E-2</v>
      </c>
      <c r="AP159" s="4">
        <v>-0.14099999999999999</v>
      </c>
      <c r="AQ159" s="4">
        <v>-0.95199999999999996</v>
      </c>
      <c r="AR159" s="4">
        <v>-0.48199999999999998</v>
      </c>
      <c r="AS159" s="4">
        <v>-7.4999999999999997E-2</v>
      </c>
      <c r="AT159" s="4">
        <v>-0.12</v>
      </c>
      <c r="AU159" s="4">
        <v>0.17100000000000001</v>
      </c>
      <c r="AV159" s="4">
        <v>4.3999999999999997E-2</v>
      </c>
      <c r="AW159" s="4">
        <v>-0.35599999999999998</v>
      </c>
      <c r="AX159" s="4">
        <v>0.93899999999999995</v>
      </c>
      <c r="AY159" s="4">
        <v>-0.39700000000000002</v>
      </c>
      <c r="AZ159" s="4">
        <v>0.14899999999999999</v>
      </c>
      <c r="BA159" s="4">
        <v>-0.29099999999999998</v>
      </c>
      <c r="BB159" s="4">
        <v>-0.73899999999999999</v>
      </c>
      <c r="BC159" s="4">
        <v>-0.20799999999999999</v>
      </c>
      <c r="BD159" s="4">
        <v>-0.30499999999999999</v>
      </c>
      <c r="BE159" s="4">
        <v>0.219</v>
      </c>
      <c r="BF159" s="4">
        <v>-3.5000000000000003E-2</v>
      </c>
      <c r="BG159" s="4">
        <v>-1E-3</v>
      </c>
      <c r="BH159" s="4">
        <v>0.92800000000000005</v>
      </c>
      <c r="BI159" s="4">
        <v>-0.11600000000000001</v>
      </c>
      <c r="BJ159" s="4">
        <v>-0.71899999999999997</v>
      </c>
      <c r="BK159" s="4">
        <v>-0.33400000000000002</v>
      </c>
      <c r="BL159" s="4">
        <v>-0.65500000000000003</v>
      </c>
      <c r="BM159" s="4"/>
      <c r="BN159" s="4"/>
    </row>
    <row r="160" spans="1:66" x14ac:dyDescent="0.3">
      <c r="A160" t="s">
        <v>240</v>
      </c>
      <c r="B160" s="53">
        <v>0</v>
      </c>
      <c r="C160" s="53">
        <f t="shared" si="16"/>
        <v>-7.0000000000000001E-3</v>
      </c>
      <c r="D160" s="53">
        <f t="shared" si="17"/>
        <v>0</v>
      </c>
      <c r="E160" s="53">
        <f t="shared" si="18"/>
        <v>7.0000000000000001E-3</v>
      </c>
      <c r="F160" s="15">
        <v>0.56799999999999995</v>
      </c>
      <c r="G160">
        <v>0.58299999999999996</v>
      </c>
      <c r="H160" t="s">
        <v>71</v>
      </c>
      <c r="I160" t="str">
        <f>VLOOKUP(A160,Setores!$A$2:$C$215,2,0)</f>
        <v>crude_oil</v>
      </c>
      <c r="J160" t="str">
        <f>VLOOKUP(A160,Setores!$A$2:$C$215,3,0)</f>
        <v>very_low_beta</v>
      </c>
      <c r="K160" s="17">
        <v>0</v>
      </c>
      <c r="L160" s="2">
        <v>-7.0000000000000001E-3</v>
      </c>
      <c r="M160" s="5">
        <v>2.42145E-2</v>
      </c>
      <c r="N160" s="41">
        <f>VLOOKUP(A160,'Mandato LP'!$A$2:$B$215,2,0)</f>
        <v>0</v>
      </c>
      <c r="O160" s="58">
        <f t="shared" si="19"/>
        <v>0</v>
      </c>
      <c r="P160" s="42">
        <f t="shared" si="20"/>
        <v>0</v>
      </c>
      <c r="Q160" s="41">
        <f>VLOOKUP(A160,'Mandato LP'!$A$2:$C$215,3,0)</f>
        <v>8.9711797722338699E-3</v>
      </c>
      <c r="R160" s="42">
        <f t="shared" si="21"/>
        <v>-8.9711797722338699E-3</v>
      </c>
      <c r="S160" s="15">
        <v>-0.94199999999999995</v>
      </c>
      <c r="T160" s="15">
        <v>-0.72499999999999998</v>
      </c>
      <c r="U160" s="15">
        <v>-1</v>
      </c>
      <c r="V160" s="15">
        <v>-0.85699999999999998</v>
      </c>
      <c r="W160" s="15">
        <v>-0.92500000000000004</v>
      </c>
      <c r="X160" s="15">
        <v>-0.82799999999999996</v>
      </c>
      <c r="Y160" s="15">
        <v>-0.81200000000000006</v>
      </c>
      <c r="Z160" s="15">
        <v>-0.64100000000000001</v>
      </c>
      <c r="AA160" s="15">
        <v>5.5E-2</v>
      </c>
      <c r="AB160" s="15">
        <v>6.4000000000000001E-2</v>
      </c>
      <c r="AC160" s="15">
        <v>0.48099999999999998</v>
      </c>
      <c r="AD160" s="15">
        <v>0.56100000000000005</v>
      </c>
      <c r="AE160" s="15">
        <v>0.58499999999999996</v>
      </c>
      <c r="AF160" s="14">
        <v>-1</v>
      </c>
      <c r="AG160" s="15">
        <v>-0.95899999999999996</v>
      </c>
      <c r="AH160" s="15">
        <v>0.32500000000000001</v>
      </c>
      <c r="AI160" s="15">
        <v>-1</v>
      </c>
      <c r="AJ160" s="15">
        <v>-0.45300000000000001</v>
      </c>
      <c r="AK160" s="16">
        <v>-1</v>
      </c>
      <c r="AL160" s="4">
        <v>-0.52</v>
      </c>
      <c r="AM160" s="4">
        <v>-1</v>
      </c>
      <c r="AN160" s="4">
        <v>-0.81599999999999995</v>
      </c>
      <c r="AO160" s="4">
        <v>-0.36399999999999999</v>
      </c>
      <c r="AP160" s="4">
        <v>0.91100000000000003</v>
      </c>
      <c r="AQ160" s="4">
        <v>0.95399999999999996</v>
      </c>
      <c r="AR160" s="4">
        <v>-0.65900000000000003</v>
      </c>
      <c r="AS160" s="4">
        <v>0.30499999999999999</v>
      </c>
      <c r="AT160" s="4">
        <v>4.0000000000000001E-3</v>
      </c>
      <c r="AU160" s="4">
        <v>8.0000000000000002E-3</v>
      </c>
      <c r="AV160" s="4">
        <v>-7.0999999999999994E-2</v>
      </c>
      <c r="AW160" s="4">
        <v>-0.77600000000000002</v>
      </c>
      <c r="AX160" s="4">
        <v>0.433</v>
      </c>
      <c r="AY160" s="4">
        <v>-0.438</v>
      </c>
      <c r="AZ160" s="4">
        <v>-0.112</v>
      </c>
      <c r="BA160" s="4">
        <v>6.8000000000000005E-2</v>
      </c>
      <c r="BB160" s="4">
        <v>0.61899999999999999</v>
      </c>
      <c r="BC160" s="4">
        <v>-0.63100000000000001</v>
      </c>
      <c r="BD160" s="4">
        <v>-0.77600000000000002</v>
      </c>
      <c r="BE160" s="4">
        <v>0.47899999999999998</v>
      </c>
      <c r="BF160" s="4">
        <v>-1</v>
      </c>
      <c r="BG160" s="4">
        <v>0.19400000000000001</v>
      </c>
      <c r="BH160" s="4">
        <v>2.9000000000000001E-2</v>
      </c>
      <c r="BI160" s="4">
        <v>-0.67200000000000004</v>
      </c>
      <c r="BJ160" s="4">
        <v>-1</v>
      </c>
      <c r="BK160" s="4">
        <v>-1</v>
      </c>
      <c r="BL160" s="4">
        <v>-0.40699999999999997</v>
      </c>
      <c r="BM160" s="4"/>
      <c r="BN160" s="4"/>
    </row>
    <row r="161" spans="1:66" x14ac:dyDescent="0.3">
      <c r="A161" t="s">
        <v>206</v>
      </c>
      <c r="B161" s="53">
        <v>0</v>
      </c>
      <c r="C161" s="53">
        <f t="shared" si="16"/>
        <v>0</v>
      </c>
      <c r="D161" s="53">
        <f t="shared" si="17"/>
        <v>0</v>
      </c>
      <c r="E161" s="53">
        <f t="shared" si="18"/>
        <v>0</v>
      </c>
      <c r="F161" s="15">
        <v>0.56699999999999995</v>
      </c>
      <c r="G161">
        <v>0.54600000000000004</v>
      </c>
      <c r="H161" t="s">
        <v>57</v>
      </c>
      <c r="I161" t="str">
        <f>VLOOKUP(A161,Setores!$A$2:$C$215,2,0)</f>
        <v>financial_services</v>
      </c>
      <c r="J161" t="str">
        <f>VLOOKUP(A161,Setores!$A$2:$C$215,3,0)</f>
        <v>very_high_beta</v>
      </c>
      <c r="K161" s="17">
        <v>0</v>
      </c>
      <c r="L161" s="2">
        <v>0</v>
      </c>
      <c r="M161" s="5">
        <v>3.5286688433200002</v>
      </c>
      <c r="N161" s="41">
        <f>VLOOKUP(A161,'Mandato LP'!$A$2:$B$215,2,0)</f>
        <v>0</v>
      </c>
      <c r="O161" s="58">
        <f t="shared" si="19"/>
        <v>0</v>
      </c>
      <c r="P161" s="42">
        <f t="shared" si="20"/>
        <v>0</v>
      </c>
      <c r="Q161" s="41">
        <f>VLOOKUP(A161,'Mandato LP'!$A$2:$C$215,3,0)</f>
        <v>0</v>
      </c>
      <c r="R161" s="42">
        <f t="shared" si="21"/>
        <v>0</v>
      </c>
      <c r="S161" s="15">
        <v>-0.73599999999999999</v>
      </c>
      <c r="T161" s="15">
        <v>-0.8</v>
      </c>
      <c r="U161" s="15">
        <v>-0.87</v>
      </c>
      <c r="V161" s="15">
        <v>-0.80500000000000005</v>
      </c>
      <c r="W161" s="15">
        <v>-0.88800000000000001</v>
      </c>
      <c r="X161" s="15">
        <v>-0.63500000000000001</v>
      </c>
      <c r="Y161" s="15">
        <v>-0.499</v>
      </c>
      <c r="Z161" s="15">
        <v>-0.83899999999999997</v>
      </c>
      <c r="AA161" s="15">
        <v>-2.5999999999999999E-2</v>
      </c>
      <c r="AB161" s="15">
        <v>-2.5999999999999999E-2</v>
      </c>
      <c r="AC161" s="15">
        <v>0.64300000000000002</v>
      </c>
      <c r="AD161" s="15">
        <v>0.57599999999999996</v>
      </c>
      <c r="AE161" s="15">
        <v>0.41399999999999998</v>
      </c>
      <c r="AF161" s="14">
        <v>-0.85199999999999998</v>
      </c>
      <c r="AG161" s="15">
        <v>-0.14399999999999999</v>
      </c>
      <c r="AH161" s="15">
        <v>-0.73099999999999998</v>
      </c>
      <c r="AI161" s="15">
        <v>-0.90900000000000003</v>
      </c>
      <c r="AJ161" s="15">
        <v>-0.98499999999999999</v>
      </c>
      <c r="AK161" s="16">
        <v>-0.95399999999999996</v>
      </c>
      <c r="AL161" s="4">
        <v>-9.4E-2</v>
      </c>
      <c r="AM161" s="4">
        <v>-0.60499999999999998</v>
      </c>
      <c r="AN161" s="4">
        <v>-0.45</v>
      </c>
      <c r="AO161" s="4">
        <v>0.19800000000000001</v>
      </c>
      <c r="AP161" s="4">
        <v>-0.33100000000000002</v>
      </c>
      <c r="AQ161" s="4">
        <v>-1.4E-2</v>
      </c>
      <c r="AR161" s="4">
        <v>0.1</v>
      </c>
      <c r="AS161" s="4">
        <v>0.222</v>
      </c>
      <c r="AT161" s="4">
        <v>0.35899999999999999</v>
      </c>
      <c r="AU161" s="4">
        <v>-8.8999999999999996E-2</v>
      </c>
      <c r="AV161" s="4">
        <v>4.8000000000000001E-2</v>
      </c>
      <c r="AW161" s="4">
        <v>-0.68100000000000005</v>
      </c>
      <c r="AX161" s="4">
        <v>5.7000000000000002E-2</v>
      </c>
      <c r="AY161" s="4">
        <v>-0.214</v>
      </c>
      <c r="AZ161" s="4">
        <v>-0.115</v>
      </c>
      <c r="BA161" s="4">
        <v>0.59199999999999997</v>
      </c>
      <c r="BB161" s="4">
        <v>0.52200000000000002</v>
      </c>
      <c r="BC161" s="4">
        <v>-0.316</v>
      </c>
      <c r="BD161" s="4">
        <v>5.1999999999999998E-2</v>
      </c>
      <c r="BE161" s="4">
        <v>0.14899999999999999</v>
      </c>
      <c r="BF161" s="4">
        <v>8.5999999999999993E-2</v>
      </c>
      <c r="BG161" s="4">
        <v>5.8000000000000003E-2</v>
      </c>
      <c r="BH161" s="4">
        <v>0.54700000000000004</v>
      </c>
      <c r="BI161" s="4">
        <v>-5.8000000000000003E-2</v>
      </c>
      <c r="BJ161" s="4">
        <v>0.24299999999999999</v>
      </c>
      <c r="BK161" s="4">
        <v>0.189</v>
      </c>
      <c r="BL161" s="4">
        <v>-0.57499999999999996</v>
      </c>
      <c r="BM161" s="4"/>
      <c r="BN161" s="4"/>
    </row>
    <row r="162" spans="1:66" x14ac:dyDescent="0.3">
      <c r="A162" t="s">
        <v>234</v>
      </c>
      <c r="B162" s="53">
        <v>0</v>
      </c>
      <c r="C162" s="53">
        <f t="shared" si="16"/>
        <v>-1E-3</v>
      </c>
      <c r="D162" s="53">
        <f t="shared" si="17"/>
        <v>0</v>
      </c>
      <c r="E162" s="53">
        <f t="shared" si="18"/>
        <v>1E-3</v>
      </c>
      <c r="F162" s="15">
        <v>0.56399999999999995</v>
      </c>
      <c r="G162">
        <v>0.56699999999999995</v>
      </c>
      <c r="H162" t="s">
        <v>55</v>
      </c>
      <c r="I162" t="str">
        <f>VLOOKUP(A162,Setores!$A$2:$C$215,2,0)</f>
        <v>utilities</v>
      </c>
      <c r="J162" t="str">
        <f>VLOOKUP(A162,Setores!$A$2:$C$215,3,0)</f>
        <v>high_beta</v>
      </c>
      <c r="K162" s="17">
        <v>0</v>
      </c>
      <c r="L162" s="2">
        <v>-1E-3</v>
      </c>
      <c r="M162" s="5">
        <v>0.65234422144333304</v>
      </c>
      <c r="N162" s="41">
        <f>VLOOKUP(A162,'Mandato LP'!$A$2:$B$215,2,0)</f>
        <v>0</v>
      </c>
      <c r="O162" s="58">
        <f t="shared" si="19"/>
        <v>0</v>
      </c>
      <c r="P162" s="42">
        <f t="shared" si="20"/>
        <v>0</v>
      </c>
      <c r="Q162" s="41">
        <f>VLOOKUP(A162,'Mandato LP'!$A$2:$C$215,3,0)</f>
        <v>0</v>
      </c>
      <c r="R162" s="42">
        <f t="shared" si="21"/>
        <v>0</v>
      </c>
      <c r="S162" s="15">
        <v>-0.93</v>
      </c>
      <c r="T162" s="15">
        <v>-0.85899999999999999</v>
      </c>
      <c r="U162" s="15">
        <v>-0.96599999999999997</v>
      </c>
      <c r="V162" s="15">
        <v>-0.89100000000000001</v>
      </c>
      <c r="W162" s="15">
        <v>-0.91400000000000003</v>
      </c>
      <c r="X162" s="15">
        <v>-0.76700000000000002</v>
      </c>
      <c r="Y162" s="15">
        <v>-0.63600000000000001</v>
      </c>
      <c r="Z162" s="15">
        <v>-0.64800000000000002</v>
      </c>
      <c r="AA162" s="15">
        <v>6.4000000000000001E-2</v>
      </c>
      <c r="AB162" s="15">
        <v>6.2E-2</v>
      </c>
      <c r="AC162" s="15">
        <v>0.47399999999999998</v>
      </c>
      <c r="AD162" s="15">
        <v>0.32600000000000001</v>
      </c>
      <c r="AE162" s="15">
        <v>0.52900000000000003</v>
      </c>
      <c r="AF162" s="14">
        <v>-0.96</v>
      </c>
      <c r="AG162" s="15">
        <v>-0.98899999999999999</v>
      </c>
      <c r="AH162" s="15">
        <v>-0.247</v>
      </c>
      <c r="AI162" s="15">
        <v>-0.91300000000000003</v>
      </c>
      <c r="AJ162" s="15">
        <v>-0.21299999999999999</v>
      </c>
      <c r="AK162" s="16">
        <v>-0.95399999999999996</v>
      </c>
      <c r="AL162" s="4">
        <v>-0.43099999999999999</v>
      </c>
      <c r="AM162" s="4">
        <v>-0.14499999999999999</v>
      </c>
      <c r="AN162" s="4">
        <v>-0.36199999999999999</v>
      </c>
      <c r="AO162" s="4">
        <v>-0.48899999999999999</v>
      </c>
      <c r="AP162" s="4">
        <v>0.29199999999999998</v>
      </c>
      <c r="AQ162" s="4">
        <v>0.79</v>
      </c>
      <c r="AR162" s="4">
        <v>-0.41099999999999998</v>
      </c>
      <c r="AS162" s="4">
        <v>-1</v>
      </c>
      <c r="AT162" s="4">
        <v>-0.48499999999999999</v>
      </c>
      <c r="AU162" s="4">
        <v>-0.499</v>
      </c>
      <c r="AV162" s="4">
        <v>-0.63400000000000001</v>
      </c>
      <c r="AW162" s="4">
        <v>-0.54600000000000004</v>
      </c>
      <c r="AX162" s="4">
        <v>0.58699999999999997</v>
      </c>
      <c r="AY162" s="4">
        <v>-0.73099999999999998</v>
      </c>
      <c r="AZ162" s="4">
        <v>-0.28499999999999998</v>
      </c>
      <c r="BA162" s="4">
        <v>-9.0999999999999998E-2</v>
      </c>
      <c r="BB162" s="4">
        <v>-0.35299999999999998</v>
      </c>
      <c r="BC162" s="4">
        <v>0.27200000000000002</v>
      </c>
      <c r="BD162" s="4">
        <v>-0.14199999999999999</v>
      </c>
      <c r="BE162" s="4">
        <v>0.316</v>
      </c>
      <c r="BF162" s="4">
        <v>-0.33400000000000002</v>
      </c>
      <c r="BG162" s="4">
        <v>0.48899999999999999</v>
      </c>
      <c r="BH162" s="4">
        <v>0.84899999999999998</v>
      </c>
      <c r="BI162" s="4">
        <v>-0.30299999999999999</v>
      </c>
      <c r="BJ162" s="4">
        <v>-5.0000000000000001E-3</v>
      </c>
      <c r="BK162" s="4">
        <v>0.13700000000000001</v>
      </c>
      <c r="BL162" s="4">
        <v>5.2999999999999999E-2</v>
      </c>
      <c r="BM162" s="4"/>
      <c r="BN162" s="4"/>
    </row>
    <row r="163" spans="1:66" x14ac:dyDescent="0.3">
      <c r="A163" t="s">
        <v>218</v>
      </c>
      <c r="B163" s="53">
        <v>0</v>
      </c>
      <c r="C163" s="53">
        <f t="shared" si="16"/>
        <v>-6.0000000000000001E-3</v>
      </c>
      <c r="D163" s="53">
        <f t="shared" si="17"/>
        <v>0</v>
      </c>
      <c r="E163" s="53">
        <f t="shared" si="18"/>
        <v>6.0000000000000001E-3</v>
      </c>
      <c r="F163" s="15">
        <v>0.56299999999999994</v>
      </c>
      <c r="G163">
        <v>0.92100000000000004</v>
      </c>
      <c r="H163" t="s">
        <v>55</v>
      </c>
      <c r="I163" t="str">
        <f>VLOOKUP(A163,Setores!$A$2:$C$215,2,0)</f>
        <v>utilities</v>
      </c>
      <c r="J163" t="str">
        <f>VLOOKUP(A163,Setores!$A$2:$C$215,3,0)</f>
        <v>high_beta</v>
      </c>
      <c r="K163" s="17">
        <v>0</v>
      </c>
      <c r="L163" s="2">
        <v>-6.0000000000000001E-3</v>
      </c>
      <c r="M163" s="5">
        <v>0.94085989654666702</v>
      </c>
      <c r="N163" s="41">
        <f>VLOOKUP(A163,'Mandato LP'!$A$2:$B$215,2,0)</f>
        <v>0</v>
      </c>
      <c r="O163" s="58">
        <f t="shared" si="19"/>
        <v>0</v>
      </c>
      <c r="P163" s="42">
        <f t="shared" si="20"/>
        <v>0</v>
      </c>
      <c r="Q163" s="41">
        <f>VLOOKUP(A163,'Mandato LP'!$A$2:$C$215,3,0)</f>
        <v>0</v>
      </c>
      <c r="R163" s="42">
        <f t="shared" si="21"/>
        <v>0</v>
      </c>
      <c r="S163" s="15">
        <v>-0.86</v>
      </c>
      <c r="T163" s="15">
        <v>-0.89500000000000002</v>
      </c>
      <c r="U163" s="15">
        <v>-0.98099999999999998</v>
      </c>
      <c r="V163" s="15">
        <v>-0.81899999999999995</v>
      </c>
      <c r="W163" s="15">
        <v>-0.93700000000000006</v>
      </c>
      <c r="X163" s="15">
        <v>-0.63700000000000001</v>
      </c>
      <c r="Y163" s="15">
        <v>-0.42199999999999999</v>
      </c>
      <c r="Z163" s="15">
        <v>-0.80900000000000005</v>
      </c>
      <c r="AA163" s="15">
        <v>-1.2999999999999999E-2</v>
      </c>
      <c r="AB163" s="15">
        <v>-1.0999999999999999E-2</v>
      </c>
      <c r="AC163" s="15">
        <v>0.64400000000000002</v>
      </c>
      <c r="AD163" s="15">
        <v>0.59699999999999998</v>
      </c>
      <c r="AE163" s="15">
        <v>0.44500000000000001</v>
      </c>
      <c r="AF163" s="14">
        <v>-0.60699999999999998</v>
      </c>
      <c r="AG163" s="15">
        <v>-0.74199999999999999</v>
      </c>
      <c r="AH163" s="15">
        <v>-0.64200000000000002</v>
      </c>
      <c r="AI163" s="15">
        <v>-0.97199999999999998</v>
      </c>
      <c r="AJ163" s="15">
        <v>-0.81399999999999995</v>
      </c>
      <c r="AK163" s="16">
        <v>-1</v>
      </c>
      <c r="AL163" s="4">
        <v>-0.28599999999999998</v>
      </c>
      <c r="AM163" s="4">
        <v>-0.63500000000000001</v>
      </c>
      <c r="AN163" s="4">
        <v>-0.58399999999999996</v>
      </c>
      <c r="AO163" s="4">
        <v>-0.23699999999999999</v>
      </c>
      <c r="AP163" s="4">
        <v>-9.7000000000000003E-2</v>
      </c>
      <c r="AQ163" s="4">
        <v>0.26300000000000001</v>
      </c>
      <c r="AR163" s="4">
        <v>-6.4000000000000001E-2</v>
      </c>
      <c r="AS163" s="4">
        <v>0.19800000000000001</v>
      </c>
      <c r="AT163" s="4">
        <v>0.13500000000000001</v>
      </c>
      <c r="AU163" s="4">
        <v>-5.5E-2</v>
      </c>
      <c r="AV163" s="4">
        <v>-0.39100000000000001</v>
      </c>
      <c r="AW163" s="4">
        <v>-0.129</v>
      </c>
      <c r="AX163" s="4">
        <v>0.51600000000000001</v>
      </c>
      <c r="AY163" s="4">
        <v>-0.82799999999999996</v>
      </c>
      <c r="AZ163" s="4">
        <v>0.94399999999999995</v>
      </c>
      <c r="BA163" s="4">
        <v>0.33600000000000002</v>
      </c>
      <c r="BB163" s="4">
        <v>0.223</v>
      </c>
      <c r="BC163" s="4">
        <v>0.159</v>
      </c>
      <c r="BD163" s="4">
        <v>1.4999999999999999E-2</v>
      </c>
      <c r="BE163" s="4">
        <v>0.34200000000000003</v>
      </c>
      <c r="BF163" s="4">
        <v>-1.6E-2</v>
      </c>
      <c r="BG163" s="4">
        <v>0.254</v>
      </c>
      <c r="BH163" s="4">
        <v>0.86799999999999999</v>
      </c>
      <c r="BI163" s="4">
        <v>-0.45800000000000002</v>
      </c>
      <c r="BJ163" s="4">
        <v>1.0999999999999999E-2</v>
      </c>
      <c r="BK163" s="4">
        <v>-0.33300000000000002</v>
      </c>
      <c r="BL163" s="4">
        <v>-0.49</v>
      </c>
      <c r="BM163" s="4"/>
      <c r="BN163" s="4"/>
    </row>
    <row r="164" spans="1:66" x14ac:dyDescent="0.3">
      <c r="A164" t="s">
        <v>277</v>
      </c>
      <c r="B164" s="53">
        <v>0</v>
      </c>
      <c r="C164" s="53">
        <f t="shared" si="16"/>
        <v>0</v>
      </c>
      <c r="D164" s="53">
        <f t="shared" si="17"/>
        <v>0</v>
      </c>
      <c r="E164" s="53">
        <f t="shared" si="18"/>
        <v>0</v>
      </c>
      <c r="F164" s="15">
        <v>0.56299999999999994</v>
      </c>
      <c r="G164">
        <v>0.56599999999999995</v>
      </c>
      <c r="H164" t="s">
        <v>55</v>
      </c>
      <c r="I164" t="str">
        <f>VLOOKUP(A164,Setores!$A$2:$C$215,2,0)</f>
        <v>telecom</v>
      </c>
      <c r="J164" t="str">
        <f>VLOOKUP(A164,Setores!$A$2:$C$215,3,0)</f>
        <v>low_beta</v>
      </c>
      <c r="K164" s="17">
        <v>0</v>
      </c>
      <c r="L164" s="2">
        <v>0</v>
      </c>
      <c r="M164" s="5">
        <v>5.6462485666666701E-2</v>
      </c>
      <c r="N164" s="41">
        <f>VLOOKUP(A164,'Mandato LP'!$A$2:$B$215,2,0)</f>
        <v>0</v>
      </c>
      <c r="O164" s="58">
        <f t="shared" si="19"/>
        <v>0</v>
      </c>
      <c r="P164" s="42">
        <f t="shared" si="20"/>
        <v>0</v>
      </c>
      <c r="Q164" s="41">
        <f>VLOOKUP(A164,'Mandato LP'!$A$2:$C$215,3,0)</f>
        <v>0</v>
      </c>
      <c r="R164" s="42">
        <f t="shared" si="21"/>
        <v>0</v>
      </c>
      <c r="S164" s="15">
        <v>-0.77400000000000002</v>
      </c>
      <c r="T164" s="15">
        <v>-0.71</v>
      </c>
      <c r="U164" s="15">
        <v>-0.83399999999999996</v>
      </c>
      <c r="V164" s="15">
        <v>-0.85899999999999999</v>
      </c>
      <c r="W164" s="15">
        <v>-0.875</v>
      </c>
      <c r="X164" s="15">
        <v>-0.73499999999999999</v>
      </c>
      <c r="Y164" s="15">
        <v>-0.64800000000000002</v>
      </c>
      <c r="Z164" s="15">
        <v>-0.83099999999999996</v>
      </c>
      <c r="AA164" s="15">
        <v>5.5E-2</v>
      </c>
      <c r="AB164" s="15">
        <v>5.8000000000000003E-2</v>
      </c>
      <c r="AC164" s="15">
        <v>0.44400000000000001</v>
      </c>
      <c r="AD164" s="15">
        <v>0.23400000000000001</v>
      </c>
      <c r="AE164" s="15">
        <v>0.53400000000000003</v>
      </c>
      <c r="AF164" s="14">
        <v>-1</v>
      </c>
      <c r="AG164" s="15">
        <v>-1</v>
      </c>
      <c r="AH164" s="15">
        <v>-0.47499999999999998</v>
      </c>
      <c r="AI164" s="15">
        <v>-0.755</v>
      </c>
      <c r="AJ164" s="15">
        <v>-0.38800000000000001</v>
      </c>
      <c r="AK164" s="16">
        <v>-0.78800000000000003</v>
      </c>
      <c r="AL164" s="4">
        <v>-0.23300000000000001</v>
      </c>
      <c r="AM164" s="4">
        <v>-0.79700000000000004</v>
      </c>
      <c r="AN164" s="4">
        <v>-0.46700000000000003</v>
      </c>
      <c r="AO164" s="4">
        <v>-0.24099999999999999</v>
      </c>
      <c r="AP164" s="4">
        <v>3.0000000000000001E-3</v>
      </c>
      <c r="AQ164" s="4">
        <v>0.18</v>
      </c>
      <c r="AR164" s="4">
        <v>-0.105</v>
      </c>
      <c r="AS164" s="4">
        <v>0.25600000000000001</v>
      </c>
      <c r="AT164" s="4">
        <v>-0.217</v>
      </c>
      <c r="AU164" s="4">
        <v>-8.3000000000000004E-2</v>
      </c>
      <c r="AV164" s="4">
        <v>8.1000000000000003E-2</v>
      </c>
      <c r="AW164" s="4">
        <v>-0.68899999999999995</v>
      </c>
      <c r="AX164" s="4">
        <v>0.23400000000000001</v>
      </c>
      <c r="AY164" s="4">
        <v>0.125</v>
      </c>
      <c r="AZ164" s="4">
        <v>0.63600000000000001</v>
      </c>
      <c r="BA164" s="4">
        <v>8.5999999999999993E-2</v>
      </c>
      <c r="BB164" s="4">
        <v>0.64600000000000002</v>
      </c>
      <c r="BC164" s="4">
        <v>0.01</v>
      </c>
      <c r="BD164" s="4">
        <v>-0.108</v>
      </c>
      <c r="BE164" s="4">
        <v>0.44700000000000001</v>
      </c>
      <c r="BF164" s="4">
        <v>-0.28899999999999998</v>
      </c>
      <c r="BG164" s="4">
        <v>-0.252</v>
      </c>
      <c r="BH164" s="4">
        <v>0.245</v>
      </c>
      <c r="BI164" s="4">
        <v>1E-3</v>
      </c>
      <c r="BJ164" s="4">
        <v>-0.16</v>
      </c>
      <c r="BK164" s="4">
        <v>0.83799999999999997</v>
      </c>
      <c r="BL164" s="4">
        <v>-3.7999999999999999E-2</v>
      </c>
      <c r="BM164" s="4"/>
      <c r="BN164" s="4"/>
    </row>
    <row r="165" spans="1:66" x14ac:dyDescent="0.3">
      <c r="A165" t="s">
        <v>276</v>
      </c>
      <c r="B165" s="53">
        <v>0</v>
      </c>
      <c r="C165" s="53">
        <f t="shared" si="16"/>
        <v>0</v>
      </c>
      <c r="D165" s="53">
        <f t="shared" si="17"/>
        <v>0</v>
      </c>
      <c r="E165" s="53">
        <f t="shared" si="18"/>
        <v>0</v>
      </c>
      <c r="F165" s="15">
        <v>0.56200000000000006</v>
      </c>
      <c r="G165">
        <v>0.39600000000000002</v>
      </c>
      <c r="H165" t="s">
        <v>68</v>
      </c>
      <c r="I165" t="str">
        <f>VLOOKUP(A165,Setores!$A$2:$C$215,2,0)</f>
        <v>chemicals</v>
      </c>
      <c r="J165" t="str">
        <f>VLOOKUP(A165,Setores!$A$2:$C$215,3,0)</f>
        <v>very_high_beta</v>
      </c>
      <c r="K165" s="17">
        <v>0</v>
      </c>
      <c r="L165" s="2">
        <v>0</v>
      </c>
      <c r="M165" s="5">
        <v>9.7646244434966695E-2</v>
      </c>
      <c r="N165" s="41">
        <f>VLOOKUP(A165,'Mandato LP'!$A$2:$B$215,2,0)</f>
        <v>0</v>
      </c>
      <c r="O165" s="58">
        <f t="shared" si="19"/>
        <v>0</v>
      </c>
      <c r="P165" s="42">
        <f t="shared" si="20"/>
        <v>0</v>
      </c>
      <c r="Q165" s="41">
        <f>VLOOKUP(A165,'Mandato LP'!$A$2:$C$215,3,0)</f>
        <v>0</v>
      </c>
      <c r="R165" s="42">
        <f t="shared" si="21"/>
        <v>0</v>
      </c>
      <c r="S165" s="15">
        <v>-0.80800000000000005</v>
      </c>
      <c r="T165" s="15">
        <v>-0.81</v>
      </c>
      <c r="U165" s="15">
        <v>-0.81599999999999995</v>
      </c>
      <c r="V165" s="15">
        <v>-0.83499999999999996</v>
      </c>
      <c r="W165" s="15">
        <v>-0.85199999999999998</v>
      </c>
      <c r="X165" s="15">
        <v>-0.88900000000000001</v>
      </c>
      <c r="Y165" s="15">
        <v>-0.90700000000000003</v>
      </c>
      <c r="Z165" s="15">
        <v>-0.73399999999999999</v>
      </c>
      <c r="AA165" s="15">
        <v>3.4000000000000002E-2</v>
      </c>
      <c r="AB165" s="15">
        <v>2.9000000000000001E-2</v>
      </c>
      <c r="AC165" s="15">
        <v>0.13400000000000001</v>
      </c>
      <c r="AD165" s="15">
        <v>0.45700000000000002</v>
      </c>
      <c r="AE165" s="15">
        <v>0.61799999999999999</v>
      </c>
      <c r="AF165" s="14">
        <v>-0.79900000000000004</v>
      </c>
      <c r="AG165" s="15">
        <v>-1</v>
      </c>
      <c r="AH165" s="15">
        <v>-0.41099999999999998</v>
      </c>
      <c r="AI165" s="15">
        <v>-0.8</v>
      </c>
      <c r="AJ165" s="15">
        <v>0.26300000000000001</v>
      </c>
      <c r="AK165" s="16">
        <v>-0.65300000000000002</v>
      </c>
      <c r="AL165" s="4">
        <v>-0.28699999999999998</v>
      </c>
      <c r="AM165" s="4">
        <v>-0.71399999999999997</v>
      </c>
      <c r="AN165" s="4">
        <v>-0.72799999999999998</v>
      </c>
      <c r="AO165" s="4">
        <v>-0.90600000000000003</v>
      </c>
      <c r="AP165" s="4">
        <v>0.67900000000000005</v>
      </c>
      <c r="AQ165" s="4">
        <v>1</v>
      </c>
      <c r="AR165" s="4">
        <v>-0.41799999999999998</v>
      </c>
      <c r="AS165" s="4">
        <v>-0.54800000000000004</v>
      </c>
      <c r="AT165" s="4">
        <v>-0.32700000000000001</v>
      </c>
      <c r="AU165" s="4">
        <v>0.22600000000000001</v>
      </c>
      <c r="AV165" s="4">
        <v>-0.50700000000000001</v>
      </c>
      <c r="AW165" s="4">
        <v>-7.3999999999999996E-2</v>
      </c>
      <c r="AX165" s="4">
        <v>-0.72499999999999998</v>
      </c>
      <c r="AY165" s="4">
        <v>-4.2000000000000003E-2</v>
      </c>
      <c r="AZ165" s="4">
        <v>-0.40899999999999997</v>
      </c>
      <c r="BA165" s="4">
        <v>-0.17499999999999999</v>
      </c>
      <c r="BB165" s="4">
        <v>0.95</v>
      </c>
      <c r="BC165" s="4">
        <v>0.161</v>
      </c>
      <c r="BD165" s="4">
        <v>6.2E-2</v>
      </c>
      <c r="BE165" s="4">
        <v>0.84299999999999997</v>
      </c>
      <c r="BF165" s="4">
        <v>-0.21199999999999999</v>
      </c>
      <c r="BG165" s="4">
        <v>-1</v>
      </c>
      <c r="BH165" s="4">
        <v>-0.40200000000000002</v>
      </c>
      <c r="BI165" s="4">
        <v>-1</v>
      </c>
      <c r="BJ165" s="4">
        <v>0.58699999999999997</v>
      </c>
      <c r="BK165" s="4">
        <v>0.97899999999999998</v>
      </c>
      <c r="BL165" s="4">
        <v>0.437</v>
      </c>
      <c r="BM165" s="4"/>
      <c r="BN165" s="4"/>
    </row>
    <row r="166" spans="1:66" x14ac:dyDescent="0.3">
      <c r="A166" t="s">
        <v>220</v>
      </c>
      <c r="B166" s="53">
        <v>0</v>
      </c>
      <c r="C166" s="53">
        <f t="shared" si="16"/>
        <v>-6.0000000000000001E-3</v>
      </c>
      <c r="D166" s="53">
        <f t="shared" si="17"/>
        <v>0</v>
      </c>
      <c r="E166" s="53">
        <f t="shared" si="18"/>
        <v>6.0000000000000001E-3</v>
      </c>
      <c r="F166" s="15">
        <v>0.56100000000000005</v>
      </c>
      <c r="G166">
        <v>0.71099999999999997</v>
      </c>
      <c r="H166" t="s">
        <v>57</v>
      </c>
      <c r="I166" t="str">
        <f>VLOOKUP(A166,Setores!$A$2:$C$215,2,0)</f>
        <v>consumer_services</v>
      </c>
      <c r="J166" t="str">
        <f>VLOOKUP(A166,Setores!$A$2:$C$215,3,0)</f>
        <v>very_high_beta</v>
      </c>
      <c r="K166" s="17">
        <v>0</v>
      </c>
      <c r="L166" s="2">
        <v>-6.0000000000000001E-3</v>
      </c>
      <c r="M166" s="5">
        <v>1.72765812919333</v>
      </c>
      <c r="N166" s="41">
        <f>VLOOKUP(A166,'Mandato LP'!$A$2:$B$215,2,0)</f>
        <v>0</v>
      </c>
      <c r="O166" s="58">
        <f t="shared" si="19"/>
        <v>0</v>
      </c>
      <c r="P166" s="42">
        <f t="shared" si="20"/>
        <v>0</v>
      </c>
      <c r="Q166" s="41">
        <f>VLOOKUP(A166,'Mandato LP'!$A$2:$C$215,3,0)</f>
        <v>0</v>
      </c>
      <c r="R166" s="42">
        <f t="shared" si="21"/>
        <v>0</v>
      </c>
      <c r="S166" s="15">
        <v>-0.78200000000000003</v>
      </c>
      <c r="T166" s="15">
        <v>-0.82899999999999996</v>
      </c>
      <c r="U166" s="15">
        <v>-0.94699999999999995</v>
      </c>
      <c r="V166" s="15">
        <v>-0.72499999999999998</v>
      </c>
      <c r="W166" s="15">
        <v>-0.875</v>
      </c>
      <c r="X166" s="15">
        <v>-0.76600000000000001</v>
      </c>
      <c r="Y166" s="15">
        <v>-0.7</v>
      </c>
      <c r="Z166" s="15">
        <v>-0.745</v>
      </c>
      <c r="AA166" s="15">
        <v>-0.11799999999999999</v>
      </c>
      <c r="AB166" s="15">
        <v>-0.11899999999999999</v>
      </c>
      <c r="AC166" s="15">
        <v>0.64800000000000002</v>
      </c>
      <c r="AD166" s="15">
        <v>0.63300000000000001</v>
      </c>
      <c r="AE166" s="15">
        <v>0.40100000000000002</v>
      </c>
      <c r="AF166" s="14">
        <v>-0.35799999999999998</v>
      </c>
      <c r="AG166" s="15">
        <v>-0.52500000000000002</v>
      </c>
      <c r="AH166" s="15">
        <v>-0.67200000000000004</v>
      </c>
      <c r="AI166" s="15">
        <v>-0.97</v>
      </c>
      <c r="AJ166" s="15">
        <v>-0.86099999999999999</v>
      </c>
      <c r="AK166" s="16">
        <v>-1</v>
      </c>
      <c r="AL166" s="4">
        <v>-0.28799999999999998</v>
      </c>
      <c r="AM166" s="4">
        <v>-0.41799999999999998</v>
      </c>
      <c r="AN166" s="4">
        <v>-0.63800000000000001</v>
      </c>
      <c r="AO166" s="4">
        <v>0.317</v>
      </c>
      <c r="AP166" s="4">
        <v>8.0000000000000002E-3</v>
      </c>
      <c r="AQ166" s="4">
        <v>-0.05</v>
      </c>
      <c r="AR166" s="4">
        <v>4.4999999999999998E-2</v>
      </c>
      <c r="AS166" s="4">
        <v>0.48</v>
      </c>
      <c r="AT166" s="4">
        <v>0.42399999999999999</v>
      </c>
      <c r="AU166" s="4">
        <v>4.9000000000000002E-2</v>
      </c>
      <c r="AV166" s="4">
        <v>-0.22900000000000001</v>
      </c>
      <c r="AW166" s="4">
        <v>0.11899999999999999</v>
      </c>
      <c r="AX166" s="4">
        <v>-0.105</v>
      </c>
      <c r="AY166" s="4">
        <v>-0.24299999999999999</v>
      </c>
      <c r="AZ166" s="4">
        <v>0.504</v>
      </c>
      <c r="BA166" s="4">
        <v>-0.36899999999999999</v>
      </c>
      <c r="BB166" s="4">
        <v>0.53100000000000003</v>
      </c>
      <c r="BC166" s="4">
        <v>0.155</v>
      </c>
      <c r="BD166" s="4">
        <v>4.2000000000000003E-2</v>
      </c>
      <c r="BE166" s="4">
        <v>0.41</v>
      </c>
      <c r="BF166" s="4">
        <v>7.6999999999999999E-2</v>
      </c>
      <c r="BG166" s="4">
        <v>-0.34100000000000003</v>
      </c>
      <c r="BH166" s="4">
        <v>-5.7000000000000002E-2</v>
      </c>
      <c r="BI166" s="4">
        <v>-6.5000000000000002E-2</v>
      </c>
      <c r="BJ166" s="4">
        <v>0.47799999999999998</v>
      </c>
      <c r="BK166" s="4">
        <v>-0.54900000000000004</v>
      </c>
      <c r="BL166" s="4">
        <v>-0.65</v>
      </c>
      <c r="BM166" s="4"/>
      <c r="BN166" s="4"/>
    </row>
    <row r="167" spans="1:66" x14ac:dyDescent="0.3">
      <c r="A167" t="s">
        <v>225</v>
      </c>
      <c r="B167" s="53">
        <v>0</v>
      </c>
      <c r="C167" s="53">
        <f t="shared" si="16"/>
        <v>0</v>
      </c>
      <c r="D167" s="53">
        <f t="shared" si="17"/>
        <v>0</v>
      </c>
      <c r="E167" s="53">
        <f t="shared" si="18"/>
        <v>0</v>
      </c>
      <c r="F167" s="15">
        <v>0.55900000000000005</v>
      </c>
      <c r="G167">
        <v>0.43099999999999999</v>
      </c>
      <c r="H167" t="s">
        <v>71</v>
      </c>
      <c r="I167" t="str">
        <f>VLOOKUP(A167,Setores!$A$2:$C$215,2,0)</f>
        <v>food</v>
      </c>
      <c r="J167" t="str">
        <f>VLOOKUP(A167,Setores!$A$2:$C$215,3,0)</f>
        <v>low_beta</v>
      </c>
      <c r="K167" s="17">
        <v>0</v>
      </c>
      <c r="L167" s="2">
        <v>0</v>
      </c>
      <c r="M167" s="5">
        <v>0.12999103671333301</v>
      </c>
      <c r="N167" s="41">
        <f>VLOOKUP(A167,'Mandato LP'!$A$2:$B$215,2,0)</f>
        <v>0</v>
      </c>
      <c r="O167" s="58">
        <f t="shared" si="19"/>
        <v>0</v>
      </c>
      <c r="P167" s="42">
        <f t="shared" si="20"/>
        <v>0</v>
      </c>
      <c r="Q167" s="41">
        <f>VLOOKUP(A167,'Mandato LP'!$A$2:$C$215,3,0)</f>
        <v>0</v>
      </c>
      <c r="R167" s="42">
        <f t="shared" si="21"/>
        <v>0</v>
      </c>
      <c r="S167" s="15">
        <v>-0.67600000000000005</v>
      </c>
      <c r="T167" s="15">
        <v>-0.77900000000000003</v>
      </c>
      <c r="U167" s="15">
        <v>-0.70899999999999996</v>
      </c>
      <c r="V167" s="15">
        <v>-0.52300000000000002</v>
      </c>
      <c r="W167" s="15">
        <v>-0.69699999999999995</v>
      </c>
      <c r="X167" s="15">
        <v>-0.67200000000000004</v>
      </c>
      <c r="Y167" s="15">
        <v>-0.77700000000000002</v>
      </c>
      <c r="Z167" s="15">
        <v>-0.83</v>
      </c>
      <c r="AA167" s="15">
        <v>-0.123</v>
      </c>
      <c r="AB167" s="15">
        <v>-0.123</v>
      </c>
      <c r="AC167" s="15">
        <v>0.312</v>
      </c>
      <c r="AD167" s="15">
        <v>0.50700000000000001</v>
      </c>
      <c r="AE167" s="15">
        <v>0.34</v>
      </c>
      <c r="AF167" s="14">
        <v>2.1000000000000001E-2</v>
      </c>
      <c r="AG167" s="15">
        <v>0.20399999999999999</v>
      </c>
      <c r="AH167" s="15">
        <v>-0.51200000000000001</v>
      </c>
      <c r="AI167" s="15">
        <v>0.16900000000000001</v>
      </c>
      <c r="AJ167" s="15">
        <v>-0.73</v>
      </c>
      <c r="AK167" s="16">
        <v>-0.79600000000000004</v>
      </c>
      <c r="AL167" s="4">
        <v>1</v>
      </c>
      <c r="AM167" s="4">
        <v>-0.503</v>
      </c>
      <c r="AN167" s="4">
        <v>-0.47099999999999997</v>
      </c>
      <c r="AO167" s="4">
        <v>8.4000000000000005E-2</v>
      </c>
      <c r="AP167" s="4">
        <v>-0.80300000000000005</v>
      </c>
      <c r="AQ167" s="4">
        <v>-0.65500000000000003</v>
      </c>
      <c r="AR167" s="4">
        <v>-0.128</v>
      </c>
      <c r="AS167" s="4">
        <v>0.249</v>
      </c>
      <c r="AT167" s="4">
        <v>0.20200000000000001</v>
      </c>
      <c r="AU167" s="4">
        <v>0.54900000000000004</v>
      </c>
      <c r="AV167" s="4">
        <v>-0.58199999999999996</v>
      </c>
      <c r="AW167" s="4">
        <v>-0.126</v>
      </c>
      <c r="AX167" s="4">
        <v>0.28100000000000003</v>
      </c>
      <c r="AY167" s="4">
        <v>-0.317</v>
      </c>
      <c r="AZ167" s="4">
        <v>-0.37</v>
      </c>
      <c r="BA167" s="4">
        <v>0.22900000000000001</v>
      </c>
      <c r="BB167" s="4">
        <v>-0.19700000000000001</v>
      </c>
      <c r="BC167" s="4">
        <v>-0.29199999999999998</v>
      </c>
      <c r="BD167" s="4">
        <v>0.24</v>
      </c>
      <c r="BE167" s="4">
        <v>0.247</v>
      </c>
      <c r="BF167" s="4">
        <v>-1</v>
      </c>
      <c r="BG167" s="4">
        <v>-0.54500000000000004</v>
      </c>
      <c r="BH167" s="4">
        <v>-0.39400000000000002</v>
      </c>
      <c r="BI167" s="4">
        <v>0.40799999999999997</v>
      </c>
      <c r="BJ167" s="4">
        <v>-0.184</v>
      </c>
      <c r="BK167" s="4">
        <v>-0.61599999999999999</v>
      </c>
      <c r="BL167" s="4">
        <v>0.184</v>
      </c>
      <c r="BM167" s="4"/>
      <c r="BN167" s="4"/>
    </row>
    <row r="168" spans="1:66" x14ac:dyDescent="0.3">
      <c r="A168" t="s">
        <v>246</v>
      </c>
      <c r="B168" s="53">
        <v>0</v>
      </c>
      <c r="C168" s="53">
        <f t="shared" si="16"/>
        <v>-1E-3</v>
      </c>
      <c r="D168" s="53">
        <f t="shared" si="17"/>
        <v>0</v>
      </c>
      <c r="E168" s="53">
        <f t="shared" si="18"/>
        <v>1E-3</v>
      </c>
      <c r="F168" s="15">
        <v>0.55800000000000005</v>
      </c>
      <c r="G168">
        <v>0.57399999999999995</v>
      </c>
      <c r="H168" t="s">
        <v>53</v>
      </c>
      <c r="I168" t="str">
        <f>VLOOKUP(A168,Setores!$A$2:$C$215,2,0)</f>
        <v>consumer_staples</v>
      </c>
      <c r="J168" t="str">
        <f>VLOOKUP(A168,Setores!$A$2:$C$215,3,0)</f>
        <v>high_beta</v>
      </c>
      <c r="K168" s="17">
        <v>0</v>
      </c>
      <c r="L168" s="2">
        <v>-1E-3</v>
      </c>
      <c r="M168" s="5">
        <v>0</v>
      </c>
      <c r="N168" s="41">
        <f>VLOOKUP(A168,'Mandato LP'!$A$2:$B$215,2,0)</f>
        <v>0</v>
      </c>
      <c r="O168" s="58">
        <f t="shared" si="19"/>
        <v>0</v>
      </c>
      <c r="P168" s="42">
        <f t="shared" si="20"/>
        <v>0</v>
      </c>
      <c r="Q168" s="41">
        <f>VLOOKUP(A168,'Mandato LP'!$A$2:$C$215,3,0)</f>
        <v>0</v>
      </c>
      <c r="R168" s="42">
        <f t="shared" si="21"/>
        <v>0</v>
      </c>
      <c r="S168" s="15">
        <v>-0.79900000000000004</v>
      </c>
      <c r="T168" s="15">
        <v>-0.70299999999999996</v>
      </c>
      <c r="U168" s="15">
        <v>-0.89</v>
      </c>
      <c r="V168" s="15">
        <v>-0.82799999999999996</v>
      </c>
      <c r="W168" s="15">
        <v>-0.86299999999999999</v>
      </c>
      <c r="X168" s="15">
        <v>-0.71199999999999997</v>
      </c>
      <c r="Y168" s="15">
        <v>-0.65100000000000002</v>
      </c>
      <c r="Z168" s="15">
        <v>-0.75</v>
      </c>
      <c r="AA168" s="15">
        <v>-7.1999999999999995E-2</v>
      </c>
      <c r="AB168" s="15">
        <v>-7.2999999999999995E-2</v>
      </c>
      <c r="AC168" s="15">
        <v>0.58299999999999996</v>
      </c>
      <c r="AD168" s="15">
        <v>0.66100000000000003</v>
      </c>
      <c r="AE168" s="15">
        <v>0.29399999999999998</v>
      </c>
      <c r="AF168" s="14">
        <v>-1</v>
      </c>
      <c r="AG168" s="15">
        <v>-0.39200000000000002</v>
      </c>
      <c r="AH168" s="15">
        <v>-0.45800000000000002</v>
      </c>
      <c r="AI168" s="15">
        <v>-0.93700000000000006</v>
      </c>
      <c r="AJ168" s="15">
        <v>-0.33600000000000002</v>
      </c>
      <c r="AK168" s="16">
        <v>-0.54700000000000004</v>
      </c>
      <c r="AL168" s="4">
        <v>-0.55900000000000005</v>
      </c>
      <c r="AM168" s="4">
        <v>-0.63700000000000001</v>
      </c>
      <c r="AN168" s="4">
        <v>-0.41699999999999998</v>
      </c>
      <c r="AO168" s="4">
        <v>0.151</v>
      </c>
      <c r="AP168" s="4">
        <v>0.253</v>
      </c>
      <c r="AQ168" s="4">
        <v>0.60799999999999998</v>
      </c>
      <c r="AR168" s="4">
        <v>1.2999999999999999E-2</v>
      </c>
      <c r="AS168" s="4">
        <v>0.29299999999999998</v>
      </c>
      <c r="AT168" s="4">
        <v>8.3000000000000004E-2</v>
      </c>
      <c r="AU168" s="4">
        <v>-0.26800000000000002</v>
      </c>
      <c r="AV168" s="4">
        <v>-0.47799999999999998</v>
      </c>
      <c r="AW168" s="4">
        <v>-0.48099999999999998</v>
      </c>
      <c r="AX168" s="4">
        <v>0.28299999999999997</v>
      </c>
      <c r="AY168" s="4">
        <v>-0.28799999999999998</v>
      </c>
      <c r="AZ168" s="4">
        <v>0.747</v>
      </c>
      <c r="BA168" s="4">
        <v>0.54500000000000004</v>
      </c>
      <c r="BB168" s="4">
        <v>-0.42</v>
      </c>
      <c r="BC168" s="4">
        <v>-9.2999999999999999E-2</v>
      </c>
      <c r="BD168" s="4">
        <v>8.6999999999999994E-2</v>
      </c>
      <c r="BE168" s="4">
        <v>-0.27100000000000002</v>
      </c>
      <c r="BF168" s="4">
        <v>-0.63700000000000001</v>
      </c>
      <c r="BG168" s="4">
        <v>1</v>
      </c>
      <c r="BH168" s="4">
        <v>0.58099999999999996</v>
      </c>
      <c r="BI168" s="4">
        <v>-0.113</v>
      </c>
      <c r="BJ168" s="4">
        <v>4.9000000000000002E-2</v>
      </c>
      <c r="BK168" s="4">
        <v>-0.104</v>
      </c>
      <c r="BL168" s="4">
        <v>-0.191</v>
      </c>
      <c r="BM168" s="4"/>
      <c r="BN168" s="4"/>
    </row>
    <row r="169" spans="1:66" x14ac:dyDescent="0.3">
      <c r="A169" t="s">
        <v>156</v>
      </c>
      <c r="B169" s="53">
        <v>0</v>
      </c>
      <c r="C169" s="53">
        <f t="shared" si="16"/>
        <v>0</v>
      </c>
      <c r="D169" s="53">
        <f t="shared" si="17"/>
        <v>0</v>
      </c>
      <c r="E169" s="53">
        <f t="shared" si="18"/>
        <v>0</v>
      </c>
      <c r="F169" s="15">
        <v>0.55700000000000005</v>
      </c>
      <c r="G169">
        <v>0.51200000000000001</v>
      </c>
      <c r="H169" t="s">
        <v>55</v>
      </c>
      <c r="I169" t="str">
        <f>VLOOKUP(A169,Setores!$A$2:$C$215,2,0)</f>
        <v>transportation</v>
      </c>
      <c r="J169" t="str">
        <f>VLOOKUP(A169,Setores!$A$2:$C$215,3,0)</f>
        <v>very_high_beta</v>
      </c>
      <c r="K169" s="17">
        <v>0</v>
      </c>
      <c r="L169" s="2">
        <v>0</v>
      </c>
      <c r="M169" s="5">
        <v>0.29649117015666698</v>
      </c>
      <c r="N169" s="41">
        <f>VLOOKUP(A169,'Mandato LP'!$A$2:$B$215,2,0)</f>
        <v>0</v>
      </c>
      <c r="O169" s="58">
        <f t="shared" si="19"/>
        <v>0</v>
      </c>
      <c r="P169" s="42">
        <f t="shared" si="20"/>
        <v>0</v>
      </c>
      <c r="Q169" s="41">
        <f>VLOOKUP(A169,'Mandato LP'!$A$2:$C$215,3,0)</f>
        <v>0</v>
      </c>
      <c r="R169" s="42">
        <f t="shared" si="21"/>
        <v>0</v>
      </c>
      <c r="S169" s="15">
        <v>-0.76500000000000001</v>
      </c>
      <c r="T169" s="15">
        <v>-0.73299999999999998</v>
      </c>
      <c r="U169" s="15">
        <v>-0.80900000000000005</v>
      </c>
      <c r="V169" s="15">
        <v>-0.745</v>
      </c>
      <c r="W169" s="15">
        <v>-0.75600000000000001</v>
      </c>
      <c r="X169" s="15">
        <v>-0.70799999999999996</v>
      </c>
      <c r="Y169" s="15">
        <v>-0.60299999999999998</v>
      </c>
      <c r="Z169" s="15">
        <v>-0.74099999999999999</v>
      </c>
      <c r="AA169" s="15">
        <v>-0.19700000000000001</v>
      </c>
      <c r="AB169" s="15">
        <v>-0.19600000000000001</v>
      </c>
      <c r="AC169" s="15">
        <v>0.42099999999999999</v>
      </c>
      <c r="AD169" s="15">
        <v>0.64700000000000002</v>
      </c>
      <c r="AE169" s="15">
        <v>0.27400000000000002</v>
      </c>
      <c r="AF169" s="14">
        <v>-0.81299999999999994</v>
      </c>
      <c r="AG169" s="15">
        <v>0.105</v>
      </c>
      <c r="AH169" s="15">
        <v>9.0999999999999998E-2</v>
      </c>
      <c r="AI169" s="15">
        <v>-0.23400000000000001</v>
      </c>
      <c r="AJ169" s="15">
        <v>-0.40699999999999997</v>
      </c>
      <c r="AK169" s="16">
        <v>-0.84699999999999998</v>
      </c>
      <c r="AL169" s="4">
        <v>-5.0000000000000001E-3</v>
      </c>
      <c r="AM169" s="4">
        <v>-0.28299999999999997</v>
      </c>
      <c r="AN169" s="4">
        <v>6.0000000000000001E-3</v>
      </c>
      <c r="AO169" s="4">
        <v>0.58599999999999997</v>
      </c>
      <c r="AP169" s="4">
        <v>-0.438</v>
      </c>
      <c r="AQ169" s="4">
        <v>-0.24</v>
      </c>
      <c r="AR169" s="4">
        <v>0.25700000000000001</v>
      </c>
      <c r="AS169" s="4">
        <v>-0.24299999999999999</v>
      </c>
      <c r="AT169" s="4">
        <v>-0.68300000000000005</v>
      </c>
      <c r="AU169" s="4">
        <v>-6.4000000000000001E-2</v>
      </c>
      <c r="AV169" s="4">
        <v>0.14699999999999999</v>
      </c>
      <c r="AW169" s="4">
        <v>-0.54500000000000004</v>
      </c>
      <c r="AX169" s="4">
        <v>-0.35</v>
      </c>
      <c r="AY169" s="4">
        <v>-0.97299999999999998</v>
      </c>
      <c r="AZ169" s="4">
        <v>0.84599999999999997</v>
      </c>
      <c r="BA169" s="4">
        <v>0.39</v>
      </c>
      <c r="BB169" s="4">
        <v>0.56100000000000005</v>
      </c>
      <c r="BC169" s="4">
        <v>-0.55100000000000005</v>
      </c>
      <c r="BD169" s="4">
        <v>-0.79600000000000004</v>
      </c>
      <c r="BE169" s="4">
        <v>0.255</v>
      </c>
      <c r="BF169" s="4">
        <v>0.58599999999999997</v>
      </c>
      <c r="BG169" s="4">
        <v>-1</v>
      </c>
      <c r="BH169" s="4">
        <v>-0.105</v>
      </c>
      <c r="BI169" s="4">
        <v>-0.218</v>
      </c>
      <c r="BJ169" s="4">
        <v>0.90100000000000002</v>
      </c>
      <c r="BK169" s="4">
        <v>-0.27900000000000003</v>
      </c>
      <c r="BL169" s="4">
        <v>0.13100000000000001</v>
      </c>
      <c r="BM169" s="4"/>
      <c r="BN169" s="4"/>
    </row>
    <row r="170" spans="1:66" x14ac:dyDescent="0.3">
      <c r="A170" t="s">
        <v>227</v>
      </c>
      <c r="B170" s="53">
        <v>0</v>
      </c>
      <c r="C170" s="53">
        <f t="shared" si="16"/>
        <v>0</v>
      </c>
      <c r="D170" s="53">
        <f t="shared" si="17"/>
        <v>0</v>
      </c>
      <c r="E170" s="53">
        <f t="shared" si="18"/>
        <v>0</v>
      </c>
      <c r="F170" s="15">
        <v>0.55700000000000005</v>
      </c>
      <c r="G170">
        <v>0.48499999999999999</v>
      </c>
      <c r="H170" t="s">
        <v>71</v>
      </c>
      <c r="I170" t="str">
        <f>VLOOKUP(A170,Setores!$A$2:$C$215,2,0)</f>
        <v>food</v>
      </c>
      <c r="J170" t="str">
        <f>VLOOKUP(A170,Setores!$A$2:$C$215,3,0)</f>
        <v>very_low_beta</v>
      </c>
      <c r="K170" s="17">
        <v>0</v>
      </c>
      <c r="L170" s="2">
        <v>0</v>
      </c>
      <c r="M170" s="5">
        <v>0</v>
      </c>
      <c r="N170" s="41">
        <f>VLOOKUP(A170,'Mandato LP'!$A$2:$B$215,2,0)</f>
        <v>0</v>
      </c>
      <c r="O170" s="58">
        <f t="shared" si="19"/>
        <v>0</v>
      </c>
      <c r="P170" s="42">
        <f t="shared" si="20"/>
        <v>0</v>
      </c>
      <c r="Q170" s="41">
        <f>VLOOKUP(A170,'Mandato LP'!$A$2:$C$215,3,0)</f>
        <v>0</v>
      </c>
      <c r="R170" s="42">
        <f t="shared" si="21"/>
        <v>0</v>
      </c>
      <c r="S170" s="15">
        <v>-0.93400000000000005</v>
      </c>
      <c r="T170" s="15">
        <v>-0.91100000000000003</v>
      </c>
      <c r="U170" s="15">
        <v>-0.98599999999999999</v>
      </c>
      <c r="V170" s="15">
        <v>-0.88400000000000001</v>
      </c>
      <c r="W170" s="15">
        <v>-0.93899999999999995</v>
      </c>
      <c r="X170" s="15">
        <v>-0.73299999999999998</v>
      </c>
      <c r="Y170" s="15">
        <v>-0.66600000000000004</v>
      </c>
      <c r="Z170" s="15">
        <v>-0.78900000000000003</v>
      </c>
      <c r="AA170" s="15">
        <v>0.28799999999999998</v>
      </c>
      <c r="AB170" s="15">
        <v>0.29099999999999998</v>
      </c>
      <c r="AC170" s="15">
        <v>0.32</v>
      </c>
      <c r="AD170" s="15">
        <v>0.49199999999999999</v>
      </c>
      <c r="AE170" s="15">
        <v>0.47</v>
      </c>
      <c r="AF170" s="14">
        <v>-1</v>
      </c>
      <c r="AG170" s="15">
        <v>-0.82899999999999996</v>
      </c>
      <c r="AH170" s="15">
        <v>-0.33200000000000002</v>
      </c>
      <c r="AI170" s="15">
        <v>-0.97699999999999998</v>
      </c>
      <c r="AJ170" s="15">
        <v>-0.86199999999999999</v>
      </c>
      <c r="AK170" s="16">
        <v>-0.95799999999999996</v>
      </c>
      <c r="AL170" s="4">
        <v>-0.104</v>
      </c>
      <c r="AM170" s="4">
        <v>-0.51200000000000001</v>
      </c>
      <c r="AN170" s="4">
        <v>-0.57999999999999996</v>
      </c>
      <c r="AO170" s="4">
        <v>-0.16600000000000001</v>
      </c>
      <c r="AP170" s="4">
        <v>6.2E-2</v>
      </c>
      <c r="AQ170" s="4">
        <v>-0.04</v>
      </c>
      <c r="AR170" s="4">
        <v>-0.43099999999999999</v>
      </c>
      <c r="AS170" s="4">
        <v>-0.32200000000000001</v>
      </c>
      <c r="AT170" s="4">
        <v>-0.38300000000000001</v>
      </c>
      <c r="AU170" s="4">
        <v>0.48599999999999999</v>
      </c>
      <c r="AV170" s="4">
        <v>-0.63600000000000001</v>
      </c>
      <c r="AW170" s="4">
        <v>-0.88200000000000001</v>
      </c>
      <c r="AX170" s="4">
        <v>0.67700000000000005</v>
      </c>
      <c r="AY170" s="4">
        <v>-0.60399999999999998</v>
      </c>
      <c r="AZ170" s="4">
        <v>0.56100000000000005</v>
      </c>
      <c r="BA170" s="4">
        <v>4.0000000000000001E-3</v>
      </c>
      <c r="BB170" s="4">
        <v>0.14499999999999999</v>
      </c>
      <c r="BC170" s="4">
        <v>-0.158</v>
      </c>
      <c r="BD170" s="4">
        <v>-0.21099999999999999</v>
      </c>
      <c r="BE170" s="4">
        <v>0.17</v>
      </c>
      <c r="BF170" s="4">
        <v>0.67200000000000004</v>
      </c>
      <c r="BG170" s="4">
        <v>-0.10299999999999999</v>
      </c>
      <c r="BH170" s="4">
        <v>0.75900000000000001</v>
      </c>
      <c r="BI170" s="4">
        <v>-0.309</v>
      </c>
      <c r="BJ170" s="4">
        <v>-0.43</v>
      </c>
      <c r="BK170" s="4">
        <v>0.187</v>
      </c>
      <c r="BL170" s="4">
        <v>-0.86599999999999999</v>
      </c>
      <c r="BM170" s="4"/>
      <c r="BN170" s="4"/>
    </row>
    <row r="171" spans="1:66" x14ac:dyDescent="0.3">
      <c r="A171" t="s">
        <v>194</v>
      </c>
      <c r="B171" s="53">
        <v>0</v>
      </c>
      <c r="C171" s="53">
        <f t="shared" si="16"/>
        <v>-1E-3</v>
      </c>
      <c r="D171" s="53">
        <f t="shared" si="17"/>
        <v>0</v>
      </c>
      <c r="E171" s="53">
        <f t="shared" si="18"/>
        <v>1E-3</v>
      </c>
      <c r="F171" s="15">
        <v>0.55500000000000005</v>
      </c>
      <c r="G171">
        <v>0.58199999999999996</v>
      </c>
      <c r="H171" t="s">
        <v>57</v>
      </c>
      <c r="I171" t="str">
        <f>VLOOKUP(A171,Setores!$A$2:$C$215,2,0)</f>
        <v>homebuilders</v>
      </c>
      <c r="J171" t="str">
        <f>VLOOKUP(A171,Setores!$A$2:$C$215,3,0)</f>
        <v>very_high_beta</v>
      </c>
      <c r="K171" s="17">
        <v>0</v>
      </c>
      <c r="L171" s="2">
        <v>-1E-3</v>
      </c>
      <c r="M171" s="5">
        <v>1.4313931040900001</v>
      </c>
      <c r="N171" s="41">
        <f>VLOOKUP(A171,'Mandato LP'!$A$2:$B$215,2,0)</f>
        <v>0</v>
      </c>
      <c r="O171" s="58">
        <f t="shared" si="19"/>
        <v>0</v>
      </c>
      <c r="P171" s="42">
        <f t="shared" si="20"/>
        <v>0</v>
      </c>
      <c r="Q171" s="41">
        <f>VLOOKUP(A171,'Mandato LP'!$A$2:$C$215,3,0)</f>
        <v>0</v>
      </c>
      <c r="R171" s="42">
        <f t="shared" si="21"/>
        <v>0</v>
      </c>
      <c r="S171" s="15">
        <v>-0.83699999999999997</v>
      </c>
      <c r="T171" s="15">
        <v>-0.91</v>
      </c>
      <c r="U171" s="15">
        <v>-0.91</v>
      </c>
      <c r="V171" s="15">
        <v>-0.78500000000000003</v>
      </c>
      <c r="W171" s="15">
        <v>-0.88800000000000001</v>
      </c>
      <c r="X171" s="15">
        <v>-0.66800000000000004</v>
      </c>
      <c r="Y171" s="15">
        <v>-0.46700000000000003</v>
      </c>
      <c r="Z171" s="15">
        <v>-0.77400000000000002</v>
      </c>
      <c r="AA171" s="15">
        <v>-0.122</v>
      </c>
      <c r="AB171" s="15">
        <v>-0.123</v>
      </c>
      <c r="AC171" s="15">
        <v>0.59599999999999997</v>
      </c>
      <c r="AD171" s="15">
        <v>0.56100000000000005</v>
      </c>
      <c r="AE171" s="15">
        <v>0.312</v>
      </c>
      <c r="AF171" s="14">
        <v>-0.55800000000000005</v>
      </c>
      <c r="AG171" s="15">
        <v>0.14000000000000001</v>
      </c>
      <c r="AH171" s="15">
        <v>-0.59199999999999997</v>
      </c>
      <c r="AI171" s="15">
        <v>-0.621</v>
      </c>
      <c r="AJ171" s="15">
        <v>-0.76100000000000001</v>
      </c>
      <c r="AK171" s="16">
        <v>-0.85099999999999998</v>
      </c>
      <c r="AL171" s="4">
        <v>-0.252</v>
      </c>
      <c r="AM171" s="4">
        <v>-7.0000000000000007E-2</v>
      </c>
      <c r="AN171" s="4">
        <v>-0.33100000000000002</v>
      </c>
      <c r="AO171" s="4">
        <v>0.184</v>
      </c>
      <c r="AP171" s="4">
        <v>-0.51700000000000002</v>
      </c>
      <c r="AQ171" s="4">
        <v>-0.54800000000000004</v>
      </c>
      <c r="AR171" s="4">
        <v>0.33600000000000002</v>
      </c>
      <c r="AS171" s="4">
        <v>9.4E-2</v>
      </c>
      <c r="AT171" s="4">
        <v>-0.441</v>
      </c>
      <c r="AU171" s="4">
        <v>-1.7000000000000001E-2</v>
      </c>
      <c r="AV171" s="4">
        <v>-0.188</v>
      </c>
      <c r="AW171" s="4">
        <v>-0.35799999999999998</v>
      </c>
      <c r="AX171" s="4">
        <v>-0.17599999999999999</v>
      </c>
      <c r="AY171" s="4">
        <v>-0.185</v>
      </c>
      <c r="AZ171" s="4">
        <v>0.81399999999999995</v>
      </c>
      <c r="BA171" s="4">
        <v>0.29499999999999998</v>
      </c>
      <c r="BB171" s="4">
        <v>0.436</v>
      </c>
      <c r="BC171" s="4">
        <v>-0.67800000000000005</v>
      </c>
      <c r="BD171" s="4">
        <v>-0.629</v>
      </c>
      <c r="BE171" s="4">
        <v>0.10299999999999999</v>
      </c>
      <c r="BF171" s="4">
        <v>0.51500000000000001</v>
      </c>
      <c r="BG171" s="4">
        <v>0.34399999999999997</v>
      </c>
      <c r="BH171" s="4">
        <v>0.64800000000000002</v>
      </c>
      <c r="BI171" s="4">
        <v>-0.50800000000000001</v>
      </c>
      <c r="BJ171" s="4">
        <v>0.67700000000000005</v>
      </c>
      <c r="BK171" s="4">
        <v>-0.78300000000000003</v>
      </c>
      <c r="BL171" s="4">
        <v>-0.379</v>
      </c>
      <c r="BM171" s="4"/>
      <c r="BN171" s="4"/>
    </row>
    <row r="172" spans="1:66" x14ac:dyDescent="0.3">
      <c r="A172" t="s">
        <v>252</v>
      </c>
      <c r="B172" s="53">
        <v>0</v>
      </c>
      <c r="C172" s="53">
        <f t="shared" si="16"/>
        <v>-2E-3</v>
      </c>
      <c r="D172" s="53">
        <f t="shared" si="17"/>
        <v>0</v>
      </c>
      <c r="E172" s="53">
        <f t="shared" si="18"/>
        <v>2E-3</v>
      </c>
      <c r="F172" s="15">
        <v>0.55200000000000005</v>
      </c>
      <c r="G172">
        <v>0.44</v>
      </c>
      <c r="H172" t="s">
        <v>53</v>
      </c>
      <c r="I172" t="str">
        <f>VLOOKUP(A172,Setores!$A$2:$C$215,2,0)</f>
        <v>consumer_staples</v>
      </c>
      <c r="J172" t="str">
        <f>VLOOKUP(A172,Setores!$A$2:$C$215,3,0)</f>
        <v>very_high_beta</v>
      </c>
      <c r="K172" s="17">
        <v>0</v>
      </c>
      <c r="L172" s="2">
        <v>-2E-3</v>
      </c>
      <c r="M172" s="5">
        <v>7.0530552149999995E-2</v>
      </c>
      <c r="N172" s="41">
        <f>VLOOKUP(A172,'Mandato LP'!$A$2:$B$215,2,0)</f>
        <v>0</v>
      </c>
      <c r="O172" s="58">
        <f t="shared" si="19"/>
        <v>0</v>
      </c>
      <c r="P172" s="42">
        <f t="shared" si="20"/>
        <v>0</v>
      </c>
      <c r="Q172" s="41">
        <f>VLOOKUP(A172,'Mandato LP'!$A$2:$C$215,3,0)</f>
        <v>0</v>
      </c>
      <c r="R172" s="42">
        <f t="shared" si="21"/>
        <v>0</v>
      </c>
      <c r="S172" s="15">
        <v>-0.745</v>
      </c>
      <c r="T172" s="15">
        <v>-0.80700000000000005</v>
      </c>
      <c r="U172" s="15">
        <v>-0.90400000000000003</v>
      </c>
      <c r="V172" s="15">
        <v>-0.73399999999999999</v>
      </c>
      <c r="W172" s="15">
        <v>-0.86699999999999999</v>
      </c>
      <c r="X172" s="15">
        <v>-0.71399999999999997</v>
      </c>
      <c r="Y172" s="15">
        <v>-0.67300000000000004</v>
      </c>
      <c r="Z172" s="15">
        <v>-0.86099999999999999</v>
      </c>
      <c r="AA172" s="15">
        <v>-0.17799999999999999</v>
      </c>
      <c r="AB172" s="15">
        <v>-0.17499999999999999</v>
      </c>
      <c r="AC172" s="15">
        <v>0.60899999999999999</v>
      </c>
      <c r="AD172" s="15">
        <v>0.66500000000000004</v>
      </c>
      <c r="AE172" s="15">
        <v>0.32400000000000001</v>
      </c>
      <c r="AF172" s="14">
        <v>-0.39400000000000002</v>
      </c>
      <c r="AG172" s="15">
        <v>-0.32600000000000001</v>
      </c>
      <c r="AH172" s="15">
        <v>-0.60299999999999998</v>
      </c>
      <c r="AI172" s="15">
        <v>-0.69399999999999995</v>
      </c>
      <c r="AJ172" s="15">
        <v>-0.77400000000000002</v>
      </c>
      <c r="AK172" s="16">
        <v>-0.9</v>
      </c>
      <c r="AL172" s="4">
        <v>0.39400000000000002</v>
      </c>
      <c r="AM172" s="4">
        <v>-0.86699999999999999</v>
      </c>
      <c r="AN172" s="4">
        <v>-0.65100000000000002</v>
      </c>
      <c r="AO172" s="4">
        <v>9.0999999999999998E-2</v>
      </c>
      <c r="AP172" s="4">
        <v>-0.26100000000000001</v>
      </c>
      <c r="AQ172" s="4">
        <v>4.5999999999999999E-2</v>
      </c>
      <c r="AR172" s="4">
        <v>-0.18099999999999999</v>
      </c>
      <c r="AS172" s="4">
        <v>0.872</v>
      </c>
      <c r="AT172" s="4">
        <v>0.17</v>
      </c>
      <c r="AU172" s="4">
        <v>0.47799999999999998</v>
      </c>
      <c r="AV172" s="4">
        <v>-0.6</v>
      </c>
      <c r="AW172" s="4">
        <v>-5.0999999999999997E-2</v>
      </c>
      <c r="AX172" s="4">
        <v>-9.1999999999999998E-2</v>
      </c>
      <c r="AY172" s="4">
        <v>-0.432</v>
      </c>
      <c r="AZ172" s="4">
        <v>0.84499999999999997</v>
      </c>
      <c r="BA172" s="4">
        <v>0.111</v>
      </c>
      <c r="BB172" s="4">
        <v>-4.0000000000000001E-3</v>
      </c>
      <c r="BC172" s="4">
        <v>-0.184</v>
      </c>
      <c r="BD172" s="4">
        <v>7.4999999999999997E-2</v>
      </c>
      <c r="BE172" s="4">
        <v>0.251</v>
      </c>
      <c r="BF172" s="4">
        <v>0.114</v>
      </c>
      <c r="BG172" s="4">
        <v>1</v>
      </c>
      <c r="BH172" s="4">
        <v>0.45200000000000001</v>
      </c>
      <c r="BI172" s="4">
        <v>0.121</v>
      </c>
      <c r="BJ172" s="4">
        <v>0.33400000000000002</v>
      </c>
      <c r="BK172" s="4">
        <v>-0.51800000000000002</v>
      </c>
      <c r="BL172" s="4">
        <v>-0.126</v>
      </c>
      <c r="BM172" s="4"/>
      <c r="BN172" s="4"/>
    </row>
    <row r="173" spans="1:66" x14ac:dyDescent="0.3">
      <c r="A173" t="s">
        <v>128</v>
      </c>
      <c r="B173" s="53">
        <v>0</v>
      </c>
      <c r="C173" s="53">
        <f t="shared" si="16"/>
        <v>0</v>
      </c>
      <c r="D173" s="53">
        <f t="shared" si="17"/>
        <v>0</v>
      </c>
      <c r="E173" s="53">
        <f t="shared" si="18"/>
        <v>0</v>
      </c>
      <c r="F173" s="15">
        <v>0.55000000000000004</v>
      </c>
      <c r="G173">
        <v>0.442</v>
      </c>
      <c r="H173" t="s">
        <v>68</v>
      </c>
      <c r="I173" t="str">
        <f>VLOOKUP(A173,Setores!$A$2:$C$215,2,0)</f>
        <v>capital_goods</v>
      </c>
      <c r="J173" t="str">
        <f>VLOOKUP(A173,Setores!$A$2:$C$215,3,0)</f>
        <v>very_low_beta</v>
      </c>
      <c r="K173" s="17">
        <v>0</v>
      </c>
      <c r="L173" s="2">
        <v>0</v>
      </c>
      <c r="M173" s="5">
        <v>0.19694211936433301</v>
      </c>
      <c r="N173" s="41">
        <f>VLOOKUP(A173,'Mandato LP'!$A$2:$B$215,2,0)</f>
        <v>0</v>
      </c>
      <c r="O173" s="58">
        <f t="shared" si="19"/>
        <v>0</v>
      </c>
      <c r="P173" s="42">
        <f t="shared" si="20"/>
        <v>0</v>
      </c>
      <c r="Q173" s="41">
        <f>VLOOKUP(A173,'Mandato LP'!$A$2:$C$215,3,0)</f>
        <v>0</v>
      </c>
      <c r="R173" s="42">
        <f t="shared" si="21"/>
        <v>0</v>
      </c>
      <c r="S173" s="15">
        <v>-0.83099999999999996</v>
      </c>
      <c r="T173" s="15">
        <v>-0.66100000000000003</v>
      </c>
      <c r="U173" s="15">
        <v>-0.56899999999999995</v>
      </c>
      <c r="V173" s="15">
        <v>-0.91300000000000003</v>
      </c>
      <c r="W173" s="15">
        <v>-0.80500000000000005</v>
      </c>
      <c r="X173" s="15">
        <v>-0.84</v>
      </c>
      <c r="Y173" s="15">
        <v>-0.751</v>
      </c>
      <c r="Z173" s="15">
        <v>-0.89400000000000002</v>
      </c>
      <c r="AA173" s="15">
        <v>-7.8E-2</v>
      </c>
      <c r="AB173" s="15">
        <v>-7.6999999999999999E-2</v>
      </c>
      <c r="AC173" s="15">
        <v>0.253</v>
      </c>
      <c r="AD173" s="15">
        <v>0.43</v>
      </c>
      <c r="AE173" s="15">
        <v>0.48899999999999999</v>
      </c>
      <c r="AF173" s="14">
        <v>-0.879</v>
      </c>
      <c r="AG173" s="15">
        <v>-1</v>
      </c>
      <c r="AH173" s="15">
        <v>-0.52500000000000002</v>
      </c>
      <c r="AI173" s="15">
        <v>-2.7E-2</v>
      </c>
      <c r="AJ173" s="15">
        <v>0.185</v>
      </c>
      <c r="AK173" s="16">
        <v>-0.22800000000000001</v>
      </c>
      <c r="AL173" s="4">
        <v>-0.41499999999999998</v>
      </c>
      <c r="AM173" s="4">
        <v>-0.69</v>
      </c>
      <c r="AN173" s="4">
        <v>0.108</v>
      </c>
      <c r="AO173" s="4">
        <v>-0.49</v>
      </c>
      <c r="AP173" s="4">
        <v>-0.20799999999999999</v>
      </c>
      <c r="AQ173" s="4">
        <v>3.2000000000000001E-2</v>
      </c>
      <c r="AR173" s="4">
        <v>-0.63100000000000001</v>
      </c>
      <c r="AS173" s="4">
        <v>-0.68799999999999994</v>
      </c>
      <c r="AT173" s="4">
        <v>-5.3999999999999999E-2</v>
      </c>
      <c r="AU173" s="4">
        <v>-0.28599999999999998</v>
      </c>
      <c r="AV173" s="4">
        <v>-0.45900000000000002</v>
      </c>
      <c r="AW173" s="4">
        <v>-0.67500000000000004</v>
      </c>
      <c r="AX173" s="4">
        <v>0.37</v>
      </c>
      <c r="AY173" s="4">
        <v>-0.312</v>
      </c>
      <c r="AZ173" s="4">
        <v>0.60199999999999998</v>
      </c>
      <c r="BA173" s="4">
        <v>-1</v>
      </c>
      <c r="BB173" s="4">
        <v>0.45200000000000001</v>
      </c>
      <c r="BC173" s="4">
        <v>6.7000000000000004E-2</v>
      </c>
      <c r="BD173" s="4">
        <v>-7.2999999999999995E-2</v>
      </c>
      <c r="BE173" s="4">
        <v>-4.9000000000000002E-2</v>
      </c>
      <c r="BF173" s="4">
        <v>-0.19500000000000001</v>
      </c>
      <c r="BG173" s="4">
        <v>0.66900000000000004</v>
      </c>
      <c r="BH173" s="4">
        <v>0.84499999999999997</v>
      </c>
      <c r="BI173" s="4">
        <v>0.60799999999999998</v>
      </c>
      <c r="BJ173" s="4">
        <v>-6.2E-2</v>
      </c>
      <c r="BK173" s="4">
        <v>0.79600000000000004</v>
      </c>
      <c r="BL173" s="4">
        <v>0.73199999999999998</v>
      </c>
      <c r="BM173" s="4"/>
      <c r="BN173" s="4"/>
    </row>
    <row r="174" spans="1:66" x14ac:dyDescent="0.3">
      <c r="A174" t="s">
        <v>247</v>
      </c>
      <c r="B174" s="53">
        <v>0</v>
      </c>
      <c r="C174" s="53">
        <f t="shared" si="16"/>
        <v>0</v>
      </c>
      <c r="D174" s="53">
        <f t="shared" si="17"/>
        <v>0</v>
      </c>
      <c r="E174" s="53">
        <f t="shared" si="18"/>
        <v>0</v>
      </c>
      <c r="F174" s="15">
        <v>0.54800000000000004</v>
      </c>
      <c r="G174">
        <v>0.41</v>
      </c>
      <c r="H174" t="s">
        <v>57</v>
      </c>
      <c r="I174" t="str">
        <f>VLOOKUP(A174,Setores!$A$2:$C$215,2,0)</f>
        <v>financial_services</v>
      </c>
      <c r="J174" t="str">
        <f>VLOOKUP(A174,Setores!$A$2:$C$215,3,0)</f>
        <v>high_beta</v>
      </c>
      <c r="K174" s="17">
        <v>0</v>
      </c>
      <c r="L174" s="2">
        <v>0</v>
      </c>
      <c r="M174" s="5">
        <v>0.59242618049999995</v>
      </c>
      <c r="N174" s="41">
        <f>VLOOKUP(A174,'Mandato LP'!$A$2:$B$215,2,0)</f>
        <v>0</v>
      </c>
      <c r="O174" s="58">
        <f t="shared" si="19"/>
        <v>0</v>
      </c>
      <c r="P174" s="42">
        <f t="shared" si="20"/>
        <v>0</v>
      </c>
      <c r="Q174" s="41">
        <f>VLOOKUP(A174,'Mandato LP'!$A$2:$C$215,3,0)</f>
        <v>0</v>
      </c>
      <c r="R174" s="42">
        <f t="shared" si="21"/>
        <v>0</v>
      </c>
      <c r="S174" s="15">
        <v>-0.71</v>
      </c>
      <c r="T174" s="15">
        <v>-0.87</v>
      </c>
      <c r="U174" s="15">
        <v>-0.68500000000000005</v>
      </c>
      <c r="V174" s="15">
        <v>-0.79700000000000004</v>
      </c>
      <c r="W174" s="15">
        <v>-0.86199999999999999</v>
      </c>
      <c r="X174" s="15">
        <v>-0.68100000000000005</v>
      </c>
      <c r="Y174" s="15">
        <v>-0.43</v>
      </c>
      <c r="Z174" s="15">
        <v>-0.91800000000000004</v>
      </c>
      <c r="AA174" s="15">
        <v>0.122</v>
      </c>
      <c r="AB174" s="15">
        <v>0.11899999999999999</v>
      </c>
      <c r="AC174" s="15">
        <v>-4.2000000000000003E-2</v>
      </c>
      <c r="AD174" s="15">
        <v>0.32400000000000001</v>
      </c>
      <c r="AE174" s="15">
        <v>0.22600000000000001</v>
      </c>
      <c r="AF174" s="14">
        <v>-0.96899999999999997</v>
      </c>
      <c r="AG174" s="15">
        <v>0.52900000000000003</v>
      </c>
      <c r="AH174" s="15">
        <v>-0.98799999999999999</v>
      </c>
      <c r="AI174" s="15">
        <v>-0.81200000000000006</v>
      </c>
      <c r="AJ174" s="15">
        <v>-1</v>
      </c>
      <c r="AK174" s="16">
        <v>-0.29599999999999999</v>
      </c>
      <c r="AL174" s="4">
        <v>-0.41499999999999998</v>
      </c>
      <c r="AM174" s="4">
        <v>-0.65700000000000003</v>
      </c>
      <c r="AN174" s="4">
        <v>-0.20399999999999999</v>
      </c>
      <c r="AO174" s="4">
        <v>0.33400000000000002</v>
      </c>
      <c r="AP174" s="4">
        <v>-0.873</v>
      </c>
      <c r="AQ174" s="4">
        <v>-0.92200000000000004</v>
      </c>
      <c r="AR174" s="4">
        <v>0.32800000000000001</v>
      </c>
      <c r="AS174" s="4">
        <v>0.99299999999999999</v>
      </c>
      <c r="AT174" s="4">
        <v>-0.123</v>
      </c>
      <c r="AU174" s="4">
        <v>0.17599999999999999</v>
      </c>
      <c r="AV174" s="4">
        <v>0.77300000000000002</v>
      </c>
      <c r="AW174" s="4">
        <v>-0.40699999999999997</v>
      </c>
      <c r="AX174" s="4">
        <v>-0.218</v>
      </c>
      <c r="AY174" s="4">
        <v>2.7E-2</v>
      </c>
      <c r="AZ174" s="4">
        <v>-0.13800000000000001</v>
      </c>
      <c r="BA174" s="4">
        <v>0.375</v>
      </c>
      <c r="BB174" s="4">
        <v>0.67300000000000004</v>
      </c>
      <c r="BC174" s="4">
        <v>-0.15</v>
      </c>
      <c r="BD174" s="4">
        <v>-0.28999999999999998</v>
      </c>
      <c r="BE174" s="4">
        <v>-0.11899999999999999</v>
      </c>
      <c r="BF174" s="4">
        <v>1</v>
      </c>
      <c r="BG174" s="4">
        <v>1</v>
      </c>
      <c r="BH174" s="4">
        <v>0.17100000000000001</v>
      </c>
      <c r="BI174" s="4">
        <v>-0.33700000000000002</v>
      </c>
      <c r="BJ174" s="4">
        <v>0.20300000000000001</v>
      </c>
      <c r="BK174" s="4">
        <v>0.53200000000000003</v>
      </c>
      <c r="BL174" s="4">
        <v>-0.109</v>
      </c>
      <c r="BM174" s="4"/>
      <c r="BN174" s="4"/>
    </row>
    <row r="175" spans="1:66" x14ac:dyDescent="0.3">
      <c r="A175" t="s">
        <v>176</v>
      </c>
      <c r="B175" s="53">
        <v>0</v>
      </c>
      <c r="C175" s="53">
        <f t="shared" si="16"/>
        <v>0</v>
      </c>
      <c r="D175" s="53">
        <f t="shared" si="17"/>
        <v>0</v>
      </c>
      <c r="E175" s="53">
        <f t="shared" si="18"/>
        <v>0</v>
      </c>
      <c r="F175" s="15">
        <v>0.54500000000000004</v>
      </c>
      <c r="G175">
        <v>0.40699999999999997</v>
      </c>
      <c r="H175" t="s">
        <v>57</v>
      </c>
      <c r="I175" t="str">
        <f>VLOOKUP(A175,Setores!$A$2:$C$215,2,0)</f>
        <v>apparel</v>
      </c>
      <c r="J175" t="str">
        <f>VLOOKUP(A175,Setores!$A$2:$C$215,3,0)</f>
        <v>very_high_beta</v>
      </c>
      <c r="K175" s="17">
        <v>0</v>
      </c>
      <c r="L175" s="2">
        <v>0</v>
      </c>
      <c r="M175" s="5">
        <v>0.30135609000000002</v>
      </c>
      <c r="N175" s="41">
        <f>VLOOKUP(A175,'Mandato LP'!$A$2:$B$215,2,0)</f>
        <v>0</v>
      </c>
      <c r="O175" s="58">
        <f t="shared" si="19"/>
        <v>0</v>
      </c>
      <c r="P175" s="42">
        <f t="shared" si="20"/>
        <v>0</v>
      </c>
      <c r="Q175" s="41">
        <f>VLOOKUP(A175,'Mandato LP'!$A$2:$C$215,3,0)</f>
        <v>0</v>
      </c>
      <c r="R175" s="42">
        <f t="shared" si="21"/>
        <v>0</v>
      </c>
      <c r="S175" s="15">
        <v>-0.54600000000000004</v>
      </c>
      <c r="T175" s="15">
        <v>-0.83699999999999997</v>
      </c>
      <c r="U175" s="15">
        <v>-0.439</v>
      </c>
      <c r="V175" s="15">
        <v>-0.34899999999999998</v>
      </c>
      <c r="W175" s="15">
        <v>-0.60399999999999998</v>
      </c>
      <c r="X175" s="15">
        <v>-0.70799999999999996</v>
      </c>
      <c r="Y175" s="15">
        <v>-0.73499999999999999</v>
      </c>
      <c r="Z175" s="15">
        <v>-0.84199999999999997</v>
      </c>
      <c r="AA175" s="15">
        <v>-0.316</v>
      </c>
      <c r="AB175" s="15">
        <v>-0.313</v>
      </c>
      <c r="AC175" s="15">
        <v>0.32500000000000001</v>
      </c>
      <c r="AD175" s="15">
        <v>-0.104</v>
      </c>
      <c r="AE175" s="15">
        <v>7.9000000000000001E-2</v>
      </c>
      <c r="AF175" s="14">
        <v>0.73599999999999999</v>
      </c>
      <c r="AG175" s="15">
        <v>0.17399999999999999</v>
      </c>
      <c r="AH175" s="15">
        <v>-0.66400000000000003</v>
      </c>
      <c r="AI175" s="15">
        <v>-0.24</v>
      </c>
      <c r="AJ175" s="15">
        <v>-0.53800000000000003</v>
      </c>
      <c r="AK175" s="16">
        <v>0.63800000000000001</v>
      </c>
      <c r="AL175" s="4">
        <v>0.39100000000000001</v>
      </c>
      <c r="AM175" s="4">
        <v>-0.72199999999999998</v>
      </c>
      <c r="AN175" s="4">
        <v>-0.25600000000000001</v>
      </c>
      <c r="AO175" s="4">
        <v>0.19600000000000001</v>
      </c>
      <c r="AP175" s="4">
        <v>-0.82</v>
      </c>
      <c r="AQ175" s="4">
        <v>4.4999999999999998E-2</v>
      </c>
      <c r="AR175" s="4">
        <v>0.60399999999999998</v>
      </c>
      <c r="AS175" s="4">
        <v>-0.309</v>
      </c>
      <c r="AT175" s="4">
        <v>-0.45100000000000001</v>
      </c>
      <c r="AU175" s="4">
        <v>0.29099999999999998</v>
      </c>
      <c r="AV175" s="4">
        <v>-0.19500000000000001</v>
      </c>
      <c r="AW175" s="4">
        <v>0.80100000000000005</v>
      </c>
      <c r="AX175" s="4">
        <v>-0.59799999999999998</v>
      </c>
      <c r="AY175" s="4">
        <v>8.8999999999999996E-2</v>
      </c>
      <c r="AZ175" s="4">
        <v>0.66200000000000003</v>
      </c>
      <c r="BA175" s="4">
        <v>8.4000000000000005E-2</v>
      </c>
      <c r="BB175" s="4">
        <v>-0.23699999999999999</v>
      </c>
      <c r="BC175" s="4">
        <v>-0.14599999999999999</v>
      </c>
      <c r="BD175" s="4">
        <v>-0.215</v>
      </c>
      <c r="BE175" s="4">
        <v>0.42899999999999999</v>
      </c>
      <c r="BF175" s="4">
        <v>0.151</v>
      </c>
      <c r="BG175" s="4">
        <v>-0.187</v>
      </c>
      <c r="BH175" s="4">
        <v>-0.215</v>
      </c>
      <c r="BI175" s="4">
        <v>-0.56999999999999995</v>
      </c>
      <c r="BJ175" s="4">
        <v>0.34599999999999997</v>
      </c>
      <c r="BK175" s="4">
        <v>-0.84799999999999998</v>
      </c>
      <c r="BL175" s="4">
        <v>0.39800000000000002</v>
      </c>
      <c r="BM175" s="4"/>
      <c r="BN175" s="4"/>
    </row>
    <row r="176" spans="1:66" x14ac:dyDescent="0.3">
      <c r="A176" t="s">
        <v>178</v>
      </c>
      <c r="B176" s="53">
        <v>0</v>
      </c>
      <c r="C176" s="53">
        <f t="shared" si="16"/>
        <v>-3.0000000000000001E-3</v>
      </c>
      <c r="D176" s="53">
        <f t="shared" si="17"/>
        <v>0</v>
      </c>
      <c r="E176" s="53">
        <f t="shared" si="18"/>
        <v>3.0000000000000001E-3</v>
      </c>
      <c r="F176" s="15">
        <v>0.54400000000000004</v>
      </c>
      <c r="G176">
        <v>0.46200000000000002</v>
      </c>
      <c r="H176" t="s">
        <v>53</v>
      </c>
      <c r="I176" t="str">
        <f>VLOOKUP(A176,Setores!$A$2:$C$215,2,0)</f>
        <v>healthcare</v>
      </c>
      <c r="J176" t="str">
        <f>VLOOKUP(A176,Setores!$A$2:$C$215,3,0)</f>
        <v>low_beta</v>
      </c>
      <c r="K176" s="17">
        <v>0</v>
      </c>
      <c r="L176" s="2">
        <v>-3.0000000000000001E-3</v>
      </c>
      <c r="M176" s="5">
        <v>0.35971582004866698</v>
      </c>
      <c r="N176" s="41">
        <f>VLOOKUP(A176,'Mandato LP'!$A$2:$B$215,2,0)</f>
        <v>0</v>
      </c>
      <c r="O176" s="58">
        <f t="shared" si="19"/>
        <v>0</v>
      </c>
      <c r="P176" s="42">
        <f t="shared" si="20"/>
        <v>0</v>
      </c>
      <c r="Q176" s="41">
        <f>VLOOKUP(A176,'Mandato LP'!$A$2:$C$215,3,0)</f>
        <v>0</v>
      </c>
      <c r="R176" s="42">
        <f t="shared" si="21"/>
        <v>0</v>
      </c>
      <c r="S176" s="15">
        <v>-0.85299999999999998</v>
      </c>
      <c r="T176" s="15">
        <v>-0.92600000000000005</v>
      </c>
      <c r="U176" s="15">
        <v>-0.94799999999999995</v>
      </c>
      <c r="V176" s="15">
        <v>-0.81499999999999995</v>
      </c>
      <c r="W176" s="15">
        <v>-0.93300000000000005</v>
      </c>
      <c r="X176" s="15">
        <v>-0.71499999999999997</v>
      </c>
      <c r="Y176" s="15">
        <v>-0.53500000000000003</v>
      </c>
      <c r="Z176" s="15">
        <v>-0.84399999999999997</v>
      </c>
      <c r="AA176" s="15">
        <v>-8.4000000000000005E-2</v>
      </c>
      <c r="AB176" s="15">
        <v>-8.3000000000000004E-2</v>
      </c>
      <c r="AC176" s="15">
        <v>0.53</v>
      </c>
      <c r="AD176" s="15">
        <v>0.54100000000000004</v>
      </c>
      <c r="AE176" s="15">
        <v>0.252</v>
      </c>
      <c r="AF176" s="14">
        <v>-0.443</v>
      </c>
      <c r="AG176" s="15">
        <v>-0.88200000000000001</v>
      </c>
      <c r="AH176" s="15">
        <v>-0.84299999999999997</v>
      </c>
      <c r="AI176" s="15">
        <v>-0.97599999999999998</v>
      </c>
      <c r="AJ176" s="15">
        <v>-0.83799999999999997</v>
      </c>
      <c r="AK176" s="16">
        <v>-0.70899999999999996</v>
      </c>
      <c r="AL176" s="4">
        <v>-0.32400000000000001</v>
      </c>
      <c r="AM176" s="4">
        <v>-0.76</v>
      </c>
      <c r="AN176" s="4">
        <v>-0.91</v>
      </c>
      <c r="AO176" s="4">
        <v>0.40400000000000003</v>
      </c>
      <c r="AP176" s="4">
        <v>-0.219</v>
      </c>
      <c r="AQ176" s="4">
        <v>-0.61199999999999999</v>
      </c>
      <c r="AR176" s="4">
        <v>-4.9000000000000002E-2</v>
      </c>
      <c r="AS176" s="4">
        <v>0.159</v>
      </c>
      <c r="AT176" s="4">
        <v>-0.66400000000000003</v>
      </c>
      <c r="AU176" s="4">
        <v>0.52100000000000002</v>
      </c>
      <c r="AV176" s="4">
        <v>-0.42499999999999999</v>
      </c>
      <c r="AW176" s="4">
        <v>0.36699999999999999</v>
      </c>
      <c r="AX176" s="4">
        <v>0.31</v>
      </c>
      <c r="AY176" s="4">
        <v>-9.7000000000000003E-2</v>
      </c>
      <c r="AZ176" s="4">
        <v>0.94699999999999995</v>
      </c>
      <c r="BA176" s="4">
        <v>0.51</v>
      </c>
      <c r="BB176" s="4">
        <v>0.36799999999999999</v>
      </c>
      <c r="BC176" s="4">
        <v>-0.26600000000000001</v>
      </c>
      <c r="BD176" s="4">
        <v>-0.127</v>
      </c>
      <c r="BE176" s="4">
        <v>0.38600000000000001</v>
      </c>
      <c r="BF176" s="4">
        <v>0.30299999999999999</v>
      </c>
      <c r="BG176" s="4">
        <v>-0.12</v>
      </c>
      <c r="BH176" s="4">
        <v>0.64200000000000002</v>
      </c>
      <c r="BI176" s="4">
        <v>-5.2999999999999999E-2</v>
      </c>
      <c r="BJ176" s="4">
        <v>-0.28399999999999997</v>
      </c>
      <c r="BK176" s="4">
        <v>-0.254</v>
      </c>
      <c r="BL176" s="4">
        <v>-0.67700000000000005</v>
      </c>
      <c r="BM176" s="4"/>
      <c r="BN176" s="4"/>
    </row>
    <row r="177" spans="1:66" x14ac:dyDescent="0.3">
      <c r="A177" t="s">
        <v>197</v>
      </c>
      <c r="B177" s="53">
        <v>0</v>
      </c>
      <c r="C177" s="53">
        <f t="shared" si="16"/>
        <v>-5.0000000000000001E-3</v>
      </c>
      <c r="D177" s="53">
        <f t="shared" si="17"/>
        <v>0</v>
      </c>
      <c r="E177" s="53">
        <f t="shared" si="18"/>
        <v>5.0000000000000001E-3</v>
      </c>
      <c r="F177" s="15">
        <v>0.54300000000000004</v>
      </c>
      <c r="G177">
        <v>0.71499999999999997</v>
      </c>
      <c r="H177" t="s">
        <v>53</v>
      </c>
      <c r="I177" t="str">
        <f>VLOOKUP(A177,Setores!$A$2:$C$215,2,0)</f>
        <v>healthcare</v>
      </c>
      <c r="J177" t="str">
        <f>VLOOKUP(A177,Setores!$A$2:$C$215,3,0)</f>
        <v>low_beta</v>
      </c>
      <c r="K177" s="17">
        <v>0</v>
      </c>
      <c r="L177" s="2">
        <v>-5.0000000000000001E-3</v>
      </c>
      <c r="M177" s="5">
        <v>1.8229406528433301</v>
      </c>
      <c r="N177" s="41">
        <f>VLOOKUP(A177,'Mandato LP'!$A$2:$B$215,2,0)</f>
        <v>0</v>
      </c>
      <c r="O177" s="58">
        <f t="shared" si="19"/>
        <v>0</v>
      </c>
      <c r="P177" s="42">
        <f t="shared" si="20"/>
        <v>0</v>
      </c>
      <c r="Q177" s="41">
        <f>VLOOKUP(A177,'Mandato LP'!$A$2:$C$215,3,0)</f>
        <v>0</v>
      </c>
      <c r="R177" s="42">
        <f t="shared" si="21"/>
        <v>0</v>
      </c>
      <c r="S177" s="15">
        <v>-0.82799999999999996</v>
      </c>
      <c r="T177" s="15">
        <v>-0.94399999999999995</v>
      </c>
      <c r="U177" s="15">
        <v>-0.92600000000000005</v>
      </c>
      <c r="V177" s="15">
        <v>-0.78200000000000003</v>
      </c>
      <c r="W177" s="15">
        <v>-0.92100000000000004</v>
      </c>
      <c r="X177" s="15">
        <v>-0.67300000000000004</v>
      </c>
      <c r="Y177" s="15">
        <v>-0.51100000000000001</v>
      </c>
      <c r="Z177" s="15">
        <v>-0.78600000000000003</v>
      </c>
      <c r="AA177" s="15">
        <v>-0.32100000000000001</v>
      </c>
      <c r="AB177" s="15">
        <v>-0.32100000000000001</v>
      </c>
      <c r="AC177" s="15">
        <v>0.58899999999999997</v>
      </c>
      <c r="AD177" s="15">
        <v>0.50900000000000001</v>
      </c>
      <c r="AE177" s="15">
        <v>0.23499999999999999</v>
      </c>
      <c r="AF177" s="14">
        <v>-0.501</v>
      </c>
      <c r="AG177" s="15">
        <v>-0.01</v>
      </c>
      <c r="AH177" s="15">
        <v>-0.97699999999999998</v>
      </c>
      <c r="AI177" s="15">
        <v>-0.94699999999999995</v>
      </c>
      <c r="AJ177" s="15">
        <v>-1</v>
      </c>
      <c r="AK177" s="16">
        <v>-0.97299999999999998</v>
      </c>
      <c r="AL177" s="4">
        <v>-0.5</v>
      </c>
      <c r="AM177" s="4">
        <v>-0.11799999999999999</v>
      </c>
      <c r="AN177" s="4">
        <v>-0.85399999999999998</v>
      </c>
      <c r="AO177" s="4">
        <v>0.316</v>
      </c>
      <c r="AP177" s="4">
        <v>-0.45</v>
      </c>
      <c r="AQ177" s="4">
        <v>-0.218</v>
      </c>
      <c r="AR177" s="4">
        <v>0.41499999999999998</v>
      </c>
      <c r="AS177" s="4">
        <v>0.27200000000000002</v>
      </c>
      <c r="AT177" s="4">
        <v>-0.34799999999999998</v>
      </c>
      <c r="AU177" s="4">
        <v>-1.2999999999999999E-2</v>
      </c>
      <c r="AV177" s="4">
        <v>-0.34300000000000003</v>
      </c>
      <c r="AW177" s="4">
        <v>-0.115</v>
      </c>
      <c r="AX177" s="4">
        <v>0.214</v>
      </c>
      <c r="AY177" s="4">
        <v>0.20499999999999999</v>
      </c>
      <c r="AZ177" s="4">
        <v>0.83899999999999997</v>
      </c>
      <c r="BA177" s="4">
        <v>0.25600000000000001</v>
      </c>
      <c r="BB177" s="4">
        <v>0.65600000000000003</v>
      </c>
      <c r="BC177" s="4">
        <v>2.3E-2</v>
      </c>
      <c r="BD177" s="4">
        <v>-0.247</v>
      </c>
      <c r="BE177" s="4">
        <v>0.22</v>
      </c>
      <c r="BF177" s="4">
        <v>0.222</v>
      </c>
      <c r="BG177" s="4">
        <v>0.437</v>
      </c>
      <c r="BH177" s="4">
        <v>0.32800000000000001</v>
      </c>
      <c r="BI177" s="4">
        <v>-0.217</v>
      </c>
      <c r="BJ177" s="4">
        <v>-0.20399999999999999</v>
      </c>
      <c r="BK177" s="4">
        <v>-0.14399999999999999</v>
      </c>
      <c r="BL177" s="4">
        <v>-0.874</v>
      </c>
      <c r="BM177" s="4"/>
      <c r="BN177" s="4"/>
    </row>
    <row r="178" spans="1:66" x14ac:dyDescent="0.3">
      <c r="A178" t="s">
        <v>169</v>
      </c>
      <c r="B178" s="53">
        <v>0</v>
      </c>
      <c r="C178" s="53">
        <f t="shared" si="16"/>
        <v>0</v>
      </c>
      <c r="D178" s="53">
        <f t="shared" si="17"/>
        <v>0</v>
      </c>
      <c r="E178" s="53">
        <f t="shared" si="18"/>
        <v>0</v>
      </c>
      <c r="F178" s="15">
        <v>0.54</v>
      </c>
      <c r="G178">
        <v>0.54500000000000004</v>
      </c>
      <c r="H178" t="s">
        <v>57</v>
      </c>
      <c r="I178" t="str">
        <f>VLOOKUP(A178,Setores!$A$2:$C$215,2,0)</f>
        <v>homebuilders</v>
      </c>
      <c r="J178" t="str">
        <f>VLOOKUP(A178,Setores!$A$2:$C$215,3,0)</f>
        <v>very_high_beta</v>
      </c>
      <c r="K178" s="17">
        <v>0</v>
      </c>
      <c r="L178" s="2">
        <v>0</v>
      </c>
      <c r="M178" s="5">
        <v>0</v>
      </c>
      <c r="N178" s="41">
        <f>VLOOKUP(A178,'Mandato LP'!$A$2:$B$215,2,0)</f>
        <v>0</v>
      </c>
      <c r="O178" s="58">
        <f t="shared" si="19"/>
        <v>0</v>
      </c>
      <c r="P178" s="42">
        <f t="shared" si="20"/>
        <v>0</v>
      </c>
      <c r="Q178" s="41">
        <f>VLOOKUP(A178,'Mandato LP'!$A$2:$C$215,3,0)</f>
        <v>0</v>
      </c>
      <c r="R178" s="42">
        <f t="shared" si="21"/>
        <v>0</v>
      </c>
      <c r="S178" s="15">
        <v>-0.77500000000000002</v>
      </c>
      <c r="T178" s="15">
        <v>-0.91300000000000003</v>
      </c>
      <c r="U178" s="15">
        <v>-0.747</v>
      </c>
      <c r="V178" s="15">
        <v>-0.82699999999999996</v>
      </c>
      <c r="W178" s="15">
        <v>-0.89300000000000002</v>
      </c>
      <c r="X178" s="15">
        <v>-0.70599999999999996</v>
      </c>
      <c r="Y178" s="15">
        <v>-0.60399999999999998</v>
      </c>
      <c r="Z178" s="15">
        <v>-0.88800000000000001</v>
      </c>
      <c r="AA178" s="15">
        <v>8.0000000000000002E-3</v>
      </c>
      <c r="AB178" s="15">
        <v>6.0000000000000001E-3</v>
      </c>
      <c r="AC178" s="15">
        <v>0.435</v>
      </c>
      <c r="AD178" s="15">
        <v>0.36499999999999999</v>
      </c>
      <c r="AE178" s="15">
        <v>0.14499999999999999</v>
      </c>
      <c r="AF178" s="14">
        <v>-0.94099999999999995</v>
      </c>
      <c r="AG178" s="15">
        <v>0.26700000000000002</v>
      </c>
      <c r="AH178" s="15">
        <v>-0.85</v>
      </c>
      <c r="AI178" s="15">
        <v>-0.746</v>
      </c>
      <c r="AJ178" s="15">
        <v>-0.94299999999999995</v>
      </c>
      <c r="AK178" s="16">
        <v>-0.46100000000000002</v>
      </c>
      <c r="AL178" s="4">
        <v>-0.252</v>
      </c>
      <c r="AM178" s="4">
        <v>-0.56499999999999995</v>
      </c>
      <c r="AN178" s="4">
        <v>-0.33100000000000002</v>
      </c>
      <c r="AO178" s="4">
        <v>0.38</v>
      </c>
      <c r="AP178" s="4">
        <v>-0.60199999999999998</v>
      </c>
      <c r="AQ178" s="4">
        <v>-0.621</v>
      </c>
      <c r="AR178" s="4">
        <v>0.375</v>
      </c>
      <c r="AS178" s="4">
        <v>0.29499999999999998</v>
      </c>
      <c r="AT178" s="4">
        <v>-0.19</v>
      </c>
      <c r="AU178" s="4">
        <v>-3.5000000000000003E-2</v>
      </c>
      <c r="AV178" s="4">
        <v>-0.188</v>
      </c>
      <c r="AW178" s="4">
        <v>-0.57299999999999995</v>
      </c>
      <c r="AX178" s="4">
        <v>0.06</v>
      </c>
      <c r="AY178" s="4">
        <v>-0.185</v>
      </c>
      <c r="AZ178" s="4">
        <v>0.63900000000000001</v>
      </c>
      <c r="BA178" s="4">
        <v>0.64800000000000002</v>
      </c>
      <c r="BB178" s="4">
        <v>0.32600000000000001</v>
      </c>
      <c r="BC178" s="4">
        <v>-0.26200000000000001</v>
      </c>
      <c r="BD178" s="4">
        <v>-0.54300000000000004</v>
      </c>
      <c r="BE178" s="4">
        <v>-1.7000000000000001E-2</v>
      </c>
      <c r="BF178" s="4">
        <v>0.42</v>
      </c>
      <c r="BG178" s="4">
        <v>0.33100000000000002</v>
      </c>
      <c r="BH178" s="4">
        <v>0.438</v>
      </c>
      <c r="BI178" s="4">
        <v>-0.501</v>
      </c>
      <c r="BJ178" s="4">
        <v>0.82699999999999996</v>
      </c>
      <c r="BK178" s="4">
        <v>0.54800000000000004</v>
      </c>
      <c r="BL178" s="4">
        <v>-0.379</v>
      </c>
      <c r="BM178" s="4"/>
      <c r="BN178" s="4"/>
    </row>
    <row r="179" spans="1:66" x14ac:dyDescent="0.3">
      <c r="A179" t="s">
        <v>238</v>
      </c>
      <c r="B179" s="53">
        <v>0</v>
      </c>
      <c r="C179" s="53">
        <f t="shared" si="16"/>
        <v>0</v>
      </c>
      <c r="D179" s="53">
        <f t="shared" si="17"/>
        <v>0</v>
      </c>
      <c r="E179" s="53">
        <f t="shared" si="18"/>
        <v>0</v>
      </c>
      <c r="F179" s="15">
        <v>0.54</v>
      </c>
      <c r="G179">
        <v>0.46600000000000003</v>
      </c>
      <c r="H179" t="s">
        <v>68</v>
      </c>
      <c r="I179" t="str">
        <f>VLOOKUP(A179,Setores!$A$2:$C$215,2,0)</f>
        <v>capital_goods</v>
      </c>
      <c r="J179" t="str">
        <f>VLOOKUP(A179,Setores!$A$2:$C$215,3,0)</f>
        <v>high_beta</v>
      </c>
      <c r="K179" s="17">
        <v>0</v>
      </c>
      <c r="L179" s="2">
        <v>0</v>
      </c>
      <c r="M179" s="5">
        <v>0.68795311076333299</v>
      </c>
      <c r="N179" s="41">
        <f>VLOOKUP(A179,'Mandato LP'!$A$2:$B$215,2,0)</f>
        <v>0</v>
      </c>
      <c r="O179" s="58">
        <f t="shared" si="19"/>
        <v>0</v>
      </c>
      <c r="P179" s="42">
        <f t="shared" si="20"/>
        <v>0</v>
      </c>
      <c r="Q179" s="41">
        <f>VLOOKUP(A179,'Mandato LP'!$A$2:$C$215,3,0)</f>
        <v>0</v>
      </c>
      <c r="R179" s="42">
        <f t="shared" si="21"/>
        <v>0</v>
      </c>
      <c r="S179" s="15">
        <v>-0.77500000000000002</v>
      </c>
      <c r="T179" s="15">
        <v>-0.56999999999999995</v>
      </c>
      <c r="U179" s="15">
        <v>-0.68100000000000005</v>
      </c>
      <c r="V179" s="15">
        <v>-0.872</v>
      </c>
      <c r="W179" s="15">
        <v>-0.78700000000000003</v>
      </c>
      <c r="X179" s="15">
        <v>-0.82399999999999995</v>
      </c>
      <c r="Y179" s="15">
        <v>-0.81899999999999995</v>
      </c>
      <c r="Z179" s="15">
        <v>-0.81399999999999995</v>
      </c>
      <c r="AA179" s="15">
        <v>-0.36499999999999999</v>
      </c>
      <c r="AB179" s="15">
        <v>-0.36299999999999999</v>
      </c>
      <c r="AC179" s="15">
        <v>-8.2000000000000003E-2</v>
      </c>
      <c r="AD179" s="15">
        <v>0.504</v>
      </c>
      <c r="AE179" s="15">
        <v>0.35299999999999998</v>
      </c>
      <c r="AF179" s="14">
        <v>-0.90200000000000002</v>
      </c>
      <c r="AG179" s="15">
        <v>-0.748</v>
      </c>
      <c r="AH179" s="15">
        <v>0.09</v>
      </c>
      <c r="AI179" s="15">
        <v>4.5999999999999999E-2</v>
      </c>
      <c r="AJ179" s="15">
        <v>0.55100000000000005</v>
      </c>
      <c r="AK179" s="16">
        <v>-0.71699999999999997</v>
      </c>
      <c r="AL179" s="4">
        <v>8.5999999999999993E-2</v>
      </c>
      <c r="AM179" s="4">
        <v>-0.61899999999999999</v>
      </c>
      <c r="AN179" s="4">
        <v>-0.112</v>
      </c>
      <c r="AO179" s="4">
        <v>-0.50900000000000001</v>
      </c>
      <c r="AP179" s="4">
        <v>-0.14599999999999999</v>
      </c>
      <c r="AQ179" s="4">
        <v>0.873</v>
      </c>
      <c r="AR179" s="4">
        <v>-0.63200000000000001</v>
      </c>
      <c r="AS179" s="4">
        <v>-1</v>
      </c>
      <c r="AT179" s="4">
        <v>-0.81899999999999995</v>
      </c>
      <c r="AU179" s="4">
        <v>-0.29299999999999998</v>
      </c>
      <c r="AV179" s="4">
        <v>-0.71799999999999997</v>
      </c>
      <c r="AW179" s="4">
        <v>-0.77600000000000002</v>
      </c>
      <c r="AX179" s="4">
        <v>0.32700000000000001</v>
      </c>
      <c r="AY179" s="4">
        <v>-0.27</v>
      </c>
      <c r="AZ179" s="4">
        <v>0.40100000000000002</v>
      </c>
      <c r="BA179" s="4">
        <v>-5.0000000000000001E-3</v>
      </c>
      <c r="BB179" s="4">
        <v>4.0000000000000001E-3</v>
      </c>
      <c r="BC179" s="4">
        <v>0.71399999999999997</v>
      </c>
      <c r="BD179" s="4">
        <v>0.433</v>
      </c>
      <c r="BE179" s="4">
        <v>0.23499999999999999</v>
      </c>
      <c r="BF179" s="4">
        <v>8.9999999999999993E-3</v>
      </c>
      <c r="BG179" s="4">
        <v>0.11</v>
      </c>
      <c r="BH179" s="4">
        <v>0.35899999999999999</v>
      </c>
      <c r="BI179" s="4">
        <v>0.17699999999999999</v>
      </c>
      <c r="BJ179" s="4">
        <v>0.71699999999999997</v>
      </c>
      <c r="BK179" s="4">
        <v>-3.0000000000000001E-3</v>
      </c>
      <c r="BL179" s="4">
        <v>0.378</v>
      </c>
      <c r="BM179" s="4"/>
      <c r="BN179" s="4"/>
    </row>
    <row r="180" spans="1:66" x14ac:dyDescent="0.3">
      <c r="A180" t="s">
        <v>170</v>
      </c>
      <c r="B180" s="53">
        <v>0</v>
      </c>
      <c r="C180" s="53">
        <f t="shared" si="16"/>
        <v>0</v>
      </c>
      <c r="D180" s="53">
        <f t="shared" si="17"/>
        <v>0</v>
      </c>
      <c r="E180" s="53">
        <f t="shared" si="18"/>
        <v>0</v>
      </c>
      <c r="F180" s="15">
        <v>0.53600000000000003</v>
      </c>
      <c r="G180">
        <v>0.45600000000000002</v>
      </c>
      <c r="H180" t="s">
        <v>57</v>
      </c>
      <c r="I180" t="str">
        <f>VLOOKUP(A180,Setores!$A$2:$C$215,2,0)</f>
        <v>consumer_durables</v>
      </c>
      <c r="J180" t="str">
        <f>VLOOKUP(A180,Setores!$A$2:$C$215,3,0)</f>
        <v>very_high_beta</v>
      </c>
      <c r="K180" s="17">
        <v>0</v>
      </c>
      <c r="L180" s="2">
        <v>0</v>
      </c>
      <c r="M180" s="5">
        <v>0.42158061851666701</v>
      </c>
      <c r="N180" s="41">
        <f>VLOOKUP(A180,'Mandato LP'!$A$2:$B$215,2,0)</f>
        <v>0</v>
      </c>
      <c r="O180" s="58">
        <f t="shared" si="19"/>
        <v>0</v>
      </c>
      <c r="P180" s="42">
        <f t="shared" si="20"/>
        <v>0</v>
      </c>
      <c r="Q180" s="41">
        <f>VLOOKUP(A180,'Mandato LP'!$A$2:$C$215,3,0)</f>
        <v>0</v>
      </c>
      <c r="R180" s="42">
        <f t="shared" si="21"/>
        <v>0</v>
      </c>
      <c r="S180" s="15">
        <v>-0.75</v>
      </c>
      <c r="T180" s="15">
        <v>-0.82699999999999996</v>
      </c>
      <c r="U180" s="15">
        <v>-0.75</v>
      </c>
      <c r="V180" s="15">
        <v>-0.78900000000000003</v>
      </c>
      <c r="W180" s="15">
        <v>-0.83399999999999996</v>
      </c>
      <c r="X180" s="15">
        <v>-0.81</v>
      </c>
      <c r="Y180" s="15">
        <v>-0.80600000000000005</v>
      </c>
      <c r="Z180" s="15">
        <v>-0.879</v>
      </c>
      <c r="AA180" s="15">
        <v>-0.26800000000000002</v>
      </c>
      <c r="AB180" s="15">
        <v>-0.26800000000000002</v>
      </c>
      <c r="AC180" s="15">
        <v>0.45800000000000002</v>
      </c>
      <c r="AD180" s="15">
        <v>0.42199999999999999</v>
      </c>
      <c r="AE180" s="15">
        <v>0.20200000000000001</v>
      </c>
      <c r="AF180" s="14">
        <v>-0.6</v>
      </c>
      <c r="AG180" s="15">
        <v>-0.17299999999999999</v>
      </c>
      <c r="AH180" s="15">
        <v>-0.625</v>
      </c>
      <c r="AI180" s="15">
        <v>-0.33100000000000002</v>
      </c>
      <c r="AJ180" s="15">
        <v>-0.21099999999999999</v>
      </c>
      <c r="AK180" s="16">
        <v>-0.28000000000000003</v>
      </c>
      <c r="AL180" s="4">
        <v>-0.28399999999999997</v>
      </c>
      <c r="AM180" s="4">
        <v>-0.57199999999999995</v>
      </c>
      <c r="AN180" s="4">
        <v>-0.34399999999999997</v>
      </c>
      <c r="AO180" s="4">
        <v>0.193</v>
      </c>
      <c r="AP180" s="4">
        <v>-0.56699999999999995</v>
      </c>
      <c r="AQ180" s="4">
        <v>0.115</v>
      </c>
      <c r="AR180" s="4">
        <v>0.35399999999999998</v>
      </c>
      <c r="AS180" s="4">
        <v>0.27400000000000002</v>
      </c>
      <c r="AT180" s="4">
        <v>0.17499999999999999</v>
      </c>
      <c r="AU180" s="4">
        <v>0.14199999999999999</v>
      </c>
      <c r="AV180" s="4">
        <v>-0.45100000000000001</v>
      </c>
      <c r="AW180" s="4">
        <v>-0.183</v>
      </c>
      <c r="AX180" s="4">
        <v>-0.40799999999999997</v>
      </c>
      <c r="AY180" s="4">
        <v>-0.42499999999999999</v>
      </c>
      <c r="AZ180" s="4">
        <v>0.65200000000000002</v>
      </c>
      <c r="BA180" s="4">
        <v>0.23499999999999999</v>
      </c>
      <c r="BB180" s="4">
        <v>0.42299999999999999</v>
      </c>
      <c r="BC180" s="4">
        <v>-0.309</v>
      </c>
      <c r="BD180" s="4">
        <v>-0.70299999999999996</v>
      </c>
      <c r="BE180" s="4">
        <v>0.21199999999999999</v>
      </c>
      <c r="BF180" s="4">
        <v>-0.113</v>
      </c>
      <c r="BG180" s="4">
        <v>0.11799999999999999</v>
      </c>
      <c r="BH180" s="4">
        <v>-3.3000000000000002E-2</v>
      </c>
      <c r="BI180" s="4">
        <v>-8.3000000000000004E-2</v>
      </c>
      <c r="BJ180" s="4">
        <v>0.29899999999999999</v>
      </c>
      <c r="BK180" s="4">
        <v>-0.17100000000000001</v>
      </c>
      <c r="BL180" s="4">
        <v>3.5000000000000003E-2</v>
      </c>
      <c r="BM180" s="4"/>
      <c r="BN180" s="4"/>
    </row>
    <row r="181" spans="1:66" x14ac:dyDescent="0.3">
      <c r="A181" t="s">
        <v>217</v>
      </c>
      <c r="B181" s="53">
        <v>0</v>
      </c>
      <c r="C181" s="53">
        <f t="shared" si="16"/>
        <v>0</v>
      </c>
      <c r="D181" s="53">
        <f t="shared" si="17"/>
        <v>0</v>
      </c>
      <c r="E181" s="53">
        <f t="shared" si="18"/>
        <v>0</v>
      </c>
      <c r="F181" s="15">
        <v>0.53500000000000003</v>
      </c>
      <c r="G181">
        <v>0.504</v>
      </c>
      <c r="H181" t="s">
        <v>57</v>
      </c>
      <c r="I181" t="str">
        <f>VLOOKUP(A181,Setores!$A$2:$C$215,2,0)</f>
        <v>consumer_services</v>
      </c>
      <c r="J181" t="str">
        <f>VLOOKUP(A181,Setores!$A$2:$C$215,3,0)</f>
        <v>very_high_beta</v>
      </c>
      <c r="K181" s="17">
        <v>0</v>
      </c>
      <c r="L181" s="2">
        <v>0</v>
      </c>
      <c r="M181" s="5">
        <v>0.52211867099999998</v>
      </c>
      <c r="N181" s="41">
        <f>VLOOKUP(A181,'Mandato LP'!$A$2:$B$215,2,0)</f>
        <v>0</v>
      </c>
      <c r="O181" s="58">
        <f t="shared" si="19"/>
        <v>0</v>
      </c>
      <c r="P181" s="42">
        <f t="shared" si="20"/>
        <v>0</v>
      </c>
      <c r="Q181" s="41">
        <f>VLOOKUP(A181,'Mandato LP'!$A$2:$C$215,3,0)</f>
        <v>0</v>
      </c>
      <c r="R181" s="42">
        <f t="shared" si="21"/>
        <v>0</v>
      </c>
      <c r="S181" s="15">
        <v>-0.75900000000000001</v>
      </c>
      <c r="T181" s="15">
        <v>-0.86399999999999999</v>
      </c>
      <c r="U181" s="15">
        <v>-0.84699999999999998</v>
      </c>
      <c r="V181" s="15">
        <v>-0.81799999999999995</v>
      </c>
      <c r="W181" s="15">
        <v>-0.9</v>
      </c>
      <c r="X181" s="15">
        <v>-0.79300000000000004</v>
      </c>
      <c r="Y181" s="15">
        <v>-0.75900000000000001</v>
      </c>
      <c r="Z181" s="15">
        <v>-0.88500000000000001</v>
      </c>
      <c r="AA181" s="15">
        <v>-0.16200000000000001</v>
      </c>
      <c r="AB181" s="15">
        <v>-0.16200000000000001</v>
      </c>
      <c r="AC181" s="15">
        <v>0.375</v>
      </c>
      <c r="AD181" s="15">
        <v>0.44</v>
      </c>
      <c r="AE181" s="15">
        <v>0.18</v>
      </c>
      <c r="AF181" s="14">
        <v>-0.97399999999999998</v>
      </c>
      <c r="AG181" s="15">
        <v>-0.17</v>
      </c>
      <c r="AH181" s="15">
        <v>-0.754</v>
      </c>
      <c r="AI181" s="15">
        <v>-0.98399999999999999</v>
      </c>
      <c r="AJ181" s="15">
        <v>-0.89900000000000002</v>
      </c>
      <c r="AK181" s="16">
        <v>-0.72</v>
      </c>
      <c r="AL181" s="4">
        <v>-0.28799999999999998</v>
      </c>
      <c r="AM181" s="4">
        <v>-0.72699999999999998</v>
      </c>
      <c r="AN181" s="4">
        <v>-0.63800000000000001</v>
      </c>
      <c r="AO181" s="4">
        <v>0.371</v>
      </c>
      <c r="AP181" s="4">
        <v>-0.33100000000000002</v>
      </c>
      <c r="AQ181" s="4">
        <v>-2.5999999999999999E-2</v>
      </c>
      <c r="AR181" s="4">
        <v>0.41099999999999998</v>
      </c>
      <c r="AS181" s="4">
        <v>0.47099999999999997</v>
      </c>
      <c r="AT181" s="4">
        <v>0.22700000000000001</v>
      </c>
      <c r="AU181" s="4">
        <v>4.5999999999999999E-2</v>
      </c>
      <c r="AV181" s="4">
        <v>-0.22900000000000001</v>
      </c>
      <c r="AW181" s="4">
        <v>-0.432</v>
      </c>
      <c r="AX181" s="4">
        <v>-4.2999999999999997E-2</v>
      </c>
      <c r="AY181" s="4">
        <v>-0.24299999999999999</v>
      </c>
      <c r="AZ181" s="4">
        <v>-6.8000000000000005E-2</v>
      </c>
      <c r="BA181" s="4">
        <v>0.13900000000000001</v>
      </c>
      <c r="BB181" s="4">
        <v>0.51300000000000001</v>
      </c>
      <c r="BC181" s="4">
        <v>-0.156</v>
      </c>
      <c r="BD181" s="4">
        <v>-0.05</v>
      </c>
      <c r="BE181" s="4">
        <v>0.17499999999999999</v>
      </c>
      <c r="BF181" s="4">
        <v>5.2999999999999999E-2</v>
      </c>
      <c r="BG181" s="4">
        <v>-0.26700000000000002</v>
      </c>
      <c r="BH181" s="4">
        <v>-6.6000000000000003E-2</v>
      </c>
      <c r="BI181" s="4">
        <v>-3.5000000000000003E-2</v>
      </c>
      <c r="BJ181" s="4">
        <v>0.505</v>
      </c>
      <c r="BK181" s="4">
        <v>0.60099999999999998</v>
      </c>
      <c r="BL181" s="4">
        <v>-0.65</v>
      </c>
      <c r="BM181" s="4"/>
      <c r="BN181" s="4"/>
    </row>
    <row r="182" spans="1:66" x14ac:dyDescent="0.3">
      <c r="A182" t="s">
        <v>257</v>
      </c>
      <c r="B182" s="53">
        <v>0</v>
      </c>
      <c r="C182" s="53">
        <f t="shared" si="16"/>
        <v>0</v>
      </c>
      <c r="D182" s="53">
        <f t="shared" si="17"/>
        <v>0</v>
      </c>
      <c r="E182" s="53">
        <f t="shared" si="18"/>
        <v>0</v>
      </c>
      <c r="F182" s="15">
        <v>0.53400000000000003</v>
      </c>
      <c r="G182">
        <v>0.39900000000000002</v>
      </c>
      <c r="H182" t="s">
        <v>57</v>
      </c>
      <c r="I182" t="str">
        <f>VLOOKUP(A182,Setores!$A$2:$C$215,2,0)</f>
        <v>transportation</v>
      </c>
      <c r="J182" t="str">
        <f>VLOOKUP(A182,Setores!$A$2:$C$215,3,0)</f>
        <v>very_high_beta</v>
      </c>
      <c r="K182" s="17">
        <v>0</v>
      </c>
      <c r="L182" s="2">
        <v>0</v>
      </c>
      <c r="M182" s="5">
        <v>0.24272685166666699</v>
      </c>
      <c r="N182" s="41">
        <f>VLOOKUP(A182,'Mandato LP'!$A$2:$B$215,2,0)</f>
        <v>0</v>
      </c>
      <c r="O182" s="58">
        <f t="shared" si="19"/>
        <v>0</v>
      </c>
      <c r="P182" s="42">
        <f t="shared" si="20"/>
        <v>0</v>
      </c>
      <c r="Q182" s="41">
        <f>VLOOKUP(A182,'Mandato LP'!$A$2:$C$215,3,0)</f>
        <v>0</v>
      </c>
      <c r="R182" s="42">
        <f t="shared" si="21"/>
        <v>0</v>
      </c>
      <c r="S182" s="15">
        <v>-0.78300000000000003</v>
      </c>
      <c r="T182" s="15">
        <v>-0.68600000000000005</v>
      </c>
      <c r="U182" s="15">
        <v>-0.85</v>
      </c>
      <c r="V182" s="15">
        <v>-0.83899999999999997</v>
      </c>
      <c r="W182" s="15">
        <v>-0.84199999999999997</v>
      </c>
      <c r="X182" s="15">
        <v>-0.81200000000000006</v>
      </c>
      <c r="Y182" s="15">
        <v>-0.75700000000000001</v>
      </c>
      <c r="Z182" s="15">
        <v>-0.83399999999999996</v>
      </c>
      <c r="AA182" s="15">
        <v>-0.20499999999999999</v>
      </c>
      <c r="AB182" s="15">
        <v>-0.20799999999999999</v>
      </c>
      <c r="AC182" s="15">
        <v>0.25</v>
      </c>
      <c r="AD182" s="15">
        <v>-3.1E-2</v>
      </c>
      <c r="AE182" s="15">
        <v>0.245</v>
      </c>
      <c r="AF182" s="14">
        <v>-0.65900000000000003</v>
      </c>
      <c r="AG182" s="15">
        <v>-0.64900000000000002</v>
      </c>
      <c r="AH182" s="15">
        <v>-0.71399999999999997</v>
      </c>
      <c r="AI182" s="15">
        <v>-0.436</v>
      </c>
      <c r="AJ182" s="15">
        <v>-0.42699999999999999</v>
      </c>
      <c r="AK182" s="16">
        <v>-0.81100000000000005</v>
      </c>
      <c r="AL182" s="4">
        <v>-3.2000000000000001E-2</v>
      </c>
      <c r="AM182" s="4">
        <v>-0.41899999999999998</v>
      </c>
      <c r="AN182" s="4">
        <v>-0.17699999999999999</v>
      </c>
      <c r="AO182" s="4">
        <v>0.35499999999999998</v>
      </c>
      <c r="AP182" s="4">
        <v>-0.19800000000000001</v>
      </c>
      <c r="AQ182" s="4">
        <v>-0.192</v>
      </c>
      <c r="AR182" s="4">
        <v>-0.12</v>
      </c>
      <c r="AS182" s="4">
        <v>9.6000000000000002E-2</v>
      </c>
      <c r="AT182" s="4">
        <v>0.24399999999999999</v>
      </c>
      <c r="AU182" s="4">
        <v>1.4E-2</v>
      </c>
      <c r="AV182" s="4">
        <v>0.123</v>
      </c>
      <c r="AW182" s="4">
        <v>-0.39700000000000002</v>
      </c>
      <c r="AX182" s="4">
        <v>-0.68700000000000006</v>
      </c>
      <c r="AY182" s="4">
        <v>-0.36099999999999999</v>
      </c>
      <c r="AZ182" s="4">
        <v>-0.13800000000000001</v>
      </c>
      <c r="BA182" s="4">
        <v>0.125</v>
      </c>
      <c r="BB182" s="4">
        <v>-2.3E-2</v>
      </c>
      <c r="BC182" s="4">
        <v>-0.1</v>
      </c>
      <c r="BD182" s="4">
        <v>-8.4000000000000005E-2</v>
      </c>
      <c r="BE182" s="4">
        <v>0.13700000000000001</v>
      </c>
      <c r="BF182" s="4">
        <v>0.30199999999999999</v>
      </c>
      <c r="BG182" s="4">
        <v>-3.0000000000000001E-3</v>
      </c>
      <c r="BH182" s="4">
        <v>-1.7000000000000001E-2</v>
      </c>
      <c r="BI182" s="4">
        <v>0.47099999999999997</v>
      </c>
      <c r="BJ182" s="4">
        <v>0.97799999999999998</v>
      </c>
      <c r="BK182" s="4">
        <v>-0.64200000000000002</v>
      </c>
      <c r="BL182" s="4">
        <v>0.308</v>
      </c>
      <c r="BM182" s="4"/>
      <c r="BN182" s="4"/>
    </row>
    <row r="183" spans="1:66" x14ac:dyDescent="0.3">
      <c r="A183" t="s">
        <v>251</v>
      </c>
      <c r="B183" s="53">
        <v>0</v>
      </c>
      <c r="C183" s="53">
        <f t="shared" si="16"/>
        <v>0</v>
      </c>
      <c r="D183" s="53">
        <f t="shared" si="17"/>
        <v>0</v>
      </c>
      <c r="E183" s="53">
        <f t="shared" si="18"/>
        <v>0</v>
      </c>
      <c r="F183" s="15">
        <v>0.53400000000000003</v>
      </c>
      <c r="G183">
        <v>0.376</v>
      </c>
      <c r="H183" t="s">
        <v>55</v>
      </c>
      <c r="I183" t="str">
        <f>VLOOKUP(A183,Setores!$A$2:$C$215,2,0)</f>
        <v>utilities</v>
      </c>
      <c r="J183" t="str">
        <f>VLOOKUP(A183,Setores!$A$2:$C$215,3,0)</f>
        <v>neutral_beta</v>
      </c>
      <c r="K183" s="17">
        <v>0</v>
      </c>
      <c r="L183" s="2">
        <v>0</v>
      </c>
      <c r="M183" s="5">
        <v>0</v>
      </c>
      <c r="N183" s="41">
        <f>VLOOKUP(A183,'Mandato LP'!$A$2:$B$215,2,0)</f>
        <v>0</v>
      </c>
      <c r="O183" s="58">
        <f t="shared" si="19"/>
        <v>0</v>
      </c>
      <c r="P183" s="42">
        <f t="shared" si="20"/>
        <v>0</v>
      </c>
      <c r="Q183" s="41">
        <f>VLOOKUP(A183,'Mandato LP'!$A$2:$C$215,3,0)</f>
        <v>0</v>
      </c>
      <c r="R183" s="42">
        <f t="shared" si="21"/>
        <v>0</v>
      </c>
      <c r="S183" s="15">
        <v>-0.67800000000000005</v>
      </c>
      <c r="T183" s="15">
        <v>-0.28199999999999997</v>
      </c>
      <c r="U183" s="15">
        <v>-0.155</v>
      </c>
      <c r="V183" s="15">
        <v>-0.874</v>
      </c>
      <c r="W183" s="15">
        <v>-0.58499999999999996</v>
      </c>
      <c r="X183" s="15">
        <v>-0.83499999999999996</v>
      </c>
      <c r="Y183" s="15">
        <v>-0.879</v>
      </c>
      <c r="Z183" s="15">
        <v>-0.93500000000000005</v>
      </c>
      <c r="AA183" s="15">
        <v>-0.26700000000000002</v>
      </c>
      <c r="AB183" s="15">
        <v>-0.26700000000000002</v>
      </c>
      <c r="AC183" s="15">
        <v>0.121</v>
      </c>
      <c r="AD183" s="15">
        <v>-0.27</v>
      </c>
      <c r="AE183" s="15">
        <v>0.14099999999999999</v>
      </c>
      <c r="AF183" s="14">
        <v>-0.61499999999999999</v>
      </c>
      <c r="AG183" s="15">
        <v>-0.20599999999999999</v>
      </c>
      <c r="AH183" s="15">
        <v>-0.32400000000000001</v>
      </c>
      <c r="AI183" s="15">
        <v>1</v>
      </c>
      <c r="AJ183" s="15">
        <v>-0.34</v>
      </c>
      <c r="AK183" s="16">
        <v>-0.57799999999999996</v>
      </c>
      <c r="AL183" s="4">
        <v>0.68600000000000005</v>
      </c>
      <c r="AM183" s="4">
        <v>-1</v>
      </c>
      <c r="AN183" s="4">
        <v>0.79800000000000004</v>
      </c>
      <c r="AO183" s="4">
        <v>-0.27200000000000002</v>
      </c>
      <c r="AP183" s="4">
        <v>-0.65300000000000002</v>
      </c>
      <c r="AQ183" s="4">
        <v>-0.66900000000000004</v>
      </c>
      <c r="AR183" s="4">
        <v>-0.45700000000000002</v>
      </c>
      <c r="AS183" s="4">
        <v>-0.68200000000000005</v>
      </c>
      <c r="AT183" s="4">
        <v>-0.437</v>
      </c>
      <c r="AU183" s="4">
        <v>-0.26400000000000001</v>
      </c>
      <c r="AV183" s="4">
        <v>-0.40500000000000003</v>
      </c>
      <c r="AW183" s="4">
        <v>-0.81499999999999995</v>
      </c>
      <c r="AX183" s="4">
        <v>-0.61499999999999999</v>
      </c>
      <c r="AY183" s="4">
        <v>-0.39300000000000002</v>
      </c>
      <c r="AZ183" s="4">
        <v>0.54100000000000004</v>
      </c>
      <c r="BA183" s="4">
        <v>0.875</v>
      </c>
      <c r="BB183" s="4">
        <v>0.67900000000000005</v>
      </c>
      <c r="BC183" s="4">
        <v>-0.376</v>
      </c>
      <c r="BD183" s="4">
        <v>0.16800000000000001</v>
      </c>
      <c r="BE183" s="4">
        <v>-7.0999999999999994E-2</v>
      </c>
      <c r="BF183" s="4">
        <v>-6.0999999999999999E-2</v>
      </c>
      <c r="BG183" s="4">
        <v>-1.4999999999999999E-2</v>
      </c>
      <c r="BH183" s="4">
        <v>0.08</v>
      </c>
      <c r="BI183" s="4">
        <v>0.97199999999999998</v>
      </c>
      <c r="BJ183" s="4">
        <v>-6.9000000000000006E-2</v>
      </c>
      <c r="BK183" s="4">
        <v>0.45400000000000001</v>
      </c>
      <c r="BL183" s="4">
        <v>1</v>
      </c>
      <c r="BM183" s="4"/>
      <c r="BN183" s="4"/>
    </row>
    <row r="184" spans="1:66" x14ac:dyDescent="0.3">
      <c r="A184" t="s">
        <v>231</v>
      </c>
      <c r="B184" s="53">
        <v>0</v>
      </c>
      <c r="C184" s="53">
        <f t="shared" si="16"/>
        <v>0</v>
      </c>
      <c r="D184" s="53">
        <f t="shared" si="17"/>
        <v>0</v>
      </c>
      <c r="E184" s="53">
        <f t="shared" si="18"/>
        <v>0</v>
      </c>
      <c r="F184" s="15">
        <v>0.53400000000000003</v>
      </c>
      <c r="G184">
        <v>0.51500000000000001</v>
      </c>
      <c r="H184" t="s">
        <v>71</v>
      </c>
      <c r="I184" t="str">
        <f>VLOOKUP(A184,Setores!$A$2:$C$215,2,0)</f>
        <v>food</v>
      </c>
      <c r="J184" t="str">
        <f>VLOOKUP(A184,Setores!$A$2:$C$215,3,0)</f>
        <v>very_low_beta</v>
      </c>
      <c r="K184" s="17">
        <v>0</v>
      </c>
      <c r="L184" s="2">
        <v>0</v>
      </c>
      <c r="M184" s="5">
        <v>0.16350241333333301</v>
      </c>
      <c r="N184" s="41">
        <f>VLOOKUP(A184,'Mandato LP'!$A$2:$B$215,2,0)</f>
        <v>0</v>
      </c>
      <c r="O184" s="58">
        <f t="shared" si="19"/>
        <v>0</v>
      </c>
      <c r="P184" s="42">
        <f t="shared" si="20"/>
        <v>0</v>
      </c>
      <c r="Q184" s="41">
        <f>VLOOKUP(A184,'Mandato LP'!$A$2:$C$215,3,0)</f>
        <v>0</v>
      </c>
      <c r="R184" s="42">
        <f t="shared" si="21"/>
        <v>0</v>
      </c>
      <c r="S184" s="15">
        <v>-0.93100000000000005</v>
      </c>
      <c r="T184" s="15">
        <v>-0.92100000000000004</v>
      </c>
      <c r="U184" s="15">
        <v>-0.95699999999999996</v>
      </c>
      <c r="V184" s="15">
        <v>-0.91200000000000003</v>
      </c>
      <c r="W184" s="15">
        <v>-0.95099999999999996</v>
      </c>
      <c r="X184" s="15">
        <v>-0.84299999999999997</v>
      </c>
      <c r="Y184" s="15">
        <v>-0.85499999999999998</v>
      </c>
      <c r="Z184" s="15">
        <v>-0.86599999999999999</v>
      </c>
      <c r="AA184" s="15">
        <v>-9.6000000000000002E-2</v>
      </c>
      <c r="AB184" s="15">
        <v>-9.5000000000000001E-2</v>
      </c>
      <c r="AC184" s="15">
        <v>0.53600000000000003</v>
      </c>
      <c r="AD184" s="15">
        <v>0.52900000000000003</v>
      </c>
      <c r="AE184" s="15">
        <v>0.316</v>
      </c>
      <c r="AF184" s="14">
        <v>-0.94099999999999995</v>
      </c>
      <c r="AG184" s="15">
        <v>-0.93300000000000005</v>
      </c>
      <c r="AH184" s="15">
        <v>-0.47499999999999998</v>
      </c>
      <c r="AI184" s="15">
        <v>-0.83399999999999996</v>
      </c>
      <c r="AJ184" s="15">
        <v>-0.36199999999999999</v>
      </c>
      <c r="AK184" s="16">
        <v>-0.81299999999999994</v>
      </c>
      <c r="AL184" s="4">
        <v>-0.48199999999999998</v>
      </c>
      <c r="AM184" s="4">
        <v>-0.84599999999999997</v>
      </c>
      <c r="AN184" s="4">
        <v>-0.69699999999999995</v>
      </c>
      <c r="AO184" s="4">
        <v>-0.14499999999999999</v>
      </c>
      <c r="AP184" s="4">
        <v>4.0000000000000001E-3</v>
      </c>
      <c r="AQ184" s="4">
        <v>0.34899999999999998</v>
      </c>
      <c r="AR184" s="4">
        <v>-4.8000000000000001E-2</v>
      </c>
      <c r="AS184" s="4">
        <v>-0.40100000000000002</v>
      </c>
      <c r="AT184" s="4">
        <v>-0.71799999999999997</v>
      </c>
      <c r="AU184" s="4">
        <v>0.152</v>
      </c>
      <c r="AV184" s="4">
        <v>-0.55600000000000005</v>
      </c>
      <c r="AW184" s="4">
        <v>-0.52200000000000002</v>
      </c>
      <c r="AX184" s="4">
        <v>0.45200000000000001</v>
      </c>
      <c r="AY184" s="4">
        <v>-3.1E-2</v>
      </c>
      <c r="AZ184" s="4">
        <v>0.72799999999999998</v>
      </c>
      <c r="BA184" s="4">
        <v>0.59099999999999997</v>
      </c>
      <c r="BB184" s="4">
        <v>0.52700000000000002</v>
      </c>
      <c r="BC184" s="4">
        <v>-0.95199999999999996</v>
      </c>
      <c r="BD184" s="4">
        <v>-0.76800000000000002</v>
      </c>
      <c r="BE184" s="4">
        <v>-0.17799999999999999</v>
      </c>
      <c r="BF184" s="4">
        <v>-1</v>
      </c>
      <c r="BG184" s="4">
        <v>-0.98399999999999999</v>
      </c>
      <c r="BH184" s="4">
        <v>0</v>
      </c>
      <c r="BI184" s="4">
        <v>-0.314</v>
      </c>
      <c r="BJ184" s="4">
        <v>-0.316</v>
      </c>
      <c r="BK184" s="4">
        <v>0.35099999999999998</v>
      </c>
      <c r="BL184" s="4">
        <v>-7.6999999999999999E-2</v>
      </c>
      <c r="BM184" s="4"/>
      <c r="BN184" s="4"/>
    </row>
    <row r="185" spans="1:66" x14ac:dyDescent="0.3">
      <c r="A185" t="s">
        <v>187</v>
      </c>
      <c r="B185" s="53">
        <v>0</v>
      </c>
      <c r="C185" s="53">
        <f t="shared" si="16"/>
        <v>0</v>
      </c>
      <c r="D185" s="53">
        <f t="shared" si="17"/>
        <v>0</v>
      </c>
      <c r="E185" s="53">
        <f t="shared" si="18"/>
        <v>0</v>
      </c>
      <c r="F185" s="15">
        <v>0.53300000000000003</v>
      </c>
      <c r="G185">
        <v>0.46200000000000002</v>
      </c>
      <c r="H185" t="s">
        <v>53</v>
      </c>
      <c r="I185" t="str">
        <f>VLOOKUP(A185,Setores!$A$2:$C$215,2,0)</f>
        <v>consumer_staples</v>
      </c>
      <c r="J185" t="str">
        <f>VLOOKUP(A185,Setores!$A$2:$C$215,3,0)</f>
        <v>very_low_beta</v>
      </c>
      <c r="K185" s="17">
        <v>0</v>
      </c>
      <c r="L185" s="2">
        <v>0</v>
      </c>
      <c r="M185" s="5">
        <v>0.14765889026666701</v>
      </c>
      <c r="N185" s="41">
        <f>VLOOKUP(A185,'Mandato LP'!$A$2:$B$215,2,0)</f>
        <v>0</v>
      </c>
      <c r="O185" s="58">
        <f t="shared" si="19"/>
        <v>0</v>
      </c>
      <c r="P185" s="42">
        <f t="shared" si="20"/>
        <v>0</v>
      </c>
      <c r="Q185" s="41">
        <f>VLOOKUP(A185,'Mandato LP'!$A$2:$C$215,3,0)</f>
        <v>0</v>
      </c>
      <c r="R185" s="42">
        <f t="shared" si="21"/>
        <v>0</v>
      </c>
      <c r="S185" s="15">
        <v>-0.86399999999999999</v>
      </c>
      <c r="T185" s="15">
        <v>-0.92300000000000004</v>
      </c>
      <c r="U185" s="15">
        <v>-0.85299999999999998</v>
      </c>
      <c r="V185" s="15">
        <v>-0.84299999999999997</v>
      </c>
      <c r="W185" s="15">
        <v>-0.89600000000000002</v>
      </c>
      <c r="X185" s="15">
        <v>-0.84299999999999997</v>
      </c>
      <c r="Y185" s="15">
        <v>-0.8</v>
      </c>
      <c r="Z185" s="15">
        <v>-0.90500000000000003</v>
      </c>
      <c r="AA185" s="15">
        <v>-4.7E-2</v>
      </c>
      <c r="AB185" s="15">
        <v>-4.7E-2</v>
      </c>
      <c r="AC185" s="15">
        <v>0.51200000000000001</v>
      </c>
      <c r="AD185" s="15">
        <v>0.52800000000000002</v>
      </c>
      <c r="AE185" s="15">
        <v>0.184</v>
      </c>
      <c r="AF185" s="14">
        <v>-0.501</v>
      </c>
      <c r="AG185" s="15">
        <v>-0.317</v>
      </c>
      <c r="AH185" s="15">
        <v>-0.83099999999999996</v>
      </c>
      <c r="AI185" s="15">
        <v>-0.67</v>
      </c>
      <c r="AJ185" s="15">
        <v>-0.93600000000000005</v>
      </c>
      <c r="AK185" s="16">
        <v>-0.58699999999999997</v>
      </c>
      <c r="AL185" s="4">
        <v>7.3999999999999996E-2</v>
      </c>
      <c r="AM185" s="4">
        <v>-0.52500000000000002</v>
      </c>
      <c r="AN185" s="4">
        <v>-0.14699999999999999</v>
      </c>
      <c r="AO185" s="4">
        <v>0.747</v>
      </c>
      <c r="AP185" s="4">
        <v>-0.69899999999999995</v>
      </c>
      <c r="AQ185" s="4">
        <v>-0.373</v>
      </c>
      <c r="AR185" s="4">
        <v>0.223</v>
      </c>
      <c r="AS185" s="4">
        <v>-0.17599999999999999</v>
      </c>
      <c r="AT185" s="4">
        <v>-0.86899999999999999</v>
      </c>
      <c r="AU185" s="4">
        <v>0.45300000000000001</v>
      </c>
      <c r="AV185" s="4">
        <v>-0.46899999999999997</v>
      </c>
      <c r="AW185" s="4">
        <v>-0.28599999999999998</v>
      </c>
      <c r="AX185" s="4">
        <v>0.06</v>
      </c>
      <c r="AY185" s="4">
        <v>0.189</v>
      </c>
      <c r="AZ185" s="4">
        <v>0.94899999999999995</v>
      </c>
      <c r="BA185" s="4">
        <v>9.7000000000000003E-2</v>
      </c>
      <c r="BB185" s="4">
        <v>2.3E-2</v>
      </c>
      <c r="BC185" s="4">
        <v>-0.52600000000000002</v>
      </c>
      <c r="BD185" s="4">
        <v>-0.312</v>
      </c>
      <c r="BE185" s="4">
        <v>6.7000000000000004E-2</v>
      </c>
      <c r="BF185" s="4">
        <v>-0.29799999999999999</v>
      </c>
      <c r="BG185" s="4">
        <v>-9.0999999999999998E-2</v>
      </c>
      <c r="BH185" s="4">
        <v>-0.16500000000000001</v>
      </c>
      <c r="BI185" s="4">
        <v>0.152</v>
      </c>
      <c r="BJ185" s="4">
        <v>-0.36</v>
      </c>
      <c r="BK185" s="4">
        <v>8.6999999999999994E-2</v>
      </c>
      <c r="BL185" s="4">
        <v>-7.2999999999999995E-2</v>
      </c>
      <c r="BM185" s="4"/>
      <c r="BN185" s="4"/>
    </row>
    <row r="186" spans="1:66" x14ac:dyDescent="0.3">
      <c r="A186" t="s">
        <v>157</v>
      </c>
      <c r="B186" s="53">
        <v>0</v>
      </c>
      <c r="C186" s="53">
        <f t="shared" si="16"/>
        <v>0</v>
      </c>
      <c r="D186" s="53">
        <f t="shared" si="17"/>
        <v>0</v>
      </c>
      <c r="E186" s="53">
        <f t="shared" si="18"/>
        <v>0</v>
      </c>
      <c r="F186" s="15">
        <v>0.53200000000000003</v>
      </c>
      <c r="G186">
        <v>0.39700000000000002</v>
      </c>
      <c r="H186" t="s">
        <v>57</v>
      </c>
      <c r="I186" t="str">
        <f>VLOOKUP(A186,Setores!$A$2:$C$215,2,0)</f>
        <v>consumer_durables</v>
      </c>
      <c r="J186" t="str">
        <f>VLOOKUP(A186,Setores!$A$2:$C$215,3,0)</f>
        <v>high_beta</v>
      </c>
      <c r="K186" s="17">
        <v>0</v>
      </c>
      <c r="L186" s="2">
        <v>0</v>
      </c>
      <c r="M186" s="5">
        <v>0.12882522041</v>
      </c>
      <c r="N186" s="41">
        <f>VLOOKUP(A186,'Mandato LP'!$A$2:$B$215,2,0)</f>
        <v>0</v>
      </c>
      <c r="O186" s="58">
        <f t="shared" si="19"/>
        <v>0</v>
      </c>
      <c r="P186" s="42">
        <f t="shared" si="20"/>
        <v>0</v>
      </c>
      <c r="Q186" s="41">
        <f>VLOOKUP(A186,'Mandato LP'!$A$2:$C$215,3,0)</f>
        <v>0</v>
      </c>
      <c r="R186" s="42">
        <f t="shared" si="21"/>
        <v>0</v>
      </c>
      <c r="S186" s="15">
        <v>-0.67200000000000004</v>
      </c>
      <c r="T186" s="15">
        <v>-0.46</v>
      </c>
      <c r="U186" s="15">
        <v>-0.52900000000000003</v>
      </c>
      <c r="V186" s="15">
        <v>-0.56899999999999995</v>
      </c>
      <c r="W186" s="15">
        <v>-0.40899999999999997</v>
      </c>
      <c r="X186" s="15">
        <v>-0.77200000000000002</v>
      </c>
      <c r="Y186" s="15">
        <v>-0.752</v>
      </c>
      <c r="Z186" s="15">
        <v>-0.88</v>
      </c>
      <c r="AA186" s="15">
        <v>-0.28199999999999997</v>
      </c>
      <c r="AB186" s="15">
        <v>-0.28000000000000003</v>
      </c>
      <c r="AC186" s="15">
        <v>-0.20300000000000001</v>
      </c>
      <c r="AD186" s="15">
        <v>-1</v>
      </c>
      <c r="AE186" s="15">
        <v>0.23200000000000001</v>
      </c>
      <c r="AF186" s="14">
        <v>6.4000000000000001E-2</v>
      </c>
      <c r="AG186" s="15">
        <v>0.78900000000000003</v>
      </c>
      <c r="AH186" s="15">
        <v>-0.13900000000000001</v>
      </c>
      <c r="AI186" s="15">
        <v>0.19400000000000001</v>
      </c>
      <c r="AJ186" s="15">
        <v>-0.70699999999999996</v>
      </c>
      <c r="AK186" s="16">
        <v>-0.20899999999999999</v>
      </c>
      <c r="AL186" s="4">
        <v>0.69599999999999995</v>
      </c>
      <c r="AM186" s="4">
        <v>-0.93</v>
      </c>
      <c r="AN186" s="4">
        <v>0.20699999999999999</v>
      </c>
      <c r="AO186" s="4">
        <v>0.20200000000000001</v>
      </c>
      <c r="AP186" s="4">
        <v>-0.55800000000000005</v>
      </c>
      <c r="AQ186" s="4">
        <v>-0.56999999999999995</v>
      </c>
      <c r="AR186" s="4">
        <v>0.34799999999999998</v>
      </c>
      <c r="AS186" s="4">
        <v>-0.98399999999999999</v>
      </c>
      <c r="AT186" s="4">
        <v>-0.29199999999999998</v>
      </c>
      <c r="AU186" s="4">
        <v>0.29199999999999998</v>
      </c>
      <c r="AV186" s="4">
        <v>-0.16900000000000001</v>
      </c>
      <c r="AW186" s="4">
        <v>-0.20699999999999999</v>
      </c>
      <c r="AX186" s="4">
        <v>-0.78800000000000003</v>
      </c>
      <c r="AY186" s="4">
        <v>-0.22</v>
      </c>
      <c r="AZ186" s="4">
        <v>0.32100000000000001</v>
      </c>
      <c r="BA186" s="4">
        <v>-0.91200000000000003</v>
      </c>
      <c r="BB186" s="4">
        <v>-0.14599999999999999</v>
      </c>
      <c r="BC186" s="4">
        <v>0.11799999999999999</v>
      </c>
      <c r="BD186" s="4">
        <v>6.8000000000000005E-2</v>
      </c>
      <c r="BE186" s="4">
        <v>0.25700000000000001</v>
      </c>
      <c r="BF186" s="4">
        <v>0.80500000000000005</v>
      </c>
      <c r="BG186" s="4">
        <v>0.97099999999999997</v>
      </c>
      <c r="BH186" s="4">
        <v>0.38400000000000001</v>
      </c>
      <c r="BI186" s="4">
        <v>1</v>
      </c>
      <c r="BJ186" s="4">
        <v>0.123</v>
      </c>
      <c r="BK186" s="4">
        <v>-0.89600000000000002</v>
      </c>
      <c r="BL186" s="4">
        <v>-0.36499999999999999</v>
      </c>
      <c r="BM186" s="4"/>
      <c r="BN186" s="4"/>
    </row>
    <row r="187" spans="1:66" x14ac:dyDescent="0.3">
      <c r="A187" t="s">
        <v>223</v>
      </c>
      <c r="B187" s="53">
        <v>0</v>
      </c>
      <c r="C187" s="53">
        <f t="shared" si="16"/>
        <v>0</v>
      </c>
      <c r="D187" s="53">
        <f t="shared" si="17"/>
        <v>0</v>
      </c>
      <c r="E187" s="53">
        <f t="shared" si="18"/>
        <v>0</v>
      </c>
      <c r="F187" s="15">
        <v>0.53100000000000003</v>
      </c>
      <c r="G187">
        <v>0.56499999999999995</v>
      </c>
      <c r="H187" t="s">
        <v>68</v>
      </c>
      <c r="I187" t="str">
        <f>VLOOKUP(A187,Setores!$A$2:$C$215,2,0)</f>
        <v>capital_goods</v>
      </c>
      <c r="J187" t="str">
        <f>VLOOKUP(A187,Setores!$A$2:$C$215,3,0)</f>
        <v>high_beta</v>
      </c>
      <c r="K187" s="17">
        <v>0</v>
      </c>
      <c r="L187" s="2">
        <v>0</v>
      </c>
      <c r="M187" s="5">
        <v>4.1345687643333302E-2</v>
      </c>
      <c r="N187" s="41">
        <f>VLOOKUP(A187,'Mandato LP'!$A$2:$B$215,2,0)</f>
        <v>0</v>
      </c>
      <c r="O187" s="58">
        <f t="shared" si="19"/>
        <v>0</v>
      </c>
      <c r="P187" s="42">
        <f t="shared" si="20"/>
        <v>0</v>
      </c>
      <c r="Q187" s="41">
        <f>VLOOKUP(A187,'Mandato LP'!$A$2:$C$215,3,0)</f>
        <v>0</v>
      </c>
      <c r="R187" s="42">
        <f t="shared" si="21"/>
        <v>0</v>
      </c>
      <c r="S187" s="15">
        <v>-0.95199999999999996</v>
      </c>
      <c r="T187" s="15">
        <v>-0.90600000000000003</v>
      </c>
      <c r="U187" s="15">
        <v>-0.91800000000000004</v>
      </c>
      <c r="V187" s="15">
        <v>-0.92800000000000005</v>
      </c>
      <c r="W187" s="15">
        <v>-0.93</v>
      </c>
      <c r="X187" s="15">
        <v>-0.93799999999999994</v>
      </c>
      <c r="Y187" s="15">
        <v>-0.89300000000000002</v>
      </c>
      <c r="Z187" s="15">
        <v>-0.88600000000000001</v>
      </c>
      <c r="AA187" s="15">
        <v>5.3999999999999999E-2</v>
      </c>
      <c r="AB187" s="15">
        <v>4.7E-2</v>
      </c>
      <c r="AC187" s="15">
        <v>0.437</v>
      </c>
      <c r="AD187" s="15">
        <v>0.45200000000000001</v>
      </c>
      <c r="AE187" s="15">
        <v>0.27200000000000002</v>
      </c>
      <c r="AF187" s="14">
        <v>-0.96599999999999997</v>
      </c>
      <c r="AG187" s="15">
        <v>-1</v>
      </c>
      <c r="AH187" s="15">
        <v>-0.47899999999999998</v>
      </c>
      <c r="AI187" s="15">
        <v>-0.47699999999999998</v>
      </c>
      <c r="AJ187" s="15">
        <v>1</v>
      </c>
      <c r="AK187" s="16">
        <v>-0.58499999999999996</v>
      </c>
      <c r="AL187" s="4">
        <v>-0.34899999999999998</v>
      </c>
      <c r="AM187" s="4">
        <v>-0.96599999999999997</v>
      </c>
      <c r="AN187" s="4">
        <v>-0.66400000000000003</v>
      </c>
      <c r="AO187" s="4">
        <v>-0.42399999999999999</v>
      </c>
      <c r="AP187" s="4">
        <v>0.32100000000000001</v>
      </c>
      <c r="AQ187" s="4">
        <v>0.109</v>
      </c>
      <c r="AR187" s="4">
        <v>-0.86399999999999999</v>
      </c>
      <c r="AS187" s="4">
        <v>-0.89200000000000002</v>
      </c>
      <c r="AT187" s="4">
        <v>-0.311</v>
      </c>
      <c r="AU187" s="4">
        <v>1.4999999999999999E-2</v>
      </c>
      <c r="AV187" s="4">
        <v>-0.45400000000000001</v>
      </c>
      <c r="AW187" s="4">
        <v>-0.502</v>
      </c>
      <c r="AX187" s="4">
        <v>0.53600000000000003</v>
      </c>
      <c r="AY187" s="4">
        <v>-0.13400000000000001</v>
      </c>
      <c r="AZ187" s="4">
        <v>0.75700000000000001</v>
      </c>
      <c r="BA187" s="4">
        <v>-0.56699999999999995</v>
      </c>
      <c r="BB187" s="4">
        <v>-0.38700000000000001</v>
      </c>
      <c r="BC187" s="4">
        <v>-1</v>
      </c>
      <c r="BD187" s="4">
        <v>-0.68500000000000005</v>
      </c>
      <c r="BE187" s="4">
        <v>8.7999999999999995E-2</v>
      </c>
      <c r="BF187" s="4">
        <v>-0.20200000000000001</v>
      </c>
      <c r="BG187" s="4">
        <v>-1</v>
      </c>
      <c r="BH187" s="4">
        <v>0.10299999999999999</v>
      </c>
      <c r="BI187" s="4">
        <v>-0.61699999999999999</v>
      </c>
      <c r="BJ187" s="4">
        <v>0.25700000000000001</v>
      </c>
      <c r="BK187" s="4">
        <v>0.13400000000000001</v>
      </c>
      <c r="BL187" s="4">
        <v>0.55100000000000005</v>
      </c>
      <c r="BM187" s="4"/>
      <c r="BN187" s="4"/>
    </row>
    <row r="188" spans="1:66" x14ac:dyDescent="0.3">
      <c r="A188" t="s">
        <v>191</v>
      </c>
      <c r="B188" s="53">
        <v>0</v>
      </c>
      <c r="C188" s="53">
        <f t="shared" si="16"/>
        <v>0</v>
      </c>
      <c r="D188" s="53">
        <f t="shared" si="17"/>
        <v>0</v>
      </c>
      <c r="E188" s="53">
        <f t="shared" si="18"/>
        <v>0</v>
      </c>
      <c r="F188" s="15">
        <v>0.53</v>
      </c>
      <c r="G188">
        <v>0.61899999999999999</v>
      </c>
      <c r="H188" t="s">
        <v>71</v>
      </c>
      <c r="I188" t="str">
        <f>VLOOKUP(A188,Setores!$A$2:$C$215,2,0)</f>
        <v>food</v>
      </c>
      <c r="J188" t="str">
        <f>VLOOKUP(A188,Setores!$A$2:$C$215,3,0)</f>
        <v>very_low_beta</v>
      </c>
      <c r="K188" s="17">
        <v>0</v>
      </c>
      <c r="L188" s="2">
        <v>0</v>
      </c>
      <c r="M188" s="5">
        <v>1.8404105043333301</v>
      </c>
      <c r="N188" s="41">
        <f>VLOOKUP(A188,'Mandato LP'!$A$2:$B$215,2,0)</f>
        <v>0</v>
      </c>
      <c r="O188" s="58">
        <f t="shared" si="19"/>
        <v>0</v>
      </c>
      <c r="P188" s="42">
        <f t="shared" si="20"/>
        <v>0</v>
      </c>
      <c r="Q188" s="41">
        <f>VLOOKUP(A188,'Mandato LP'!$A$2:$C$215,3,0)</f>
        <v>0</v>
      </c>
      <c r="R188" s="42">
        <f t="shared" si="21"/>
        <v>0</v>
      </c>
      <c r="S188" s="15">
        <v>-0.97599999999999998</v>
      </c>
      <c r="T188" s="15">
        <v>-0.97099999999999997</v>
      </c>
      <c r="U188" s="15">
        <v>-0.92700000000000005</v>
      </c>
      <c r="V188" s="15">
        <v>-0.95099999999999996</v>
      </c>
      <c r="W188" s="15">
        <v>-0.95499999999999996</v>
      </c>
      <c r="X188" s="15">
        <v>-0.85199999999999998</v>
      </c>
      <c r="Y188" s="15">
        <v>-0.78300000000000003</v>
      </c>
      <c r="Z188" s="15">
        <v>-0.86599999999999999</v>
      </c>
      <c r="AA188" s="15">
        <v>3.5999999999999997E-2</v>
      </c>
      <c r="AB188" s="15">
        <v>3.3000000000000002E-2</v>
      </c>
      <c r="AC188" s="15">
        <v>9.0999999999999998E-2</v>
      </c>
      <c r="AD188" s="15">
        <v>8.5000000000000006E-2</v>
      </c>
      <c r="AE188" s="15">
        <v>0.38700000000000001</v>
      </c>
      <c r="AF188" s="14">
        <v>-0.95599999999999996</v>
      </c>
      <c r="AG188" s="15">
        <v>-1</v>
      </c>
      <c r="AH188" s="15">
        <v>-0.85099999999999998</v>
      </c>
      <c r="AI188" s="15">
        <v>-0.45400000000000001</v>
      </c>
      <c r="AJ188" s="15">
        <v>-0.17299999999999999</v>
      </c>
      <c r="AK188" s="16">
        <v>-0.60399999999999998</v>
      </c>
      <c r="AL188" s="4">
        <v>-0.41</v>
      </c>
      <c r="AM188" s="4">
        <v>-0.13</v>
      </c>
      <c r="AN188" s="4">
        <v>-0.35</v>
      </c>
      <c r="AO188" s="4">
        <v>-0.50800000000000001</v>
      </c>
      <c r="AP188" s="4">
        <v>-0.156</v>
      </c>
      <c r="AQ188" s="4">
        <v>2.4E-2</v>
      </c>
      <c r="AR188" s="4">
        <v>-0.315</v>
      </c>
      <c r="AS188" s="4">
        <v>-1</v>
      </c>
      <c r="AT188" s="4">
        <v>-0.70499999999999996</v>
      </c>
      <c r="AU188" s="4">
        <v>-0.36299999999999999</v>
      </c>
      <c r="AV188" s="4">
        <v>-0.82099999999999995</v>
      </c>
      <c r="AW188" s="4">
        <v>-0.78600000000000003</v>
      </c>
      <c r="AX188" s="4">
        <v>0.82099999999999995</v>
      </c>
      <c r="AY188" s="4">
        <v>-0.77500000000000002</v>
      </c>
      <c r="AZ188" s="4">
        <v>-0.24199999999999999</v>
      </c>
      <c r="BA188" s="4">
        <v>-0.90100000000000002</v>
      </c>
      <c r="BB188" s="4">
        <v>-0.17799999999999999</v>
      </c>
      <c r="BC188" s="4">
        <v>9.8000000000000004E-2</v>
      </c>
      <c r="BD188" s="4">
        <v>-0.214</v>
      </c>
      <c r="BE188" s="4">
        <v>0.20300000000000001</v>
      </c>
      <c r="BF188" s="4">
        <v>-0.43099999999999999</v>
      </c>
      <c r="BG188" s="4">
        <v>0.252</v>
      </c>
      <c r="BH188" s="4">
        <v>0.78500000000000003</v>
      </c>
      <c r="BI188" s="4">
        <v>-9.8000000000000004E-2</v>
      </c>
      <c r="BJ188" s="4">
        <v>-0.626</v>
      </c>
      <c r="BK188" s="4">
        <v>0.71599999999999997</v>
      </c>
      <c r="BL188" s="4">
        <v>0.51900000000000002</v>
      </c>
      <c r="BM188" s="4"/>
      <c r="BN188" s="4"/>
    </row>
    <row r="189" spans="1:66" x14ac:dyDescent="0.3">
      <c r="A189" t="s">
        <v>129</v>
      </c>
      <c r="B189" s="53">
        <v>0</v>
      </c>
      <c r="C189" s="53">
        <f t="shared" si="16"/>
        <v>0</v>
      </c>
      <c r="D189" s="53">
        <f t="shared" si="17"/>
        <v>0</v>
      </c>
      <c r="E189" s="53">
        <f t="shared" si="18"/>
        <v>0</v>
      </c>
      <c r="F189" s="15">
        <v>0.52800000000000002</v>
      </c>
      <c r="G189">
        <v>0.373</v>
      </c>
      <c r="H189" t="s">
        <v>57</v>
      </c>
      <c r="I189" t="str">
        <f>VLOOKUP(A189,Setores!$A$2:$C$215,2,0)</f>
        <v>homebuilders</v>
      </c>
      <c r="J189" t="str">
        <f>VLOOKUP(A189,Setores!$A$2:$C$215,3,0)</f>
        <v>very_high_beta</v>
      </c>
      <c r="K189" s="17">
        <v>0</v>
      </c>
      <c r="L189" s="2">
        <v>0</v>
      </c>
      <c r="M189" s="5">
        <v>0.10844969692</v>
      </c>
      <c r="N189" s="41">
        <f>VLOOKUP(A189,'Mandato LP'!$A$2:$B$215,2,0)</f>
        <v>0</v>
      </c>
      <c r="O189" s="58">
        <f t="shared" si="19"/>
        <v>0</v>
      </c>
      <c r="P189" s="42">
        <f t="shared" si="20"/>
        <v>0</v>
      </c>
      <c r="Q189" s="41">
        <f>VLOOKUP(A189,'Mandato LP'!$A$2:$C$215,3,0)</f>
        <v>0</v>
      </c>
      <c r="R189" s="42">
        <f t="shared" si="21"/>
        <v>0</v>
      </c>
      <c r="S189" s="15">
        <v>-0.82</v>
      </c>
      <c r="T189" s="15">
        <v>-0.51200000000000001</v>
      </c>
      <c r="U189" s="15">
        <v>-0.379</v>
      </c>
      <c r="V189" s="15">
        <v>-0.86</v>
      </c>
      <c r="W189" s="15">
        <v>-0.57199999999999995</v>
      </c>
      <c r="X189" s="15">
        <v>-0.93700000000000006</v>
      </c>
      <c r="Y189" s="15">
        <v>-0.94799999999999995</v>
      </c>
      <c r="Z189" s="15">
        <v>-0.83699999999999997</v>
      </c>
      <c r="AA189" s="15">
        <v>-0.123</v>
      </c>
      <c r="AB189" s="15">
        <v>-0.123</v>
      </c>
      <c r="AC189" s="15">
        <v>-0.13</v>
      </c>
      <c r="AD189" s="15">
        <v>9.4E-2</v>
      </c>
      <c r="AE189" s="15">
        <v>0.03</v>
      </c>
      <c r="AF189" s="14">
        <v>-0.65</v>
      </c>
      <c r="AG189" s="15">
        <v>-0.20399999999999999</v>
      </c>
      <c r="AH189" s="15">
        <v>2.7E-2</v>
      </c>
      <c r="AI189" s="15">
        <v>0.86599999999999999</v>
      </c>
      <c r="AJ189" s="15">
        <v>0.24099999999999999</v>
      </c>
      <c r="AK189" s="16">
        <v>-0.51600000000000001</v>
      </c>
      <c r="AL189" s="4">
        <v>-0.26900000000000002</v>
      </c>
      <c r="AM189" s="4">
        <v>-0.33</v>
      </c>
      <c r="AN189" s="4">
        <v>0.75600000000000001</v>
      </c>
      <c r="AO189" s="4">
        <v>-0.17299999999999999</v>
      </c>
      <c r="AP189" s="4">
        <v>-0.35</v>
      </c>
      <c r="AQ189" s="4">
        <v>-0.45900000000000002</v>
      </c>
      <c r="AR189" s="4">
        <v>-9.7000000000000003E-2</v>
      </c>
      <c r="AS189" s="4">
        <v>-2E-3</v>
      </c>
      <c r="AT189" s="4">
        <v>-0.30199999999999999</v>
      </c>
      <c r="AU189" s="4">
        <v>-0.34399999999999997</v>
      </c>
      <c r="AV189" s="4">
        <v>-0.35799999999999998</v>
      </c>
      <c r="AW189" s="4">
        <v>-0.74</v>
      </c>
      <c r="AX189" s="4">
        <v>-1</v>
      </c>
      <c r="AY189" s="4">
        <v>-0.70799999999999996</v>
      </c>
      <c r="AZ189" s="4">
        <v>-0.115</v>
      </c>
      <c r="BA189" s="4">
        <v>-0.26400000000000001</v>
      </c>
      <c r="BB189" s="4">
        <v>-0.751</v>
      </c>
      <c r="BC189" s="4">
        <v>0.20100000000000001</v>
      </c>
      <c r="BD189" s="4">
        <v>-0.28000000000000003</v>
      </c>
      <c r="BE189" s="4">
        <v>0.28599999999999998</v>
      </c>
      <c r="BF189" s="4">
        <v>-0.248</v>
      </c>
      <c r="BG189" s="4">
        <v>-0.49199999999999999</v>
      </c>
      <c r="BH189" s="4">
        <v>-0.64200000000000002</v>
      </c>
      <c r="BI189" s="4">
        <v>0.16600000000000001</v>
      </c>
      <c r="BJ189" s="4">
        <v>0.73699999999999999</v>
      </c>
      <c r="BK189" s="4">
        <v>0.219</v>
      </c>
      <c r="BL189" s="4">
        <v>0.92400000000000004</v>
      </c>
      <c r="BM189" s="4"/>
      <c r="BN189" s="4"/>
    </row>
    <row r="190" spans="1:66" x14ac:dyDescent="0.3">
      <c r="A190" t="s">
        <v>183</v>
      </c>
      <c r="B190" s="53">
        <v>0</v>
      </c>
      <c r="C190" s="53">
        <f t="shared" si="16"/>
        <v>0</v>
      </c>
      <c r="D190" s="53">
        <f t="shared" si="17"/>
        <v>0</v>
      </c>
      <c r="E190" s="53">
        <f t="shared" si="18"/>
        <v>0</v>
      </c>
      <c r="F190" s="15">
        <v>0.52300000000000002</v>
      </c>
      <c r="G190">
        <v>0.57899999999999996</v>
      </c>
      <c r="H190" t="s">
        <v>68</v>
      </c>
      <c r="I190" t="str">
        <f>VLOOKUP(A190,Setores!$A$2:$C$215,2,0)</f>
        <v>capital_goods</v>
      </c>
      <c r="J190" t="str">
        <f>VLOOKUP(A190,Setores!$A$2:$C$215,3,0)</f>
        <v>neutral_beta</v>
      </c>
      <c r="K190" s="17">
        <v>0</v>
      </c>
      <c r="L190" s="2">
        <v>0</v>
      </c>
      <c r="M190" s="5">
        <v>0.31190432639833299</v>
      </c>
      <c r="N190" s="41">
        <f>VLOOKUP(A190,'Mandato LP'!$A$2:$B$215,2,0)</f>
        <v>0</v>
      </c>
      <c r="O190" s="58">
        <f t="shared" si="19"/>
        <v>0</v>
      </c>
      <c r="P190" s="42">
        <f t="shared" si="20"/>
        <v>0</v>
      </c>
      <c r="Q190" s="41">
        <f>VLOOKUP(A190,'Mandato LP'!$A$2:$C$215,3,0)</f>
        <v>0</v>
      </c>
      <c r="R190" s="42">
        <f t="shared" si="21"/>
        <v>0</v>
      </c>
      <c r="S190" s="15">
        <v>-0.89600000000000002</v>
      </c>
      <c r="T190" s="15">
        <v>-0.97899999999999998</v>
      </c>
      <c r="U190" s="15">
        <v>-0.93600000000000005</v>
      </c>
      <c r="V190" s="15">
        <v>-0.90300000000000002</v>
      </c>
      <c r="W190" s="15">
        <v>-0.97499999999999998</v>
      </c>
      <c r="X190" s="15">
        <v>-0.82099999999999995</v>
      </c>
      <c r="Y190" s="15">
        <v>-0.73199999999999998</v>
      </c>
      <c r="Z190" s="15">
        <v>-0.92800000000000005</v>
      </c>
      <c r="AA190" s="15">
        <v>-0.17299999999999999</v>
      </c>
      <c r="AB190" s="15">
        <v>-0.17100000000000001</v>
      </c>
      <c r="AC190" s="15">
        <v>0.33200000000000002</v>
      </c>
      <c r="AD190" s="15">
        <v>0.38500000000000001</v>
      </c>
      <c r="AE190" s="15">
        <v>0.14099999999999999</v>
      </c>
      <c r="AF190" s="14">
        <v>-0.71199999999999997</v>
      </c>
      <c r="AG190" s="15">
        <v>-0.71799999999999997</v>
      </c>
      <c r="AH190" s="15">
        <v>-1</v>
      </c>
      <c r="AI190" s="15">
        <v>-0.80300000000000005</v>
      </c>
      <c r="AJ190" s="15">
        <v>-0.87</v>
      </c>
      <c r="AK190" s="16">
        <v>-0.91400000000000003</v>
      </c>
      <c r="AL190" s="4">
        <v>-6.0999999999999999E-2</v>
      </c>
      <c r="AM190" s="4">
        <v>-0.72599999999999998</v>
      </c>
      <c r="AN190" s="4">
        <v>-0.75600000000000001</v>
      </c>
      <c r="AO190" s="4">
        <v>0.34100000000000003</v>
      </c>
      <c r="AP190" s="4">
        <v>-0.56100000000000005</v>
      </c>
      <c r="AQ190" s="4">
        <v>-0.77600000000000002</v>
      </c>
      <c r="AR190" s="4">
        <v>-4.8000000000000001E-2</v>
      </c>
      <c r="AS190" s="4">
        <v>8.7999999999999995E-2</v>
      </c>
      <c r="AT190" s="4">
        <v>-0.83399999999999996</v>
      </c>
      <c r="AU190" s="4">
        <v>0.34399999999999997</v>
      </c>
      <c r="AV190" s="4">
        <v>-0.52100000000000002</v>
      </c>
      <c r="AW190" s="4">
        <v>-0.311</v>
      </c>
      <c r="AX190" s="4">
        <v>0.308</v>
      </c>
      <c r="AY190" s="4">
        <v>0.06</v>
      </c>
      <c r="AZ190" s="4">
        <v>0.93300000000000005</v>
      </c>
      <c r="BA190" s="4">
        <v>0.52600000000000002</v>
      </c>
      <c r="BB190" s="4">
        <v>0.41699999999999998</v>
      </c>
      <c r="BC190" s="4">
        <v>-0.35099999999999998</v>
      </c>
      <c r="BD190" s="4">
        <v>8.0000000000000002E-3</v>
      </c>
      <c r="BE190" s="4">
        <v>0.13500000000000001</v>
      </c>
      <c r="BF190" s="4">
        <v>0.4</v>
      </c>
      <c r="BG190" s="4">
        <v>-0.61599999999999999</v>
      </c>
      <c r="BH190" s="4">
        <v>0.53300000000000003</v>
      </c>
      <c r="BI190" s="4">
        <v>-0.255</v>
      </c>
      <c r="BJ190" s="4">
        <v>0.14000000000000001</v>
      </c>
      <c r="BK190" s="4">
        <v>9.8000000000000004E-2</v>
      </c>
      <c r="BL190" s="4">
        <v>-0.25600000000000001</v>
      </c>
      <c r="BM190" s="4"/>
      <c r="BN190" s="4"/>
    </row>
    <row r="191" spans="1:66" x14ac:dyDescent="0.3">
      <c r="A191" t="s">
        <v>224</v>
      </c>
      <c r="B191" s="53">
        <v>0</v>
      </c>
      <c r="C191" s="53">
        <f t="shared" si="16"/>
        <v>0</v>
      </c>
      <c r="D191" s="53">
        <f t="shared" si="17"/>
        <v>0</v>
      </c>
      <c r="E191" s="53">
        <f t="shared" si="18"/>
        <v>0</v>
      </c>
      <c r="F191" s="15">
        <v>0.52100000000000002</v>
      </c>
      <c r="G191">
        <v>0.438</v>
      </c>
      <c r="H191" t="s">
        <v>71</v>
      </c>
      <c r="I191" t="str">
        <f>VLOOKUP(A191,Setores!$A$2:$C$215,2,0)</f>
        <v>food</v>
      </c>
      <c r="J191" t="str">
        <f>VLOOKUP(A191,Setores!$A$2:$C$215,3,0)</f>
        <v>very_low_beta</v>
      </c>
      <c r="K191" s="17">
        <v>0</v>
      </c>
      <c r="L191" s="2">
        <v>0</v>
      </c>
      <c r="M191" s="5">
        <v>0.50921467608433302</v>
      </c>
      <c r="N191" s="41">
        <f>VLOOKUP(A191,'Mandato LP'!$A$2:$B$215,2,0)</f>
        <v>0</v>
      </c>
      <c r="O191" s="58">
        <f t="shared" si="19"/>
        <v>0</v>
      </c>
      <c r="P191" s="42">
        <f t="shared" si="20"/>
        <v>0</v>
      </c>
      <c r="Q191" s="41">
        <f>VLOOKUP(A191,'Mandato LP'!$A$2:$C$215,3,0)</f>
        <v>0</v>
      </c>
      <c r="R191" s="42">
        <f t="shared" si="21"/>
        <v>0</v>
      </c>
      <c r="S191" s="15">
        <v>-0.96199999999999997</v>
      </c>
      <c r="T191" s="15">
        <v>-0.94299999999999995</v>
      </c>
      <c r="U191" s="15">
        <v>-0.90500000000000003</v>
      </c>
      <c r="V191" s="15">
        <v>-0.95499999999999996</v>
      </c>
      <c r="W191" s="15">
        <v>-0.95399999999999996</v>
      </c>
      <c r="X191" s="15">
        <v>-0.86599999999999999</v>
      </c>
      <c r="Y191" s="15">
        <v>-0.82099999999999995</v>
      </c>
      <c r="Z191" s="15">
        <v>-0.95599999999999996</v>
      </c>
      <c r="AA191" s="15">
        <v>0.10299999999999999</v>
      </c>
      <c r="AB191" s="15">
        <v>0.10299999999999999</v>
      </c>
      <c r="AC191" s="15">
        <v>-2.1999999999999999E-2</v>
      </c>
      <c r="AD191" s="15">
        <v>-0.33</v>
      </c>
      <c r="AE191" s="15">
        <v>0.32700000000000001</v>
      </c>
      <c r="AF191" s="14">
        <v>-0.89</v>
      </c>
      <c r="AG191" s="15">
        <v>-0.621</v>
      </c>
      <c r="AH191" s="15">
        <v>-0.96199999999999997</v>
      </c>
      <c r="AI191" s="15">
        <v>-9.7000000000000003E-2</v>
      </c>
      <c r="AJ191" s="15">
        <v>-0.496</v>
      </c>
      <c r="AK191" s="16">
        <v>-0.63400000000000001</v>
      </c>
      <c r="AL191" s="4">
        <v>-0.65800000000000003</v>
      </c>
      <c r="AM191" s="4">
        <v>-0.502</v>
      </c>
      <c r="AN191" s="4">
        <v>-1.7000000000000001E-2</v>
      </c>
      <c r="AO191" s="4">
        <v>-0.25800000000000001</v>
      </c>
      <c r="AP191" s="4">
        <v>-0.68700000000000006</v>
      </c>
      <c r="AQ191" s="4">
        <v>-0.51600000000000001</v>
      </c>
      <c r="AR191" s="4">
        <v>-0.41699999999999998</v>
      </c>
      <c r="AS191" s="4">
        <v>0.69699999999999995</v>
      </c>
      <c r="AT191" s="4">
        <v>0.34200000000000003</v>
      </c>
      <c r="AU191" s="4">
        <v>-0.223</v>
      </c>
      <c r="AV191" s="4">
        <v>-0.72699999999999998</v>
      </c>
      <c r="AW191" s="4">
        <v>-0.78100000000000003</v>
      </c>
      <c r="AX191" s="4">
        <v>0.55600000000000005</v>
      </c>
      <c r="AY191" s="4">
        <v>-0.128</v>
      </c>
      <c r="AZ191" s="4">
        <v>-0.42599999999999999</v>
      </c>
      <c r="BA191" s="4">
        <v>-0.79500000000000004</v>
      </c>
      <c r="BB191" s="4">
        <v>-0.93100000000000005</v>
      </c>
      <c r="BC191" s="4">
        <v>-0.32500000000000001</v>
      </c>
      <c r="BD191" s="4">
        <v>-0.7</v>
      </c>
      <c r="BE191" s="4">
        <v>-0.45</v>
      </c>
      <c r="BF191" s="4">
        <v>-4.0000000000000001E-3</v>
      </c>
      <c r="BG191" s="4">
        <v>0.12</v>
      </c>
      <c r="BH191" s="4">
        <v>0.78600000000000003</v>
      </c>
      <c r="BI191" s="4">
        <v>0.20599999999999999</v>
      </c>
      <c r="BJ191" s="4">
        <v>-0.52700000000000002</v>
      </c>
      <c r="BK191" s="4">
        <v>0.23699999999999999</v>
      </c>
      <c r="BL191" s="4">
        <v>0.83</v>
      </c>
      <c r="BM191" s="4"/>
      <c r="BN191" s="4"/>
    </row>
    <row r="192" spans="1:66" x14ac:dyDescent="0.3">
      <c r="A192" t="s">
        <v>207</v>
      </c>
      <c r="B192" s="53">
        <v>0</v>
      </c>
      <c r="C192" s="53">
        <f t="shared" si="16"/>
        <v>0</v>
      </c>
      <c r="D192" s="53">
        <f t="shared" si="17"/>
        <v>0</v>
      </c>
      <c r="E192" s="53">
        <f t="shared" si="18"/>
        <v>0</v>
      </c>
      <c r="F192" s="15">
        <v>0.51900000000000002</v>
      </c>
      <c r="G192">
        <v>0.36599999999999999</v>
      </c>
      <c r="H192" t="s">
        <v>53</v>
      </c>
      <c r="I192" t="str">
        <f>VLOOKUP(A192,Setores!$A$2:$C$215,2,0)</f>
        <v>healthcare</v>
      </c>
      <c r="J192" t="str">
        <f>VLOOKUP(A192,Setores!$A$2:$C$215,3,0)</f>
        <v>very_high_beta</v>
      </c>
      <c r="K192" s="17">
        <v>0</v>
      </c>
      <c r="L192" s="2">
        <v>0</v>
      </c>
      <c r="M192" s="5">
        <v>0</v>
      </c>
      <c r="N192" s="41">
        <f>VLOOKUP(A192,'Mandato LP'!$A$2:$B$215,2,0)</f>
        <v>0</v>
      </c>
      <c r="O192" s="58">
        <f t="shared" si="19"/>
        <v>0</v>
      </c>
      <c r="P192" s="42">
        <f t="shared" si="20"/>
        <v>0</v>
      </c>
      <c r="Q192" s="41">
        <f>VLOOKUP(A192,'Mandato LP'!$A$2:$C$215,3,0)</f>
        <v>0</v>
      </c>
      <c r="R192" s="42">
        <f t="shared" si="21"/>
        <v>0</v>
      </c>
      <c r="S192" s="15">
        <v>-0.73299999999999998</v>
      </c>
      <c r="T192" s="15">
        <v>-0.34300000000000003</v>
      </c>
      <c r="U192" s="15">
        <v>-0.73199999999999998</v>
      </c>
      <c r="V192" s="15">
        <v>-0.84899999999999998</v>
      </c>
      <c r="W192" s="15">
        <v>-0.73799999999999999</v>
      </c>
      <c r="X192" s="15">
        <v>-0.93500000000000005</v>
      </c>
      <c r="Y192" s="15">
        <v>-0.96</v>
      </c>
      <c r="Z192" s="15">
        <v>-0.86</v>
      </c>
      <c r="AA192" s="15">
        <v>-0.47699999999999998</v>
      </c>
      <c r="AB192" s="15">
        <v>-0.47699999999999998</v>
      </c>
      <c r="AC192" s="15">
        <v>-8.5999999999999993E-2</v>
      </c>
      <c r="AD192" s="15">
        <v>-5.8000000000000003E-2</v>
      </c>
      <c r="AE192" s="15">
        <v>2.9000000000000001E-2</v>
      </c>
      <c r="AF192" s="14">
        <v>-0.79100000000000004</v>
      </c>
      <c r="AG192" s="15">
        <v>-0.60699999999999998</v>
      </c>
      <c r="AH192" s="15">
        <v>-0.24199999999999999</v>
      </c>
      <c r="AI192" s="15">
        <v>-0.498</v>
      </c>
      <c r="AJ192" s="15">
        <v>1.0999999999999999E-2</v>
      </c>
      <c r="AK192" s="16">
        <v>-0.83599999999999997</v>
      </c>
      <c r="AL192" s="4">
        <v>-0.124</v>
      </c>
      <c r="AM192" s="4">
        <v>-1</v>
      </c>
      <c r="AN192" s="4">
        <v>-0.126</v>
      </c>
      <c r="AO192" s="4">
        <v>-0.313</v>
      </c>
      <c r="AP192" s="4">
        <v>0.38400000000000001</v>
      </c>
      <c r="AQ192" s="4">
        <v>-0.433</v>
      </c>
      <c r="AR192" s="4">
        <v>-0.23100000000000001</v>
      </c>
      <c r="AS192" s="4">
        <v>0.71</v>
      </c>
      <c r="AT192" s="4">
        <v>0.28199999999999997</v>
      </c>
      <c r="AU192" s="4">
        <v>-0.27100000000000002</v>
      </c>
      <c r="AV192" s="4">
        <v>-0.57999999999999996</v>
      </c>
      <c r="AW192" s="4">
        <v>-0.59</v>
      </c>
      <c r="AX192" s="4">
        <v>-0.77400000000000002</v>
      </c>
      <c r="AY192" s="4">
        <v>-0.45600000000000002</v>
      </c>
      <c r="AZ192" s="4">
        <v>0.64</v>
      </c>
      <c r="BA192" s="4">
        <v>-0.67</v>
      </c>
      <c r="BB192" s="4">
        <v>0.81499999999999995</v>
      </c>
      <c r="BC192" s="4">
        <v>0.92700000000000005</v>
      </c>
      <c r="BD192" s="4">
        <v>0.50700000000000001</v>
      </c>
      <c r="BE192" s="4">
        <v>1</v>
      </c>
      <c r="BF192" s="4">
        <v>-1</v>
      </c>
      <c r="BG192" s="4">
        <v>-0.67200000000000004</v>
      </c>
      <c r="BH192" s="4">
        <v>-0.84299999999999997</v>
      </c>
      <c r="BI192" s="4">
        <v>1</v>
      </c>
      <c r="BJ192" s="4">
        <v>0.27500000000000002</v>
      </c>
      <c r="BK192" s="4">
        <v>0.61</v>
      </c>
      <c r="BL192" s="4">
        <v>0.11899999999999999</v>
      </c>
      <c r="BM192" s="4"/>
      <c r="BN192" s="4"/>
    </row>
    <row r="193" spans="1:66" x14ac:dyDescent="0.3">
      <c r="A193" t="s">
        <v>221</v>
      </c>
      <c r="B193" s="53">
        <v>0</v>
      </c>
      <c r="C193" s="53">
        <f t="shared" si="16"/>
        <v>-1E-3</v>
      </c>
      <c r="D193" s="53">
        <f t="shared" si="17"/>
        <v>0</v>
      </c>
      <c r="E193" s="53">
        <f t="shared" si="18"/>
        <v>1E-3</v>
      </c>
      <c r="F193" s="15">
        <v>0.51900000000000002</v>
      </c>
      <c r="G193">
        <v>0.502</v>
      </c>
      <c r="H193" t="s">
        <v>57</v>
      </c>
      <c r="I193" t="str">
        <f>VLOOKUP(A193,Setores!$A$2:$C$215,2,0)</f>
        <v>consumer_services</v>
      </c>
      <c r="J193" t="str">
        <f>VLOOKUP(A193,Setores!$A$2:$C$215,3,0)</f>
        <v>neutral_beta</v>
      </c>
      <c r="K193" s="17">
        <v>0</v>
      </c>
      <c r="L193" s="2">
        <v>-1E-3</v>
      </c>
      <c r="M193" s="5">
        <v>0.69591718821000004</v>
      </c>
      <c r="N193" s="41">
        <f>VLOOKUP(A193,'Mandato LP'!$A$2:$B$215,2,0)</f>
        <v>0</v>
      </c>
      <c r="O193" s="58">
        <f t="shared" si="19"/>
        <v>0</v>
      </c>
      <c r="P193" s="42">
        <f t="shared" si="20"/>
        <v>0</v>
      </c>
      <c r="Q193" s="41">
        <f>VLOOKUP(A193,'Mandato LP'!$A$2:$C$215,3,0)</f>
        <v>0</v>
      </c>
      <c r="R193" s="42">
        <f t="shared" si="21"/>
        <v>0</v>
      </c>
      <c r="S193" s="15">
        <v>-0.83499999999999996</v>
      </c>
      <c r="T193" s="15">
        <v>-0.92900000000000005</v>
      </c>
      <c r="U193" s="15">
        <v>-0.91</v>
      </c>
      <c r="V193" s="15">
        <v>-0.72299999999999998</v>
      </c>
      <c r="W193" s="15">
        <v>-0.88900000000000001</v>
      </c>
      <c r="X193" s="15">
        <v>-0.85399999999999998</v>
      </c>
      <c r="Y193" s="15">
        <v>-0.81399999999999995</v>
      </c>
      <c r="Z193" s="15">
        <v>-0.875</v>
      </c>
      <c r="AA193" s="15">
        <v>-0.33600000000000002</v>
      </c>
      <c r="AB193" s="15">
        <v>-0.33900000000000002</v>
      </c>
      <c r="AC193" s="15">
        <v>0.36899999999999999</v>
      </c>
      <c r="AD193" s="15">
        <v>0.36299999999999999</v>
      </c>
      <c r="AE193" s="15">
        <v>-0.04</v>
      </c>
      <c r="AF193" s="14">
        <v>-0.28000000000000003</v>
      </c>
      <c r="AG193" s="15">
        <v>3.4000000000000002E-2</v>
      </c>
      <c r="AH193" s="15">
        <v>-0.93100000000000005</v>
      </c>
      <c r="AI193" s="15">
        <v>-0.83099999999999996</v>
      </c>
      <c r="AJ193" s="15">
        <v>-0.83899999999999997</v>
      </c>
      <c r="AK193" s="16">
        <v>-0.47199999999999998</v>
      </c>
      <c r="AL193" s="4">
        <v>-0.27500000000000002</v>
      </c>
      <c r="AM193" s="4">
        <v>-0.48099999999999998</v>
      </c>
      <c r="AN193" s="4">
        <v>-0.67</v>
      </c>
      <c r="AO193" s="4">
        <v>0.46600000000000003</v>
      </c>
      <c r="AP193" s="4">
        <v>-0.64300000000000002</v>
      </c>
      <c r="AQ193" s="4">
        <v>-0.159</v>
      </c>
      <c r="AR193" s="4">
        <v>0.83699999999999997</v>
      </c>
      <c r="AS193" s="4">
        <v>0.39200000000000002</v>
      </c>
      <c r="AT193" s="4">
        <v>-0.17100000000000001</v>
      </c>
      <c r="AU193" s="4">
        <v>2.5999999999999999E-2</v>
      </c>
      <c r="AV193" s="4">
        <v>4.9000000000000002E-2</v>
      </c>
      <c r="AW193" s="4">
        <v>0.38700000000000001</v>
      </c>
      <c r="AX193" s="4">
        <v>6.0000000000000001E-3</v>
      </c>
      <c r="AY193" s="4">
        <v>7.3999999999999996E-2</v>
      </c>
      <c r="AZ193" s="4">
        <v>0.8</v>
      </c>
      <c r="BA193" s="4">
        <v>-9.5000000000000001E-2</v>
      </c>
      <c r="BB193" s="4">
        <v>-8.0000000000000002E-3</v>
      </c>
      <c r="BC193" s="4">
        <v>-0.49</v>
      </c>
      <c r="BD193" s="4">
        <v>-0.39400000000000002</v>
      </c>
      <c r="BE193" s="4">
        <v>-7.8E-2</v>
      </c>
      <c r="BF193" s="4">
        <v>-0.80800000000000005</v>
      </c>
      <c r="BG193" s="4">
        <v>-1</v>
      </c>
      <c r="BH193" s="4">
        <v>-0.76200000000000001</v>
      </c>
      <c r="BI193" s="4">
        <v>-1.4E-2</v>
      </c>
      <c r="BJ193" s="4">
        <v>-0.01</v>
      </c>
      <c r="BK193" s="4">
        <v>-0.59699999999999998</v>
      </c>
      <c r="BL193" s="4">
        <v>-0.112</v>
      </c>
      <c r="BM193" s="4"/>
      <c r="BN193" s="4"/>
    </row>
    <row r="194" spans="1:66" x14ac:dyDescent="0.3">
      <c r="A194" t="s">
        <v>235</v>
      </c>
      <c r="B194" s="53">
        <v>0</v>
      </c>
      <c r="C194" s="53">
        <f t="shared" si="16"/>
        <v>0</v>
      </c>
      <c r="D194" s="53">
        <f t="shared" si="17"/>
        <v>0</v>
      </c>
      <c r="E194" s="53">
        <f t="shared" si="18"/>
        <v>0</v>
      </c>
      <c r="F194" s="15">
        <v>0.51800000000000002</v>
      </c>
      <c r="G194">
        <v>0.432</v>
      </c>
      <c r="H194" t="s">
        <v>57</v>
      </c>
      <c r="I194" t="str">
        <f>VLOOKUP(A194,Setores!$A$2:$C$215,2,0)</f>
        <v>apparel</v>
      </c>
      <c r="J194" t="str">
        <f>VLOOKUP(A194,Setores!$A$2:$C$215,3,0)</f>
        <v>neutral_beta</v>
      </c>
      <c r="K194" s="17">
        <v>0</v>
      </c>
      <c r="L194" s="2">
        <v>0</v>
      </c>
      <c r="M194" s="5">
        <v>0.57689061787666696</v>
      </c>
      <c r="N194" s="41">
        <f>VLOOKUP(A194,'Mandato LP'!$A$2:$B$215,2,0)</f>
        <v>0</v>
      </c>
      <c r="O194" s="58">
        <f t="shared" si="19"/>
        <v>0</v>
      </c>
      <c r="P194" s="42">
        <f t="shared" si="20"/>
        <v>0</v>
      </c>
      <c r="Q194" s="41">
        <f>VLOOKUP(A194,'Mandato LP'!$A$2:$C$215,3,0)</f>
        <v>0</v>
      </c>
      <c r="R194" s="42">
        <f t="shared" si="21"/>
        <v>0</v>
      </c>
      <c r="S194" s="15">
        <v>-0.82799999999999996</v>
      </c>
      <c r="T194" s="15">
        <v>-0.92100000000000004</v>
      </c>
      <c r="U194" s="15">
        <v>-0.81899999999999995</v>
      </c>
      <c r="V194" s="15">
        <v>-0.81399999999999995</v>
      </c>
      <c r="W194" s="15">
        <v>-0.89400000000000002</v>
      </c>
      <c r="X194" s="15">
        <v>-0.80600000000000005</v>
      </c>
      <c r="Y194" s="15">
        <v>-0.748</v>
      </c>
      <c r="Z194" s="15">
        <v>-0.89</v>
      </c>
      <c r="AA194" s="15">
        <v>-0.37</v>
      </c>
      <c r="AB194" s="15">
        <v>-0.36699999999999999</v>
      </c>
      <c r="AC194" s="15">
        <v>0.437</v>
      </c>
      <c r="AD194" s="15">
        <v>0.35499999999999998</v>
      </c>
      <c r="AE194" s="15">
        <v>-0.122</v>
      </c>
      <c r="AF194" s="14">
        <v>-0.20300000000000001</v>
      </c>
      <c r="AG194" s="15">
        <v>-0.627</v>
      </c>
      <c r="AH194" s="15">
        <v>-0.99</v>
      </c>
      <c r="AI194" s="15">
        <v>-0.66300000000000003</v>
      </c>
      <c r="AJ194" s="15">
        <v>-0.72799999999999998</v>
      </c>
      <c r="AK194" s="16">
        <v>0.501</v>
      </c>
      <c r="AL194" s="4">
        <v>-0.252</v>
      </c>
      <c r="AM194" s="4">
        <v>-0.67900000000000005</v>
      </c>
      <c r="AN194" s="4">
        <v>-0.73299999999999998</v>
      </c>
      <c r="AO194" s="4">
        <v>0.52100000000000002</v>
      </c>
      <c r="AP194" s="4">
        <v>-0.70199999999999996</v>
      </c>
      <c r="AQ194" s="4">
        <v>-0.42799999999999999</v>
      </c>
      <c r="AR194" s="4">
        <v>4.8000000000000001E-2</v>
      </c>
      <c r="AS194" s="4">
        <v>-4.2000000000000003E-2</v>
      </c>
      <c r="AT194" s="4">
        <v>-0.71099999999999997</v>
      </c>
      <c r="AU194" s="4">
        <v>0.35899999999999999</v>
      </c>
      <c r="AV194" s="4">
        <v>3.5999999999999997E-2</v>
      </c>
      <c r="AW194" s="4">
        <v>0.35399999999999998</v>
      </c>
      <c r="AX194" s="4">
        <v>-5.6000000000000001E-2</v>
      </c>
      <c r="AY194" s="4">
        <v>0.153</v>
      </c>
      <c r="AZ194" s="4">
        <v>0.55000000000000004</v>
      </c>
      <c r="BA194" s="4">
        <v>1</v>
      </c>
      <c r="BB194" s="4">
        <v>-9.8000000000000004E-2</v>
      </c>
      <c r="BC194" s="4">
        <v>-0.45800000000000002</v>
      </c>
      <c r="BD194" s="4">
        <v>-0.36199999999999999</v>
      </c>
      <c r="BE194" s="4">
        <v>0.15</v>
      </c>
      <c r="BF194" s="4">
        <v>5.2999999999999999E-2</v>
      </c>
      <c r="BG194" s="4">
        <v>0.747</v>
      </c>
      <c r="BH194" s="4">
        <v>-0.124</v>
      </c>
      <c r="BI194" s="4">
        <v>-0.182</v>
      </c>
      <c r="BJ194" s="4">
        <v>-0.104</v>
      </c>
      <c r="BK194" s="4">
        <v>-0.73099999999999998</v>
      </c>
      <c r="BL194" s="4">
        <v>-2E-3</v>
      </c>
      <c r="BM194" s="4"/>
      <c r="BN194" s="4"/>
    </row>
    <row r="195" spans="1:66" x14ac:dyDescent="0.3">
      <c r="A195" t="s">
        <v>219</v>
      </c>
      <c r="B195" s="53">
        <v>0</v>
      </c>
      <c r="C195" s="53">
        <f t="shared" si="16"/>
        <v>0</v>
      </c>
      <c r="D195" s="53">
        <f t="shared" si="17"/>
        <v>0</v>
      </c>
      <c r="E195" s="53">
        <f t="shared" si="18"/>
        <v>0</v>
      </c>
      <c r="F195" s="15">
        <v>0.51800000000000002</v>
      </c>
      <c r="G195">
        <v>0.43099999999999999</v>
      </c>
      <c r="H195" t="s">
        <v>57</v>
      </c>
      <c r="I195" t="str">
        <f>VLOOKUP(A195,Setores!$A$2:$C$215,2,0)</f>
        <v>banks</v>
      </c>
      <c r="J195" t="str">
        <f>VLOOKUP(A195,Setores!$A$2:$C$215,3,0)</f>
        <v>neutral_beta</v>
      </c>
      <c r="K195" s="17">
        <v>0</v>
      </c>
      <c r="L195" s="2">
        <v>0</v>
      </c>
      <c r="M195" s="5">
        <v>0.403405819666667</v>
      </c>
      <c r="N195" s="41">
        <f>VLOOKUP(A195,'Mandato LP'!$A$2:$B$215,2,0)</f>
        <v>0</v>
      </c>
      <c r="O195" s="58">
        <f t="shared" si="19"/>
        <v>0</v>
      </c>
      <c r="P195" s="42">
        <f t="shared" si="20"/>
        <v>0</v>
      </c>
      <c r="Q195" s="41">
        <f>VLOOKUP(A195,'Mandato LP'!$A$2:$C$215,3,0)</f>
        <v>0</v>
      </c>
      <c r="R195" s="42">
        <f t="shared" si="21"/>
        <v>0</v>
      </c>
      <c r="S195" s="15">
        <v>-0.85</v>
      </c>
      <c r="T195" s="15">
        <v>-0.95799999999999996</v>
      </c>
      <c r="U195" s="15">
        <v>-0.873</v>
      </c>
      <c r="V195" s="15">
        <v>-0.80300000000000005</v>
      </c>
      <c r="W195" s="15">
        <v>-0.91200000000000003</v>
      </c>
      <c r="X195" s="15">
        <v>-0.84099999999999997</v>
      </c>
      <c r="Y195" s="15">
        <v>-0.79</v>
      </c>
      <c r="Z195" s="15">
        <v>-0.93400000000000005</v>
      </c>
      <c r="AA195" s="15">
        <v>-0.191</v>
      </c>
      <c r="AB195" s="15">
        <v>-0.193</v>
      </c>
      <c r="AC195" s="15">
        <v>0.379</v>
      </c>
      <c r="AD195" s="15">
        <v>0.28000000000000003</v>
      </c>
      <c r="AE195" s="15">
        <v>-6.0999999999999999E-2</v>
      </c>
      <c r="AF195" s="14">
        <v>-0.40500000000000003</v>
      </c>
      <c r="AG195" s="15">
        <v>0.375</v>
      </c>
      <c r="AH195" s="15">
        <v>-0.96099999999999997</v>
      </c>
      <c r="AI195" s="15">
        <v>-0.81899999999999995</v>
      </c>
      <c r="AJ195" s="15">
        <v>-0.97199999999999998</v>
      </c>
      <c r="AK195" s="16">
        <v>-0.308</v>
      </c>
      <c r="AL195" s="4">
        <v>-0.20899999999999999</v>
      </c>
      <c r="AM195" s="4">
        <v>-0.84299999999999997</v>
      </c>
      <c r="AN195" s="4">
        <v>-0.35499999999999998</v>
      </c>
      <c r="AO195" s="4">
        <v>0.56699999999999995</v>
      </c>
      <c r="AP195" s="4">
        <v>-0.74299999999999999</v>
      </c>
      <c r="AQ195" s="4">
        <v>-0.55000000000000004</v>
      </c>
      <c r="AR195" s="4">
        <v>0.63500000000000001</v>
      </c>
      <c r="AS195" s="4">
        <v>0.34</v>
      </c>
      <c r="AT195" s="4">
        <v>-0.38800000000000001</v>
      </c>
      <c r="AU195" s="4">
        <v>-1.0999999999999999E-2</v>
      </c>
      <c r="AV195" s="4">
        <v>0.13400000000000001</v>
      </c>
      <c r="AW195" s="4">
        <v>2E-3</v>
      </c>
      <c r="AX195" s="4">
        <v>-0.30199999999999999</v>
      </c>
      <c r="AY195" s="4">
        <v>-0.29199999999999998</v>
      </c>
      <c r="AZ195" s="4">
        <v>0.871</v>
      </c>
      <c r="BA195" s="4">
        <v>0.44500000000000001</v>
      </c>
      <c r="BB195" s="4">
        <v>0.253</v>
      </c>
      <c r="BC195" s="4">
        <v>-0.67700000000000005</v>
      </c>
      <c r="BD195" s="4">
        <v>-0.39800000000000002</v>
      </c>
      <c r="BE195" s="4">
        <v>3.2000000000000001E-2</v>
      </c>
      <c r="BF195" s="4">
        <v>1</v>
      </c>
      <c r="BG195" s="4">
        <v>1</v>
      </c>
      <c r="BH195" s="4">
        <v>-0.217</v>
      </c>
      <c r="BI195" s="4">
        <v>-0.56799999999999995</v>
      </c>
      <c r="BJ195" s="4">
        <v>-0.13</v>
      </c>
      <c r="BK195" s="4">
        <v>-5.8000000000000003E-2</v>
      </c>
      <c r="BL195" s="4">
        <v>0.16500000000000001</v>
      </c>
      <c r="BM195" s="4"/>
      <c r="BN195" s="4"/>
    </row>
    <row r="196" spans="1:66" x14ac:dyDescent="0.3">
      <c r="A196" t="s">
        <v>248</v>
      </c>
      <c r="B196" s="53">
        <v>0</v>
      </c>
      <c r="C196" s="53">
        <f t="shared" si="16"/>
        <v>0</v>
      </c>
      <c r="D196" s="53">
        <f t="shared" si="17"/>
        <v>0</v>
      </c>
      <c r="E196" s="53">
        <f t="shared" si="18"/>
        <v>0</v>
      </c>
      <c r="F196" s="15">
        <v>0.51600000000000001</v>
      </c>
      <c r="G196">
        <v>0.40400000000000003</v>
      </c>
      <c r="H196" t="s">
        <v>57</v>
      </c>
      <c r="I196" t="str">
        <f>VLOOKUP(A196,Setores!$A$2:$C$215,2,0)</f>
        <v>homebuilders</v>
      </c>
      <c r="J196" t="str">
        <f>VLOOKUP(A196,Setores!$A$2:$C$215,3,0)</f>
        <v>high_beta</v>
      </c>
      <c r="K196" s="17">
        <v>0</v>
      </c>
      <c r="L196" s="2">
        <v>0</v>
      </c>
      <c r="M196" s="5">
        <v>0</v>
      </c>
      <c r="N196" s="41">
        <f>VLOOKUP(A196,'Mandato LP'!$A$2:$B$215,2,0)</f>
        <v>0</v>
      </c>
      <c r="O196" s="58">
        <f t="shared" si="19"/>
        <v>0</v>
      </c>
      <c r="P196" s="42">
        <f t="shared" si="20"/>
        <v>0</v>
      </c>
      <c r="Q196" s="41">
        <f>VLOOKUP(A196,'Mandato LP'!$A$2:$C$215,3,0)</f>
        <v>0</v>
      </c>
      <c r="R196" s="42">
        <f t="shared" si="21"/>
        <v>0</v>
      </c>
      <c r="S196" s="15">
        <v>-0.77600000000000002</v>
      </c>
      <c r="T196" s="15">
        <v>-0.84299999999999997</v>
      </c>
      <c r="U196" s="15">
        <v>-0.82199999999999995</v>
      </c>
      <c r="V196" s="15">
        <v>-0.81799999999999995</v>
      </c>
      <c r="W196" s="15">
        <v>-0.86899999999999999</v>
      </c>
      <c r="X196" s="15">
        <v>-0.83799999999999997</v>
      </c>
      <c r="Y196" s="15">
        <v>-0.84599999999999997</v>
      </c>
      <c r="Z196" s="15">
        <v>-0.93600000000000005</v>
      </c>
      <c r="AA196" s="15">
        <v>-0.45200000000000001</v>
      </c>
      <c r="AB196" s="15">
        <v>-0.45400000000000001</v>
      </c>
      <c r="AC196" s="15">
        <v>0.32900000000000001</v>
      </c>
      <c r="AD196" s="15">
        <v>0.39600000000000002</v>
      </c>
      <c r="AE196" s="15">
        <v>-7.9000000000000001E-2</v>
      </c>
      <c r="AF196" s="14">
        <v>-0.19700000000000001</v>
      </c>
      <c r="AG196" s="15">
        <v>0.20899999999999999</v>
      </c>
      <c r="AH196" s="15">
        <v>-0.83299999999999996</v>
      </c>
      <c r="AI196" s="15">
        <v>-0.28100000000000003</v>
      </c>
      <c r="AJ196" s="15">
        <v>-0.51500000000000001</v>
      </c>
      <c r="AK196" s="16">
        <v>-0.74099999999999999</v>
      </c>
      <c r="AL196" s="4">
        <v>-1.2999999999999999E-2</v>
      </c>
      <c r="AM196" s="4">
        <v>-1</v>
      </c>
      <c r="AN196" s="4">
        <v>-5.5E-2</v>
      </c>
      <c r="AO196" s="4">
        <v>-0.13700000000000001</v>
      </c>
      <c r="AP196" s="4">
        <v>-0.59299999999999997</v>
      </c>
      <c r="AQ196" s="4">
        <v>-0.91100000000000003</v>
      </c>
      <c r="AR196" s="4">
        <v>-0.05</v>
      </c>
      <c r="AS196" s="4">
        <v>1</v>
      </c>
      <c r="AT196" s="4">
        <v>0.24199999999999999</v>
      </c>
      <c r="AU196" s="4">
        <v>-0.29599999999999999</v>
      </c>
      <c r="AV196" s="4">
        <v>-0.56499999999999995</v>
      </c>
      <c r="AW196" s="4">
        <v>-9.2999999999999999E-2</v>
      </c>
      <c r="AX196" s="4">
        <v>-0.435</v>
      </c>
      <c r="AY196" s="4">
        <v>-0.82899999999999996</v>
      </c>
      <c r="AZ196" s="4">
        <v>0.52400000000000002</v>
      </c>
      <c r="BA196" s="4">
        <v>0.63900000000000001</v>
      </c>
      <c r="BB196" s="4">
        <v>0.191</v>
      </c>
      <c r="BC196" s="4">
        <v>0.28100000000000003</v>
      </c>
      <c r="BD196" s="4">
        <v>0.1</v>
      </c>
      <c r="BE196" s="4">
        <v>0.46300000000000002</v>
      </c>
      <c r="BF196" s="4">
        <v>0.47</v>
      </c>
      <c r="BG196" s="4">
        <v>-0.54300000000000004</v>
      </c>
      <c r="BH196" s="4">
        <v>0.22500000000000001</v>
      </c>
      <c r="BI196" s="4">
        <v>0.19600000000000001</v>
      </c>
      <c r="BJ196" s="4">
        <v>0.58499999999999996</v>
      </c>
      <c r="BK196" s="4">
        <v>-0.70499999999999996</v>
      </c>
      <c r="BL196" s="4">
        <v>3.2000000000000001E-2</v>
      </c>
      <c r="BM196" s="4"/>
      <c r="BN196" s="4"/>
    </row>
    <row r="197" spans="1:66" x14ac:dyDescent="0.3">
      <c r="A197" t="s">
        <v>202</v>
      </c>
      <c r="B197" s="53">
        <v>0</v>
      </c>
      <c r="C197" s="53">
        <f t="shared" si="16"/>
        <v>0</v>
      </c>
      <c r="D197" s="53">
        <f t="shared" si="17"/>
        <v>0</v>
      </c>
      <c r="E197" s="53">
        <f t="shared" si="18"/>
        <v>0</v>
      </c>
      <c r="F197" s="15">
        <v>0.51500000000000001</v>
      </c>
      <c r="G197">
        <v>0.42799999999999999</v>
      </c>
      <c r="H197" t="s">
        <v>57</v>
      </c>
      <c r="I197" t="str">
        <f>VLOOKUP(A197,Setores!$A$2:$C$215,2,0)</f>
        <v>transportation</v>
      </c>
      <c r="J197" t="str">
        <f>VLOOKUP(A197,Setores!$A$2:$C$215,3,0)</f>
        <v>neutral_beta</v>
      </c>
      <c r="K197" s="17">
        <v>0</v>
      </c>
      <c r="L197" s="2">
        <v>0</v>
      </c>
      <c r="M197" s="5">
        <v>0</v>
      </c>
      <c r="N197" s="41">
        <f>VLOOKUP(A197,'Mandato LP'!$A$2:$B$215,2,0)</f>
        <v>0</v>
      </c>
      <c r="O197" s="58">
        <f t="shared" si="19"/>
        <v>0</v>
      </c>
      <c r="P197" s="42">
        <f t="shared" si="20"/>
        <v>0</v>
      </c>
      <c r="Q197" s="41">
        <f>VLOOKUP(A197,'Mandato LP'!$A$2:$C$215,3,0)</f>
        <v>0</v>
      </c>
      <c r="R197" s="42">
        <f t="shared" si="21"/>
        <v>0</v>
      </c>
      <c r="S197" s="15">
        <v>-0.876</v>
      </c>
      <c r="T197" s="15">
        <v>-0.94299999999999995</v>
      </c>
      <c r="U197" s="15">
        <v>-0.89200000000000002</v>
      </c>
      <c r="V197" s="15">
        <v>-0.89</v>
      </c>
      <c r="W197" s="15">
        <v>-0.94499999999999995</v>
      </c>
      <c r="X197" s="15">
        <v>-0.85099999999999998</v>
      </c>
      <c r="Y197" s="15">
        <v>-0.78400000000000003</v>
      </c>
      <c r="Z197" s="15">
        <v>-0.93400000000000005</v>
      </c>
      <c r="AA197" s="15">
        <v>-0.30199999999999999</v>
      </c>
      <c r="AB197" s="15">
        <v>-0.30499999999999999</v>
      </c>
      <c r="AC197" s="15">
        <v>0.30299999999999999</v>
      </c>
      <c r="AD197" s="15">
        <v>0.13600000000000001</v>
      </c>
      <c r="AE197" s="15">
        <v>1.7000000000000001E-2</v>
      </c>
      <c r="AF197" s="14">
        <v>-0.51400000000000001</v>
      </c>
      <c r="AG197" s="15">
        <v>-0.754</v>
      </c>
      <c r="AH197" s="15">
        <v>-0.91300000000000003</v>
      </c>
      <c r="AI197" s="15">
        <v>-0.68500000000000005</v>
      </c>
      <c r="AJ197" s="15">
        <v>-0.42099999999999999</v>
      </c>
      <c r="AK197" s="16">
        <v>-0.83499999999999996</v>
      </c>
      <c r="AL197" s="4">
        <v>-0.251</v>
      </c>
      <c r="AM197" s="4">
        <v>-1</v>
      </c>
      <c r="AN197" s="4">
        <v>-0.78800000000000003</v>
      </c>
      <c r="AO197" s="4">
        <v>0.107</v>
      </c>
      <c r="AP197" s="4">
        <v>-0.34899999999999998</v>
      </c>
      <c r="AQ197" s="4">
        <v>-0.107</v>
      </c>
      <c r="AR197" s="4">
        <v>-0.28399999999999997</v>
      </c>
      <c r="AS197" s="4">
        <v>-0.49</v>
      </c>
      <c r="AT197" s="4">
        <v>-0.25800000000000001</v>
      </c>
      <c r="AU197" s="4">
        <v>-0.19700000000000001</v>
      </c>
      <c r="AV197" s="4">
        <v>-0.41399999999999998</v>
      </c>
      <c r="AW197" s="4">
        <v>7.6999999999999999E-2</v>
      </c>
      <c r="AX197" s="4">
        <v>0.17499999999999999</v>
      </c>
      <c r="AY197" s="4">
        <v>-0.26900000000000002</v>
      </c>
      <c r="AZ197" s="4">
        <v>-0.78300000000000003</v>
      </c>
      <c r="BA197" s="4">
        <v>-0.27600000000000002</v>
      </c>
      <c r="BB197" s="4">
        <v>0.65800000000000003</v>
      </c>
      <c r="BC197" s="4">
        <v>-0.154</v>
      </c>
      <c r="BD197" s="4">
        <v>-0.23300000000000001</v>
      </c>
      <c r="BE197" s="4">
        <v>0.48699999999999999</v>
      </c>
      <c r="BF197" s="4">
        <v>0.19500000000000001</v>
      </c>
      <c r="BG197" s="4">
        <v>0.39900000000000002</v>
      </c>
      <c r="BH197" s="4">
        <v>0.45200000000000001</v>
      </c>
      <c r="BI197" s="4">
        <v>4.0000000000000001E-3</v>
      </c>
      <c r="BJ197" s="4">
        <v>0.153</v>
      </c>
      <c r="BK197" s="4">
        <v>0.58499999999999996</v>
      </c>
      <c r="BL197" s="4">
        <v>0.20599999999999999</v>
      </c>
      <c r="BM197" s="4"/>
      <c r="BN197" s="4"/>
    </row>
    <row r="198" spans="1:66" x14ac:dyDescent="0.3">
      <c r="A198" t="s">
        <v>195</v>
      </c>
      <c r="B198" s="53">
        <v>0</v>
      </c>
      <c r="C198" s="53">
        <f t="shared" si="16"/>
        <v>0</v>
      </c>
      <c r="D198" s="53">
        <f t="shared" si="17"/>
        <v>0</v>
      </c>
      <c r="E198" s="53">
        <f t="shared" si="18"/>
        <v>0</v>
      </c>
      <c r="F198" s="15">
        <v>0.51400000000000001</v>
      </c>
      <c r="G198">
        <v>0.45700000000000002</v>
      </c>
      <c r="H198" t="s">
        <v>57</v>
      </c>
      <c r="I198" t="str">
        <f>VLOOKUP(A198,Setores!$A$2:$C$215,2,0)</f>
        <v>banks</v>
      </c>
      <c r="J198" t="str">
        <f>VLOOKUP(A198,Setores!$A$2:$C$215,3,0)</f>
        <v>very_low_beta</v>
      </c>
      <c r="K198" s="17">
        <v>0</v>
      </c>
      <c r="L198" s="2">
        <v>0</v>
      </c>
      <c r="M198" s="5">
        <v>0</v>
      </c>
      <c r="N198" s="41">
        <f>VLOOKUP(A198,'Mandato LP'!$A$2:$B$215,2,0)</f>
        <v>0</v>
      </c>
      <c r="O198" s="58">
        <f t="shared" si="19"/>
        <v>0</v>
      </c>
      <c r="P198" s="42">
        <f t="shared" si="20"/>
        <v>0</v>
      </c>
      <c r="Q198" s="41">
        <f>VLOOKUP(A198,'Mandato LP'!$A$2:$C$215,3,0)</f>
        <v>0</v>
      </c>
      <c r="R198" s="42">
        <f t="shared" si="21"/>
        <v>0</v>
      </c>
      <c r="S198" s="15">
        <v>-0.94799999999999995</v>
      </c>
      <c r="T198" s="15">
        <v>-0.99099999999999999</v>
      </c>
      <c r="U198" s="15">
        <v>-0.997</v>
      </c>
      <c r="V198" s="15">
        <v>-0.93799999999999994</v>
      </c>
      <c r="W198" s="15">
        <v>-1</v>
      </c>
      <c r="X198" s="15">
        <v>-0.85199999999999998</v>
      </c>
      <c r="Y198" s="15">
        <v>-0.69</v>
      </c>
      <c r="Z198" s="15">
        <v>-0.97799999999999998</v>
      </c>
      <c r="AA198" s="15">
        <v>-0.115</v>
      </c>
      <c r="AB198" s="15">
        <v>-0.11</v>
      </c>
      <c r="AC198" s="15">
        <v>4.0000000000000001E-3</v>
      </c>
      <c r="AD198" s="15">
        <v>0.19400000000000001</v>
      </c>
      <c r="AE198" s="15">
        <v>9.6000000000000002E-2</v>
      </c>
      <c r="AF198" s="14">
        <v>-1</v>
      </c>
      <c r="AG198" s="15">
        <v>-0.71799999999999997</v>
      </c>
      <c r="AH198" s="15">
        <v>-1</v>
      </c>
      <c r="AI198" s="15">
        <v>-1</v>
      </c>
      <c r="AJ198" s="15">
        <v>-1</v>
      </c>
      <c r="AK198" s="16">
        <v>-0.85699999999999998</v>
      </c>
      <c r="AL198" s="4">
        <v>-0.38</v>
      </c>
      <c r="AM198" s="4">
        <v>-1</v>
      </c>
      <c r="AN198" s="4">
        <v>-0.80100000000000005</v>
      </c>
      <c r="AO198" s="4">
        <v>0.311</v>
      </c>
      <c r="AP198" s="4">
        <v>-0.66500000000000004</v>
      </c>
      <c r="AQ198" s="4">
        <v>-0.84699999999999998</v>
      </c>
      <c r="AR198" s="4">
        <v>0.27900000000000003</v>
      </c>
      <c r="AS198" s="4">
        <v>0.30599999999999999</v>
      </c>
      <c r="AT198" s="4">
        <v>0.28699999999999998</v>
      </c>
      <c r="AU198" s="4">
        <v>0.152</v>
      </c>
      <c r="AV198" s="4">
        <v>2.5000000000000001E-2</v>
      </c>
      <c r="AW198" s="4">
        <v>-0.623</v>
      </c>
      <c r="AX198" s="4">
        <v>0</v>
      </c>
      <c r="AY198" s="4">
        <v>5.8999999999999997E-2</v>
      </c>
      <c r="AZ198" s="4">
        <v>-1.0999999999999999E-2</v>
      </c>
      <c r="BA198" s="4">
        <v>2.1999999999999999E-2</v>
      </c>
      <c r="BB198" s="4">
        <v>0.55300000000000005</v>
      </c>
      <c r="BC198" s="4">
        <v>-0.50900000000000001</v>
      </c>
      <c r="BD198" s="4">
        <v>-0.58699999999999997</v>
      </c>
      <c r="BE198" s="4">
        <v>-0.25600000000000001</v>
      </c>
      <c r="BF198" s="4">
        <v>0.26</v>
      </c>
      <c r="BG198" s="4">
        <v>0.435</v>
      </c>
      <c r="BH198" s="4">
        <v>0.90300000000000002</v>
      </c>
      <c r="BI198" s="4">
        <v>-0.35899999999999999</v>
      </c>
      <c r="BJ198" s="4">
        <v>-0.61099999999999999</v>
      </c>
      <c r="BK198" s="4">
        <v>0.21</v>
      </c>
      <c r="BL198" s="4">
        <v>-0.38600000000000001</v>
      </c>
      <c r="BM198" s="4"/>
      <c r="BN198" s="4"/>
    </row>
    <row r="199" spans="1:66" x14ac:dyDescent="0.3">
      <c r="A199" t="s">
        <v>254</v>
      </c>
      <c r="B199" s="53">
        <v>0</v>
      </c>
      <c r="C199" s="53">
        <f t="shared" si="16"/>
        <v>-1E-3</v>
      </c>
      <c r="D199" s="53">
        <f t="shared" si="17"/>
        <v>0</v>
      </c>
      <c r="E199" s="53">
        <f t="shared" si="18"/>
        <v>1E-3</v>
      </c>
      <c r="F199" s="15">
        <v>0.51200000000000001</v>
      </c>
      <c r="G199">
        <v>0.40500000000000003</v>
      </c>
      <c r="H199" t="s">
        <v>57</v>
      </c>
      <c r="I199" t="str">
        <f>VLOOKUP(A199,Setores!$A$2:$C$215,2,0)</f>
        <v>consumer_services</v>
      </c>
      <c r="J199" t="str">
        <f>VLOOKUP(A199,Setores!$A$2:$C$215,3,0)</f>
        <v>very_high_beta</v>
      </c>
      <c r="K199" s="17">
        <v>0</v>
      </c>
      <c r="L199" s="2">
        <v>-1E-3</v>
      </c>
      <c r="M199" s="5">
        <v>0.29335211</v>
      </c>
      <c r="N199" s="41">
        <f>VLOOKUP(A199,'Mandato LP'!$A$2:$B$215,2,0)</f>
        <v>0</v>
      </c>
      <c r="O199" s="58">
        <f t="shared" si="19"/>
        <v>0</v>
      </c>
      <c r="P199" s="42">
        <f t="shared" si="20"/>
        <v>0</v>
      </c>
      <c r="Q199" s="41">
        <f>VLOOKUP(A199,'Mandato LP'!$A$2:$C$215,3,0)</f>
        <v>0</v>
      </c>
      <c r="R199" s="42">
        <f t="shared" si="21"/>
        <v>0</v>
      </c>
      <c r="S199" s="15">
        <v>-0.92700000000000005</v>
      </c>
      <c r="T199" s="15">
        <v>-0.91300000000000003</v>
      </c>
      <c r="U199" s="15">
        <v>-0.92700000000000005</v>
      </c>
      <c r="V199" s="15">
        <v>-0.9</v>
      </c>
      <c r="W199" s="15">
        <v>-0.91900000000000004</v>
      </c>
      <c r="X199" s="15">
        <v>-0.89700000000000002</v>
      </c>
      <c r="Y199" s="15">
        <v>-0.84599999999999997</v>
      </c>
      <c r="Z199" s="15">
        <v>-0.95899999999999996</v>
      </c>
      <c r="AA199" s="15">
        <v>-0.53</v>
      </c>
      <c r="AB199" s="15">
        <v>-0.52900000000000003</v>
      </c>
      <c r="AC199" s="15">
        <v>0.54900000000000004</v>
      </c>
      <c r="AD199" s="15">
        <v>0.42899999999999999</v>
      </c>
      <c r="AE199" s="15">
        <v>8.9999999999999993E-3</v>
      </c>
      <c r="AF199" s="14">
        <v>-5.8000000000000003E-2</v>
      </c>
      <c r="AG199" s="15">
        <v>-0.186</v>
      </c>
      <c r="AH199" s="15">
        <v>-0.72</v>
      </c>
      <c r="AI199" s="15">
        <v>-0.55000000000000004</v>
      </c>
      <c r="AJ199" s="15">
        <v>-1</v>
      </c>
      <c r="AK199" s="16">
        <v>-0.98899999999999999</v>
      </c>
      <c r="AL199" s="4">
        <v>0.27700000000000002</v>
      </c>
      <c r="AM199" s="4">
        <v>-0.80900000000000005</v>
      </c>
      <c r="AN199" s="4">
        <v>0.154</v>
      </c>
      <c r="AO199" s="4">
        <v>-0.34300000000000003</v>
      </c>
      <c r="AP199" s="4">
        <v>-0.81499999999999995</v>
      </c>
      <c r="AQ199" s="4">
        <v>-0.58499999999999996</v>
      </c>
      <c r="AR199" s="4">
        <v>-0.189</v>
      </c>
      <c r="AS199" s="4">
        <v>-0.61199999999999999</v>
      </c>
      <c r="AT199" s="4">
        <v>-0.42199999999999999</v>
      </c>
      <c r="AU199" s="4">
        <v>-0.43099999999999999</v>
      </c>
      <c r="AV199" s="4">
        <v>-0.16200000000000001</v>
      </c>
      <c r="AW199" s="4">
        <v>-0.26100000000000001</v>
      </c>
      <c r="AX199" s="4">
        <v>-0.41899999999999998</v>
      </c>
      <c r="AY199" s="4">
        <v>-0.33100000000000002</v>
      </c>
      <c r="AZ199" s="4">
        <v>0.30399999999999999</v>
      </c>
      <c r="BA199" s="4">
        <v>-0.27300000000000002</v>
      </c>
      <c r="BB199" s="4">
        <v>-3.7999999999999999E-2</v>
      </c>
      <c r="BC199" s="4">
        <v>0.32800000000000001</v>
      </c>
      <c r="BD199" s="4">
        <v>4.4999999999999998E-2</v>
      </c>
      <c r="BE199" s="4">
        <v>0.08</v>
      </c>
      <c r="BF199" s="4">
        <v>0.35899999999999999</v>
      </c>
      <c r="BG199" s="4">
        <v>-0.10299999999999999</v>
      </c>
      <c r="BH199" s="4">
        <v>0.39900000000000002</v>
      </c>
      <c r="BI199" s="4">
        <v>0.65300000000000002</v>
      </c>
      <c r="BJ199" s="4">
        <v>0.35599999999999998</v>
      </c>
      <c r="BK199" s="4">
        <v>-0.622</v>
      </c>
      <c r="BL199" s="4">
        <v>-0.26900000000000002</v>
      </c>
      <c r="BM199" s="4"/>
      <c r="BN199" s="4"/>
    </row>
    <row r="200" spans="1:66" x14ac:dyDescent="0.3">
      <c r="A200" t="s">
        <v>230</v>
      </c>
      <c r="B200" s="53">
        <v>0</v>
      </c>
      <c r="C200" s="53">
        <f t="shared" si="16"/>
        <v>-1E-3</v>
      </c>
      <c r="D200" s="53">
        <f t="shared" si="17"/>
        <v>0</v>
      </c>
      <c r="E200" s="53">
        <f t="shared" si="18"/>
        <v>1E-3</v>
      </c>
      <c r="F200" s="15">
        <v>0.50800000000000001</v>
      </c>
      <c r="G200">
        <v>0.39200000000000002</v>
      </c>
      <c r="H200" t="s">
        <v>71</v>
      </c>
      <c r="I200" t="str">
        <f>VLOOKUP(A200,Setores!$A$2:$C$215,2,0)</f>
        <v>basic_materials</v>
      </c>
      <c r="J200" t="str">
        <f>VLOOKUP(A200,Setores!$A$2:$C$215,3,0)</f>
        <v>very_high_beta</v>
      </c>
      <c r="K200" s="17">
        <v>0</v>
      </c>
      <c r="L200" s="2">
        <v>-1E-3</v>
      </c>
      <c r="M200" s="5">
        <v>0.66988717906333295</v>
      </c>
      <c r="N200" s="41">
        <f>VLOOKUP(A200,'Mandato LP'!$A$2:$B$215,2,0)</f>
        <v>0</v>
      </c>
      <c r="O200" s="58">
        <f t="shared" si="19"/>
        <v>0</v>
      </c>
      <c r="P200" s="42">
        <f t="shared" si="20"/>
        <v>0</v>
      </c>
      <c r="Q200" s="41">
        <f>VLOOKUP(A200,'Mandato LP'!$A$2:$C$215,3,0)</f>
        <v>0</v>
      </c>
      <c r="R200" s="42">
        <f t="shared" si="21"/>
        <v>0</v>
      </c>
      <c r="S200" s="15">
        <v>-1</v>
      </c>
      <c r="T200" s="15">
        <v>-0.98</v>
      </c>
      <c r="U200" s="15">
        <v>-1</v>
      </c>
      <c r="V200" s="15">
        <v>-0.996</v>
      </c>
      <c r="W200" s="15">
        <v>-0.998</v>
      </c>
      <c r="X200" s="15">
        <v>-0.95699999999999996</v>
      </c>
      <c r="Y200" s="15">
        <v>-0.93899999999999995</v>
      </c>
      <c r="Z200" s="15">
        <v>-0.96099999999999997</v>
      </c>
      <c r="AA200" s="15">
        <v>-0.48799999999999999</v>
      </c>
      <c r="AB200" s="15">
        <v>-0.48799999999999999</v>
      </c>
      <c r="AC200" s="15">
        <v>0.23899999999999999</v>
      </c>
      <c r="AD200" s="15">
        <v>0.46400000000000002</v>
      </c>
      <c r="AE200" s="15">
        <v>0.129</v>
      </c>
      <c r="AF200" s="14">
        <v>-0.95699999999999996</v>
      </c>
      <c r="AG200" s="15">
        <v>-0.92300000000000004</v>
      </c>
      <c r="AH200" s="15">
        <v>-0.97399999999999998</v>
      </c>
      <c r="AI200" s="15">
        <v>-0.79800000000000004</v>
      </c>
      <c r="AJ200" s="15">
        <v>-0.92800000000000005</v>
      </c>
      <c r="AK200" s="16">
        <v>-0.93700000000000006</v>
      </c>
      <c r="AL200" s="4">
        <v>-0.64500000000000002</v>
      </c>
      <c r="AM200" s="4">
        <v>-0.11</v>
      </c>
      <c r="AN200" s="4">
        <v>0.186</v>
      </c>
      <c r="AO200" s="4">
        <v>-0.73199999999999998</v>
      </c>
      <c r="AP200" s="4">
        <v>-0.61099999999999999</v>
      </c>
      <c r="AQ200" s="4">
        <v>-0.66900000000000004</v>
      </c>
      <c r="AR200" s="4">
        <v>-0.68100000000000005</v>
      </c>
      <c r="AS200" s="4">
        <v>0.42</v>
      </c>
      <c r="AT200" s="4">
        <v>-3.2000000000000001E-2</v>
      </c>
      <c r="AU200" s="4">
        <v>-0.36699999999999999</v>
      </c>
      <c r="AV200" s="4">
        <v>-0.57499999999999996</v>
      </c>
      <c r="AW200" s="4">
        <v>-0.81499999999999995</v>
      </c>
      <c r="AX200" s="4">
        <v>-0.42899999999999999</v>
      </c>
      <c r="AY200" s="4">
        <v>-0.70099999999999996</v>
      </c>
      <c r="AZ200" s="4">
        <v>0.63</v>
      </c>
      <c r="BA200" s="4">
        <v>-1</v>
      </c>
      <c r="BB200" s="4">
        <v>0.32900000000000001</v>
      </c>
      <c r="BC200" s="4">
        <v>3.5999999999999997E-2</v>
      </c>
      <c r="BD200" s="4">
        <v>-0.02</v>
      </c>
      <c r="BE200" s="4">
        <v>0.20799999999999999</v>
      </c>
      <c r="BF200" s="4">
        <v>-0.70299999999999996</v>
      </c>
      <c r="BG200" s="4">
        <v>-0.437</v>
      </c>
      <c r="BH200" s="4">
        <v>-3.4000000000000002E-2</v>
      </c>
      <c r="BI200" s="4">
        <v>0.50800000000000001</v>
      </c>
      <c r="BJ200" s="4">
        <v>0.35699999999999998</v>
      </c>
      <c r="BK200" s="4">
        <v>-0.32800000000000001</v>
      </c>
      <c r="BL200" s="4">
        <v>9.9000000000000005E-2</v>
      </c>
      <c r="BM200" s="4"/>
      <c r="BN200" s="4"/>
    </row>
    <row r="201" spans="1:66" x14ac:dyDescent="0.3">
      <c r="A201" t="s">
        <v>212</v>
      </c>
      <c r="B201" s="53">
        <v>0</v>
      </c>
      <c r="C201" s="53">
        <f t="shared" si="16"/>
        <v>0</v>
      </c>
      <c r="D201" s="53">
        <f t="shared" si="17"/>
        <v>0</v>
      </c>
      <c r="E201" s="53">
        <f t="shared" si="18"/>
        <v>0</v>
      </c>
      <c r="F201" s="15">
        <v>0.50700000000000001</v>
      </c>
      <c r="G201">
        <v>0.38900000000000001</v>
      </c>
      <c r="H201" t="s">
        <v>57</v>
      </c>
      <c r="I201" t="str">
        <f>VLOOKUP(A201,Setores!$A$2:$C$215,2,0)</f>
        <v>homebuilders</v>
      </c>
      <c r="J201" t="str">
        <f>VLOOKUP(A201,Setores!$A$2:$C$215,3,0)</f>
        <v>low_beta</v>
      </c>
      <c r="K201" s="17">
        <v>0</v>
      </c>
      <c r="L201" s="2">
        <v>0</v>
      </c>
      <c r="M201" s="5">
        <v>0.66774722218333304</v>
      </c>
      <c r="N201" s="41">
        <f>VLOOKUP(A201,'Mandato LP'!$A$2:$B$215,2,0)</f>
        <v>0</v>
      </c>
      <c r="O201" s="58">
        <f t="shared" si="19"/>
        <v>0</v>
      </c>
      <c r="P201" s="42">
        <f t="shared" si="20"/>
        <v>0</v>
      </c>
      <c r="Q201" s="41">
        <f>VLOOKUP(A201,'Mandato LP'!$A$2:$C$215,3,0)</f>
        <v>0</v>
      </c>
      <c r="R201" s="42">
        <f t="shared" si="21"/>
        <v>0</v>
      </c>
      <c r="S201" s="15">
        <v>-0.97499999999999998</v>
      </c>
      <c r="T201" s="15">
        <v>-1</v>
      </c>
      <c r="U201" s="15">
        <v>-0.94199999999999995</v>
      </c>
      <c r="V201" s="15">
        <v>-0.95</v>
      </c>
      <c r="W201" s="15">
        <v>-0.98699999999999999</v>
      </c>
      <c r="X201" s="15">
        <v>-0.93500000000000005</v>
      </c>
      <c r="Y201" s="15">
        <v>-0.89600000000000002</v>
      </c>
      <c r="Z201" s="15">
        <v>-0.94499999999999995</v>
      </c>
      <c r="AA201" s="15">
        <v>-0.317</v>
      </c>
      <c r="AB201" s="15">
        <v>-0.314</v>
      </c>
      <c r="AC201" s="15">
        <v>0.214</v>
      </c>
      <c r="AD201" s="15">
        <v>0.27700000000000002</v>
      </c>
      <c r="AE201" s="15">
        <v>-4.1000000000000002E-2</v>
      </c>
      <c r="AF201" s="14">
        <v>-0.83899999999999997</v>
      </c>
      <c r="AG201" s="15">
        <v>-0.67200000000000004</v>
      </c>
      <c r="AH201" s="15">
        <v>-1</v>
      </c>
      <c r="AI201" s="15">
        <v>-0.38800000000000001</v>
      </c>
      <c r="AJ201" s="15">
        <v>-0.57599999999999996</v>
      </c>
      <c r="AK201" s="16">
        <v>-0.432</v>
      </c>
      <c r="AL201" s="4">
        <v>-0.113</v>
      </c>
      <c r="AM201" s="4">
        <v>-0.32600000000000001</v>
      </c>
      <c r="AN201" s="4">
        <v>-0.65400000000000003</v>
      </c>
      <c r="AO201" s="4">
        <v>-0.25800000000000001</v>
      </c>
      <c r="AP201" s="4">
        <v>-0.76400000000000001</v>
      </c>
      <c r="AQ201" s="4">
        <v>-0.72099999999999997</v>
      </c>
      <c r="AR201" s="4">
        <v>-4.4999999999999998E-2</v>
      </c>
      <c r="AS201" s="4">
        <v>-0.375</v>
      </c>
      <c r="AT201" s="4">
        <v>-0.74399999999999999</v>
      </c>
      <c r="AU201" s="4">
        <v>0.42299999999999999</v>
      </c>
      <c r="AV201" s="4">
        <v>-0.374</v>
      </c>
      <c r="AW201" s="4">
        <v>-0.64</v>
      </c>
      <c r="AX201" s="4">
        <v>-0.19600000000000001</v>
      </c>
      <c r="AY201" s="4">
        <v>0.40100000000000002</v>
      </c>
      <c r="AZ201" s="4">
        <v>0.68100000000000005</v>
      </c>
      <c r="BA201" s="4">
        <v>0.38</v>
      </c>
      <c r="BB201" s="4">
        <v>-0.497</v>
      </c>
      <c r="BC201" s="4">
        <v>-0.56799999999999995</v>
      </c>
      <c r="BD201" s="4">
        <v>-0.3</v>
      </c>
      <c r="BE201" s="4">
        <v>-0.23799999999999999</v>
      </c>
      <c r="BF201" s="4">
        <v>0.76400000000000001</v>
      </c>
      <c r="BG201" s="4">
        <v>0.60799999999999998</v>
      </c>
      <c r="BH201" s="4">
        <v>-8.4000000000000005E-2</v>
      </c>
      <c r="BI201" s="4">
        <v>-0.61399999999999999</v>
      </c>
      <c r="BJ201" s="4">
        <v>0.29099999999999998</v>
      </c>
      <c r="BK201" s="4">
        <v>-0.41899999999999998</v>
      </c>
      <c r="BL201" s="4">
        <v>0.23499999999999999</v>
      </c>
      <c r="BM201" s="4"/>
      <c r="BN201" s="4"/>
    </row>
    <row r="202" spans="1:66" x14ac:dyDescent="0.3">
      <c r="A202" t="s">
        <v>181</v>
      </c>
      <c r="B202" s="53">
        <v>0</v>
      </c>
      <c r="C202" s="53">
        <f t="shared" ref="C202:C219" si="22">B202-E202</f>
        <v>-7.0000000000000001E-3</v>
      </c>
      <c r="D202" s="53">
        <f t="shared" ref="D202:D219" si="23">B202-K202</f>
        <v>0</v>
      </c>
      <c r="E202" s="53">
        <f t="shared" ref="E202:E219" si="24">K202-L202</f>
        <v>7.0000000000000001E-3</v>
      </c>
      <c r="F202" s="15">
        <v>0.50600000000000001</v>
      </c>
      <c r="G202">
        <v>0.439</v>
      </c>
      <c r="H202" t="s">
        <v>68</v>
      </c>
      <c r="I202" t="str">
        <f>VLOOKUP(A202,Setores!$A$2:$C$215,2,0)</f>
        <v>capital_goods</v>
      </c>
      <c r="J202" t="str">
        <f>VLOOKUP(A202,Setores!$A$2:$C$215,3,0)</f>
        <v>very_high_beta</v>
      </c>
      <c r="K202" s="17">
        <v>0</v>
      </c>
      <c r="L202" s="2">
        <v>-7.0000000000000001E-3</v>
      </c>
      <c r="M202" s="5">
        <v>0.26549612897000002</v>
      </c>
      <c r="N202" s="41">
        <f>VLOOKUP(A202,'Mandato LP'!$A$2:$B$215,2,0)</f>
        <v>0</v>
      </c>
      <c r="O202" s="58">
        <f t="shared" ref="O202:O219" si="25">K202-N202</f>
        <v>0</v>
      </c>
      <c r="P202" s="42">
        <f t="shared" ref="P202:P219" si="26">B202-N202</f>
        <v>0</v>
      </c>
      <c r="Q202" s="41">
        <f>VLOOKUP(A202,'Mandato LP'!$A$2:$C$215,3,0)</f>
        <v>0</v>
      </c>
      <c r="R202" s="42">
        <f t="shared" ref="R202:R219" si="27">K202-Q202</f>
        <v>0</v>
      </c>
      <c r="S202" s="15">
        <v>-0.89200000000000002</v>
      </c>
      <c r="T202" s="15">
        <v>-0.999</v>
      </c>
      <c r="U202" s="15">
        <v>-0.97899999999999998</v>
      </c>
      <c r="V202" s="15">
        <v>-0.86599999999999999</v>
      </c>
      <c r="W202" s="15">
        <v>-0.98799999999999999</v>
      </c>
      <c r="X202" s="15">
        <v>-0.86199999999999999</v>
      </c>
      <c r="Y202" s="15">
        <v>-0.83399999999999996</v>
      </c>
      <c r="Z202" s="15">
        <v>-0.92300000000000004</v>
      </c>
      <c r="AA202" s="15">
        <v>-0.35299999999999998</v>
      </c>
      <c r="AB202" s="15">
        <v>-0.35299999999999998</v>
      </c>
      <c r="AC202" s="15">
        <v>0.28499999999999998</v>
      </c>
      <c r="AD202" s="15">
        <v>0.254</v>
      </c>
      <c r="AE202" s="15">
        <v>-0.25900000000000001</v>
      </c>
      <c r="AF202" s="14">
        <v>-0.57199999999999995</v>
      </c>
      <c r="AG202" s="15">
        <v>-0.64700000000000002</v>
      </c>
      <c r="AH202" s="15">
        <v>-0.98399999999999999</v>
      </c>
      <c r="AI202" s="15">
        <v>-1</v>
      </c>
      <c r="AJ202" s="15">
        <v>-1</v>
      </c>
      <c r="AK202" s="16">
        <v>-0.72899999999999998</v>
      </c>
      <c r="AL202" s="4">
        <v>-0.34599999999999997</v>
      </c>
      <c r="AM202" s="4">
        <v>-0.94</v>
      </c>
      <c r="AN202" s="4">
        <v>-0.82199999999999995</v>
      </c>
      <c r="AO202" s="4">
        <v>0.32600000000000001</v>
      </c>
      <c r="AP202" s="4">
        <v>-0.27300000000000002</v>
      </c>
      <c r="AQ202" s="4">
        <v>-0.314</v>
      </c>
      <c r="AR202" s="4">
        <v>0.45500000000000002</v>
      </c>
      <c r="AS202" s="4">
        <v>-0.27700000000000002</v>
      </c>
      <c r="AT202" s="4">
        <v>-0.40799999999999997</v>
      </c>
      <c r="AU202" s="4">
        <v>-6.6000000000000003E-2</v>
      </c>
      <c r="AV202" s="4">
        <v>-0.64900000000000002</v>
      </c>
      <c r="AW202" s="4">
        <v>0.221</v>
      </c>
      <c r="AX202" s="4">
        <v>0.36199999999999999</v>
      </c>
      <c r="AY202" s="4">
        <v>9.4E-2</v>
      </c>
      <c r="AZ202" s="4">
        <v>0.26</v>
      </c>
      <c r="BA202" s="4">
        <v>0.63</v>
      </c>
      <c r="BB202" s="4">
        <v>0.28799999999999998</v>
      </c>
      <c r="BC202" s="4">
        <v>8.4000000000000005E-2</v>
      </c>
      <c r="BD202" s="4">
        <v>0.253</v>
      </c>
      <c r="BE202" s="4">
        <v>0.34599999999999997</v>
      </c>
      <c r="BF202" s="4">
        <v>0.24</v>
      </c>
      <c r="BG202" s="4">
        <v>0.92300000000000004</v>
      </c>
      <c r="BH202" s="4">
        <v>-0.1</v>
      </c>
      <c r="BI202" s="4">
        <v>-1</v>
      </c>
      <c r="BJ202" s="4">
        <v>0.79800000000000004</v>
      </c>
      <c r="BK202" s="4">
        <v>-0.42399999999999999</v>
      </c>
      <c r="BL202" s="4">
        <v>-0.80200000000000005</v>
      </c>
      <c r="BM202" s="4"/>
      <c r="BN202" s="4"/>
    </row>
    <row r="203" spans="1:66" x14ac:dyDescent="0.3">
      <c r="A203" t="s">
        <v>213</v>
      </c>
      <c r="B203" s="53">
        <v>0</v>
      </c>
      <c r="C203" s="53">
        <f t="shared" si="22"/>
        <v>-2E-3</v>
      </c>
      <c r="D203" s="53">
        <f t="shared" si="23"/>
        <v>0</v>
      </c>
      <c r="E203" s="53">
        <f t="shared" si="24"/>
        <v>2E-3</v>
      </c>
      <c r="F203" s="15">
        <v>0.505</v>
      </c>
      <c r="G203">
        <v>0.496</v>
      </c>
      <c r="H203" t="s">
        <v>57</v>
      </c>
      <c r="I203" t="str">
        <f>VLOOKUP(A203,Setores!$A$2:$C$215,2,0)</f>
        <v>tech</v>
      </c>
      <c r="J203" t="str">
        <f>VLOOKUP(A203,Setores!$A$2:$C$215,3,0)</f>
        <v>neutral_beta</v>
      </c>
      <c r="K203" s="17">
        <v>0</v>
      </c>
      <c r="L203" s="2">
        <v>-2E-3</v>
      </c>
      <c r="M203" s="5">
        <v>0.63666666666666705</v>
      </c>
      <c r="N203" s="41">
        <f>VLOOKUP(A203,'Mandato LP'!$A$2:$B$215,2,0)</f>
        <v>0</v>
      </c>
      <c r="O203" s="58">
        <f t="shared" si="25"/>
        <v>0</v>
      </c>
      <c r="P203" s="42">
        <f t="shared" si="26"/>
        <v>0</v>
      </c>
      <c r="Q203" s="41">
        <f>VLOOKUP(A203,'Mandato LP'!$A$2:$C$215,3,0)</f>
        <v>0</v>
      </c>
      <c r="R203" s="42">
        <f t="shared" si="27"/>
        <v>0</v>
      </c>
      <c r="S203" s="15">
        <v>-0.95099999999999996</v>
      </c>
      <c r="T203" s="15">
        <v>-1</v>
      </c>
      <c r="U203" s="15">
        <v>-0.98499999999999999</v>
      </c>
      <c r="V203" s="15">
        <v>-0.88600000000000001</v>
      </c>
      <c r="W203" s="15">
        <v>-0.98199999999999998</v>
      </c>
      <c r="X203" s="15">
        <v>-0.90500000000000003</v>
      </c>
      <c r="Y203" s="15">
        <v>-0.82399999999999995</v>
      </c>
      <c r="Z203" s="15">
        <v>-0.95099999999999996</v>
      </c>
      <c r="AA203" s="15">
        <v>-0.375</v>
      </c>
      <c r="AB203" s="15">
        <v>-0.372</v>
      </c>
      <c r="AC203" s="15">
        <v>0.34899999999999998</v>
      </c>
      <c r="AD203" s="15">
        <v>0.36499999999999999</v>
      </c>
      <c r="AE203" s="15">
        <v>-0.22800000000000001</v>
      </c>
      <c r="AF203" s="14">
        <v>-0.60899999999999999</v>
      </c>
      <c r="AG203" s="15">
        <v>-0.57799999999999996</v>
      </c>
      <c r="AH203" s="15">
        <v>-1</v>
      </c>
      <c r="AI203" s="15">
        <v>-0.94799999999999995</v>
      </c>
      <c r="AJ203" s="15">
        <v>-1</v>
      </c>
      <c r="AK203" s="16">
        <v>-0.437</v>
      </c>
      <c r="AL203" s="4">
        <v>-0.60399999999999998</v>
      </c>
      <c r="AM203" s="4">
        <v>-0.749</v>
      </c>
      <c r="AN203" s="4">
        <v>-0.92300000000000004</v>
      </c>
      <c r="AO203" s="4">
        <v>0.53500000000000003</v>
      </c>
      <c r="AP203" s="4">
        <v>-0.88500000000000001</v>
      </c>
      <c r="AQ203" s="4">
        <v>-0.40600000000000003</v>
      </c>
      <c r="AR203" s="4">
        <v>0.36899999999999999</v>
      </c>
      <c r="AS203" s="4">
        <v>0.20899999999999999</v>
      </c>
      <c r="AT203" s="4">
        <v>0.154</v>
      </c>
      <c r="AU203" s="4">
        <v>0.25600000000000001</v>
      </c>
      <c r="AV203" s="4">
        <v>0.154</v>
      </c>
      <c r="AW203" s="4">
        <v>0.16800000000000001</v>
      </c>
      <c r="AX203" s="4">
        <v>0.21299999999999999</v>
      </c>
      <c r="AY203" s="4">
        <v>-0.41699999999999998</v>
      </c>
      <c r="AZ203" s="4">
        <v>0.876</v>
      </c>
      <c r="BA203" s="4">
        <v>0.59299999999999997</v>
      </c>
      <c r="BB203" s="4">
        <v>-0.309</v>
      </c>
      <c r="BC203" s="4">
        <v>-0.85299999999999998</v>
      </c>
      <c r="BD203" s="4">
        <v>-1</v>
      </c>
      <c r="BE203" s="4">
        <v>-0.497</v>
      </c>
      <c r="BF203" s="4">
        <v>-0.26200000000000001</v>
      </c>
      <c r="BG203" s="4">
        <v>-1</v>
      </c>
      <c r="BH203" s="4">
        <v>-0.371</v>
      </c>
      <c r="BI203" s="4">
        <v>-0.20899999999999999</v>
      </c>
      <c r="BJ203" s="4">
        <v>-0.11600000000000001</v>
      </c>
      <c r="BK203" s="4">
        <v>-0.311</v>
      </c>
      <c r="BL203" s="4">
        <v>-0.621</v>
      </c>
      <c r="BM203" s="4"/>
      <c r="BN203" s="4"/>
    </row>
    <row r="204" spans="1:66" x14ac:dyDescent="0.3">
      <c r="A204" t="s">
        <v>249</v>
      </c>
      <c r="B204" s="53">
        <v>0</v>
      </c>
      <c r="C204" s="53">
        <f t="shared" si="22"/>
        <v>0</v>
      </c>
      <c r="D204" s="53">
        <f t="shared" si="23"/>
        <v>0</v>
      </c>
      <c r="E204" s="53">
        <f t="shared" si="24"/>
        <v>0</v>
      </c>
      <c r="F204" s="15">
        <v>0.501</v>
      </c>
      <c r="G204">
        <v>0.35299999999999998</v>
      </c>
      <c r="H204" t="s">
        <v>71</v>
      </c>
      <c r="I204" t="str">
        <f>VLOOKUP(A204,Setores!$A$2:$C$215,2,0)</f>
        <v>basic_materials</v>
      </c>
      <c r="J204" t="str">
        <f>VLOOKUP(A204,Setores!$A$2:$C$215,3,0)</f>
        <v>very_high_beta</v>
      </c>
      <c r="K204" s="17">
        <v>0</v>
      </c>
      <c r="L204" s="2">
        <v>0</v>
      </c>
      <c r="M204" s="5">
        <v>0</v>
      </c>
      <c r="N204" s="41">
        <f>VLOOKUP(A204,'Mandato LP'!$A$2:$B$215,2,0)</f>
        <v>0</v>
      </c>
      <c r="O204" s="58">
        <f t="shared" si="25"/>
        <v>0</v>
      </c>
      <c r="P204" s="42">
        <f t="shared" si="26"/>
        <v>0</v>
      </c>
      <c r="Q204" s="41">
        <f>VLOOKUP(A204,'Mandato LP'!$A$2:$C$215,3,0)</f>
        <v>0</v>
      </c>
      <c r="R204" s="42">
        <f t="shared" si="27"/>
        <v>0</v>
      </c>
      <c r="S204" s="15">
        <v>-0.85399999999999998</v>
      </c>
      <c r="T204" s="15">
        <v>-0.56799999999999995</v>
      </c>
      <c r="U204" s="15">
        <v>-0.79800000000000004</v>
      </c>
      <c r="V204" s="15">
        <v>-0.91900000000000004</v>
      </c>
      <c r="W204" s="15">
        <v>-0.83099999999999996</v>
      </c>
      <c r="X204" s="15">
        <v>-0.93899999999999995</v>
      </c>
      <c r="Y204" s="15">
        <v>-0.97199999999999998</v>
      </c>
      <c r="Z204" s="15">
        <v>-0.84099999999999997</v>
      </c>
      <c r="AA204" s="15">
        <v>-0.39</v>
      </c>
      <c r="AB204" s="15">
        <v>-0.40100000000000002</v>
      </c>
      <c r="AC204" s="15">
        <v>-1</v>
      </c>
      <c r="AD204" s="15">
        <v>-1</v>
      </c>
      <c r="AE204" s="15">
        <v>-5.6000000000000001E-2</v>
      </c>
      <c r="AF204" s="14">
        <v>-1</v>
      </c>
      <c r="AG204" s="15">
        <v>-1</v>
      </c>
      <c r="AH204" s="15">
        <v>-0.34399999999999997</v>
      </c>
      <c r="AI204" s="15">
        <v>-0.63900000000000001</v>
      </c>
      <c r="AJ204" s="15">
        <v>1</v>
      </c>
      <c r="AK204" s="16">
        <v>-0.66100000000000003</v>
      </c>
      <c r="AL204" s="4">
        <v>-0.55300000000000005</v>
      </c>
      <c r="AM204" s="4">
        <v>-1</v>
      </c>
      <c r="AN204" s="4">
        <v>-0.41299999999999998</v>
      </c>
      <c r="AO204" s="4">
        <v>-0.40500000000000003</v>
      </c>
      <c r="AP204" s="4">
        <v>0.79800000000000004</v>
      </c>
      <c r="AQ204" s="4">
        <v>0.91600000000000004</v>
      </c>
      <c r="AR204" s="4">
        <v>-0.66800000000000004</v>
      </c>
      <c r="AS204" s="4">
        <v>-1</v>
      </c>
      <c r="AT204" s="4">
        <v>-2.5999999999999999E-2</v>
      </c>
      <c r="AU204" s="4">
        <v>-0.67700000000000005</v>
      </c>
      <c r="AV204" s="4">
        <v>-0.02</v>
      </c>
      <c r="AW204" s="4">
        <v>-0.52400000000000002</v>
      </c>
      <c r="AX204" s="4">
        <v>-0.77800000000000002</v>
      </c>
      <c r="AY204" s="4">
        <v>-9.9000000000000005E-2</v>
      </c>
      <c r="AZ204" s="4">
        <v>-0.56200000000000006</v>
      </c>
      <c r="BA204" s="4">
        <v>-0.88600000000000001</v>
      </c>
      <c r="BB204" s="4">
        <v>0.875</v>
      </c>
      <c r="BC204" s="4">
        <v>0.49199999999999999</v>
      </c>
      <c r="BD204" s="4">
        <v>0.17699999999999999</v>
      </c>
      <c r="BE204" s="4">
        <v>0.73799999999999999</v>
      </c>
      <c r="BF204" s="4">
        <v>-0.63</v>
      </c>
      <c r="BG204" s="4">
        <v>-0.10299999999999999</v>
      </c>
      <c r="BH204" s="4">
        <v>-1</v>
      </c>
      <c r="BI204" s="4">
        <v>0.155</v>
      </c>
      <c r="BJ204" s="4">
        <v>0.36099999999999999</v>
      </c>
      <c r="BK204" s="4">
        <v>0.83599999999999997</v>
      </c>
      <c r="BL204" s="4">
        <v>0.72599999999999998</v>
      </c>
      <c r="BM204" s="4"/>
      <c r="BN204" s="4"/>
    </row>
    <row r="205" spans="1:66" x14ac:dyDescent="0.3">
      <c r="A205" t="s">
        <v>245</v>
      </c>
      <c r="B205" s="53">
        <v>0</v>
      </c>
      <c r="C205" s="53">
        <f t="shared" si="22"/>
        <v>0</v>
      </c>
      <c r="D205" s="53">
        <f t="shared" si="23"/>
        <v>0</v>
      </c>
      <c r="E205" s="53">
        <f t="shared" si="24"/>
        <v>0</v>
      </c>
      <c r="F205" s="15">
        <v>0.5</v>
      </c>
      <c r="G205">
        <v>0.372</v>
      </c>
      <c r="H205" t="s">
        <v>57</v>
      </c>
      <c r="I205" t="str">
        <f>VLOOKUP(A205,Setores!$A$2:$C$215,2,0)</f>
        <v>consumer_services</v>
      </c>
      <c r="J205" t="str">
        <f>VLOOKUP(A205,Setores!$A$2:$C$215,3,0)</f>
        <v>very_high_beta</v>
      </c>
      <c r="K205" s="17">
        <v>0</v>
      </c>
      <c r="L205" s="2">
        <v>0</v>
      </c>
      <c r="M205" s="5">
        <v>2.3430030333333299E-2</v>
      </c>
      <c r="N205" s="41">
        <f>VLOOKUP(A205,'Mandato LP'!$A$2:$B$215,2,0)</f>
        <v>0</v>
      </c>
      <c r="O205" s="58">
        <f t="shared" si="25"/>
        <v>0</v>
      </c>
      <c r="P205" s="42">
        <f t="shared" si="26"/>
        <v>0</v>
      </c>
      <c r="Q205" s="41">
        <f>VLOOKUP(A205,'Mandato LP'!$A$2:$C$215,3,0)</f>
        <v>0</v>
      </c>
      <c r="R205" s="42">
        <f t="shared" si="27"/>
        <v>0</v>
      </c>
      <c r="S205" s="15">
        <v>-0.97</v>
      </c>
      <c r="T205" s="15">
        <v>-0.91900000000000004</v>
      </c>
      <c r="U205" s="15">
        <v>-0.90900000000000003</v>
      </c>
      <c r="V205" s="15">
        <v>-0.94499999999999995</v>
      </c>
      <c r="W205" s="15">
        <v>-0.92200000000000004</v>
      </c>
      <c r="X205" s="15">
        <v>-0.98099999999999998</v>
      </c>
      <c r="Y205" s="15">
        <v>-0.98099999999999998</v>
      </c>
      <c r="Z205" s="15">
        <v>-0.94799999999999995</v>
      </c>
      <c r="AA205" s="15">
        <v>-0.14199999999999999</v>
      </c>
      <c r="AB205" s="15">
        <v>-0.14799999999999999</v>
      </c>
      <c r="AC205" s="15">
        <v>-0.33200000000000002</v>
      </c>
      <c r="AD205" s="15">
        <v>-0.30599999999999999</v>
      </c>
      <c r="AE205" s="15">
        <v>-0.14399999999999999</v>
      </c>
      <c r="AF205" s="14">
        <v>-0.38100000000000001</v>
      </c>
      <c r="AG205" s="15">
        <v>-0.71</v>
      </c>
      <c r="AH205" s="15">
        <v>-0.59399999999999997</v>
      </c>
      <c r="AI205" s="15">
        <v>-0.38700000000000001</v>
      </c>
      <c r="AJ205" s="15">
        <v>-0.55400000000000005</v>
      </c>
      <c r="AK205" s="16">
        <v>-0.84199999999999997</v>
      </c>
      <c r="AL205" s="4">
        <v>0.114</v>
      </c>
      <c r="AM205" s="4">
        <v>-0.90400000000000003</v>
      </c>
      <c r="AN205" s="4">
        <v>0.38100000000000001</v>
      </c>
      <c r="AO205" s="4">
        <v>-6.9000000000000006E-2</v>
      </c>
      <c r="AP205" s="4">
        <v>-0.33100000000000002</v>
      </c>
      <c r="AQ205" s="4">
        <v>-0.56000000000000005</v>
      </c>
      <c r="AR205" s="4">
        <v>-0.54400000000000004</v>
      </c>
      <c r="AS205" s="4">
        <v>-1</v>
      </c>
      <c r="AT205" s="4">
        <v>-0.78900000000000003</v>
      </c>
      <c r="AU205" s="4">
        <v>-0.121</v>
      </c>
      <c r="AV205" s="4">
        <v>-0.379</v>
      </c>
      <c r="AW205" s="4">
        <v>-0.26200000000000001</v>
      </c>
      <c r="AX205" s="4">
        <v>-0.81899999999999995</v>
      </c>
      <c r="AY205" s="4">
        <v>-0.48099999999999998</v>
      </c>
      <c r="AZ205" s="4">
        <v>0.46200000000000002</v>
      </c>
      <c r="BA205" s="4">
        <v>0.48599999999999999</v>
      </c>
      <c r="BB205" s="4">
        <v>-0.73</v>
      </c>
      <c r="BC205" s="4">
        <v>-1E-3</v>
      </c>
      <c r="BD205" s="4">
        <v>-0.41099999999999998</v>
      </c>
      <c r="BE205" s="4">
        <v>0.249</v>
      </c>
      <c r="BF205" s="4">
        <v>0.30199999999999999</v>
      </c>
      <c r="BG205" s="4">
        <v>-0.96</v>
      </c>
      <c r="BH205" s="4">
        <v>-0.54800000000000004</v>
      </c>
      <c r="BI205" s="4">
        <v>0.17399999999999999</v>
      </c>
      <c r="BJ205" s="4">
        <v>0.56499999999999995</v>
      </c>
      <c r="BK205" s="4">
        <v>-7.1999999999999995E-2</v>
      </c>
      <c r="BL205" s="4">
        <v>0.29099999999999998</v>
      </c>
      <c r="BM205" s="4"/>
      <c r="BN205" s="4"/>
    </row>
    <row r="206" spans="1:66" x14ac:dyDescent="0.3">
      <c r="A206" t="s">
        <v>243</v>
      </c>
      <c r="B206" s="53">
        <v>0</v>
      </c>
      <c r="C206" s="53">
        <f t="shared" si="22"/>
        <v>0</v>
      </c>
      <c r="D206" s="53">
        <f t="shared" si="23"/>
        <v>0</v>
      </c>
      <c r="E206" s="53">
        <f t="shared" si="24"/>
        <v>0</v>
      </c>
      <c r="F206" s="15">
        <v>0.499</v>
      </c>
      <c r="G206">
        <v>0.35399999999999998</v>
      </c>
      <c r="H206" t="s">
        <v>53</v>
      </c>
      <c r="I206" t="str">
        <f>VLOOKUP(A206,Setores!$A$2:$C$215,2,0)</f>
        <v>healthcare</v>
      </c>
      <c r="J206" t="str">
        <f>VLOOKUP(A206,Setores!$A$2:$C$215,3,0)</f>
        <v>very_high_beta</v>
      </c>
      <c r="K206" s="17">
        <v>0</v>
      </c>
      <c r="L206" s="2">
        <v>0</v>
      </c>
      <c r="M206" s="5">
        <v>0</v>
      </c>
      <c r="N206" s="41">
        <f>VLOOKUP(A206,'Mandato LP'!$A$2:$B$215,2,0)</f>
        <v>0</v>
      </c>
      <c r="O206" s="58">
        <f t="shared" si="25"/>
        <v>0</v>
      </c>
      <c r="P206" s="42">
        <f t="shared" si="26"/>
        <v>0</v>
      </c>
      <c r="Q206" s="41">
        <f>VLOOKUP(A206,'Mandato LP'!$A$2:$C$215,3,0)</f>
        <v>0</v>
      </c>
      <c r="R206" s="42">
        <f t="shared" si="27"/>
        <v>0</v>
      </c>
      <c r="S206" s="15">
        <v>-0.71299999999999997</v>
      </c>
      <c r="T206" s="15">
        <v>-0.251</v>
      </c>
      <c r="U206" s="15">
        <v>-0.73299999999999998</v>
      </c>
      <c r="V206" s="15">
        <v>-0.78300000000000003</v>
      </c>
      <c r="W206" s="15">
        <v>-0.65800000000000003</v>
      </c>
      <c r="X206" s="15">
        <v>-0.89900000000000002</v>
      </c>
      <c r="Y206" s="15">
        <v>-0.94499999999999995</v>
      </c>
      <c r="Z206" s="15">
        <v>-0.92200000000000004</v>
      </c>
      <c r="AA206" s="15">
        <v>-0.57999999999999996</v>
      </c>
      <c r="AB206" s="15">
        <v>-0.57999999999999996</v>
      </c>
      <c r="AC206" s="15">
        <v>-0.28699999999999998</v>
      </c>
      <c r="AD206" s="15">
        <v>-0.54600000000000004</v>
      </c>
      <c r="AE206" s="15">
        <v>-0.52600000000000002</v>
      </c>
      <c r="AF206" s="14">
        <v>-0.41299999999999998</v>
      </c>
      <c r="AG206" s="15">
        <v>0.22</v>
      </c>
      <c r="AH206" s="15">
        <v>0.123</v>
      </c>
      <c r="AI206" s="15">
        <v>-0.214</v>
      </c>
      <c r="AJ206" s="15">
        <v>-0.35599999999999998</v>
      </c>
      <c r="AK206" s="16">
        <v>-0.80900000000000005</v>
      </c>
      <c r="AL206" s="4">
        <v>0.45300000000000001</v>
      </c>
      <c r="AM206" s="4">
        <v>-1</v>
      </c>
      <c r="AN206" s="4">
        <v>0.85699999999999998</v>
      </c>
      <c r="AO206" s="4">
        <v>-0.29199999999999998</v>
      </c>
      <c r="AP206" s="4">
        <v>-0.76500000000000001</v>
      </c>
      <c r="AQ206" s="4">
        <v>0.93600000000000005</v>
      </c>
      <c r="AR206" s="4">
        <v>8.0000000000000002E-3</v>
      </c>
      <c r="AS206" s="4">
        <v>-0.36299999999999999</v>
      </c>
      <c r="AT206" s="4">
        <v>-1.4E-2</v>
      </c>
      <c r="AU206" s="4">
        <v>-0.26</v>
      </c>
      <c r="AV206" s="4">
        <v>-0.33</v>
      </c>
      <c r="AW206" s="4">
        <v>-0.41299999999999998</v>
      </c>
      <c r="AX206" s="4">
        <v>-0.81200000000000006</v>
      </c>
      <c r="AY206" s="4">
        <v>-0.36299999999999999</v>
      </c>
      <c r="AZ206" s="4">
        <v>0.40799999999999997</v>
      </c>
      <c r="BA206" s="4">
        <v>0.52800000000000002</v>
      </c>
      <c r="BB206" s="4">
        <v>0.17</v>
      </c>
      <c r="BC206" s="4">
        <v>0.26100000000000001</v>
      </c>
      <c r="BD206" s="4">
        <v>-5.1999999999999998E-2</v>
      </c>
      <c r="BE206" s="4">
        <v>9.2999999999999999E-2</v>
      </c>
      <c r="BF206" s="4">
        <v>-0.627</v>
      </c>
      <c r="BG206" s="4">
        <v>0.10199999999999999</v>
      </c>
      <c r="BH206" s="4">
        <v>-0.90900000000000003</v>
      </c>
      <c r="BI206" s="4">
        <v>1</v>
      </c>
      <c r="BJ206" s="4">
        <v>0.28499999999999998</v>
      </c>
      <c r="BK206" s="4">
        <v>-0.85399999999999998</v>
      </c>
      <c r="BL206" s="4">
        <v>-2.5999999999999999E-2</v>
      </c>
      <c r="BM206" s="4"/>
      <c r="BN206" s="4"/>
    </row>
    <row r="207" spans="1:66" x14ac:dyDescent="0.3">
      <c r="A207" t="s">
        <v>258</v>
      </c>
      <c r="B207" s="53">
        <v>0</v>
      </c>
      <c r="C207" s="53">
        <f t="shared" si="22"/>
        <v>0</v>
      </c>
      <c r="D207" s="53">
        <f t="shared" si="23"/>
        <v>0</v>
      </c>
      <c r="E207" s="53">
        <f t="shared" si="24"/>
        <v>0</v>
      </c>
      <c r="F207" s="15">
        <v>0.497</v>
      </c>
      <c r="G207">
        <v>0.36399999999999999</v>
      </c>
      <c r="H207" t="s">
        <v>57</v>
      </c>
      <c r="I207" t="str">
        <f>VLOOKUP(A207,Setores!$A$2:$C$215,2,0)</f>
        <v>consumer_durables</v>
      </c>
      <c r="J207" t="str">
        <f>VLOOKUP(A207,Setores!$A$2:$C$215,3,0)</f>
        <v>very_high_beta</v>
      </c>
      <c r="K207" s="17">
        <v>0</v>
      </c>
      <c r="L207" s="2">
        <v>0</v>
      </c>
      <c r="M207" s="5">
        <v>9.6916325930000005E-2</v>
      </c>
      <c r="N207" s="41">
        <f>VLOOKUP(A207,'Mandato LP'!$A$2:$B$215,2,0)</f>
        <v>0</v>
      </c>
      <c r="O207" s="58">
        <f t="shared" si="25"/>
        <v>0</v>
      </c>
      <c r="P207" s="42">
        <f t="shared" si="26"/>
        <v>0</v>
      </c>
      <c r="Q207" s="41">
        <f>VLOOKUP(A207,'Mandato LP'!$A$2:$C$215,3,0)</f>
        <v>0</v>
      </c>
      <c r="R207" s="42">
        <f t="shared" si="27"/>
        <v>0</v>
      </c>
      <c r="S207" s="15">
        <v>-0.76600000000000001</v>
      </c>
      <c r="T207" s="15">
        <v>-0.60099999999999998</v>
      </c>
      <c r="U207" s="15">
        <v>-0.38200000000000001</v>
      </c>
      <c r="V207" s="15">
        <v>-0.90200000000000002</v>
      </c>
      <c r="W207" s="15">
        <v>-0.76300000000000001</v>
      </c>
      <c r="X207" s="15">
        <v>-0.92400000000000004</v>
      </c>
      <c r="Y207" s="15">
        <v>-0.94399999999999995</v>
      </c>
      <c r="Z207" s="15">
        <v>-0.94599999999999995</v>
      </c>
      <c r="AA207" s="15">
        <v>-0.68700000000000006</v>
      </c>
      <c r="AB207" s="15">
        <v>-0.68500000000000005</v>
      </c>
      <c r="AC207" s="15">
        <v>-0.20200000000000001</v>
      </c>
      <c r="AD207" s="15">
        <v>-0.97399999999999998</v>
      </c>
      <c r="AE207" s="15">
        <v>-0.32</v>
      </c>
      <c r="AF207" s="14">
        <v>-0.76800000000000002</v>
      </c>
      <c r="AG207" s="15">
        <v>-0.41399999999999998</v>
      </c>
      <c r="AH207" s="15">
        <v>-0.45900000000000002</v>
      </c>
      <c r="AI207" s="15">
        <v>1</v>
      </c>
      <c r="AJ207" s="15">
        <v>3.5000000000000003E-2</v>
      </c>
      <c r="AK207" s="16">
        <v>-0.49</v>
      </c>
      <c r="AL207" s="4">
        <v>0.498</v>
      </c>
      <c r="AM207" s="4">
        <v>-0.68799999999999994</v>
      </c>
      <c r="AN207" s="4">
        <v>-2.7E-2</v>
      </c>
      <c r="AO207" s="4">
        <v>-0.308</v>
      </c>
      <c r="AP207" s="4">
        <v>-0.66</v>
      </c>
      <c r="AQ207" s="4">
        <v>-0.35699999999999998</v>
      </c>
      <c r="AR207" s="4">
        <v>-0.43</v>
      </c>
      <c r="AS207" s="4">
        <v>-0.30299999999999999</v>
      </c>
      <c r="AT207" s="4">
        <v>-0.23200000000000001</v>
      </c>
      <c r="AU207" s="4">
        <v>-0.28699999999999998</v>
      </c>
      <c r="AV207" s="4">
        <v>-0.35799999999999998</v>
      </c>
      <c r="AW207" s="4">
        <v>-0.71199999999999997</v>
      </c>
      <c r="AX207" s="4">
        <v>-0.78500000000000003</v>
      </c>
      <c r="AY207" s="4">
        <v>0.39300000000000002</v>
      </c>
      <c r="AZ207" s="4">
        <v>-6.4000000000000001E-2</v>
      </c>
      <c r="BA207" s="4">
        <v>-0.27400000000000002</v>
      </c>
      <c r="BB207" s="4">
        <v>-0.34</v>
      </c>
      <c r="BC207" s="4">
        <v>0.624</v>
      </c>
      <c r="BD207" s="4">
        <v>1</v>
      </c>
      <c r="BE207" s="4">
        <v>-8.9999999999999993E-3</v>
      </c>
      <c r="BF207" s="4">
        <v>1</v>
      </c>
      <c r="BG207" s="4">
        <v>1</v>
      </c>
      <c r="BH207" s="4">
        <v>-0.42399999999999999</v>
      </c>
      <c r="BI207" s="4">
        <v>0.747</v>
      </c>
      <c r="BJ207" s="4">
        <v>0.623</v>
      </c>
      <c r="BK207" s="4">
        <v>-0.21</v>
      </c>
      <c r="BL207" s="4">
        <v>1</v>
      </c>
      <c r="BM207" s="4"/>
      <c r="BN207" s="4"/>
    </row>
    <row r="208" spans="1:66" x14ac:dyDescent="0.3">
      <c r="A208" t="s">
        <v>260</v>
      </c>
      <c r="B208" s="53">
        <v>0</v>
      </c>
      <c r="C208" s="53">
        <f t="shared" si="22"/>
        <v>0</v>
      </c>
      <c r="D208" s="53">
        <f t="shared" si="23"/>
        <v>0</v>
      </c>
      <c r="E208" s="53">
        <f t="shared" si="24"/>
        <v>0</v>
      </c>
      <c r="F208" s="15">
        <v>0.49199999999999999</v>
      </c>
      <c r="G208">
        <v>0.34699999999999998</v>
      </c>
      <c r="H208" t="s">
        <v>57</v>
      </c>
      <c r="I208" t="str">
        <f>VLOOKUP(A208,Setores!$A$2:$C$215,2,0)</f>
        <v>consumer_services</v>
      </c>
      <c r="J208" t="str">
        <f>VLOOKUP(A208,Setores!$A$2:$C$215,3,0)</f>
        <v>high_beta</v>
      </c>
      <c r="K208" s="17">
        <v>0</v>
      </c>
      <c r="L208" s="2">
        <v>0</v>
      </c>
      <c r="M208" s="5">
        <v>6.7899322323333303E-2</v>
      </c>
      <c r="N208" s="41">
        <f>VLOOKUP(A208,'Mandato LP'!$A$2:$B$215,2,0)</f>
        <v>0</v>
      </c>
      <c r="O208" s="58">
        <f t="shared" si="25"/>
        <v>0</v>
      </c>
      <c r="P208" s="42">
        <f t="shared" si="26"/>
        <v>0</v>
      </c>
      <c r="Q208" s="41">
        <f>VLOOKUP(A208,'Mandato LP'!$A$2:$C$215,3,0)</f>
        <v>0</v>
      </c>
      <c r="R208" s="42">
        <f t="shared" si="27"/>
        <v>0</v>
      </c>
      <c r="S208" s="15">
        <v>-0.96699999999999997</v>
      </c>
      <c r="T208" s="15">
        <v>-0.93799999999999994</v>
      </c>
      <c r="U208" s="15">
        <v>-0.89100000000000001</v>
      </c>
      <c r="V208" s="15">
        <v>-0.98199999999999998</v>
      </c>
      <c r="W208" s="15">
        <v>-0.95799999999999996</v>
      </c>
      <c r="X208" s="15">
        <v>-0.97499999999999998</v>
      </c>
      <c r="Y208" s="15">
        <v>-0.96699999999999997</v>
      </c>
      <c r="Z208" s="15">
        <v>-0.99</v>
      </c>
      <c r="AA208" s="15">
        <v>-0.77800000000000002</v>
      </c>
      <c r="AB208" s="15">
        <v>-0.77500000000000002</v>
      </c>
      <c r="AC208" s="15">
        <v>-0.36899999999999999</v>
      </c>
      <c r="AD208" s="15">
        <v>-0.33700000000000002</v>
      </c>
      <c r="AE208" s="15">
        <v>-0.115</v>
      </c>
      <c r="AF208" s="14">
        <v>-0.84799999999999998</v>
      </c>
      <c r="AG208" s="15">
        <v>-0.68200000000000005</v>
      </c>
      <c r="AH208" s="15">
        <v>-0.73399999999999999</v>
      </c>
      <c r="AI208" s="15">
        <v>-6.2E-2</v>
      </c>
      <c r="AJ208" s="15">
        <v>-0.74299999999999999</v>
      </c>
      <c r="AK208" s="16">
        <v>-0.86299999999999999</v>
      </c>
      <c r="AL208" s="4">
        <v>0.51</v>
      </c>
      <c r="AM208" s="4">
        <v>-0.57799999999999996</v>
      </c>
      <c r="AN208" s="4">
        <v>-0.307</v>
      </c>
      <c r="AO208" s="4">
        <v>-0.309</v>
      </c>
      <c r="AP208" s="4">
        <v>-0.83</v>
      </c>
      <c r="AQ208" s="4">
        <v>-0.26200000000000001</v>
      </c>
      <c r="AR208" s="4">
        <v>-0.92200000000000004</v>
      </c>
      <c r="AS208" s="4">
        <v>-0.51600000000000001</v>
      </c>
      <c r="AT208" s="4">
        <v>-0.13200000000000001</v>
      </c>
      <c r="AU208" s="4">
        <v>-0.41399999999999998</v>
      </c>
      <c r="AV208" s="4">
        <v>-0.79400000000000004</v>
      </c>
      <c r="AW208" s="4">
        <v>-0.81499999999999995</v>
      </c>
      <c r="AX208" s="4">
        <v>-0.63700000000000001</v>
      </c>
      <c r="AY208" s="4">
        <v>-0.33200000000000002</v>
      </c>
      <c r="AZ208" s="4">
        <v>-0.10299999999999999</v>
      </c>
      <c r="BA208" s="4">
        <v>-0.61899999999999999</v>
      </c>
      <c r="BB208" s="4">
        <v>-9.4E-2</v>
      </c>
      <c r="BC208" s="4">
        <v>0.63</v>
      </c>
      <c r="BD208" s="4">
        <v>0.111</v>
      </c>
      <c r="BE208" s="4">
        <v>-7.1999999999999995E-2</v>
      </c>
      <c r="BF208" s="4">
        <v>0.54500000000000004</v>
      </c>
      <c r="BG208" s="4">
        <v>0.14099999999999999</v>
      </c>
      <c r="BH208" s="4">
        <v>9.4E-2</v>
      </c>
      <c r="BI208" s="4">
        <v>1</v>
      </c>
      <c r="BJ208" s="4">
        <v>0.111</v>
      </c>
      <c r="BK208" s="4">
        <v>0.32700000000000001</v>
      </c>
      <c r="BL208" s="4">
        <v>0.22800000000000001</v>
      </c>
      <c r="BM208" s="4"/>
      <c r="BN208" s="4"/>
    </row>
    <row r="209" spans="1:66" x14ac:dyDescent="0.3">
      <c r="A209" t="s">
        <v>242</v>
      </c>
      <c r="B209" s="53">
        <v>0</v>
      </c>
      <c r="C209" s="53">
        <f t="shared" si="22"/>
        <v>0</v>
      </c>
      <c r="D209" s="53">
        <f t="shared" si="23"/>
        <v>0</v>
      </c>
      <c r="E209" s="53">
        <f t="shared" si="24"/>
        <v>0</v>
      </c>
      <c r="F209" s="15">
        <v>0.49199999999999999</v>
      </c>
      <c r="G209">
        <v>0.34599999999999997</v>
      </c>
      <c r="H209" t="s">
        <v>57</v>
      </c>
      <c r="I209" t="str">
        <f>VLOOKUP(A209,Setores!$A$2:$C$215,2,0)</f>
        <v>consumer_durables</v>
      </c>
      <c r="J209" t="str">
        <f>VLOOKUP(A209,Setores!$A$2:$C$215,3,0)</f>
        <v>very_high_beta</v>
      </c>
      <c r="K209" s="17">
        <v>0</v>
      </c>
      <c r="L209" s="2">
        <v>0</v>
      </c>
      <c r="M209" s="5">
        <v>0</v>
      </c>
      <c r="N209" s="41">
        <f>VLOOKUP(A209,'Mandato LP'!$A$2:$B$215,2,0)</f>
        <v>0</v>
      </c>
      <c r="O209" s="58">
        <f t="shared" si="25"/>
        <v>0</v>
      </c>
      <c r="P209" s="42">
        <f t="shared" si="26"/>
        <v>0</v>
      </c>
      <c r="Q209" s="41">
        <f>VLOOKUP(A209,'Mandato LP'!$A$2:$C$215,3,0)</f>
        <v>0</v>
      </c>
      <c r="R209" s="42">
        <f t="shared" si="27"/>
        <v>0</v>
      </c>
      <c r="S209" s="15">
        <v>-0.80200000000000005</v>
      </c>
      <c r="T209" s="15">
        <v>-0.76600000000000001</v>
      </c>
      <c r="U209" s="15">
        <v>-0.53300000000000003</v>
      </c>
      <c r="V209" s="15">
        <v>-0.88200000000000001</v>
      </c>
      <c r="W209" s="15">
        <v>-0.79600000000000004</v>
      </c>
      <c r="X209" s="15">
        <v>-0.93200000000000005</v>
      </c>
      <c r="Y209" s="15">
        <v>-0.93200000000000005</v>
      </c>
      <c r="Z209" s="15">
        <v>-0.99299999999999999</v>
      </c>
      <c r="AA209" s="15">
        <v>-0.74099999999999999</v>
      </c>
      <c r="AB209" s="15">
        <v>-0.74099999999999999</v>
      </c>
      <c r="AC209" s="15">
        <v>-0.66400000000000003</v>
      </c>
      <c r="AD209" s="15">
        <v>-0.91800000000000004</v>
      </c>
      <c r="AE209" s="15">
        <v>-0.312</v>
      </c>
      <c r="AF209" s="14">
        <v>-0.624</v>
      </c>
      <c r="AG209" s="15">
        <v>4.9000000000000002E-2</v>
      </c>
      <c r="AH209" s="15">
        <v>-0.59</v>
      </c>
      <c r="AI209" s="15">
        <v>0.624</v>
      </c>
      <c r="AJ209" s="15">
        <v>-0.4</v>
      </c>
      <c r="AK209" s="16">
        <v>-0.56699999999999995</v>
      </c>
      <c r="AL209" s="4">
        <v>0.85299999999999998</v>
      </c>
      <c r="AM209" s="4">
        <v>-1</v>
      </c>
      <c r="AN209" s="4">
        <v>-3.7999999999999999E-2</v>
      </c>
      <c r="AO209" s="4">
        <v>-0.23699999999999999</v>
      </c>
      <c r="AP209" s="4">
        <v>-0.87</v>
      </c>
      <c r="AQ209" s="4">
        <v>-0.49</v>
      </c>
      <c r="AR209" s="4">
        <v>-0.32600000000000001</v>
      </c>
      <c r="AS209" s="4">
        <v>-0.42899999999999999</v>
      </c>
      <c r="AT209" s="4">
        <v>0.159</v>
      </c>
      <c r="AU209" s="4">
        <v>-0.246</v>
      </c>
      <c r="AV209" s="4">
        <v>-0.27700000000000002</v>
      </c>
      <c r="AW209" s="4">
        <v>-0.41399999999999998</v>
      </c>
      <c r="AX209" s="4">
        <v>-0.98099999999999998</v>
      </c>
      <c r="AY209" s="4">
        <v>-0.80500000000000005</v>
      </c>
      <c r="AZ209" s="4">
        <v>-0.92200000000000004</v>
      </c>
      <c r="BA209" s="4">
        <v>-1</v>
      </c>
      <c r="BB209" s="4">
        <v>0.14099999999999999</v>
      </c>
      <c r="BC209" s="4">
        <v>0.66300000000000003</v>
      </c>
      <c r="BD209" s="4">
        <v>0.85299999999999998</v>
      </c>
      <c r="BE209" s="4">
        <v>0.28199999999999997</v>
      </c>
      <c r="BF209" s="4">
        <v>1</v>
      </c>
      <c r="BG209" s="4">
        <v>4.4999999999999998E-2</v>
      </c>
      <c r="BH209" s="4">
        <v>-0.193</v>
      </c>
      <c r="BI209" s="4">
        <v>1</v>
      </c>
      <c r="BJ209" s="4">
        <v>0.56499999999999995</v>
      </c>
      <c r="BK209" s="4">
        <v>0.14000000000000001</v>
      </c>
      <c r="BL209" s="4">
        <v>0.25800000000000001</v>
      </c>
      <c r="BM209" s="4"/>
      <c r="BN209" s="4"/>
    </row>
    <row r="210" spans="1:66" x14ac:dyDescent="0.3">
      <c r="A210" t="s">
        <v>255</v>
      </c>
      <c r="B210" s="53">
        <v>0</v>
      </c>
      <c r="C210" s="53">
        <f t="shared" si="22"/>
        <v>0</v>
      </c>
      <c r="D210" s="53">
        <f t="shared" si="23"/>
        <v>0</v>
      </c>
      <c r="E210" s="53">
        <f t="shared" si="24"/>
        <v>0</v>
      </c>
      <c r="F210" s="15">
        <v>0.48899999999999999</v>
      </c>
      <c r="G210">
        <v>0.51300000000000001</v>
      </c>
      <c r="H210" t="s">
        <v>57</v>
      </c>
      <c r="I210" t="str">
        <f>VLOOKUP(A210,Setores!$A$2:$C$215,2,0)</f>
        <v>education</v>
      </c>
      <c r="J210" t="str">
        <f>VLOOKUP(A210,Setores!$A$2:$C$215,3,0)</f>
        <v>neutral_beta</v>
      </c>
      <c r="K210" s="17">
        <v>0</v>
      </c>
      <c r="L210" s="2">
        <v>0</v>
      </c>
      <c r="M210" s="5">
        <v>0</v>
      </c>
      <c r="N210" s="41">
        <f>VLOOKUP(A210,'Mandato LP'!$A$2:$B$215,2,0)</f>
        <v>0</v>
      </c>
      <c r="O210" s="58">
        <f t="shared" si="25"/>
        <v>0</v>
      </c>
      <c r="P210" s="42">
        <f t="shared" si="26"/>
        <v>0</v>
      </c>
      <c r="Q210" s="41">
        <f>VLOOKUP(A210,'Mandato LP'!$A$2:$C$215,3,0)</f>
        <v>0</v>
      </c>
      <c r="R210" s="42">
        <f t="shared" si="27"/>
        <v>0</v>
      </c>
      <c r="S210" s="15">
        <v>-0.86499999999999999</v>
      </c>
      <c r="T210" s="15">
        <v>-0.96099999999999997</v>
      </c>
      <c r="U210" s="15">
        <v>-0.86199999999999999</v>
      </c>
      <c r="V210" s="15">
        <v>-0.92100000000000004</v>
      </c>
      <c r="W210" s="15">
        <v>-0.97</v>
      </c>
      <c r="X210" s="15">
        <v>-0.89200000000000002</v>
      </c>
      <c r="Y210" s="15">
        <v>-0.86599999999999999</v>
      </c>
      <c r="Z210" s="15">
        <v>-0.96499999999999997</v>
      </c>
      <c r="AA210" s="15">
        <v>-0.89</v>
      </c>
      <c r="AB210" s="15">
        <v>-0.89300000000000002</v>
      </c>
      <c r="AC210" s="15">
        <v>0.111</v>
      </c>
      <c r="AD210" s="15">
        <v>5.0000000000000001E-3</v>
      </c>
      <c r="AE210" s="15">
        <v>-0.63400000000000001</v>
      </c>
      <c r="AF210" s="14">
        <v>-1</v>
      </c>
      <c r="AG210" s="15">
        <v>-2.5999999999999999E-2</v>
      </c>
      <c r="AH210" s="15">
        <v>-1</v>
      </c>
      <c r="AI210" s="15">
        <v>-0.77400000000000002</v>
      </c>
      <c r="AJ210" s="15">
        <v>0.48899999999999999</v>
      </c>
      <c r="AK210" s="16">
        <v>-0.60899999999999999</v>
      </c>
      <c r="AL210" s="4">
        <v>-1</v>
      </c>
      <c r="AM210" s="4">
        <v>-0.75800000000000001</v>
      </c>
      <c r="AN210" s="4">
        <v>-0.83499999999999996</v>
      </c>
      <c r="AO210" s="4">
        <v>0.2</v>
      </c>
      <c r="AP210" s="4">
        <v>-0.81899999999999995</v>
      </c>
      <c r="AQ210" s="4">
        <v>0.63200000000000001</v>
      </c>
      <c r="AR210" s="4">
        <v>0.57799999999999996</v>
      </c>
      <c r="AS210" s="4">
        <v>0.28199999999999997</v>
      </c>
      <c r="AT210" s="4">
        <v>0.17799999999999999</v>
      </c>
      <c r="AU210" s="4">
        <v>-1</v>
      </c>
      <c r="AV210" s="4">
        <v>-0.02</v>
      </c>
      <c r="AW210" s="4">
        <v>-0.39300000000000002</v>
      </c>
      <c r="AX210" s="4">
        <v>-1.7999999999999999E-2</v>
      </c>
      <c r="AY210" s="4">
        <v>-0.34699999999999998</v>
      </c>
      <c r="AZ210" s="4">
        <v>-0.13</v>
      </c>
      <c r="BA210" s="4">
        <v>0.39</v>
      </c>
      <c r="BB210" s="4">
        <v>0.71899999999999997</v>
      </c>
      <c r="BC210" s="4">
        <v>-0.60899999999999999</v>
      </c>
      <c r="BD210" s="4">
        <v>-0.27700000000000002</v>
      </c>
      <c r="BE210" s="4">
        <v>-0.308</v>
      </c>
      <c r="BF210" s="4">
        <v>-0.66900000000000004</v>
      </c>
      <c r="BG210" s="4">
        <v>-0.45200000000000001</v>
      </c>
      <c r="BH210" s="4">
        <v>-0.26900000000000002</v>
      </c>
      <c r="BI210" s="4">
        <v>-0.44500000000000001</v>
      </c>
      <c r="BJ210" s="4">
        <v>-0.188</v>
      </c>
      <c r="BK210" s="4">
        <v>0.54700000000000004</v>
      </c>
      <c r="BL210" s="4">
        <v>0.17799999999999999</v>
      </c>
      <c r="BM210" s="4"/>
      <c r="BN210" s="4"/>
    </row>
    <row r="211" spans="1:66" x14ac:dyDescent="0.3">
      <c r="A211" t="s">
        <v>256</v>
      </c>
      <c r="B211" s="53">
        <v>0</v>
      </c>
      <c r="C211" s="53">
        <f t="shared" si="22"/>
        <v>0</v>
      </c>
      <c r="D211" s="53">
        <f t="shared" si="23"/>
        <v>0</v>
      </c>
      <c r="E211" s="53">
        <f t="shared" si="24"/>
        <v>0</v>
      </c>
      <c r="F211" s="15">
        <v>0.48499999999999999</v>
      </c>
      <c r="G211">
        <v>0.36399999999999999</v>
      </c>
      <c r="H211" t="s">
        <v>68</v>
      </c>
      <c r="I211" t="str">
        <f>VLOOKUP(A211,Setores!$A$2:$C$215,2,0)</f>
        <v>building_materials</v>
      </c>
      <c r="J211" t="str">
        <f>VLOOKUP(A211,Setores!$A$2:$C$215,3,0)</f>
        <v>very_low_beta</v>
      </c>
      <c r="K211" s="17">
        <v>0</v>
      </c>
      <c r="L211" s="2">
        <v>0</v>
      </c>
      <c r="M211" s="5">
        <v>0</v>
      </c>
      <c r="N211" s="41">
        <f>VLOOKUP(A211,'Mandato LP'!$A$2:$B$215,2,0)</f>
        <v>0</v>
      </c>
      <c r="O211" s="58">
        <f t="shared" si="25"/>
        <v>0</v>
      </c>
      <c r="P211" s="42">
        <f t="shared" si="26"/>
        <v>0</v>
      </c>
      <c r="Q211" s="41">
        <f>VLOOKUP(A211,'Mandato LP'!$A$2:$C$215,3,0)</f>
        <v>0</v>
      </c>
      <c r="R211" s="42">
        <f t="shared" si="27"/>
        <v>0</v>
      </c>
      <c r="S211" s="15">
        <v>-1</v>
      </c>
      <c r="T211" s="15">
        <v>-1</v>
      </c>
      <c r="U211" s="15">
        <v>-0.92900000000000005</v>
      </c>
      <c r="V211" s="15">
        <v>-1</v>
      </c>
      <c r="W211" s="15">
        <v>-1</v>
      </c>
      <c r="X211" s="15">
        <v>-1</v>
      </c>
      <c r="Y211" s="15">
        <v>-0.995</v>
      </c>
      <c r="Z211" s="15">
        <v>-1</v>
      </c>
      <c r="AA211" s="15">
        <v>-1</v>
      </c>
      <c r="AB211" s="15">
        <v>-1</v>
      </c>
      <c r="AC211" s="15">
        <v>-7.1999999999999995E-2</v>
      </c>
      <c r="AD211" s="15">
        <v>-6.3E-2</v>
      </c>
      <c r="AE211" s="15">
        <v>-0.441</v>
      </c>
      <c r="AF211" s="14">
        <v>-1</v>
      </c>
      <c r="AG211" s="15">
        <v>-1</v>
      </c>
      <c r="AH211" s="15">
        <v>-1</v>
      </c>
      <c r="AI211" s="15">
        <v>-0.60199999999999998</v>
      </c>
      <c r="AJ211" s="15">
        <v>-0.49299999999999999</v>
      </c>
      <c r="AK211" s="16">
        <v>-0.57799999999999996</v>
      </c>
      <c r="AL211" s="4">
        <v>-0.56000000000000005</v>
      </c>
      <c r="AM211" s="4">
        <v>-1</v>
      </c>
      <c r="AN211" s="4">
        <v>-0.45100000000000001</v>
      </c>
      <c r="AO211" s="4">
        <v>-1</v>
      </c>
      <c r="AP211" s="4">
        <v>-0.95299999999999996</v>
      </c>
      <c r="AQ211" s="4">
        <v>-0.95099999999999996</v>
      </c>
      <c r="AR211" s="4">
        <v>-0.71399999999999997</v>
      </c>
      <c r="AS211" s="4">
        <v>-5.2999999999999999E-2</v>
      </c>
      <c r="AT211" s="4">
        <v>-0.109</v>
      </c>
      <c r="AU211" s="4">
        <v>-0.56299999999999994</v>
      </c>
      <c r="AV211" s="4">
        <v>-0.66500000000000004</v>
      </c>
      <c r="AW211" s="4">
        <v>-1</v>
      </c>
      <c r="AX211" s="4">
        <v>-0.28100000000000003</v>
      </c>
      <c r="AY211" s="4">
        <v>-0.314</v>
      </c>
      <c r="AZ211" s="4">
        <v>-0.39300000000000002</v>
      </c>
      <c r="BA211" s="4">
        <v>-0.15</v>
      </c>
      <c r="BB211" s="4">
        <v>3.3000000000000002E-2</v>
      </c>
      <c r="BC211" s="4">
        <v>0.46600000000000003</v>
      </c>
      <c r="BD211" s="4">
        <v>0.26600000000000001</v>
      </c>
      <c r="BE211" s="4">
        <v>9.9000000000000005E-2</v>
      </c>
      <c r="BF211" s="4">
        <v>0.63500000000000001</v>
      </c>
      <c r="BG211" s="4">
        <v>4.1000000000000002E-2</v>
      </c>
      <c r="BH211" s="4">
        <v>6.3E-2</v>
      </c>
      <c r="BI211" s="4">
        <v>0.67200000000000004</v>
      </c>
      <c r="BJ211" s="4">
        <v>-7.2999999999999995E-2</v>
      </c>
      <c r="BK211" s="4">
        <v>0.88700000000000001</v>
      </c>
      <c r="BL211" s="4">
        <v>1</v>
      </c>
      <c r="BM211" s="4"/>
      <c r="BN211" s="4"/>
    </row>
    <row r="212" spans="1:66" x14ac:dyDescent="0.3">
      <c r="A212" t="s">
        <v>198</v>
      </c>
      <c r="B212" s="53">
        <v>0</v>
      </c>
      <c r="C212" s="53">
        <f t="shared" si="22"/>
        <v>0</v>
      </c>
      <c r="D212" s="53">
        <f t="shared" si="23"/>
        <v>0</v>
      </c>
      <c r="E212" s="53">
        <f t="shared" si="24"/>
        <v>0</v>
      </c>
      <c r="F212" s="15">
        <v>0.48199999999999998</v>
      </c>
      <c r="G212">
        <v>0.34399999999999997</v>
      </c>
      <c r="H212" t="s">
        <v>57</v>
      </c>
      <c r="I212" t="str">
        <f>VLOOKUP(A212,Setores!$A$2:$C$215,2,0)</f>
        <v>consumer_services</v>
      </c>
      <c r="J212" t="str">
        <f>VLOOKUP(A212,Setores!$A$2:$C$215,3,0)</f>
        <v>high_beta</v>
      </c>
      <c r="K212" s="17">
        <v>0</v>
      </c>
      <c r="L212" s="2">
        <v>0</v>
      </c>
      <c r="M212" s="5">
        <v>0</v>
      </c>
      <c r="N212" s="41">
        <f>VLOOKUP(A212,'Mandato LP'!$A$2:$B$215,2,0)</f>
        <v>0</v>
      </c>
      <c r="O212" s="58">
        <f t="shared" si="25"/>
        <v>0</v>
      </c>
      <c r="P212" s="42">
        <f t="shared" si="26"/>
        <v>0</v>
      </c>
      <c r="Q212" s="41">
        <f>VLOOKUP(A212,'Mandato LP'!$A$2:$C$215,3,0)</f>
        <v>0</v>
      </c>
      <c r="R212" s="42">
        <f t="shared" si="27"/>
        <v>0</v>
      </c>
      <c r="S212" s="15">
        <v>-0.83</v>
      </c>
      <c r="T212" s="15">
        <v>-0.82799999999999996</v>
      </c>
      <c r="U212" s="15">
        <v>-0.64800000000000002</v>
      </c>
      <c r="V212" s="15">
        <v>-0.81100000000000005</v>
      </c>
      <c r="W212" s="15">
        <v>-0.76400000000000001</v>
      </c>
      <c r="X212" s="15">
        <v>-0.95599999999999996</v>
      </c>
      <c r="Y212" s="15">
        <v>-0.96199999999999997</v>
      </c>
      <c r="Z212" s="15">
        <v>-0.93799999999999994</v>
      </c>
      <c r="AA212" s="15">
        <v>-0.93899999999999995</v>
      </c>
      <c r="AB212" s="15">
        <v>-0.94</v>
      </c>
      <c r="AC212" s="15">
        <v>-0.219</v>
      </c>
      <c r="AD212" s="15">
        <v>-0.24</v>
      </c>
      <c r="AE212" s="15">
        <v>-1</v>
      </c>
      <c r="AF212" s="14">
        <v>-0.36</v>
      </c>
      <c r="AG212" s="15">
        <v>-0.14000000000000001</v>
      </c>
      <c r="AH212" s="15">
        <v>-0.82499999999999996</v>
      </c>
      <c r="AI212" s="15">
        <v>-0.183</v>
      </c>
      <c r="AJ212" s="15">
        <v>-0.14899999999999999</v>
      </c>
      <c r="AK212" s="16">
        <v>1</v>
      </c>
      <c r="AL212" s="4">
        <v>6.7000000000000004E-2</v>
      </c>
      <c r="AM212" s="4">
        <v>-1</v>
      </c>
      <c r="AN212" s="4">
        <v>-0.67800000000000005</v>
      </c>
      <c r="AO212" s="4">
        <v>0.311</v>
      </c>
      <c r="AP212" s="4">
        <v>-0.122</v>
      </c>
      <c r="AQ212" s="4">
        <v>-0.55000000000000004</v>
      </c>
      <c r="AR212" s="4">
        <v>0.745</v>
      </c>
      <c r="AS212" s="4">
        <v>-1</v>
      </c>
      <c r="AT212" s="4">
        <v>-0.56799999999999995</v>
      </c>
      <c r="AU212" s="4">
        <v>-0.126</v>
      </c>
      <c r="AV212" s="4">
        <v>-0.183</v>
      </c>
      <c r="AW212" s="4">
        <v>0.42</v>
      </c>
      <c r="AX212" s="4">
        <v>-0.93100000000000005</v>
      </c>
      <c r="AY212" s="4">
        <v>-0.26800000000000002</v>
      </c>
      <c r="AZ212" s="4">
        <v>-1</v>
      </c>
      <c r="BA212" s="4">
        <v>-1</v>
      </c>
      <c r="BB212" s="4">
        <v>6.6000000000000003E-2</v>
      </c>
      <c r="BC212" s="4">
        <v>5.8000000000000003E-2</v>
      </c>
      <c r="BD212" s="4">
        <v>0.48399999999999999</v>
      </c>
      <c r="BE212" s="4">
        <v>0.47099999999999997</v>
      </c>
      <c r="BF212" s="4">
        <v>-0.41299999999999998</v>
      </c>
      <c r="BG212" s="4">
        <v>-1</v>
      </c>
      <c r="BH212" s="4">
        <v>-1</v>
      </c>
      <c r="BI212" s="4">
        <v>0.71</v>
      </c>
      <c r="BJ212" s="4">
        <v>0.14000000000000001</v>
      </c>
      <c r="BK212" s="4">
        <v>-0.64800000000000002</v>
      </c>
      <c r="BL212" s="4">
        <v>0.82599999999999996</v>
      </c>
      <c r="BM212" s="4"/>
      <c r="BN212" s="4"/>
    </row>
    <row r="213" spans="1:66" x14ac:dyDescent="0.3">
      <c r="A213" t="s">
        <v>261</v>
      </c>
      <c r="B213" s="53">
        <v>0</v>
      </c>
      <c r="C213" s="53">
        <f t="shared" si="22"/>
        <v>0</v>
      </c>
      <c r="D213" s="53">
        <f t="shared" si="23"/>
        <v>0</v>
      </c>
      <c r="E213" s="53">
        <f t="shared" si="24"/>
        <v>0</v>
      </c>
      <c r="F213" s="15">
        <v>0.47799999999999998</v>
      </c>
      <c r="G213">
        <v>0.33700000000000002</v>
      </c>
      <c r="H213" t="s">
        <v>68</v>
      </c>
      <c r="I213" t="str">
        <f>VLOOKUP(A213,Setores!$A$2:$C$215,2,0)</f>
        <v>chemicals</v>
      </c>
      <c r="J213" t="str">
        <f>VLOOKUP(A213,Setores!$A$2:$C$215,3,0)</f>
        <v>very_low_beta</v>
      </c>
      <c r="K213" s="17">
        <v>0</v>
      </c>
      <c r="L213" s="2">
        <v>0</v>
      </c>
      <c r="M213" s="5">
        <v>0</v>
      </c>
      <c r="N213" s="41">
        <f>VLOOKUP(A213,'Mandato LP'!$A$2:$B$215,2,0)</f>
        <v>0</v>
      </c>
      <c r="O213" s="58">
        <f t="shared" si="25"/>
        <v>0</v>
      </c>
      <c r="P213" s="42">
        <f t="shared" si="26"/>
        <v>0</v>
      </c>
      <c r="Q213" s="41">
        <f>VLOOKUP(A213,'Mandato LP'!$A$2:$C$215,3,0)</f>
        <v>0</v>
      </c>
      <c r="R213" s="42">
        <f t="shared" si="27"/>
        <v>0</v>
      </c>
      <c r="S213" s="15">
        <v>-1</v>
      </c>
      <c r="T213" s="15">
        <v>-0.94299999999999995</v>
      </c>
      <c r="U213" s="15">
        <v>-1</v>
      </c>
      <c r="V213" s="15">
        <v>-1</v>
      </c>
      <c r="W213" s="15">
        <v>-1</v>
      </c>
      <c r="X213" s="15">
        <v>-1</v>
      </c>
      <c r="Y213" s="15">
        <v>-1</v>
      </c>
      <c r="Z213" s="15">
        <v>-0.97299999999999998</v>
      </c>
      <c r="AA213" s="15">
        <v>-0.94099999999999995</v>
      </c>
      <c r="AB213" s="15">
        <v>-0.93500000000000005</v>
      </c>
      <c r="AC213" s="15">
        <v>-1</v>
      </c>
      <c r="AD213" s="15">
        <v>-0.73499999999999999</v>
      </c>
      <c r="AE213" s="15">
        <v>-0.55900000000000005</v>
      </c>
      <c r="AF213" s="14">
        <v>-1</v>
      </c>
      <c r="AG213" s="15">
        <v>-1</v>
      </c>
      <c r="AH213" s="15">
        <v>-0.872</v>
      </c>
      <c r="AI213" s="15">
        <v>-0.96399999999999997</v>
      </c>
      <c r="AJ213" s="15">
        <v>-0.29599999999999999</v>
      </c>
      <c r="AK213" s="16">
        <v>-0.93400000000000005</v>
      </c>
      <c r="AL213" s="4">
        <v>-0.79300000000000004</v>
      </c>
      <c r="AM213" s="4">
        <v>-1</v>
      </c>
      <c r="AN213" s="4">
        <v>-0.64800000000000002</v>
      </c>
      <c r="AO213" s="4">
        <v>-0.69699999999999995</v>
      </c>
      <c r="AP213" s="4">
        <v>0.42299999999999999</v>
      </c>
      <c r="AQ213" s="4">
        <v>0.41899999999999998</v>
      </c>
      <c r="AR213" s="4">
        <v>-0.441</v>
      </c>
      <c r="AS213" s="4">
        <v>0.79200000000000004</v>
      </c>
      <c r="AT213" s="4">
        <v>0.123</v>
      </c>
      <c r="AU213" s="4">
        <v>-0.60799999999999998</v>
      </c>
      <c r="AV213" s="4">
        <v>-0.95699999999999996</v>
      </c>
      <c r="AW213" s="4">
        <v>-1</v>
      </c>
      <c r="AX213" s="4">
        <v>-0.55800000000000005</v>
      </c>
      <c r="AY213" s="4">
        <v>-0.42499999999999999</v>
      </c>
      <c r="AZ213" s="4">
        <v>-0.35</v>
      </c>
      <c r="BA213" s="4">
        <v>-0.95699999999999996</v>
      </c>
      <c r="BB213" s="4">
        <v>-4.2999999999999997E-2</v>
      </c>
      <c r="BC213" s="4">
        <v>0.745</v>
      </c>
      <c r="BD213" s="4">
        <v>0.36099999999999999</v>
      </c>
      <c r="BE213" s="4">
        <v>0.40500000000000003</v>
      </c>
      <c r="BF213" s="4">
        <v>-1</v>
      </c>
      <c r="BG213" s="4">
        <v>-1</v>
      </c>
      <c r="BH213" s="4">
        <v>-1</v>
      </c>
      <c r="BI213" s="4">
        <v>0.71299999999999997</v>
      </c>
      <c r="BJ213" s="4">
        <v>-0.77400000000000002</v>
      </c>
      <c r="BK213" s="4">
        <v>-6.9000000000000006E-2</v>
      </c>
      <c r="BL213" s="4">
        <v>-0.315</v>
      </c>
      <c r="BM213" s="4"/>
      <c r="BN213" s="4"/>
    </row>
    <row r="214" spans="1:66" x14ac:dyDescent="0.3">
      <c r="A214" t="s">
        <v>263</v>
      </c>
      <c r="B214" s="53">
        <v>0</v>
      </c>
      <c r="C214" s="53">
        <f t="shared" si="22"/>
        <v>0</v>
      </c>
      <c r="D214" s="53">
        <f t="shared" si="23"/>
        <v>0</v>
      </c>
      <c r="E214" s="53">
        <f t="shared" si="24"/>
        <v>0</v>
      </c>
      <c r="F214" s="15">
        <v>0.47699999999999998</v>
      </c>
      <c r="G214">
        <v>0.33600000000000002</v>
      </c>
      <c r="H214" t="s">
        <v>68</v>
      </c>
      <c r="I214" t="str">
        <f>VLOOKUP(A214,Setores!$A$2:$C$215,2,0)</f>
        <v>capital_goods</v>
      </c>
      <c r="J214" t="str">
        <f>VLOOKUP(A214,Setores!$A$2:$C$215,3,0)</f>
        <v>very_low_beta</v>
      </c>
      <c r="K214" s="17">
        <v>0</v>
      </c>
      <c r="L214" s="2">
        <v>0</v>
      </c>
      <c r="M214" s="5">
        <v>0</v>
      </c>
      <c r="N214" s="41">
        <f>VLOOKUP(A214,'Mandato LP'!$A$2:$B$215,2,0)</f>
        <v>0</v>
      </c>
      <c r="O214" s="58">
        <f t="shared" si="25"/>
        <v>0</v>
      </c>
      <c r="P214" s="42">
        <f t="shared" si="26"/>
        <v>0</v>
      </c>
      <c r="Q214" s="41">
        <f>VLOOKUP(A214,'Mandato LP'!$A$2:$C$215,3,0)</f>
        <v>0</v>
      </c>
      <c r="R214" s="42">
        <f t="shared" si="27"/>
        <v>0</v>
      </c>
      <c r="S214" s="15">
        <v>-1</v>
      </c>
      <c r="T214" s="15">
        <v>-1</v>
      </c>
      <c r="U214" s="15">
        <v>-1</v>
      </c>
      <c r="V214" s="15">
        <v>-1</v>
      </c>
      <c r="W214" s="15">
        <v>-1</v>
      </c>
      <c r="X214" s="15">
        <v>-1</v>
      </c>
      <c r="Y214" s="15">
        <v>-1</v>
      </c>
      <c r="Z214" s="15">
        <v>-1</v>
      </c>
      <c r="AA214" s="15">
        <v>-1</v>
      </c>
      <c r="AB214" s="15">
        <v>-1</v>
      </c>
      <c r="AC214" s="15">
        <v>-1</v>
      </c>
      <c r="AD214" s="15">
        <v>-1</v>
      </c>
      <c r="AE214" s="15">
        <v>-1</v>
      </c>
      <c r="AF214" s="14">
        <v>-1</v>
      </c>
      <c r="AG214" s="15">
        <v>-1</v>
      </c>
      <c r="AH214" s="15">
        <v>-1</v>
      </c>
      <c r="AI214" s="15">
        <v>-0.59599999999999997</v>
      </c>
      <c r="AJ214" s="15">
        <v>0.66100000000000003</v>
      </c>
      <c r="AK214" s="16">
        <v>-0.57799999999999996</v>
      </c>
      <c r="AL214" s="4">
        <v>-0.96599999999999997</v>
      </c>
      <c r="AM214" s="4">
        <v>-1</v>
      </c>
      <c r="AN214" s="4">
        <v>-1</v>
      </c>
      <c r="AO214" s="4">
        <v>-0.51400000000000001</v>
      </c>
      <c r="AP214" s="4">
        <v>0.187</v>
      </c>
      <c r="AQ214" s="4">
        <v>-1</v>
      </c>
      <c r="AR214" s="4">
        <v>-0.59399999999999997</v>
      </c>
      <c r="AS214" s="4">
        <v>1.0999999999999999E-2</v>
      </c>
      <c r="AT214" s="4">
        <v>0.23599999999999999</v>
      </c>
      <c r="AU214" s="4">
        <v>-1</v>
      </c>
      <c r="AV214" s="4">
        <v>-1</v>
      </c>
      <c r="AW214" s="4">
        <v>-1</v>
      </c>
      <c r="AX214" s="4">
        <v>-0.32800000000000001</v>
      </c>
      <c r="AY214" s="4">
        <v>-0.70799999999999996</v>
      </c>
      <c r="AZ214" s="4">
        <v>-0.45600000000000002</v>
      </c>
      <c r="BA214" s="4">
        <v>-1</v>
      </c>
      <c r="BB214" s="4">
        <v>0.32900000000000001</v>
      </c>
      <c r="BC214" s="4">
        <v>0.32100000000000001</v>
      </c>
      <c r="BD214" s="4">
        <v>-0.28799999999999998</v>
      </c>
      <c r="BE214" s="4">
        <v>0.34200000000000003</v>
      </c>
      <c r="BF214" s="4">
        <v>1</v>
      </c>
      <c r="BG214" s="4">
        <v>-1</v>
      </c>
      <c r="BH214" s="4">
        <v>-1</v>
      </c>
      <c r="BI214" s="4">
        <v>0.74199999999999999</v>
      </c>
      <c r="BJ214" s="4">
        <v>-0.27900000000000003</v>
      </c>
      <c r="BK214" s="4">
        <v>-0.50900000000000001</v>
      </c>
      <c r="BL214" s="4">
        <v>1</v>
      </c>
      <c r="BM214" s="4"/>
      <c r="BN214" s="4"/>
    </row>
    <row r="215" spans="1:66" x14ac:dyDescent="0.3">
      <c r="A215" t="s">
        <v>175</v>
      </c>
      <c r="B215" s="53">
        <v>0</v>
      </c>
      <c r="C215" s="53">
        <f t="shared" si="22"/>
        <v>0</v>
      </c>
      <c r="D215" s="53">
        <f t="shared" si="23"/>
        <v>0</v>
      </c>
      <c r="E215" s="53">
        <f t="shared" si="24"/>
        <v>0</v>
      </c>
      <c r="F215" s="15">
        <v>0.47699999999999998</v>
      </c>
      <c r="G215">
        <v>0.34100000000000003</v>
      </c>
      <c r="H215" t="s">
        <v>53</v>
      </c>
      <c r="I215" t="str">
        <f>VLOOKUP(A215,Setores!$A$2:$C$215,2,0)</f>
        <v>consumer_staples</v>
      </c>
      <c r="J215" t="str">
        <f>VLOOKUP(A215,Setores!$A$2:$C$215,3,0)</f>
        <v>very_high_beta</v>
      </c>
      <c r="K215" s="17">
        <v>0</v>
      </c>
      <c r="L215" s="2">
        <v>0</v>
      </c>
      <c r="M215" s="5">
        <v>0</v>
      </c>
      <c r="N215" s="41">
        <f>VLOOKUP(A215,'Mandato LP'!$A$2:$B$215,2,0)</f>
        <v>0</v>
      </c>
      <c r="O215" s="58">
        <f t="shared" si="25"/>
        <v>0</v>
      </c>
      <c r="P215" s="42">
        <f t="shared" si="26"/>
        <v>0</v>
      </c>
      <c r="Q215" s="41">
        <f>VLOOKUP(A215,'Mandato LP'!$A$2:$C$215,3,0)</f>
        <v>0</v>
      </c>
      <c r="R215" s="42">
        <f t="shared" si="27"/>
        <v>0</v>
      </c>
      <c r="S215" s="15">
        <v>-0.92700000000000005</v>
      </c>
      <c r="T215" s="15">
        <v>-0.95</v>
      </c>
      <c r="U215" s="15">
        <v>-0.80100000000000005</v>
      </c>
      <c r="V215" s="15">
        <v>-0.92800000000000005</v>
      </c>
      <c r="W215" s="15">
        <v>-0.91100000000000003</v>
      </c>
      <c r="X215" s="15">
        <v>-0.99299999999999999</v>
      </c>
      <c r="Y215" s="15">
        <v>-1</v>
      </c>
      <c r="Z215" s="15">
        <v>-1</v>
      </c>
      <c r="AA215" s="15">
        <v>-1</v>
      </c>
      <c r="AB215" s="15">
        <v>-1</v>
      </c>
      <c r="AC215" s="15">
        <v>-0.62</v>
      </c>
      <c r="AD215" s="15">
        <v>-0.98699999999999999</v>
      </c>
      <c r="AE215" s="15">
        <v>-1</v>
      </c>
      <c r="AF215" s="14">
        <v>-0.47899999999999998</v>
      </c>
      <c r="AG215" s="15">
        <v>-2.1999999999999999E-2</v>
      </c>
      <c r="AH215" s="15">
        <v>-0.69799999999999995</v>
      </c>
      <c r="AI215" s="15">
        <v>0.60899999999999999</v>
      </c>
      <c r="AJ215" s="15">
        <v>-0.38300000000000001</v>
      </c>
      <c r="AK215" s="16">
        <v>-0.29799999999999999</v>
      </c>
      <c r="AL215" s="4">
        <v>0.59499999999999997</v>
      </c>
      <c r="AM215" s="4">
        <v>-1</v>
      </c>
      <c r="AN215" s="4">
        <v>-0.22500000000000001</v>
      </c>
      <c r="AO215" s="4">
        <v>-0.33200000000000002</v>
      </c>
      <c r="AP215" s="4">
        <v>-0.82899999999999996</v>
      </c>
      <c r="AQ215" s="4">
        <v>-0.60299999999999998</v>
      </c>
      <c r="AR215" s="4">
        <v>-0.20699999999999999</v>
      </c>
      <c r="AS215" s="4">
        <v>-1</v>
      </c>
      <c r="AT215" s="4">
        <v>-0.53800000000000003</v>
      </c>
      <c r="AU215" s="4">
        <v>-0.48899999999999999</v>
      </c>
      <c r="AV215" s="4">
        <v>-0.81899999999999995</v>
      </c>
      <c r="AW215" s="4">
        <v>-9.6000000000000002E-2</v>
      </c>
      <c r="AX215" s="4">
        <v>-0.62</v>
      </c>
      <c r="AY215" s="4">
        <v>-0.437</v>
      </c>
      <c r="AZ215" s="4">
        <v>-0.501</v>
      </c>
      <c r="BA215" s="4">
        <v>-0.60599999999999998</v>
      </c>
      <c r="BB215" s="4">
        <v>0.38100000000000001</v>
      </c>
      <c r="BC215" s="4">
        <v>0.70199999999999996</v>
      </c>
      <c r="BD215" s="4">
        <v>0.53100000000000003</v>
      </c>
      <c r="BE215" s="4">
        <v>0.33200000000000002</v>
      </c>
      <c r="BF215" s="4">
        <v>-0.34300000000000003</v>
      </c>
      <c r="BG215" s="4">
        <v>-0.34</v>
      </c>
      <c r="BH215" s="4">
        <v>-0.94</v>
      </c>
      <c r="BI215" s="4">
        <v>0.35799999999999998</v>
      </c>
      <c r="BJ215" s="4">
        <v>0.58699999999999997</v>
      </c>
      <c r="BK215" s="4">
        <v>-0.59499999999999997</v>
      </c>
      <c r="BL215" s="4">
        <v>0.752</v>
      </c>
      <c r="BM215" s="4"/>
      <c r="BN215" s="4"/>
    </row>
    <row r="216" spans="1:66" x14ac:dyDescent="0.3">
      <c r="A216" t="s">
        <v>259</v>
      </c>
      <c r="B216" s="53">
        <v>0</v>
      </c>
      <c r="C216" s="53">
        <f t="shared" si="22"/>
        <v>0</v>
      </c>
      <c r="D216" s="53">
        <f t="shared" si="23"/>
        <v>0</v>
      </c>
      <c r="E216" s="53">
        <f t="shared" si="24"/>
        <v>0</v>
      </c>
      <c r="F216" s="15">
        <v>0.47699999999999998</v>
      </c>
      <c r="G216">
        <v>0.33600000000000002</v>
      </c>
      <c r="H216" t="s">
        <v>57</v>
      </c>
      <c r="I216" t="str">
        <f>VLOOKUP(A216,Setores!$A$2:$C$215,2,0)</f>
        <v>homebuilders</v>
      </c>
      <c r="J216" t="str">
        <f>VLOOKUP(A216,Setores!$A$2:$C$215,3,0)</f>
        <v>low_beta</v>
      </c>
      <c r="K216" s="17">
        <v>0</v>
      </c>
      <c r="L216" s="2">
        <v>0</v>
      </c>
      <c r="M216" s="5">
        <v>0</v>
      </c>
      <c r="N216" s="41">
        <f>VLOOKUP(A216,'Mandato LP'!$A$2:$B$215,2,0)</f>
        <v>0</v>
      </c>
      <c r="O216" s="58">
        <f t="shared" si="25"/>
        <v>0</v>
      </c>
      <c r="P216" s="42">
        <f t="shared" si="26"/>
        <v>0</v>
      </c>
      <c r="Q216" s="41">
        <f>VLOOKUP(A216,'Mandato LP'!$A$2:$C$215,3,0)</f>
        <v>0</v>
      </c>
      <c r="R216" s="42">
        <f t="shared" si="27"/>
        <v>0</v>
      </c>
      <c r="S216" s="15">
        <v>-1</v>
      </c>
      <c r="T216" s="15">
        <v>-1</v>
      </c>
      <c r="U216" s="15">
        <v>-0.96599999999999997</v>
      </c>
      <c r="V216" s="15">
        <v>-1</v>
      </c>
      <c r="W216" s="15">
        <v>-1</v>
      </c>
      <c r="X216" s="15">
        <v>-1</v>
      </c>
      <c r="Y216" s="15">
        <v>-1</v>
      </c>
      <c r="Z216" s="15">
        <v>-1</v>
      </c>
      <c r="AA216" s="15">
        <v>-0.98299999999999998</v>
      </c>
      <c r="AB216" s="15">
        <v>-0.97899999999999998</v>
      </c>
      <c r="AC216" s="15">
        <v>-1</v>
      </c>
      <c r="AD216" s="15">
        <v>0.23400000000000001</v>
      </c>
      <c r="AE216" s="15">
        <v>-1</v>
      </c>
      <c r="AF216" s="14">
        <v>-0.91</v>
      </c>
      <c r="AG216" s="15">
        <v>-1</v>
      </c>
      <c r="AH216" s="15">
        <v>-0.96499999999999997</v>
      </c>
      <c r="AI216" s="15">
        <v>0.186</v>
      </c>
      <c r="AJ216" s="15">
        <v>-0.55300000000000005</v>
      </c>
      <c r="AK216" s="16">
        <v>-0.57799999999999996</v>
      </c>
      <c r="AL216" s="4">
        <v>-0.79200000000000004</v>
      </c>
      <c r="AM216" s="4">
        <v>-1</v>
      </c>
      <c r="AN216" s="4">
        <v>1</v>
      </c>
      <c r="AO216" s="4">
        <v>-0.93899999999999995</v>
      </c>
      <c r="AP216" s="4">
        <v>-1</v>
      </c>
      <c r="AQ216" s="4">
        <v>-1</v>
      </c>
      <c r="AR216" s="4">
        <v>-0.94699999999999995</v>
      </c>
      <c r="AS216" s="4">
        <v>-0.76600000000000001</v>
      </c>
      <c r="AT216" s="4">
        <v>-0.28799999999999998</v>
      </c>
      <c r="AU216" s="4">
        <v>-0.80100000000000005</v>
      </c>
      <c r="AV216" s="4">
        <v>-1</v>
      </c>
      <c r="AW216" s="4">
        <v>-1</v>
      </c>
      <c r="AX216" s="4">
        <v>-0.63300000000000001</v>
      </c>
      <c r="AY216" s="4">
        <v>-0.745</v>
      </c>
      <c r="AZ216" s="4">
        <v>-0.71</v>
      </c>
      <c r="BA216" s="4">
        <v>-1</v>
      </c>
      <c r="BB216" s="4">
        <v>-0.22900000000000001</v>
      </c>
      <c r="BC216" s="4">
        <v>0.54300000000000004</v>
      </c>
      <c r="BD216" s="4">
        <v>0.214</v>
      </c>
      <c r="BE216" s="4">
        <v>0.11799999999999999</v>
      </c>
      <c r="BF216" s="4">
        <v>0.157</v>
      </c>
      <c r="BG216" s="4">
        <v>6.8000000000000005E-2</v>
      </c>
      <c r="BH216" s="4">
        <v>-0.92200000000000004</v>
      </c>
      <c r="BI216" s="4">
        <v>1</v>
      </c>
      <c r="BJ216" s="4">
        <v>-1E-3</v>
      </c>
      <c r="BK216" s="4">
        <v>-0.13800000000000001</v>
      </c>
      <c r="BL216" s="4">
        <v>1</v>
      </c>
      <c r="BM216" s="4"/>
      <c r="BN216" s="4"/>
    </row>
    <row r="217" spans="1:66" x14ac:dyDescent="0.3">
      <c r="A217" t="s">
        <v>239</v>
      </c>
      <c r="B217" s="53">
        <v>0</v>
      </c>
      <c r="C217" s="53">
        <f t="shared" si="22"/>
        <v>0</v>
      </c>
      <c r="D217" s="53">
        <f t="shared" si="23"/>
        <v>0</v>
      </c>
      <c r="E217" s="53">
        <f t="shared" si="24"/>
        <v>0</v>
      </c>
      <c r="F217" s="15">
        <v>0.47699999999999998</v>
      </c>
      <c r="G217">
        <v>0.33900000000000002</v>
      </c>
      <c r="H217" t="s">
        <v>57</v>
      </c>
      <c r="I217" t="str">
        <f>VLOOKUP(A217,Setores!$A$2:$C$215,2,0)</f>
        <v>tech</v>
      </c>
      <c r="J217" t="str">
        <f>VLOOKUP(A217,Setores!$A$2:$C$215,3,0)</f>
        <v>high_beta</v>
      </c>
      <c r="K217" s="17">
        <v>0</v>
      </c>
      <c r="L217" s="2">
        <v>0</v>
      </c>
      <c r="M217" s="5">
        <v>1.64736529558667</v>
      </c>
      <c r="N217" s="41">
        <f>VLOOKUP(A217,'Mandato LP'!$A$2:$B$215,2,0)</f>
        <v>0</v>
      </c>
      <c r="O217" s="58">
        <f t="shared" si="25"/>
        <v>0</v>
      </c>
      <c r="P217" s="42">
        <f t="shared" si="26"/>
        <v>0</v>
      </c>
      <c r="Q217" s="41">
        <f>VLOOKUP(A217,'Mandato LP'!$A$2:$C$215,3,0)</f>
        <v>0</v>
      </c>
      <c r="R217" s="42">
        <f t="shared" si="27"/>
        <v>0</v>
      </c>
      <c r="S217" s="15">
        <v>-0.88600000000000001</v>
      </c>
      <c r="T217" s="15">
        <v>-0.86299999999999999</v>
      </c>
      <c r="U217" s="15">
        <v>-0.63400000000000001</v>
      </c>
      <c r="V217" s="15">
        <v>-0.94599999999999995</v>
      </c>
      <c r="W217" s="15">
        <v>-0.89500000000000002</v>
      </c>
      <c r="X217" s="15">
        <v>-0.96</v>
      </c>
      <c r="Y217" s="15">
        <v>-0.97799999999999998</v>
      </c>
      <c r="Z217" s="15">
        <v>-0.97</v>
      </c>
      <c r="AA217" s="15">
        <v>-1</v>
      </c>
      <c r="AB217" s="15">
        <v>-1</v>
      </c>
      <c r="AC217" s="15">
        <v>-0.88200000000000001</v>
      </c>
      <c r="AD217" s="15">
        <v>-1</v>
      </c>
      <c r="AE217" s="15">
        <v>-0.83099999999999996</v>
      </c>
      <c r="AF217" s="14">
        <v>-0.77800000000000002</v>
      </c>
      <c r="AG217" s="15">
        <v>-0.77300000000000002</v>
      </c>
      <c r="AH217" s="15">
        <v>-0.70599999999999996</v>
      </c>
      <c r="AI217" s="15">
        <v>-0.39700000000000002</v>
      </c>
      <c r="AJ217" s="15">
        <v>1</v>
      </c>
      <c r="AK217" s="16">
        <v>1</v>
      </c>
      <c r="AL217" s="4">
        <v>-0.80300000000000005</v>
      </c>
      <c r="AM217" s="4">
        <v>-1</v>
      </c>
      <c r="AN217" s="4">
        <v>-0.47</v>
      </c>
      <c r="AO217" s="4">
        <v>-0.32400000000000001</v>
      </c>
      <c r="AP217" s="4">
        <v>-0.35899999999999999</v>
      </c>
      <c r="AQ217" s="4">
        <v>0.81499999999999995</v>
      </c>
      <c r="AR217" s="4">
        <v>0.26700000000000002</v>
      </c>
      <c r="AS217" s="4">
        <v>-1</v>
      </c>
      <c r="AT217" s="4">
        <v>-0.51400000000000001</v>
      </c>
      <c r="AU217" s="4">
        <v>-0.64300000000000002</v>
      </c>
      <c r="AV217" s="4">
        <v>-0.84399999999999997</v>
      </c>
      <c r="AW217" s="4">
        <v>-0.107</v>
      </c>
      <c r="AX217" s="4">
        <v>-0.66400000000000003</v>
      </c>
      <c r="AY217" s="4">
        <v>0.17399999999999999</v>
      </c>
      <c r="AZ217" s="4">
        <v>-0.247</v>
      </c>
      <c r="BA217" s="4">
        <v>-0.25800000000000001</v>
      </c>
      <c r="BB217" s="4">
        <v>-0.121</v>
      </c>
      <c r="BC217" s="4">
        <v>-0.53900000000000003</v>
      </c>
      <c r="BD217" s="4">
        <v>-0.54500000000000004</v>
      </c>
      <c r="BE217" s="4">
        <v>0.34300000000000003</v>
      </c>
      <c r="BF217" s="4">
        <v>-0.92300000000000004</v>
      </c>
      <c r="BG217" s="4">
        <v>-0.54100000000000004</v>
      </c>
      <c r="BH217" s="4">
        <v>-0.20499999999999999</v>
      </c>
      <c r="BI217" s="4">
        <v>0.29399999999999998</v>
      </c>
      <c r="BJ217" s="4">
        <v>0.21199999999999999</v>
      </c>
      <c r="BK217" s="4">
        <v>-0.188</v>
      </c>
      <c r="BL217" s="4">
        <v>0.92</v>
      </c>
      <c r="BM217" s="4"/>
      <c r="BN217" s="4"/>
    </row>
    <row r="218" spans="1:66" x14ac:dyDescent="0.3">
      <c r="A218" t="s">
        <v>267</v>
      </c>
      <c r="B218" s="53">
        <v>0</v>
      </c>
      <c r="C218" s="53">
        <f t="shared" si="22"/>
        <v>0</v>
      </c>
      <c r="D218" s="53">
        <f t="shared" si="23"/>
        <v>0</v>
      </c>
      <c r="E218" s="53">
        <f t="shared" si="24"/>
        <v>0</v>
      </c>
      <c r="F218" s="15">
        <v>0.47699999999999998</v>
      </c>
      <c r="G218">
        <v>0.33600000000000002</v>
      </c>
      <c r="H218" t="s">
        <v>53</v>
      </c>
      <c r="I218" t="str">
        <f>VLOOKUP(A218,Setores!$A$2:$C$215,2,0)</f>
        <v>healthcare</v>
      </c>
      <c r="J218" t="str">
        <f>VLOOKUP(A218,Setores!$A$2:$C$215,3,0)</f>
        <v>very_high_beta</v>
      </c>
      <c r="K218" s="17">
        <v>0</v>
      </c>
      <c r="L218" s="2">
        <v>0</v>
      </c>
      <c r="M218" s="5">
        <v>0</v>
      </c>
      <c r="N218" s="41">
        <f>VLOOKUP(A218,'Mandato LP'!$A$2:$B$215,2,0)</f>
        <v>0</v>
      </c>
      <c r="O218" s="58">
        <f t="shared" si="25"/>
        <v>0</v>
      </c>
      <c r="P218" s="42">
        <f t="shared" si="26"/>
        <v>0</v>
      </c>
      <c r="Q218" s="41">
        <f>VLOOKUP(A218,'Mandato LP'!$A$2:$C$215,3,0)</f>
        <v>0</v>
      </c>
      <c r="R218" s="42">
        <f t="shared" si="27"/>
        <v>0</v>
      </c>
      <c r="S218" s="15">
        <v>-1</v>
      </c>
      <c r="T218" s="15">
        <v>-0.98</v>
      </c>
      <c r="U218" s="15">
        <v>-0.93500000000000005</v>
      </c>
      <c r="V218" s="15">
        <v>-1</v>
      </c>
      <c r="W218" s="15">
        <v>-0.98899999999999999</v>
      </c>
      <c r="X218" s="15">
        <v>-1</v>
      </c>
      <c r="Y218" s="15">
        <v>-1</v>
      </c>
      <c r="Z218" s="15">
        <v>-1</v>
      </c>
      <c r="AA218" s="15">
        <v>-1</v>
      </c>
      <c r="AB218" s="15">
        <v>-1</v>
      </c>
      <c r="AC218" s="15">
        <v>-1</v>
      </c>
      <c r="AD218" s="15">
        <v>-1</v>
      </c>
      <c r="AE218" s="15">
        <v>-1</v>
      </c>
      <c r="AF218" s="14">
        <v>-0.88500000000000001</v>
      </c>
      <c r="AG218" s="15">
        <v>-0.753</v>
      </c>
      <c r="AH218" s="15">
        <v>-1</v>
      </c>
      <c r="AI218" s="15">
        <v>-0.157</v>
      </c>
      <c r="AJ218" s="15">
        <v>-0.39200000000000002</v>
      </c>
      <c r="AK218" s="16">
        <v>-0.68500000000000005</v>
      </c>
      <c r="AL218" s="4">
        <v>-0.217</v>
      </c>
      <c r="AM218" s="4">
        <v>-1</v>
      </c>
      <c r="AN218" s="4">
        <v>-0.36399999999999999</v>
      </c>
      <c r="AO218" s="4">
        <v>-0.80200000000000005</v>
      </c>
      <c r="AP218" s="4">
        <v>-0.46700000000000003</v>
      </c>
      <c r="AQ218" s="4">
        <v>-0.59899999999999998</v>
      </c>
      <c r="AR218" s="4">
        <v>-0.54500000000000004</v>
      </c>
      <c r="AS218" s="4">
        <v>-1</v>
      </c>
      <c r="AT218" s="4">
        <v>-0.37</v>
      </c>
      <c r="AU218" s="4">
        <v>-0.66300000000000003</v>
      </c>
      <c r="AV218" s="4">
        <v>-0.60099999999999998</v>
      </c>
      <c r="AW218" s="4">
        <v>-0.80200000000000005</v>
      </c>
      <c r="AX218" s="4">
        <v>-0.58399999999999996</v>
      </c>
      <c r="AY218" s="4">
        <v>-1</v>
      </c>
      <c r="AZ218" s="4">
        <v>-0.48499999999999999</v>
      </c>
      <c r="BA218" s="4">
        <v>0.10299999999999999</v>
      </c>
      <c r="BB218" s="4">
        <v>0.31900000000000001</v>
      </c>
      <c r="BC218" s="4">
        <v>1</v>
      </c>
      <c r="BD218" s="4">
        <v>3.1E-2</v>
      </c>
      <c r="BE218" s="4">
        <v>0.24099999999999999</v>
      </c>
      <c r="BF218" s="4">
        <v>0.16800000000000001</v>
      </c>
      <c r="BG218" s="4">
        <v>7.2999999999999995E-2</v>
      </c>
      <c r="BH218" s="4">
        <v>-1</v>
      </c>
      <c r="BI218" s="4">
        <v>0.998</v>
      </c>
      <c r="BJ218" s="4">
        <v>0.26700000000000002</v>
      </c>
      <c r="BK218" s="4">
        <v>0.317</v>
      </c>
      <c r="BL218" s="4">
        <v>0.60099999999999998</v>
      </c>
      <c r="BM218" s="4"/>
      <c r="BN218" s="4"/>
    </row>
    <row r="219" spans="1:66" x14ac:dyDescent="0.3">
      <c r="A219" t="s">
        <v>268</v>
      </c>
      <c r="B219" s="53">
        <v>0</v>
      </c>
      <c r="C219" s="53">
        <f t="shared" si="22"/>
        <v>0</v>
      </c>
      <c r="D219" s="53">
        <f t="shared" si="23"/>
        <v>0</v>
      </c>
      <c r="E219" s="53">
        <f t="shared" si="24"/>
        <v>0</v>
      </c>
      <c r="F219" s="15">
        <v>0.47699999999999998</v>
      </c>
      <c r="G219">
        <v>0.33600000000000002</v>
      </c>
      <c r="H219" t="s">
        <v>71</v>
      </c>
      <c r="I219" t="str">
        <f>VLOOKUP(A219,Setores!$A$2:$C$215,2,0)</f>
        <v>basic_materials</v>
      </c>
      <c r="J219" t="str">
        <f>VLOOKUP(A219,Setores!$A$2:$C$215,3,0)</f>
        <v>high_beta</v>
      </c>
      <c r="K219" s="17">
        <v>0</v>
      </c>
      <c r="L219" s="2">
        <v>0</v>
      </c>
      <c r="M219" s="5">
        <v>0</v>
      </c>
      <c r="N219" s="41">
        <f>VLOOKUP(A219,'Mandato LP'!$A$2:$B$215,2,0)</f>
        <v>0</v>
      </c>
      <c r="O219" s="58">
        <f t="shared" si="25"/>
        <v>0</v>
      </c>
      <c r="P219" s="42">
        <f t="shared" si="26"/>
        <v>0</v>
      </c>
      <c r="Q219" s="41">
        <f>VLOOKUP(A219,'Mandato LP'!$A$2:$C$215,3,0)</f>
        <v>0</v>
      </c>
      <c r="R219" s="42">
        <f t="shared" si="27"/>
        <v>0</v>
      </c>
      <c r="S219" s="15">
        <v>-0.996</v>
      </c>
      <c r="T219" s="15">
        <v>-1</v>
      </c>
      <c r="U219" s="15">
        <v>-0.93300000000000005</v>
      </c>
      <c r="V219" s="15">
        <v>-1</v>
      </c>
      <c r="W219" s="15">
        <v>-1</v>
      </c>
      <c r="X219" s="15">
        <v>-1</v>
      </c>
      <c r="Y219" s="15">
        <v>-1</v>
      </c>
      <c r="Z219" s="15">
        <v>-1</v>
      </c>
      <c r="AA219" s="15">
        <v>-1</v>
      </c>
      <c r="AB219" s="15">
        <v>-1</v>
      </c>
      <c r="AC219" s="15">
        <v>-1</v>
      </c>
      <c r="AD219" s="15">
        <v>-1</v>
      </c>
      <c r="AE219" s="15">
        <v>-1</v>
      </c>
      <c r="AF219" s="14">
        <v>-1</v>
      </c>
      <c r="AG219" s="15">
        <v>-0.82299999999999995</v>
      </c>
      <c r="AH219" s="15">
        <v>-1</v>
      </c>
      <c r="AI219" s="15">
        <v>-0.48</v>
      </c>
      <c r="AJ219" s="15">
        <v>-0.26400000000000001</v>
      </c>
      <c r="AK219" s="16">
        <v>-0.39700000000000002</v>
      </c>
      <c r="AL219" s="4">
        <v>-0.58499999999999996</v>
      </c>
      <c r="AM219" s="4">
        <v>-1</v>
      </c>
      <c r="AN219" s="4">
        <v>-0.95699999999999996</v>
      </c>
      <c r="AO219" s="4">
        <v>-1.7000000000000001E-2</v>
      </c>
      <c r="AP219" s="4">
        <v>-0.58499999999999996</v>
      </c>
      <c r="AQ219" s="4">
        <v>-0.378</v>
      </c>
      <c r="AR219" s="4">
        <v>0.17100000000000001</v>
      </c>
      <c r="AS219" s="4">
        <v>-0.502</v>
      </c>
      <c r="AT219" s="4">
        <v>-0.35599999999999998</v>
      </c>
      <c r="AU219" s="4">
        <v>-0.78300000000000003</v>
      </c>
      <c r="AV219" s="4">
        <v>-0.81899999999999995</v>
      </c>
      <c r="AW219" s="4">
        <v>-0.41699999999999998</v>
      </c>
      <c r="AX219" s="4">
        <v>-0.49199999999999999</v>
      </c>
      <c r="AY219" s="4">
        <v>-0.77400000000000002</v>
      </c>
      <c r="AZ219" s="4">
        <v>-0.87</v>
      </c>
      <c r="BA219" s="4">
        <v>-0.621</v>
      </c>
      <c r="BB219" s="4">
        <v>-0.47699999999999998</v>
      </c>
      <c r="BC219" s="4">
        <v>0.85299999999999998</v>
      </c>
      <c r="BD219" s="4">
        <v>0.755</v>
      </c>
      <c r="BE219" s="4">
        <v>-2.3E-2</v>
      </c>
      <c r="BF219" s="4">
        <v>0.62</v>
      </c>
      <c r="BG219" s="4">
        <v>0.69799999999999995</v>
      </c>
      <c r="BH219" s="4">
        <v>-0.70799999999999996</v>
      </c>
      <c r="BI219" s="4">
        <v>1</v>
      </c>
      <c r="BJ219" s="4">
        <v>-0.02</v>
      </c>
      <c r="BK219" s="4">
        <v>0.68899999999999995</v>
      </c>
      <c r="BL219" s="4">
        <v>0.96499999999999997</v>
      </c>
      <c r="BM219" s="4"/>
      <c r="BN219" s="4"/>
    </row>
    <row r="220" spans="1:66" x14ac:dyDescent="0.3">
      <c r="B220" s="53"/>
      <c r="C220" s="53"/>
      <c r="D220" s="53"/>
      <c r="E220" s="53"/>
      <c r="F220" s="15"/>
      <c r="K220" s="17"/>
      <c r="L220" s="2"/>
      <c r="M220" s="5"/>
      <c r="N220" s="41"/>
      <c r="O220" s="58"/>
      <c r="P220" s="42"/>
      <c r="Q220" s="41"/>
      <c r="R220" s="42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4"/>
      <c r="AG220" s="15"/>
      <c r="AH220" s="15"/>
      <c r="AI220" s="15"/>
      <c r="AJ220" s="15"/>
      <c r="AK220" s="16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spans="1:66" x14ac:dyDescent="0.3">
      <c r="B221" s="53"/>
      <c r="C221" s="53"/>
      <c r="D221" s="53"/>
      <c r="E221" s="53"/>
      <c r="F221" s="15"/>
      <c r="K221" s="17"/>
      <c r="L221" s="2"/>
      <c r="M221" s="5"/>
      <c r="N221" s="41"/>
      <c r="O221" s="58"/>
      <c r="P221" s="42"/>
      <c r="Q221" s="41"/>
      <c r="R221" s="42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4"/>
      <c r="AG221" s="15"/>
      <c r="AH221" s="15"/>
      <c r="AI221" s="15"/>
      <c r="AJ221" s="15"/>
      <c r="AK221" s="16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spans="1:66" ht="15" thickBot="1" x14ac:dyDescent="0.35">
      <c r="B222" s="53"/>
      <c r="C222" s="53"/>
      <c r="D222" s="53"/>
      <c r="E222" s="53"/>
      <c r="F222" s="15"/>
      <c r="K222" s="17"/>
      <c r="L222" s="2"/>
      <c r="M222" s="5"/>
      <c r="N222" s="43"/>
      <c r="O222" s="59"/>
      <c r="P222" s="44"/>
      <c r="Q222" s="43"/>
      <c r="R222" s="44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67"/>
      <c r="AG222" s="68"/>
      <c r="AH222" s="68"/>
      <c r="AI222" s="68"/>
      <c r="AJ222" s="68"/>
      <c r="AK222" s="69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spans="1:66" x14ac:dyDescent="0.3">
      <c r="F223" s="15"/>
      <c r="K223" s="17"/>
      <c r="L223" s="2"/>
      <c r="M223" s="2"/>
      <c r="N223" s="2"/>
      <c r="O223" s="2"/>
      <c r="P223" s="58"/>
      <c r="Q223" s="2"/>
      <c r="R223" s="2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4"/>
      <c r="AH223" s="15"/>
      <c r="AI223" s="15"/>
      <c r="AJ223" s="15"/>
      <c r="AK223" s="15"/>
      <c r="AL223" s="9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spans="1:66" x14ac:dyDescent="0.3">
      <c r="F224" s="15"/>
      <c r="K224" s="17"/>
      <c r="L224" s="2"/>
      <c r="M224" s="2"/>
      <c r="N224" s="2"/>
      <c r="O224" s="2"/>
      <c r="P224" s="58"/>
      <c r="Q224" s="2"/>
      <c r="R224" s="2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4"/>
      <c r="AH224" s="15"/>
      <c r="AI224" s="15"/>
      <c r="AJ224" s="15"/>
      <c r="AK224" s="15"/>
      <c r="AL224" s="9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spans="6:66" x14ac:dyDescent="0.3">
      <c r="F225" s="15"/>
      <c r="K225" s="17"/>
      <c r="L225" s="2"/>
      <c r="M225" s="2"/>
      <c r="N225" s="2"/>
      <c r="O225" s="2"/>
      <c r="P225" s="58"/>
      <c r="Q225" s="2"/>
      <c r="R225" s="2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4"/>
      <c r="AH225" s="15"/>
      <c r="AI225" s="15"/>
      <c r="AJ225" s="15"/>
      <c r="AK225" s="15"/>
      <c r="AL225" s="9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spans="6:66" x14ac:dyDescent="0.3">
      <c r="F226" s="15"/>
      <c r="K226" s="17"/>
      <c r="L226" s="2"/>
      <c r="M226" s="2"/>
      <c r="N226" s="2"/>
      <c r="O226" s="2"/>
      <c r="P226" s="58"/>
      <c r="Q226" s="2"/>
      <c r="R226" s="2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4"/>
      <c r="AH226" s="15"/>
      <c r="AI226" s="15"/>
      <c r="AJ226" s="15"/>
      <c r="AK226" s="15"/>
      <c r="AL226" s="9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42" spans="9:23" x14ac:dyDescent="0.3">
      <c r="W242" s="62"/>
    </row>
    <row r="243" spans="9:23" x14ac:dyDescent="0.3">
      <c r="W243" s="62"/>
    </row>
    <row r="244" spans="9:23" x14ac:dyDescent="0.3">
      <c r="I244" s="23" t="s">
        <v>308</v>
      </c>
      <c r="J244" t="s">
        <v>327</v>
      </c>
      <c r="K244" t="s">
        <v>552</v>
      </c>
      <c r="L244" t="s">
        <v>551</v>
      </c>
      <c r="M244" t="s">
        <v>310</v>
      </c>
      <c r="N244" t="s">
        <v>323</v>
      </c>
      <c r="O244" t="s">
        <v>324</v>
      </c>
      <c r="W244" s="62"/>
    </row>
    <row r="245" spans="9:23" x14ac:dyDescent="0.3">
      <c r="I245" s="24" t="s">
        <v>55</v>
      </c>
      <c r="J245" s="26">
        <v>0.19350000000000001</v>
      </c>
      <c r="K245" s="26">
        <v>-6.25E-2</v>
      </c>
      <c r="L245" s="27">
        <v>0.183</v>
      </c>
      <c r="M245" s="26">
        <v>-7.2999999999999995E-2</v>
      </c>
      <c r="N245" s="26">
        <v>0.19616390707963391</v>
      </c>
      <c r="O245" s="26">
        <v>0.17360519659606888</v>
      </c>
      <c r="P245" s="26"/>
      <c r="W245" s="62"/>
    </row>
    <row r="246" spans="9:23" x14ac:dyDescent="0.3">
      <c r="I246" s="25" t="s">
        <v>295</v>
      </c>
      <c r="J246" s="26">
        <v>5.2000000000000005E-2</v>
      </c>
      <c r="K246" s="26">
        <v>2.4E-2</v>
      </c>
      <c r="L246" s="27">
        <v>5.1000000000000004E-2</v>
      </c>
      <c r="M246" s="26">
        <v>2.3E-2</v>
      </c>
      <c r="N246" s="26">
        <v>7.6829932629494085E-2</v>
      </c>
      <c r="O246" s="26">
        <v>3.1544688116102872E-2</v>
      </c>
      <c r="P246" s="26"/>
      <c r="W246" s="62"/>
    </row>
    <row r="247" spans="9:23" x14ac:dyDescent="0.3">
      <c r="I247" s="25" t="s">
        <v>302</v>
      </c>
      <c r="J247" s="26">
        <v>5.3999999999999999E-2</v>
      </c>
      <c r="K247" s="26">
        <v>2.4E-2</v>
      </c>
      <c r="L247" s="27">
        <v>5.7999999999999996E-2</v>
      </c>
      <c r="M247" s="26">
        <v>2.8000000000000001E-2</v>
      </c>
      <c r="N247" s="26">
        <v>6.0668786057108362E-2</v>
      </c>
      <c r="O247" s="26">
        <v>1.19891981204824E-2</v>
      </c>
      <c r="P247" s="26"/>
      <c r="W247" s="62"/>
    </row>
    <row r="248" spans="9:23" x14ac:dyDescent="0.3">
      <c r="I248" s="25" t="s">
        <v>285</v>
      </c>
      <c r="J248" s="26">
        <v>0</v>
      </c>
      <c r="K248" s="26">
        <v>-2E-3</v>
      </c>
      <c r="L248" s="27">
        <v>0</v>
      </c>
      <c r="M248" s="26">
        <v>-2E-3</v>
      </c>
      <c r="N248" s="26">
        <v>0</v>
      </c>
      <c r="O248" s="26">
        <v>0</v>
      </c>
      <c r="P248" s="26"/>
      <c r="W248" s="62"/>
    </row>
    <row r="249" spans="9:23" x14ac:dyDescent="0.3">
      <c r="I249" s="25" t="s">
        <v>280</v>
      </c>
      <c r="J249" s="26">
        <v>8.7500000000000008E-2</v>
      </c>
      <c r="K249" s="26">
        <v>-0.1085</v>
      </c>
      <c r="L249" s="27">
        <v>7.400000000000001E-2</v>
      </c>
      <c r="M249" s="26">
        <v>-0.122</v>
      </c>
      <c r="N249" s="26">
        <v>5.8665188393031448E-2</v>
      </c>
      <c r="O249" s="26">
        <v>0.13007131035948361</v>
      </c>
      <c r="P249" s="26"/>
      <c r="W249" s="62"/>
    </row>
    <row r="250" spans="9:23" x14ac:dyDescent="0.3">
      <c r="I250" s="24" t="s">
        <v>71</v>
      </c>
      <c r="J250" s="26">
        <v>0.23200000000000001</v>
      </c>
      <c r="K250" s="26">
        <v>-2.6000000000000009E-2</v>
      </c>
      <c r="L250" s="27">
        <v>0.22200000000000003</v>
      </c>
      <c r="M250" s="26">
        <v>-3.6000000000000011E-2</v>
      </c>
      <c r="N250" s="26">
        <v>0.19212424966524344</v>
      </c>
      <c r="O250" s="26">
        <v>0.26194674839179755</v>
      </c>
      <c r="P250" s="26"/>
      <c r="W250" s="62"/>
    </row>
    <row r="251" spans="9:23" x14ac:dyDescent="0.3">
      <c r="I251" s="25" t="s">
        <v>284</v>
      </c>
      <c r="J251" s="26">
        <v>9.6000000000000002E-2</v>
      </c>
      <c r="K251" s="26">
        <v>-9.000000000000008E-3</v>
      </c>
      <c r="L251" s="27">
        <v>0.11</v>
      </c>
      <c r="M251" s="26">
        <v>4.9999999999999923E-3</v>
      </c>
      <c r="N251" s="26">
        <v>5.5036797228402934E-2</v>
      </c>
      <c r="O251" s="26">
        <v>8.1390468937744292E-2</v>
      </c>
      <c r="P251" s="26"/>
      <c r="W251" s="62"/>
    </row>
    <row r="252" spans="9:23" x14ac:dyDescent="0.3">
      <c r="I252" s="25" t="s">
        <v>300</v>
      </c>
      <c r="J252" s="26">
        <v>0.123</v>
      </c>
      <c r="K252" s="26">
        <v>-1.0000000000000009E-3</v>
      </c>
      <c r="L252" s="27">
        <v>9.9000000000000005E-2</v>
      </c>
      <c r="M252" s="26">
        <v>-2.5000000000000001E-2</v>
      </c>
      <c r="N252" s="26">
        <v>0.13126439347964824</v>
      </c>
      <c r="O252" s="26">
        <v>0.16769455654544857</v>
      </c>
      <c r="P252" s="26"/>
      <c r="W252" s="62"/>
    </row>
    <row r="253" spans="9:23" x14ac:dyDescent="0.3">
      <c r="I253" s="25" t="s">
        <v>292</v>
      </c>
      <c r="J253" s="26">
        <v>1.2999999999999999E-2</v>
      </c>
      <c r="K253" s="26">
        <v>-1.6E-2</v>
      </c>
      <c r="L253" s="27">
        <v>1.2999999999999999E-2</v>
      </c>
      <c r="M253" s="26">
        <v>-1.6E-2</v>
      </c>
      <c r="N253" s="26">
        <v>5.8230589571922602E-3</v>
      </c>
      <c r="O253" s="26">
        <v>1.2861722908604701E-2</v>
      </c>
      <c r="P253" s="26"/>
      <c r="W253" s="62"/>
    </row>
    <row r="254" spans="9:23" x14ac:dyDescent="0.3">
      <c r="I254" s="24" t="s">
        <v>53</v>
      </c>
      <c r="J254" s="26">
        <v>0.11</v>
      </c>
      <c r="K254" s="26">
        <v>1.2999999999999992E-2</v>
      </c>
      <c r="L254" s="27">
        <v>0.112</v>
      </c>
      <c r="M254" s="26">
        <v>1.4999999999999999E-2</v>
      </c>
      <c r="N254" s="26">
        <v>0.10658916824515416</v>
      </c>
      <c r="O254" s="26">
        <v>0.13550586828660902</v>
      </c>
      <c r="P254" s="26"/>
      <c r="W254" s="62"/>
    </row>
    <row r="255" spans="9:23" x14ac:dyDescent="0.3">
      <c r="I255" s="25" t="s">
        <v>288</v>
      </c>
      <c r="J255" s="26">
        <v>0</v>
      </c>
      <c r="K255" s="26">
        <v>-1.2999999999999999E-2</v>
      </c>
      <c r="L255" s="27">
        <v>0</v>
      </c>
      <c r="M255" s="26">
        <v>-1.2999999999999999E-2</v>
      </c>
      <c r="N255" s="26">
        <v>0</v>
      </c>
      <c r="O255" s="26">
        <v>1.2211113033477E-2</v>
      </c>
      <c r="P255" s="26"/>
      <c r="W255" s="62"/>
    </row>
    <row r="256" spans="9:23" x14ac:dyDescent="0.3">
      <c r="I256" s="25" t="s">
        <v>299</v>
      </c>
      <c r="J256" s="26">
        <v>1.2E-2</v>
      </c>
      <c r="K256" s="26">
        <v>1.2E-2</v>
      </c>
      <c r="L256" s="27">
        <v>1.2E-2</v>
      </c>
      <c r="M256" s="26">
        <v>1.2E-2</v>
      </c>
      <c r="N256" s="26">
        <v>1.46039180329693E-2</v>
      </c>
      <c r="O256" s="26">
        <v>1.19891981204824E-2</v>
      </c>
      <c r="P256" s="26"/>
      <c r="W256" s="62"/>
    </row>
    <row r="257" spans="9:23" x14ac:dyDescent="0.3">
      <c r="I257" s="25" t="s">
        <v>301</v>
      </c>
      <c r="J257" s="26">
        <v>6.7000000000000004E-2</v>
      </c>
      <c r="K257" s="26">
        <v>1.1999999999999993E-2</v>
      </c>
      <c r="L257" s="27">
        <v>6.9000000000000006E-2</v>
      </c>
      <c r="M257" s="26">
        <v>1.4E-2</v>
      </c>
      <c r="N257" s="26">
        <v>6.8034765774438857E-2</v>
      </c>
      <c r="O257" s="26">
        <v>8.4056779126580564E-2</v>
      </c>
      <c r="P257" s="26"/>
      <c r="W257" s="62"/>
    </row>
    <row r="258" spans="9:23" x14ac:dyDescent="0.3">
      <c r="I258" s="25" t="s">
        <v>290</v>
      </c>
      <c r="J258" s="26">
        <v>3.1E-2</v>
      </c>
      <c r="K258" s="26">
        <v>1.9999999999999983E-3</v>
      </c>
      <c r="L258" s="27">
        <v>3.1E-2</v>
      </c>
      <c r="M258" s="26">
        <v>1.9999999999999983E-3</v>
      </c>
      <c r="N258" s="26">
        <v>2.3950484437746E-2</v>
      </c>
      <c r="O258" s="26">
        <v>2.7248778006069042E-2</v>
      </c>
      <c r="P258" s="26"/>
      <c r="W258" s="62"/>
    </row>
    <row r="259" spans="9:23" x14ac:dyDescent="0.3">
      <c r="I259" s="24" t="s">
        <v>68</v>
      </c>
      <c r="J259" s="26">
        <v>6.9000000000000006E-2</v>
      </c>
      <c r="K259" s="26">
        <v>3.4999999999999996E-2</v>
      </c>
      <c r="L259" s="27">
        <v>6.9000000000000006E-2</v>
      </c>
      <c r="M259" s="26">
        <v>3.4999999999999996E-2</v>
      </c>
      <c r="N259" s="26">
        <v>7.2956713012237551E-2</v>
      </c>
      <c r="O259" s="26">
        <v>5.816003497191758E-2</v>
      </c>
      <c r="P259" s="26"/>
      <c r="W259" s="62"/>
    </row>
    <row r="260" spans="9:23" x14ac:dyDescent="0.3">
      <c r="I260" s="25" t="s">
        <v>298</v>
      </c>
      <c r="J260" s="26">
        <v>2.3E-2</v>
      </c>
      <c r="K260" s="26">
        <v>2.3E-2</v>
      </c>
      <c r="L260" s="27">
        <v>2.3E-2</v>
      </c>
      <c r="M260" s="26">
        <v>2.3E-2</v>
      </c>
      <c r="N260" s="26">
        <v>1.946199093963669E-2</v>
      </c>
      <c r="O260" s="26">
        <v>1.4717165657984539E-2</v>
      </c>
      <c r="P260" s="26"/>
      <c r="W260" s="62"/>
    </row>
    <row r="261" spans="9:23" x14ac:dyDescent="0.3">
      <c r="I261" s="25" t="s">
        <v>293</v>
      </c>
      <c r="J261" s="26">
        <v>4.5999999999999999E-2</v>
      </c>
      <c r="K261" s="26">
        <v>1.6999999999999994E-2</v>
      </c>
      <c r="L261" s="27">
        <v>4.5999999999999999E-2</v>
      </c>
      <c r="M261" s="26">
        <v>1.6999999999999994E-2</v>
      </c>
      <c r="N261" s="26">
        <v>5.3494722072600864E-2</v>
      </c>
      <c r="O261" s="26">
        <v>4.3442869313933041E-2</v>
      </c>
      <c r="P261" s="26"/>
      <c r="W261" s="62"/>
    </row>
    <row r="262" spans="9:23" x14ac:dyDescent="0.3">
      <c r="I262" s="25" t="s">
        <v>303</v>
      </c>
      <c r="J262" s="26">
        <v>0</v>
      </c>
      <c r="K262" s="26">
        <v>-5.0000000000000001E-3</v>
      </c>
      <c r="L262" s="27">
        <v>0</v>
      </c>
      <c r="M262" s="26">
        <v>-5.0000000000000001E-3</v>
      </c>
      <c r="N262" s="26">
        <v>0</v>
      </c>
      <c r="O262" s="26">
        <v>0</v>
      </c>
      <c r="P262" s="26"/>
      <c r="W262" s="62"/>
    </row>
    <row r="263" spans="9:23" x14ac:dyDescent="0.3">
      <c r="I263" s="24" t="s">
        <v>57</v>
      </c>
      <c r="J263" s="26">
        <v>0.39550000000000007</v>
      </c>
      <c r="K263" s="26">
        <v>4.65E-2</v>
      </c>
      <c r="L263" s="27">
        <v>0.41400000000000003</v>
      </c>
      <c r="M263" s="26">
        <v>6.4999999999999988E-2</v>
      </c>
      <c r="N263" s="26">
        <v>0.43216596199773083</v>
      </c>
      <c r="O263" s="26">
        <v>0.37078215175360724</v>
      </c>
      <c r="P263" s="26"/>
      <c r="W263" s="62"/>
    </row>
    <row r="264" spans="9:23" x14ac:dyDescent="0.3">
      <c r="I264" s="25" t="s">
        <v>289</v>
      </c>
      <c r="J264" s="26">
        <v>4.1999999999999996E-2</v>
      </c>
      <c r="K264" s="26">
        <v>3.5000000000000003E-2</v>
      </c>
      <c r="L264" s="27">
        <v>4.1999999999999996E-2</v>
      </c>
      <c r="M264" s="26">
        <v>3.5000000000000003E-2</v>
      </c>
      <c r="N264" s="26">
        <v>4.3291128020483148E-2</v>
      </c>
      <c r="O264" s="26">
        <v>2.4397491824995728E-2</v>
      </c>
      <c r="P264" s="26"/>
      <c r="W264" s="62"/>
    </row>
    <row r="265" spans="9:23" x14ac:dyDescent="0.3">
      <c r="I265" s="25" t="s">
        <v>286</v>
      </c>
      <c r="J265" s="26">
        <v>0.14100000000000001</v>
      </c>
      <c r="K265" s="26">
        <v>-0.11099999999999999</v>
      </c>
      <c r="L265" s="27">
        <v>0.154</v>
      </c>
      <c r="M265" s="26">
        <v>-9.8000000000000004E-2</v>
      </c>
      <c r="N265" s="26">
        <v>0.13865337098910269</v>
      </c>
      <c r="O265" s="26">
        <v>0.12425807064237485</v>
      </c>
      <c r="P265" s="26"/>
      <c r="W265" s="62"/>
    </row>
    <row r="266" spans="9:23" x14ac:dyDescent="0.3">
      <c r="I266" s="25" t="s">
        <v>296</v>
      </c>
      <c r="J266" s="26">
        <v>0.01</v>
      </c>
      <c r="K266" s="26">
        <v>0.01</v>
      </c>
      <c r="L266" s="27">
        <v>6.0000000000000001E-3</v>
      </c>
      <c r="M266" s="26">
        <v>6.0000000000000001E-3</v>
      </c>
      <c r="N266" s="26">
        <v>1.46039180329693E-2</v>
      </c>
      <c r="O266" s="26">
        <v>9.3931853602334595E-3</v>
      </c>
      <c r="P266" s="26"/>
      <c r="W266" s="62"/>
    </row>
    <row r="267" spans="9:23" x14ac:dyDescent="0.3">
      <c r="I267" s="25" t="s">
        <v>278</v>
      </c>
      <c r="J267" s="26">
        <v>4.3999999999999997E-2</v>
      </c>
      <c r="K267" s="26">
        <v>0</v>
      </c>
      <c r="L267" s="27">
        <v>0.05</v>
      </c>
      <c r="M267" s="26">
        <v>5.9999999999999984E-3</v>
      </c>
      <c r="N267" s="26">
        <v>4.7959354486029386E-2</v>
      </c>
      <c r="O267" s="26">
        <v>6.8026184953677404E-2</v>
      </c>
      <c r="P267" s="26"/>
      <c r="W267" s="62"/>
    </row>
    <row r="268" spans="9:23" x14ac:dyDescent="0.3">
      <c r="I268" s="25" t="s">
        <v>297</v>
      </c>
      <c r="J268" s="26">
        <v>1.7000000000000001E-2</v>
      </c>
      <c r="K268" s="26">
        <v>1.6E-2</v>
      </c>
      <c r="L268" s="27">
        <v>1.7000000000000001E-2</v>
      </c>
      <c r="M268" s="26">
        <v>1.6E-2</v>
      </c>
      <c r="N268" s="26">
        <v>2.9822328905925941E-2</v>
      </c>
      <c r="O268" s="26">
        <v>3.3938848086635762E-2</v>
      </c>
      <c r="P268" s="26"/>
      <c r="W268" s="62"/>
    </row>
    <row r="269" spans="9:23" x14ac:dyDescent="0.3">
      <c r="I269" s="25" t="s">
        <v>299</v>
      </c>
      <c r="J269" s="26">
        <v>2.5000000000000001E-2</v>
      </c>
      <c r="K269" s="26">
        <v>1.4E-2</v>
      </c>
      <c r="L269" s="27">
        <v>3.3000000000000002E-2</v>
      </c>
      <c r="M269" s="26">
        <v>2.1999999999999999E-2</v>
      </c>
      <c r="N269" s="26">
        <v>2.8081604191909238E-2</v>
      </c>
      <c r="O269" s="26">
        <v>2.0201846405568189E-2</v>
      </c>
      <c r="P269" s="26"/>
      <c r="W269" s="62"/>
    </row>
    <row r="270" spans="9:23" x14ac:dyDescent="0.3">
      <c r="I270" s="25" t="s">
        <v>294</v>
      </c>
      <c r="J270" s="26">
        <v>7.6500000000000012E-2</v>
      </c>
      <c r="K270" s="26">
        <v>5.0499999999999989E-2</v>
      </c>
      <c r="L270" s="27">
        <v>7.2000000000000008E-2</v>
      </c>
      <c r="M270" s="26">
        <v>4.5999999999999992E-2</v>
      </c>
      <c r="N270" s="26">
        <v>8.3485714162828656E-2</v>
      </c>
      <c r="O270" s="26">
        <v>5.2410105577330585E-2</v>
      </c>
      <c r="P270" s="26"/>
      <c r="W270" s="62"/>
    </row>
    <row r="271" spans="9:23" x14ac:dyDescent="0.3">
      <c r="I271" s="25" t="s">
        <v>291</v>
      </c>
      <c r="J271" s="26">
        <v>3.6000000000000004E-2</v>
      </c>
      <c r="K271" s="26">
        <v>3.2000000000000001E-2</v>
      </c>
      <c r="L271" s="27">
        <v>3.6000000000000004E-2</v>
      </c>
      <c r="M271" s="26">
        <v>3.2000000000000001E-2</v>
      </c>
      <c r="N271" s="26">
        <v>3.935496066376909E-2</v>
      </c>
      <c r="O271" s="26">
        <v>3.1361412464271182E-2</v>
      </c>
      <c r="P271" s="26"/>
      <c r="W271" s="62"/>
    </row>
    <row r="272" spans="9:23" x14ac:dyDescent="0.3">
      <c r="I272" s="25" t="s">
        <v>285</v>
      </c>
      <c r="J272" s="26">
        <v>4.0000000000000001E-3</v>
      </c>
      <c r="K272" s="26">
        <v>0</v>
      </c>
      <c r="L272" s="27">
        <v>4.0000000000000001E-3</v>
      </c>
      <c r="M272" s="26">
        <v>0</v>
      </c>
      <c r="N272" s="26">
        <v>6.9135825447134399E-3</v>
      </c>
      <c r="O272" s="26">
        <v>6.7950064385200798E-3</v>
      </c>
      <c r="P272" s="26"/>
      <c r="W272" s="62"/>
    </row>
    <row r="273" spans="9:23" x14ac:dyDescent="0.3">
      <c r="I273" s="24" t="s">
        <v>602</v>
      </c>
      <c r="J273" s="26"/>
      <c r="K273" s="26"/>
      <c r="L273" s="27"/>
      <c r="M273" s="26"/>
      <c r="N273" s="26"/>
      <c r="O273" s="26"/>
      <c r="P273" s="26"/>
      <c r="W273" s="62"/>
    </row>
    <row r="274" spans="9:23" x14ac:dyDescent="0.3">
      <c r="I274" s="25" t="s">
        <v>602</v>
      </c>
      <c r="J274" s="26"/>
      <c r="K274" s="26"/>
      <c r="L274" s="27"/>
      <c r="M274" s="26"/>
      <c r="N274" s="26"/>
      <c r="O274" s="26"/>
      <c r="W274" s="62"/>
    </row>
    <row r="275" spans="9:23" x14ac:dyDescent="0.3">
      <c r="I275" s="24" t="s">
        <v>309</v>
      </c>
      <c r="J275" s="26">
        <v>1.0000000000000002</v>
      </c>
      <c r="K275" s="26">
        <v>5.9999999999999915E-3</v>
      </c>
      <c r="L275" s="27">
        <v>1.0000000000000002</v>
      </c>
      <c r="M275" s="26">
        <v>5.9999999999999845E-3</v>
      </c>
      <c r="N275" s="26">
        <v>1</v>
      </c>
      <c r="O275" s="26">
        <v>1.0000000000000002</v>
      </c>
      <c r="W275" s="62"/>
    </row>
    <row r="276" spans="9:23" x14ac:dyDescent="0.3">
      <c r="W276" s="62"/>
    </row>
    <row r="277" spans="9:23" x14ac:dyDescent="0.3">
      <c r="W277" s="62"/>
    </row>
    <row r="278" spans="9:23" x14ac:dyDescent="0.3">
      <c r="W278" s="62"/>
    </row>
    <row r="279" spans="9:23" x14ac:dyDescent="0.3">
      <c r="W279" s="62"/>
    </row>
    <row r="280" spans="9:23" x14ac:dyDescent="0.3">
      <c r="W280" s="62"/>
    </row>
    <row r="281" spans="9:23" x14ac:dyDescent="0.3">
      <c r="W281" s="62"/>
    </row>
    <row r="282" spans="9:23" x14ac:dyDescent="0.3">
      <c r="W282" s="62"/>
    </row>
    <row r="283" spans="9:23" x14ac:dyDescent="0.3">
      <c r="W283" s="62"/>
    </row>
    <row r="284" spans="9:23" x14ac:dyDescent="0.3">
      <c r="W284" s="62"/>
    </row>
    <row r="285" spans="9:23" x14ac:dyDescent="0.3">
      <c r="W285" s="62"/>
    </row>
    <row r="286" spans="9:23" x14ac:dyDescent="0.3">
      <c r="W286" s="62"/>
    </row>
    <row r="287" spans="9:23" x14ac:dyDescent="0.3">
      <c r="W287" s="62"/>
    </row>
    <row r="288" spans="9:23" x14ac:dyDescent="0.3">
      <c r="W288" s="62"/>
    </row>
    <row r="289" spans="8:23" x14ac:dyDescent="0.3">
      <c r="W289" s="62"/>
    </row>
    <row r="290" spans="8:23" x14ac:dyDescent="0.3">
      <c r="W290" s="62"/>
    </row>
    <row r="291" spans="8:23" x14ac:dyDescent="0.3">
      <c r="W291" s="62"/>
    </row>
    <row r="292" spans="8:23" x14ac:dyDescent="0.3">
      <c r="W292" s="62"/>
    </row>
    <row r="293" spans="8:23" x14ac:dyDescent="0.3">
      <c r="W293" s="62"/>
    </row>
    <row r="294" spans="8:23" x14ac:dyDescent="0.3">
      <c r="H294" t="s">
        <v>0</v>
      </c>
      <c r="J294" t="s">
        <v>306</v>
      </c>
      <c r="K294" t="s">
        <v>335</v>
      </c>
      <c r="W294" s="62"/>
    </row>
    <row r="295" spans="8:23" x14ac:dyDescent="0.3">
      <c r="H295" t="s">
        <v>336</v>
      </c>
      <c r="J295" t="s">
        <v>192</v>
      </c>
      <c r="K295">
        <v>3.6433609999999998E-2</v>
      </c>
      <c r="W295" s="62"/>
    </row>
    <row r="296" spans="8:23" x14ac:dyDescent="0.3">
      <c r="H296" t="s">
        <v>337</v>
      </c>
      <c r="J296" t="s">
        <v>72</v>
      </c>
      <c r="K296">
        <v>0</v>
      </c>
      <c r="W296" s="62"/>
    </row>
    <row r="297" spans="8:23" x14ac:dyDescent="0.3">
      <c r="H297" t="s">
        <v>338</v>
      </c>
      <c r="J297" t="s">
        <v>98</v>
      </c>
      <c r="K297">
        <v>4.3630400000000003E-3</v>
      </c>
      <c r="W297" s="62"/>
    </row>
    <row r="298" spans="8:23" x14ac:dyDescent="0.3">
      <c r="H298" t="s">
        <v>339</v>
      </c>
      <c r="J298" t="s">
        <v>63</v>
      </c>
      <c r="K298">
        <v>2.6069700000000001E-3</v>
      </c>
      <c r="W298" s="62"/>
    </row>
    <row r="299" spans="8:23" x14ac:dyDescent="0.3">
      <c r="H299" t="s">
        <v>340</v>
      </c>
      <c r="J299" t="s">
        <v>164</v>
      </c>
      <c r="K299">
        <v>0</v>
      </c>
      <c r="W299" s="62"/>
    </row>
    <row r="300" spans="8:23" x14ac:dyDescent="0.3">
      <c r="H300" t="s">
        <v>341</v>
      </c>
      <c r="J300" t="s">
        <v>264</v>
      </c>
      <c r="K300">
        <v>0</v>
      </c>
      <c r="W300" s="62"/>
    </row>
    <row r="301" spans="8:23" x14ac:dyDescent="0.3">
      <c r="H301" t="s">
        <v>342</v>
      </c>
      <c r="J301" t="s">
        <v>73</v>
      </c>
      <c r="K301">
        <v>4.6122799999999999E-3</v>
      </c>
      <c r="W301" s="62"/>
    </row>
    <row r="302" spans="8:23" x14ac:dyDescent="0.3">
      <c r="H302" t="s">
        <v>343</v>
      </c>
      <c r="J302" t="s">
        <v>265</v>
      </c>
      <c r="K302">
        <v>0</v>
      </c>
      <c r="W302" s="62"/>
    </row>
    <row r="303" spans="8:23" x14ac:dyDescent="0.3">
      <c r="H303" t="s">
        <v>344</v>
      </c>
      <c r="J303" t="s">
        <v>263</v>
      </c>
      <c r="K303">
        <v>0</v>
      </c>
      <c r="W303" s="62"/>
    </row>
    <row r="304" spans="8:23" x14ac:dyDescent="0.3">
      <c r="H304" t="s">
        <v>345</v>
      </c>
      <c r="J304" t="s">
        <v>177</v>
      </c>
      <c r="K304">
        <v>0</v>
      </c>
      <c r="W304" s="62"/>
    </row>
    <row r="305" spans="8:23" x14ac:dyDescent="0.3">
      <c r="H305" t="s">
        <v>346</v>
      </c>
      <c r="J305" t="s">
        <v>159</v>
      </c>
      <c r="K305">
        <v>0</v>
      </c>
      <c r="W305" s="62"/>
    </row>
    <row r="306" spans="8:23" x14ac:dyDescent="0.3">
      <c r="H306" t="s">
        <v>347</v>
      </c>
      <c r="J306" t="s">
        <v>172</v>
      </c>
      <c r="K306">
        <v>2.1720659999999999E-2</v>
      </c>
      <c r="W306" s="62"/>
    </row>
    <row r="307" spans="8:23" x14ac:dyDescent="0.3">
      <c r="H307" t="s">
        <v>348</v>
      </c>
      <c r="J307" t="s">
        <v>145</v>
      </c>
      <c r="K307">
        <v>0</v>
      </c>
      <c r="W307" s="62"/>
    </row>
    <row r="308" spans="8:23" x14ac:dyDescent="0.3">
      <c r="H308" t="s">
        <v>349</v>
      </c>
      <c r="J308" t="s">
        <v>256</v>
      </c>
      <c r="K308">
        <v>0</v>
      </c>
      <c r="W308" s="62"/>
    </row>
    <row r="309" spans="8:23" x14ac:dyDescent="0.3">
      <c r="H309" t="s">
        <v>350</v>
      </c>
      <c r="J309" t="s">
        <v>222</v>
      </c>
      <c r="K309">
        <v>3.4075799999999999E-3</v>
      </c>
      <c r="W309" s="62"/>
    </row>
    <row r="310" spans="8:23" x14ac:dyDescent="0.3">
      <c r="H310" t="s">
        <v>351</v>
      </c>
      <c r="J310" t="s">
        <v>253</v>
      </c>
      <c r="K310">
        <v>0</v>
      </c>
      <c r="W310" s="62"/>
    </row>
    <row r="311" spans="8:23" x14ac:dyDescent="0.3">
      <c r="H311" t="s">
        <v>352</v>
      </c>
      <c r="J311" t="s">
        <v>185</v>
      </c>
      <c r="K311">
        <v>3.31716E-3</v>
      </c>
      <c r="W311" s="62"/>
    </row>
    <row r="312" spans="8:23" x14ac:dyDescent="0.3">
      <c r="H312" t="s">
        <v>353</v>
      </c>
      <c r="J312" t="s">
        <v>165</v>
      </c>
      <c r="K312">
        <v>0</v>
      </c>
      <c r="W312" s="62"/>
    </row>
    <row r="313" spans="8:23" x14ac:dyDescent="0.3">
      <c r="H313" t="s">
        <v>354</v>
      </c>
      <c r="J313" t="s">
        <v>179</v>
      </c>
      <c r="K313">
        <v>4.1513999999999999E-4</v>
      </c>
      <c r="W313" s="62"/>
    </row>
    <row r="314" spans="8:23" x14ac:dyDescent="0.3">
      <c r="H314" t="s">
        <v>355</v>
      </c>
      <c r="J314" t="s">
        <v>204</v>
      </c>
      <c r="K314">
        <v>1.2053909999999999E-2</v>
      </c>
      <c r="W314" s="62"/>
    </row>
    <row r="315" spans="8:23" x14ac:dyDescent="0.3">
      <c r="H315" t="s">
        <v>356</v>
      </c>
      <c r="J315" t="s">
        <v>194</v>
      </c>
      <c r="K315">
        <v>8.2169999999999997E-4</v>
      </c>
      <c r="W315" s="62"/>
    </row>
    <row r="316" spans="8:23" x14ac:dyDescent="0.3">
      <c r="H316" t="s">
        <v>357</v>
      </c>
      <c r="J316" t="s">
        <v>169</v>
      </c>
      <c r="K316">
        <v>1.4190000000000001E-4</v>
      </c>
      <c r="W316" s="62"/>
    </row>
    <row r="317" spans="8:23" x14ac:dyDescent="0.3">
      <c r="H317" t="s">
        <v>358</v>
      </c>
      <c r="J317" t="s">
        <v>100</v>
      </c>
      <c r="K317">
        <v>0</v>
      </c>
      <c r="W317" s="62"/>
    </row>
    <row r="318" spans="8:23" x14ac:dyDescent="0.3">
      <c r="H318" t="s">
        <v>359</v>
      </c>
      <c r="J318" t="s">
        <v>175</v>
      </c>
      <c r="K318">
        <v>0</v>
      </c>
      <c r="W318" s="62"/>
    </row>
    <row r="319" spans="8:23" x14ac:dyDescent="0.3">
      <c r="H319" t="s">
        <v>360</v>
      </c>
      <c r="J319" t="s">
        <v>193</v>
      </c>
      <c r="K319">
        <v>2.38623E-3</v>
      </c>
      <c r="W319" s="62"/>
    </row>
    <row r="320" spans="8:23" x14ac:dyDescent="0.3">
      <c r="H320" t="s">
        <v>361</v>
      </c>
      <c r="J320" t="s">
        <v>115</v>
      </c>
      <c r="K320">
        <v>0</v>
      </c>
      <c r="W320" s="62"/>
    </row>
    <row r="321" spans="8:23" x14ac:dyDescent="0.3">
      <c r="H321" t="s">
        <v>362</v>
      </c>
      <c r="J321" t="s">
        <v>259</v>
      </c>
      <c r="K321">
        <v>0</v>
      </c>
      <c r="W321" s="62"/>
    </row>
    <row r="322" spans="8:23" x14ac:dyDescent="0.3">
      <c r="H322" t="s">
        <v>363</v>
      </c>
      <c r="J322" t="s">
        <v>89</v>
      </c>
      <c r="K322">
        <v>0</v>
      </c>
      <c r="W322" s="62"/>
    </row>
    <row r="323" spans="8:23" x14ac:dyDescent="0.3">
      <c r="H323" t="s">
        <v>364</v>
      </c>
      <c r="J323" t="s">
        <v>127</v>
      </c>
      <c r="K323">
        <v>1.08636E-3</v>
      </c>
      <c r="W323" s="62"/>
    </row>
    <row r="324" spans="8:23" x14ac:dyDescent="0.3">
      <c r="H324" t="s">
        <v>365</v>
      </c>
      <c r="J324" t="s">
        <v>173</v>
      </c>
      <c r="K324">
        <v>1.993408E-2</v>
      </c>
      <c r="W324" s="62"/>
    </row>
    <row r="325" spans="8:23" x14ac:dyDescent="0.3">
      <c r="H325" t="s">
        <v>366</v>
      </c>
      <c r="J325" t="s">
        <v>241</v>
      </c>
      <c r="K325">
        <v>2.3680799999999998E-3</v>
      </c>
      <c r="W325" s="62"/>
    </row>
    <row r="326" spans="8:23" x14ac:dyDescent="0.3">
      <c r="H326" t="s">
        <v>367</v>
      </c>
      <c r="J326" t="s">
        <v>123</v>
      </c>
      <c r="K326">
        <v>3.5046000000000001E-3</v>
      </c>
      <c r="W326" s="62"/>
    </row>
    <row r="327" spans="8:23" x14ac:dyDescent="0.3">
      <c r="H327" t="s">
        <v>368</v>
      </c>
      <c r="J327" t="s">
        <v>102</v>
      </c>
      <c r="K327">
        <v>7.1973000000000002E-4</v>
      </c>
      <c r="W327" s="62"/>
    </row>
    <row r="328" spans="8:23" x14ac:dyDescent="0.3">
      <c r="H328" t="s">
        <v>369</v>
      </c>
      <c r="J328" t="s">
        <v>144</v>
      </c>
      <c r="K328">
        <v>1.8345710000000001E-2</v>
      </c>
      <c r="W328" s="62"/>
    </row>
    <row r="329" spans="8:23" x14ac:dyDescent="0.3">
      <c r="H329" t="s">
        <v>370</v>
      </c>
      <c r="J329" t="s">
        <v>153</v>
      </c>
      <c r="K329">
        <v>3.7012799999999999E-3</v>
      </c>
      <c r="W329" s="62"/>
    </row>
    <row r="330" spans="8:23" x14ac:dyDescent="0.3">
      <c r="H330" t="s">
        <v>371</v>
      </c>
      <c r="J330" t="s">
        <v>64</v>
      </c>
      <c r="K330">
        <v>0</v>
      </c>
      <c r="W330" s="62"/>
    </row>
    <row r="331" spans="8:23" x14ac:dyDescent="0.3">
      <c r="H331" t="s">
        <v>372</v>
      </c>
      <c r="J331" t="s">
        <v>56</v>
      </c>
      <c r="K331">
        <v>0</v>
      </c>
      <c r="W331" s="62"/>
    </row>
    <row r="332" spans="8:23" x14ac:dyDescent="0.3">
      <c r="H332" t="s">
        <v>373</v>
      </c>
      <c r="J332" t="s">
        <v>62</v>
      </c>
      <c r="K332">
        <v>1.157827E-2</v>
      </c>
      <c r="W332" s="62"/>
    </row>
    <row r="333" spans="8:23" x14ac:dyDescent="0.3">
      <c r="H333" t="s">
        <v>374</v>
      </c>
      <c r="J333" t="s">
        <v>117</v>
      </c>
      <c r="K333">
        <v>1.5463090000000001E-2</v>
      </c>
      <c r="W333" s="62"/>
    </row>
    <row r="334" spans="8:23" x14ac:dyDescent="0.3">
      <c r="H334" t="s">
        <v>375</v>
      </c>
      <c r="J334" t="s">
        <v>70</v>
      </c>
      <c r="K334">
        <v>0</v>
      </c>
      <c r="W334" s="62"/>
    </row>
    <row r="335" spans="8:23" x14ac:dyDescent="0.3">
      <c r="H335" t="s">
        <v>376</v>
      </c>
      <c r="J335" t="s">
        <v>82</v>
      </c>
      <c r="K335">
        <v>9.3692700000000007E-3</v>
      </c>
      <c r="W335" s="62"/>
    </row>
    <row r="336" spans="8:23" x14ac:dyDescent="0.3">
      <c r="H336" t="s">
        <v>377</v>
      </c>
      <c r="J336" t="s">
        <v>200</v>
      </c>
      <c r="K336">
        <v>2.01366E-3</v>
      </c>
      <c r="W336" s="62"/>
    </row>
    <row r="337" spans="8:23" x14ac:dyDescent="0.3">
      <c r="H337" t="s">
        <v>378</v>
      </c>
      <c r="J337" t="s">
        <v>110</v>
      </c>
      <c r="K337">
        <v>2.7889420000000002E-2</v>
      </c>
      <c r="W337" s="62"/>
    </row>
    <row r="338" spans="8:23" x14ac:dyDescent="0.3">
      <c r="H338" t="s">
        <v>379</v>
      </c>
      <c r="J338" t="s">
        <v>135</v>
      </c>
      <c r="K338">
        <v>4.9271570000000001E-2</v>
      </c>
      <c r="W338" s="62"/>
    </row>
    <row r="339" spans="8:23" x14ac:dyDescent="0.3">
      <c r="H339" t="s">
        <v>380</v>
      </c>
      <c r="J339" t="s">
        <v>112</v>
      </c>
      <c r="K339">
        <v>1.5989090000000001E-2</v>
      </c>
      <c r="W339" s="62"/>
    </row>
    <row r="340" spans="8:23" x14ac:dyDescent="0.3">
      <c r="H340" t="s">
        <v>381</v>
      </c>
      <c r="J340" t="s">
        <v>156</v>
      </c>
      <c r="K340">
        <v>0</v>
      </c>
      <c r="W340" s="62"/>
    </row>
    <row r="341" spans="8:23" x14ac:dyDescent="0.3">
      <c r="H341" t="s">
        <v>382</v>
      </c>
      <c r="J341" t="s">
        <v>246</v>
      </c>
      <c r="K341">
        <v>9.9923999999999998E-4</v>
      </c>
      <c r="W341" s="62"/>
    </row>
    <row r="342" spans="8:23" x14ac:dyDescent="0.3">
      <c r="H342" t="s">
        <v>383</v>
      </c>
      <c r="J342" t="s">
        <v>58</v>
      </c>
      <c r="K342">
        <v>1.6153700000000001E-3</v>
      </c>
      <c r="W342" s="62"/>
    </row>
    <row r="343" spans="8:23" x14ac:dyDescent="0.3">
      <c r="H343" t="s">
        <v>384</v>
      </c>
      <c r="J343" t="s">
        <v>207</v>
      </c>
      <c r="K343">
        <v>0</v>
      </c>
      <c r="W343" s="62"/>
    </row>
    <row r="344" spans="8:23" x14ac:dyDescent="0.3">
      <c r="H344" t="s">
        <v>385</v>
      </c>
      <c r="J344" t="s">
        <v>220</v>
      </c>
      <c r="K344">
        <v>5.7096600000000001E-3</v>
      </c>
      <c r="W344" s="62"/>
    </row>
    <row r="345" spans="8:23" x14ac:dyDescent="0.3">
      <c r="H345" t="s">
        <v>386</v>
      </c>
      <c r="J345" t="s">
        <v>217</v>
      </c>
      <c r="K345">
        <v>2.1153E-4</v>
      </c>
      <c r="W345" s="62"/>
    </row>
    <row r="346" spans="8:23" x14ac:dyDescent="0.3">
      <c r="H346" t="s">
        <v>387</v>
      </c>
      <c r="J346" t="s">
        <v>254</v>
      </c>
      <c r="K346">
        <v>1.13619E-3</v>
      </c>
      <c r="W346" s="62"/>
    </row>
    <row r="347" spans="8:23" x14ac:dyDescent="0.3">
      <c r="H347" t="s">
        <v>388</v>
      </c>
      <c r="J347" t="s">
        <v>155</v>
      </c>
      <c r="K347">
        <v>0</v>
      </c>
      <c r="W347" s="62"/>
    </row>
    <row r="348" spans="8:23" x14ac:dyDescent="0.3">
      <c r="H348" t="s">
        <v>389</v>
      </c>
      <c r="J348" t="s">
        <v>213</v>
      </c>
      <c r="K348">
        <v>2.1298200000000002E-3</v>
      </c>
      <c r="W348" s="62"/>
    </row>
    <row r="349" spans="8:23" x14ac:dyDescent="0.3">
      <c r="H349" t="s">
        <v>390</v>
      </c>
      <c r="J349" t="s">
        <v>218</v>
      </c>
      <c r="K349">
        <v>6.4574400000000001E-3</v>
      </c>
      <c r="W349" s="62"/>
    </row>
    <row r="350" spans="8:23" x14ac:dyDescent="0.3">
      <c r="H350" t="s">
        <v>391</v>
      </c>
      <c r="J350" t="s">
        <v>80</v>
      </c>
      <c r="K350">
        <v>2.1708000000000001E-3</v>
      </c>
      <c r="W350" s="62"/>
    </row>
    <row r="351" spans="8:23" x14ac:dyDescent="0.3">
      <c r="H351" t="s">
        <v>392</v>
      </c>
      <c r="J351" t="s">
        <v>191</v>
      </c>
      <c r="K351">
        <v>1.7547299999999999E-3</v>
      </c>
      <c r="W351" s="62"/>
    </row>
    <row r="352" spans="8:23" x14ac:dyDescent="0.3">
      <c r="H352" t="s">
        <v>393</v>
      </c>
      <c r="J352" t="s">
        <v>181</v>
      </c>
      <c r="K352">
        <v>7.2085200000000004E-3</v>
      </c>
      <c r="W352" s="62"/>
    </row>
    <row r="353" spans="8:23" x14ac:dyDescent="0.3">
      <c r="H353" t="s">
        <v>394</v>
      </c>
      <c r="J353" t="s">
        <v>103</v>
      </c>
      <c r="K353">
        <v>5.44576E-3</v>
      </c>
      <c r="W353" s="62"/>
    </row>
    <row r="354" spans="8:23" x14ac:dyDescent="0.3">
      <c r="H354" t="s">
        <v>395</v>
      </c>
      <c r="J354" t="s">
        <v>108</v>
      </c>
      <c r="K354">
        <v>0</v>
      </c>
      <c r="W354" s="62"/>
    </row>
    <row r="355" spans="8:23" x14ac:dyDescent="0.3">
      <c r="H355" t="s">
        <v>396</v>
      </c>
      <c r="J355" t="s">
        <v>104</v>
      </c>
      <c r="K355">
        <v>0</v>
      </c>
      <c r="W355" s="62"/>
    </row>
    <row r="356" spans="8:23" x14ac:dyDescent="0.3">
      <c r="H356" t="s">
        <v>397</v>
      </c>
      <c r="J356" t="s">
        <v>124</v>
      </c>
      <c r="K356">
        <v>1.458743E-2</v>
      </c>
      <c r="W356" s="62"/>
    </row>
    <row r="357" spans="8:23" x14ac:dyDescent="0.3">
      <c r="H357" t="s">
        <v>398</v>
      </c>
      <c r="J357" t="s">
        <v>142</v>
      </c>
      <c r="K357">
        <v>0</v>
      </c>
      <c r="W357" s="62"/>
    </row>
    <row r="358" spans="8:23" x14ac:dyDescent="0.3">
      <c r="H358" t="s">
        <v>399</v>
      </c>
      <c r="J358" t="s">
        <v>74</v>
      </c>
      <c r="K358">
        <v>0</v>
      </c>
      <c r="W358" s="62"/>
    </row>
    <row r="359" spans="8:23" x14ac:dyDescent="0.3">
      <c r="H359" t="s">
        <v>400</v>
      </c>
      <c r="J359" t="s">
        <v>106</v>
      </c>
      <c r="K359">
        <v>0</v>
      </c>
      <c r="W359" s="62"/>
    </row>
    <row r="360" spans="8:23" x14ac:dyDescent="0.3">
      <c r="H360" t="s">
        <v>401</v>
      </c>
      <c r="J360" t="s">
        <v>229</v>
      </c>
      <c r="K360">
        <v>0</v>
      </c>
      <c r="W360" s="62"/>
    </row>
    <row r="361" spans="8:23" x14ac:dyDescent="0.3">
      <c r="H361" t="s">
        <v>402</v>
      </c>
      <c r="J361" t="s">
        <v>99</v>
      </c>
      <c r="K361">
        <v>1.7935900000000001E-3</v>
      </c>
      <c r="W361" s="62"/>
    </row>
    <row r="362" spans="8:23" x14ac:dyDescent="0.3">
      <c r="H362" t="s">
        <v>403</v>
      </c>
      <c r="J362" t="s">
        <v>161</v>
      </c>
      <c r="K362">
        <v>0</v>
      </c>
      <c r="W362" s="62"/>
    </row>
    <row r="363" spans="8:23" x14ac:dyDescent="0.3">
      <c r="H363" t="s">
        <v>404</v>
      </c>
      <c r="J363" t="s">
        <v>162</v>
      </c>
      <c r="K363">
        <v>0</v>
      </c>
      <c r="W363" s="62"/>
    </row>
    <row r="364" spans="8:23" x14ac:dyDescent="0.3">
      <c r="H364" t="s">
        <v>405</v>
      </c>
      <c r="J364" t="s">
        <v>171</v>
      </c>
      <c r="K364">
        <v>1.3246200000000001E-3</v>
      </c>
      <c r="W364" s="62"/>
    </row>
    <row r="365" spans="8:23" x14ac:dyDescent="0.3">
      <c r="H365" t="s">
        <v>406</v>
      </c>
      <c r="J365" t="s">
        <v>84</v>
      </c>
      <c r="K365">
        <v>0</v>
      </c>
      <c r="W365" s="62"/>
    </row>
    <row r="366" spans="8:23" x14ac:dyDescent="0.3">
      <c r="H366" t="s">
        <v>407</v>
      </c>
      <c r="J366" t="s">
        <v>91</v>
      </c>
      <c r="K366">
        <v>4.8688899999999998E-3</v>
      </c>
      <c r="W366" s="62"/>
    </row>
    <row r="367" spans="8:23" x14ac:dyDescent="0.3">
      <c r="H367" t="s">
        <v>408</v>
      </c>
      <c r="J367" t="s">
        <v>158</v>
      </c>
      <c r="K367">
        <v>6.3166699999999999E-3</v>
      </c>
      <c r="W367" s="62"/>
    </row>
    <row r="368" spans="8:23" x14ac:dyDescent="0.3">
      <c r="H368" t="s">
        <v>409</v>
      </c>
      <c r="J368" t="s">
        <v>119</v>
      </c>
      <c r="K368">
        <v>2.6089799999999999E-3</v>
      </c>
      <c r="W368" s="62"/>
    </row>
    <row r="369" spans="8:23" x14ac:dyDescent="0.3">
      <c r="H369" t="s">
        <v>410</v>
      </c>
      <c r="J369" t="s">
        <v>140</v>
      </c>
      <c r="K369">
        <v>2.4667729999999999E-2</v>
      </c>
      <c r="W369" s="62"/>
    </row>
    <row r="370" spans="8:23" x14ac:dyDescent="0.3">
      <c r="H370" t="s">
        <v>411</v>
      </c>
      <c r="J370" t="s">
        <v>78</v>
      </c>
      <c r="K370">
        <v>1.48204E-3</v>
      </c>
      <c r="W370" s="62"/>
    </row>
    <row r="371" spans="8:23" x14ac:dyDescent="0.3">
      <c r="H371" t="s">
        <v>412</v>
      </c>
      <c r="J371" t="s">
        <v>129</v>
      </c>
      <c r="K371">
        <v>0</v>
      </c>
      <c r="W371" s="62"/>
    </row>
    <row r="372" spans="8:23" x14ac:dyDescent="0.3">
      <c r="H372" t="s">
        <v>413</v>
      </c>
      <c r="J372" t="s">
        <v>248</v>
      </c>
      <c r="K372">
        <v>3.3956999999999998E-4</v>
      </c>
      <c r="W372" s="62"/>
    </row>
    <row r="373" spans="8:23" x14ac:dyDescent="0.3">
      <c r="H373" t="s">
        <v>414</v>
      </c>
      <c r="J373" t="s">
        <v>225</v>
      </c>
      <c r="K373">
        <v>2.1285E-4</v>
      </c>
      <c r="W373" s="62"/>
    </row>
    <row r="374" spans="8:23" x14ac:dyDescent="0.3">
      <c r="H374" t="s">
        <v>415</v>
      </c>
      <c r="J374" t="s">
        <v>97</v>
      </c>
      <c r="K374">
        <v>3.0042799999999998E-3</v>
      </c>
      <c r="W374" s="62"/>
    </row>
    <row r="375" spans="8:23" x14ac:dyDescent="0.3">
      <c r="H375" t="s">
        <v>416</v>
      </c>
      <c r="J375" t="s">
        <v>125</v>
      </c>
      <c r="K375">
        <v>1.25862E-3</v>
      </c>
      <c r="W375" s="62"/>
    </row>
    <row r="376" spans="8:23" x14ac:dyDescent="0.3">
      <c r="H376" t="s">
        <v>417</v>
      </c>
      <c r="J376" t="s">
        <v>244</v>
      </c>
      <c r="K376">
        <v>0</v>
      </c>
      <c r="W376" s="62"/>
    </row>
    <row r="377" spans="8:23" x14ac:dyDescent="0.3">
      <c r="H377" t="s">
        <v>418</v>
      </c>
      <c r="J377" t="s">
        <v>141</v>
      </c>
      <c r="K377">
        <v>3.5639999999999999E-4</v>
      </c>
      <c r="W377" s="62"/>
    </row>
    <row r="378" spans="8:23" x14ac:dyDescent="0.3">
      <c r="H378" t="s">
        <v>419</v>
      </c>
      <c r="J378" t="s">
        <v>66</v>
      </c>
      <c r="K378">
        <v>3.3901999999999999E-4</v>
      </c>
      <c r="W378" s="62"/>
    </row>
    <row r="379" spans="8:23" x14ac:dyDescent="0.3">
      <c r="H379" t="s">
        <v>420</v>
      </c>
      <c r="J379" t="s">
        <v>118</v>
      </c>
      <c r="K379">
        <v>0</v>
      </c>
      <c r="W379" s="62"/>
    </row>
    <row r="380" spans="8:23" x14ac:dyDescent="0.3">
      <c r="H380" t="s">
        <v>421</v>
      </c>
      <c r="J380" t="s">
        <v>236</v>
      </c>
      <c r="K380">
        <v>0</v>
      </c>
      <c r="W380" s="62"/>
    </row>
    <row r="381" spans="8:23" x14ac:dyDescent="0.3">
      <c r="H381" t="s">
        <v>422</v>
      </c>
      <c r="J381" t="s">
        <v>76</v>
      </c>
      <c r="K381">
        <v>0</v>
      </c>
      <c r="W381" s="62"/>
    </row>
    <row r="382" spans="8:23" x14ac:dyDescent="0.3">
      <c r="H382" t="s">
        <v>423</v>
      </c>
      <c r="J382" t="s">
        <v>152</v>
      </c>
      <c r="K382">
        <v>0</v>
      </c>
      <c r="W382" s="62"/>
    </row>
    <row r="383" spans="8:23" x14ac:dyDescent="0.3">
      <c r="H383" t="s">
        <v>424</v>
      </c>
      <c r="J383" t="s">
        <v>226</v>
      </c>
      <c r="K383">
        <v>5.9499000000000002E-3</v>
      </c>
      <c r="W383" s="62"/>
    </row>
    <row r="384" spans="8:23" x14ac:dyDescent="0.3">
      <c r="H384" t="s">
        <v>425</v>
      </c>
      <c r="J384" t="s">
        <v>151</v>
      </c>
      <c r="K384">
        <v>7.04209E-3</v>
      </c>
      <c r="W384" s="62"/>
    </row>
    <row r="385" spans="8:23" x14ac:dyDescent="0.3">
      <c r="H385" t="s">
        <v>426</v>
      </c>
      <c r="J385" t="s">
        <v>203</v>
      </c>
      <c r="K385">
        <v>8.8902000000000002E-4</v>
      </c>
      <c r="W385" s="62"/>
    </row>
    <row r="386" spans="8:23" x14ac:dyDescent="0.3">
      <c r="H386" t="s">
        <v>427</v>
      </c>
      <c r="J386" t="s">
        <v>114</v>
      </c>
      <c r="K386">
        <v>0</v>
      </c>
      <c r="W386" s="62"/>
    </row>
    <row r="387" spans="8:23" x14ac:dyDescent="0.3">
      <c r="H387" t="s">
        <v>428</v>
      </c>
      <c r="J387" t="s">
        <v>184</v>
      </c>
      <c r="K387">
        <v>1.1720609999999999E-2</v>
      </c>
      <c r="W387" s="62"/>
    </row>
    <row r="388" spans="8:23" x14ac:dyDescent="0.3">
      <c r="H388" t="s">
        <v>429</v>
      </c>
      <c r="J388" t="s">
        <v>143</v>
      </c>
      <c r="K388">
        <v>1.1622159999999999E-2</v>
      </c>
      <c r="W388" s="62"/>
    </row>
    <row r="389" spans="8:23" x14ac:dyDescent="0.3">
      <c r="H389" t="s">
        <v>430</v>
      </c>
      <c r="J389" t="s">
        <v>163</v>
      </c>
      <c r="K389">
        <v>0</v>
      </c>
      <c r="W389" s="62"/>
    </row>
    <row r="390" spans="8:23" x14ac:dyDescent="0.3">
      <c r="H390" t="s">
        <v>431</v>
      </c>
      <c r="J390" t="s">
        <v>105</v>
      </c>
      <c r="K390">
        <v>0</v>
      </c>
      <c r="W390" s="62"/>
    </row>
    <row r="391" spans="8:23" x14ac:dyDescent="0.3">
      <c r="H391" t="s">
        <v>432</v>
      </c>
      <c r="J391" t="s">
        <v>240</v>
      </c>
      <c r="K391">
        <v>5.6835899999999996E-3</v>
      </c>
      <c r="W391" s="62"/>
    </row>
    <row r="392" spans="8:23" x14ac:dyDescent="0.3">
      <c r="H392" t="s">
        <v>433</v>
      </c>
      <c r="J392" t="s">
        <v>232</v>
      </c>
      <c r="K392">
        <v>3.3594000000000001E-4</v>
      </c>
      <c r="W392" s="62"/>
    </row>
    <row r="393" spans="8:23" x14ac:dyDescent="0.3">
      <c r="H393" t="s">
        <v>434</v>
      </c>
      <c r="J393" t="s">
        <v>93</v>
      </c>
      <c r="K393">
        <v>2.2819039999999999E-2</v>
      </c>
      <c r="W393" s="62"/>
    </row>
    <row r="394" spans="8:23" x14ac:dyDescent="0.3">
      <c r="H394" t="s">
        <v>435</v>
      </c>
      <c r="J394" t="s">
        <v>157</v>
      </c>
      <c r="K394">
        <v>3.9566999999999998E-4</v>
      </c>
      <c r="W394" s="62"/>
    </row>
    <row r="395" spans="8:23" x14ac:dyDescent="0.3">
      <c r="H395" t="s">
        <v>436</v>
      </c>
      <c r="J395" t="s">
        <v>149</v>
      </c>
      <c r="K395">
        <v>0</v>
      </c>
      <c r="W395" s="62"/>
    </row>
    <row r="396" spans="8:23" x14ac:dyDescent="0.3">
      <c r="H396" t="s">
        <v>437</v>
      </c>
      <c r="J396" t="s">
        <v>132</v>
      </c>
      <c r="K396">
        <v>2.1426599999999998E-3</v>
      </c>
      <c r="W396" s="62"/>
    </row>
    <row r="397" spans="8:23" x14ac:dyDescent="0.3">
      <c r="H397" t="s">
        <v>438</v>
      </c>
      <c r="J397" t="s">
        <v>211</v>
      </c>
      <c r="K397">
        <v>1.018347E-2</v>
      </c>
      <c r="W397" s="62"/>
    </row>
    <row r="398" spans="8:23" x14ac:dyDescent="0.3">
      <c r="H398" t="s">
        <v>439</v>
      </c>
      <c r="J398" t="s">
        <v>202</v>
      </c>
      <c r="K398">
        <v>0</v>
      </c>
      <c r="W398" s="62"/>
    </row>
    <row r="399" spans="8:23" x14ac:dyDescent="0.3">
      <c r="H399" t="s">
        <v>440</v>
      </c>
      <c r="J399" t="s">
        <v>95</v>
      </c>
      <c r="K399">
        <v>3.1958960000000002E-2</v>
      </c>
      <c r="W399" s="62"/>
    </row>
    <row r="400" spans="8:23" x14ac:dyDescent="0.3">
      <c r="H400" t="s">
        <v>441</v>
      </c>
      <c r="J400" t="s">
        <v>137</v>
      </c>
      <c r="K400">
        <v>0</v>
      </c>
      <c r="W400" s="62"/>
    </row>
    <row r="401" spans="8:23" x14ac:dyDescent="0.3">
      <c r="H401" t="s">
        <v>442</v>
      </c>
      <c r="J401" t="s">
        <v>196</v>
      </c>
      <c r="K401">
        <v>0</v>
      </c>
      <c r="W401" s="62"/>
    </row>
    <row r="402" spans="8:23" x14ac:dyDescent="0.3">
      <c r="H402" t="s">
        <v>443</v>
      </c>
      <c r="J402" t="s">
        <v>83</v>
      </c>
      <c r="K402">
        <v>7.7833800000000003E-3</v>
      </c>
      <c r="W402" s="62"/>
    </row>
    <row r="403" spans="8:23" x14ac:dyDescent="0.3">
      <c r="H403" t="s">
        <v>444</v>
      </c>
      <c r="J403" t="s">
        <v>87</v>
      </c>
      <c r="K403">
        <v>1.9677900000000001E-3</v>
      </c>
      <c r="W403" s="62"/>
    </row>
    <row r="404" spans="8:23" x14ac:dyDescent="0.3">
      <c r="H404" t="s">
        <v>445</v>
      </c>
      <c r="J404" t="s">
        <v>198</v>
      </c>
      <c r="K404">
        <v>0</v>
      </c>
      <c r="W404" s="62"/>
    </row>
    <row r="405" spans="8:23" x14ac:dyDescent="0.3">
      <c r="H405" t="s">
        <v>446</v>
      </c>
      <c r="J405" t="s">
        <v>52</v>
      </c>
      <c r="K405">
        <v>0</v>
      </c>
      <c r="W405" s="62"/>
    </row>
    <row r="406" spans="8:23" x14ac:dyDescent="0.3">
      <c r="H406" t="s">
        <v>447</v>
      </c>
      <c r="J406" t="s">
        <v>107</v>
      </c>
      <c r="K406">
        <v>1.742956E-2</v>
      </c>
      <c r="W406" s="62"/>
    </row>
    <row r="407" spans="8:23" x14ac:dyDescent="0.3">
      <c r="H407" t="s">
        <v>448</v>
      </c>
      <c r="J407" t="s">
        <v>208</v>
      </c>
      <c r="K407">
        <v>0</v>
      </c>
      <c r="W407" s="62"/>
    </row>
    <row r="408" spans="8:23" x14ac:dyDescent="0.3">
      <c r="H408" t="s">
        <v>449</v>
      </c>
      <c r="J408" t="s">
        <v>266</v>
      </c>
      <c r="K408">
        <v>0</v>
      </c>
      <c r="W408" s="62"/>
    </row>
    <row r="409" spans="8:23" x14ac:dyDescent="0.3">
      <c r="H409" t="s">
        <v>450</v>
      </c>
      <c r="J409" t="s">
        <v>214</v>
      </c>
      <c r="K409">
        <v>5.3954999999999997E-4</v>
      </c>
      <c r="W409" s="62"/>
    </row>
    <row r="410" spans="8:23" x14ac:dyDescent="0.3">
      <c r="H410" t="s">
        <v>451</v>
      </c>
      <c r="J410" t="s">
        <v>111</v>
      </c>
      <c r="K410">
        <v>0</v>
      </c>
      <c r="W410" s="62"/>
    </row>
    <row r="411" spans="8:23" x14ac:dyDescent="0.3">
      <c r="H411" t="s">
        <v>452</v>
      </c>
      <c r="J411" t="s">
        <v>223</v>
      </c>
      <c r="K411">
        <v>0</v>
      </c>
      <c r="W411" s="62"/>
    </row>
    <row r="412" spans="8:23" x14ac:dyDescent="0.3">
      <c r="H412" t="s">
        <v>453</v>
      </c>
      <c r="J412" t="s">
        <v>221</v>
      </c>
      <c r="K412">
        <v>1.0180499999999999E-3</v>
      </c>
      <c r="W412" s="62"/>
    </row>
    <row r="413" spans="8:23" x14ac:dyDescent="0.3">
      <c r="H413" t="s">
        <v>454</v>
      </c>
      <c r="J413" t="s">
        <v>205</v>
      </c>
      <c r="K413">
        <v>3.0782259999999999E-2</v>
      </c>
      <c r="W413" s="62"/>
    </row>
    <row r="414" spans="8:23" x14ac:dyDescent="0.3">
      <c r="H414" t="s">
        <v>455</v>
      </c>
      <c r="J414" t="s">
        <v>88</v>
      </c>
      <c r="K414">
        <v>1.2917600000000001E-3</v>
      </c>
      <c r="W414" s="62"/>
    </row>
    <row r="415" spans="8:23" x14ac:dyDescent="0.3">
      <c r="H415" t="s">
        <v>456</v>
      </c>
      <c r="J415" t="s">
        <v>243</v>
      </c>
      <c r="K415">
        <v>4.2998999999999999E-4</v>
      </c>
      <c r="W415" s="62"/>
    </row>
    <row r="416" spans="8:23" x14ac:dyDescent="0.3">
      <c r="H416" t="s">
        <v>457</v>
      </c>
      <c r="J416" t="s">
        <v>210</v>
      </c>
      <c r="K416">
        <v>1.49754E-2</v>
      </c>
      <c r="W416" s="62"/>
    </row>
    <row r="417" spans="8:23" x14ac:dyDescent="0.3">
      <c r="H417" t="s">
        <v>458</v>
      </c>
      <c r="J417" t="s">
        <v>188</v>
      </c>
      <c r="K417">
        <v>2.2799700000000001E-3</v>
      </c>
      <c r="W417" s="62"/>
    </row>
    <row r="418" spans="8:23" x14ac:dyDescent="0.3">
      <c r="H418" t="s">
        <v>459</v>
      </c>
      <c r="J418" t="s">
        <v>209</v>
      </c>
      <c r="K418">
        <v>4.3358700000000003E-3</v>
      </c>
      <c r="W418" s="62"/>
    </row>
    <row r="419" spans="8:23" x14ac:dyDescent="0.3">
      <c r="H419" t="s">
        <v>460</v>
      </c>
      <c r="J419" t="s">
        <v>166</v>
      </c>
      <c r="K419">
        <v>0</v>
      </c>
      <c r="W419" s="62"/>
    </row>
    <row r="420" spans="8:23" x14ac:dyDescent="0.3">
      <c r="H420" t="s">
        <v>461</v>
      </c>
      <c r="J420" t="s">
        <v>154</v>
      </c>
      <c r="K420">
        <v>3.8208180000000001E-2</v>
      </c>
      <c r="W420" s="62"/>
    </row>
    <row r="421" spans="8:23" x14ac:dyDescent="0.3">
      <c r="H421" t="s">
        <v>462</v>
      </c>
      <c r="J421" t="s">
        <v>69</v>
      </c>
      <c r="K421">
        <v>0</v>
      </c>
      <c r="W421" s="62"/>
    </row>
    <row r="422" spans="8:23" x14ac:dyDescent="0.3">
      <c r="H422" t="s">
        <v>463</v>
      </c>
      <c r="J422" t="s">
        <v>150</v>
      </c>
      <c r="K422">
        <v>0</v>
      </c>
      <c r="W422" s="62"/>
    </row>
    <row r="423" spans="8:23" x14ac:dyDescent="0.3">
      <c r="H423" t="s">
        <v>464</v>
      </c>
      <c r="J423" t="s">
        <v>170</v>
      </c>
      <c r="K423">
        <v>0</v>
      </c>
      <c r="W423" s="62"/>
    </row>
    <row r="424" spans="8:23" x14ac:dyDescent="0.3">
      <c r="H424" t="s">
        <v>465</v>
      </c>
      <c r="J424" t="s">
        <v>257</v>
      </c>
      <c r="K424">
        <v>2.1615E-4</v>
      </c>
      <c r="W424" s="62"/>
    </row>
    <row r="425" spans="8:23" x14ac:dyDescent="0.3">
      <c r="H425" t="s">
        <v>466</v>
      </c>
      <c r="J425" t="s">
        <v>235</v>
      </c>
      <c r="K425">
        <v>3.8246999999999999E-4</v>
      </c>
      <c r="W425" s="62"/>
    </row>
    <row r="426" spans="8:23" x14ac:dyDescent="0.3">
      <c r="H426" t="s">
        <v>467</v>
      </c>
      <c r="J426" t="s">
        <v>197</v>
      </c>
      <c r="K426">
        <v>5.3050800000000002E-3</v>
      </c>
      <c r="W426" s="62"/>
    </row>
    <row r="427" spans="8:23" x14ac:dyDescent="0.3">
      <c r="H427" t="s">
        <v>468</v>
      </c>
      <c r="J427" t="s">
        <v>176</v>
      </c>
      <c r="K427">
        <v>3.102E-4</v>
      </c>
      <c r="W427" s="62"/>
    </row>
    <row r="428" spans="8:23" x14ac:dyDescent="0.3">
      <c r="H428" t="s">
        <v>469</v>
      </c>
      <c r="J428" t="s">
        <v>86</v>
      </c>
      <c r="K428">
        <v>0</v>
      </c>
      <c r="W428" s="62"/>
    </row>
    <row r="429" spans="8:23" x14ac:dyDescent="0.3">
      <c r="H429" t="s">
        <v>470</v>
      </c>
      <c r="J429" t="s">
        <v>250</v>
      </c>
      <c r="K429">
        <v>0</v>
      </c>
      <c r="W429" s="62"/>
    </row>
    <row r="430" spans="8:23" x14ac:dyDescent="0.3">
      <c r="H430" t="s">
        <v>471</v>
      </c>
      <c r="J430" t="s">
        <v>81</v>
      </c>
      <c r="K430">
        <v>2.65127E-2</v>
      </c>
      <c r="W430" s="62"/>
    </row>
    <row r="431" spans="8:23" x14ac:dyDescent="0.3">
      <c r="H431" t="s">
        <v>472</v>
      </c>
      <c r="J431" t="s">
        <v>251</v>
      </c>
      <c r="K431">
        <v>0</v>
      </c>
      <c r="W431" s="62"/>
    </row>
    <row r="432" spans="8:23" x14ac:dyDescent="0.3">
      <c r="H432" t="s">
        <v>473</v>
      </c>
      <c r="J432" t="s">
        <v>245</v>
      </c>
      <c r="K432">
        <v>0</v>
      </c>
      <c r="W432" s="62"/>
    </row>
    <row r="433" spans="8:23" x14ac:dyDescent="0.3">
      <c r="H433" t="s">
        <v>474</v>
      </c>
      <c r="J433" t="s">
        <v>258</v>
      </c>
      <c r="K433">
        <v>0</v>
      </c>
      <c r="W433" s="62"/>
    </row>
    <row r="434" spans="8:23" x14ac:dyDescent="0.3">
      <c r="H434" t="s">
        <v>475</v>
      </c>
      <c r="J434" t="s">
        <v>61</v>
      </c>
      <c r="K434">
        <v>1.5503800000000001E-3</v>
      </c>
      <c r="W434" s="62"/>
    </row>
    <row r="435" spans="8:23" x14ac:dyDescent="0.3">
      <c r="H435" t="s">
        <v>476</v>
      </c>
      <c r="J435" t="s">
        <v>212</v>
      </c>
      <c r="K435">
        <v>0</v>
      </c>
      <c r="W435" s="62"/>
    </row>
    <row r="436" spans="8:23" x14ac:dyDescent="0.3">
      <c r="H436" t="s">
        <v>477</v>
      </c>
      <c r="J436" t="s">
        <v>96</v>
      </c>
      <c r="K436">
        <v>8.6123899999999993E-3</v>
      </c>
      <c r="W436" s="62"/>
    </row>
    <row r="437" spans="8:23" x14ac:dyDescent="0.3">
      <c r="H437" t="s">
        <v>478</v>
      </c>
      <c r="J437" t="s">
        <v>65</v>
      </c>
      <c r="K437">
        <v>0</v>
      </c>
      <c r="W437" s="62"/>
    </row>
    <row r="438" spans="8:23" x14ac:dyDescent="0.3">
      <c r="H438" t="s">
        <v>479</v>
      </c>
      <c r="J438" t="s">
        <v>187</v>
      </c>
      <c r="K438">
        <v>0</v>
      </c>
      <c r="W438" s="62"/>
    </row>
    <row r="439" spans="8:23" x14ac:dyDescent="0.3">
      <c r="H439" t="s">
        <v>480</v>
      </c>
      <c r="J439" t="s">
        <v>180</v>
      </c>
      <c r="K439">
        <v>0</v>
      </c>
      <c r="W439" s="62"/>
    </row>
    <row r="440" spans="8:23" x14ac:dyDescent="0.3">
      <c r="H440" t="s">
        <v>481</v>
      </c>
      <c r="J440" t="s">
        <v>239</v>
      </c>
      <c r="K440">
        <v>0</v>
      </c>
      <c r="W440" s="62"/>
    </row>
    <row r="441" spans="8:23" x14ac:dyDescent="0.3">
      <c r="H441" t="s">
        <v>482</v>
      </c>
      <c r="J441" t="s">
        <v>262</v>
      </c>
      <c r="K441">
        <v>0</v>
      </c>
      <c r="W441" s="62"/>
    </row>
    <row r="442" spans="8:23" x14ac:dyDescent="0.3">
      <c r="H442" t="s">
        <v>483</v>
      </c>
      <c r="J442" t="s">
        <v>233</v>
      </c>
      <c r="K442">
        <v>1.122E-3</v>
      </c>
      <c r="W442" s="62"/>
    </row>
    <row r="443" spans="8:23" x14ac:dyDescent="0.3">
      <c r="H443" t="s">
        <v>484</v>
      </c>
      <c r="J443" t="s">
        <v>59</v>
      </c>
      <c r="K443">
        <v>0</v>
      </c>
      <c r="W443" s="62"/>
    </row>
    <row r="444" spans="8:23" x14ac:dyDescent="0.3">
      <c r="H444" t="s">
        <v>485</v>
      </c>
      <c r="J444" t="s">
        <v>252</v>
      </c>
      <c r="K444">
        <v>1.5572699999999999E-3</v>
      </c>
      <c r="W444" s="62"/>
    </row>
    <row r="445" spans="8:23" x14ac:dyDescent="0.3">
      <c r="H445" t="s">
        <v>486</v>
      </c>
      <c r="J445" t="s">
        <v>75</v>
      </c>
      <c r="K445">
        <v>0</v>
      </c>
      <c r="W445" s="62"/>
    </row>
    <row r="446" spans="8:23" x14ac:dyDescent="0.3">
      <c r="H446" t="s">
        <v>487</v>
      </c>
      <c r="J446" t="s">
        <v>167</v>
      </c>
      <c r="K446">
        <v>0</v>
      </c>
      <c r="W446" s="62"/>
    </row>
    <row r="447" spans="8:23" x14ac:dyDescent="0.3">
      <c r="H447" t="s">
        <v>488</v>
      </c>
      <c r="J447" t="s">
        <v>201</v>
      </c>
      <c r="K447">
        <v>0</v>
      </c>
      <c r="W447" s="62"/>
    </row>
    <row r="448" spans="8:23" x14ac:dyDescent="0.3">
      <c r="H448" t="s">
        <v>489</v>
      </c>
      <c r="J448" t="s">
        <v>92</v>
      </c>
      <c r="K448">
        <v>0</v>
      </c>
      <c r="W448" s="62"/>
    </row>
    <row r="449" spans="8:23" x14ac:dyDescent="0.3">
      <c r="H449" t="s">
        <v>490</v>
      </c>
      <c r="J449" t="s">
        <v>77</v>
      </c>
      <c r="K449">
        <v>0</v>
      </c>
      <c r="W449" s="62"/>
    </row>
    <row r="450" spans="8:23" x14ac:dyDescent="0.3">
      <c r="H450" t="s">
        <v>491</v>
      </c>
      <c r="J450" t="s">
        <v>101</v>
      </c>
      <c r="K450">
        <v>0</v>
      </c>
      <c r="W450" s="62"/>
    </row>
    <row r="451" spans="8:23" x14ac:dyDescent="0.3">
      <c r="H451" t="s">
        <v>492</v>
      </c>
      <c r="J451" t="s">
        <v>199</v>
      </c>
      <c r="K451">
        <v>0</v>
      </c>
      <c r="W451" s="62"/>
    </row>
    <row r="452" spans="8:23" x14ac:dyDescent="0.3">
      <c r="H452" t="s">
        <v>493</v>
      </c>
      <c r="J452" t="s">
        <v>139</v>
      </c>
      <c r="K452">
        <v>1.227163E-2</v>
      </c>
      <c r="W452" s="62"/>
    </row>
    <row r="453" spans="8:23" x14ac:dyDescent="0.3">
      <c r="H453" t="s">
        <v>494</v>
      </c>
      <c r="J453" t="s">
        <v>237</v>
      </c>
      <c r="K453">
        <v>0</v>
      </c>
      <c r="W453" s="62"/>
    </row>
    <row r="454" spans="8:23" x14ac:dyDescent="0.3">
      <c r="H454" t="s">
        <v>495</v>
      </c>
      <c r="J454" t="s">
        <v>224</v>
      </c>
      <c r="K454">
        <v>0</v>
      </c>
      <c r="W454" s="62"/>
    </row>
    <row r="455" spans="8:23" x14ac:dyDescent="0.3">
      <c r="H455" t="s">
        <v>496</v>
      </c>
      <c r="J455" t="s">
        <v>183</v>
      </c>
      <c r="K455">
        <v>0</v>
      </c>
      <c r="W455" s="62"/>
    </row>
    <row r="456" spans="8:23" x14ac:dyDescent="0.3">
      <c r="H456" t="s">
        <v>497</v>
      </c>
      <c r="J456" t="s">
        <v>276</v>
      </c>
      <c r="K456">
        <v>0</v>
      </c>
      <c r="W456" s="63"/>
    </row>
    <row r="457" spans="8:23" x14ac:dyDescent="0.3">
      <c r="H457" t="s">
        <v>498</v>
      </c>
      <c r="J457" t="s">
        <v>131</v>
      </c>
      <c r="K457">
        <v>5.5189699999999998E-3</v>
      </c>
    </row>
    <row r="458" spans="8:23" x14ac:dyDescent="0.3">
      <c r="H458" t="s">
        <v>499</v>
      </c>
      <c r="J458" t="s">
        <v>122</v>
      </c>
      <c r="K458">
        <v>1.3105199999999999E-3</v>
      </c>
    </row>
    <row r="459" spans="8:23" x14ac:dyDescent="0.3">
      <c r="H459" t="s">
        <v>500</v>
      </c>
      <c r="J459" t="s">
        <v>260</v>
      </c>
      <c r="K459">
        <v>0</v>
      </c>
    </row>
    <row r="460" spans="8:23" x14ac:dyDescent="0.3">
      <c r="H460" t="s">
        <v>501</v>
      </c>
      <c r="J460" t="s">
        <v>231</v>
      </c>
      <c r="K460">
        <v>0</v>
      </c>
    </row>
    <row r="461" spans="8:23" x14ac:dyDescent="0.3">
      <c r="H461" t="s">
        <v>502</v>
      </c>
      <c r="J461" t="s">
        <v>216</v>
      </c>
      <c r="K461">
        <v>0</v>
      </c>
    </row>
    <row r="462" spans="8:23" x14ac:dyDescent="0.3">
      <c r="H462" t="s">
        <v>503</v>
      </c>
      <c r="J462" t="s">
        <v>215</v>
      </c>
      <c r="K462">
        <v>0</v>
      </c>
    </row>
    <row r="463" spans="8:23" x14ac:dyDescent="0.3">
      <c r="H463" t="s">
        <v>504</v>
      </c>
      <c r="J463" t="s">
        <v>126</v>
      </c>
      <c r="K463">
        <v>0</v>
      </c>
    </row>
    <row r="464" spans="8:23" x14ac:dyDescent="0.3">
      <c r="H464" t="s">
        <v>505</v>
      </c>
      <c r="J464" t="s">
        <v>54</v>
      </c>
      <c r="K464">
        <v>0</v>
      </c>
    </row>
    <row r="465" spans="8:11" x14ac:dyDescent="0.3">
      <c r="H465" t="s">
        <v>506</v>
      </c>
      <c r="J465" t="s">
        <v>190</v>
      </c>
      <c r="K465">
        <v>0</v>
      </c>
    </row>
    <row r="466" spans="8:11" x14ac:dyDescent="0.3">
      <c r="H466" t="s">
        <v>507</v>
      </c>
      <c r="J466" t="s">
        <v>277</v>
      </c>
      <c r="K466">
        <v>0</v>
      </c>
    </row>
    <row r="467" spans="8:11" x14ac:dyDescent="0.3">
      <c r="H467" t="s">
        <v>508</v>
      </c>
      <c r="J467" t="s">
        <v>267</v>
      </c>
      <c r="K467">
        <v>0</v>
      </c>
    </row>
    <row r="468" spans="8:11" x14ac:dyDescent="0.3">
      <c r="H468" t="s">
        <v>509</v>
      </c>
      <c r="J468" t="s">
        <v>234</v>
      </c>
      <c r="K468">
        <v>5.0918999999999997E-4</v>
      </c>
    </row>
    <row r="469" spans="8:11" x14ac:dyDescent="0.3">
      <c r="H469" t="s">
        <v>510</v>
      </c>
      <c r="J469" t="s">
        <v>85</v>
      </c>
      <c r="K469">
        <v>0</v>
      </c>
    </row>
    <row r="470" spans="8:11" x14ac:dyDescent="0.3">
      <c r="H470" t="s">
        <v>511</v>
      </c>
      <c r="J470" t="s">
        <v>174</v>
      </c>
      <c r="K470">
        <v>0</v>
      </c>
    </row>
    <row r="471" spans="8:11" x14ac:dyDescent="0.3">
      <c r="H471" t="s">
        <v>512</v>
      </c>
      <c r="J471" t="s">
        <v>228</v>
      </c>
      <c r="K471">
        <v>0</v>
      </c>
    </row>
    <row r="472" spans="8:11" x14ac:dyDescent="0.3">
      <c r="H472" t="s">
        <v>513</v>
      </c>
      <c r="J472" t="s">
        <v>255</v>
      </c>
      <c r="K472">
        <v>0</v>
      </c>
    </row>
    <row r="473" spans="8:11" x14ac:dyDescent="0.3">
      <c r="H473" t="s">
        <v>514</v>
      </c>
      <c r="J473" t="s">
        <v>138</v>
      </c>
      <c r="K473">
        <v>1.6743299999999999E-3</v>
      </c>
    </row>
    <row r="474" spans="8:11" x14ac:dyDescent="0.3">
      <c r="H474" t="s">
        <v>515</v>
      </c>
      <c r="J474" t="s">
        <v>186</v>
      </c>
      <c r="K474">
        <v>3.1280700000000002E-3</v>
      </c>
    </row>
    <row r="475" spans="8:11" x14ac:dyDescent="0.3">
      <c r="H475" t="s">
        <v>516</v>
      </c>
      <c r="J475" t="s">
        <v>230</v>
      </c>
      <c r="K475">
        <v>5.5407000000000004E-4</v>
      </c>
    </row>
    <row r="476" spans="8:11" x14ac:dyDescent="0.3">
      <c r="H476" t="s">
        <v>517</v>
      </c>
      <c r="J476" t="s">
        <v>182</v>
      </c>
      <c r="K476">
        <v>6.6253469999999995E-2</v>
      </c>
    </row>
    <row r="477" spans="8:11" x14ac:dyDescent="0.3">
      <c r="H477" t="s">
        <v>518</v>
      </c>
      <c r="J477" t="s">
        <v>60</v>
      </c>
      <c r="K477">
        <v>0</v>
      </c>
    </row>
    <row r="478" spans="8:11" x14ac:dyDescent="0.3">
      <c r="H478" t="s">
        <v>519</v>
      </c>
      <c r="J478" t="s">
        <v>261</v>
      </c>
      <c r="K478">
        <v>2.9931000000000001E-4</v>
      </c>
    </row>
    <row r="479" spans="8:11" x14ac:dyDescent="0.3">
      <c r="H479" t="s">
        <v>520</v>
      </c>
      <c r="J479" t="s">
        <v>178</v>
      </c>
      <c r="K479">
        <v>3.6359399999999998E-3</v>
      </c>
    </row>
    <row r="480" spans="8:11" x14ac:dyDescent="0.3">
      <c r="H480" t="s">
        <v>521</v>
      </c>
      <c r="J480" t="s">
        <v>168</v>
      </c>
      <c r="K480">
        <v>8.8387199999999996E-3</v>
      </c>
    </row>
    <row r="481" spans="8:11" x14ac:dyDescent="0.3">
      <c r="H481" t="s">
        <v>522</v>
      </c>
      <c r="J481" t="s">
        <v>128</v>
      </c>
      <c r="K481">
        <v>0</v>
      </c>
    </row>
    <row r="482" spans="8:11" x14ac:dyDescent="0.3">
      <c r="H482" t="s">
        <v>523</v>
      </c>
      <c r="J482" t="s">
        <v>189</v>
      </c>
      <c r="K482">
        <v>0</v>
      </c>
    </row>
    <row r="483" spans="8:11" x14ac:dyDescent="0.3">
      <c r="H483" t="s">
        <v>524</v>
      </c>
      <c r="J483" t="s">
        <v>238</v>
      </c>
      <c r="K483">
        <v>0</v>
      </c>
    </row>
    <row r="484" spans="8:11" x14ac:dyDescent="0.3">
      <c r="H484" t="s">
        <v>525</v>
      </c>
      <c r="J484" t="s">
        <v>242</v>
      </c>
      <c r="K484">
        <v>0</v>
      </c>
    </row>
    <row r="485" spans="8:11" x14ac:dyDescent="0.3">
      <c r="H485" t="s">
        <v>526</v>
      </c>
      <c r="J485" t="s">
        <v>133</v>
      </c>
      <c r="K485">
        <v>0</v>
      </c>
    </row>
    <row r="486" spans="8:11" x14ac:dyDescent="0.3">
      <c r="H486" t="s">
        <v>527</v>
      </c>
      <c r="J486" t="s">
        <v>109</v>
      </c>
      <c r="K486">
        <v>0</v>
      </c>
    </row>
    <row r="487" spans="8:11" x14ac:dyDescent="0.3">
      <c r="H487" t="s">
        <v>528</v>
      </c>
      <c r="J487" t="s">
        <v>121</v>
      </c>
      <c r="K487">
        <v>3.2013949999999999E-2</v>
      </c>
    </row>
    <row r="488" spans="8:11" x14ac:dyDescent="0.3">
      <c r="H488" t="s">
        <v>529</v>
      </c>
      <c r="J488" t="s">
        <v>148</v>
      </c>
      <c r="K488">
        <v>1.9543899999999999E-3</v>
      </c>
    </row>
    <row r="489" spans="8:11" x14ac:dyDescent="0.3">
      <c r="H489" t="s">
        <v>530</v>
      </c>
      <c r="J489" t="s">
        <v>130</v>
      </c>
      <c r="K489">
        <v>0</v>
      </c>
    </row>
    <row r="490" spans="8:11" x14ac:dyDescent="0.3">
      <c r="H490" t="s">
        <v>531</v>
      </c>
      <c r="J490" t="s">
        <v>219</v>
      </c>
      <c r="K490">
        <v>0</v>
      </c>
    </row>
    <row r="491" spans="8:11" x14ac:dyDescent="0.3">
      <c r="H491" t="s">
        <v>532</v>
      </c>
      <c r="J491" t="s">
        <v>227</v>
      </c>
      <c r="K491">
        <v>0</v>
      </c>
    </row>
    <row r="492" spans="8:11" x14ac:dyDescent="0.3">
      <c r="H492" t="s">
        <v>533</v>
      </c>
      <c r="J492" t="s">
        <v>147</v>
      </c>
      <c r="K492">
        <v>1.76352E-3</v>
      </c>
    </row>
    <row r="493" spans="8:11" x14ac:dyDescent="0.3">
      <c r="H493" t="s">
        <v>534</v>
      </c>
      <c r="J493" t="s">
        <v>67</v>
      </c>
      <c r="K493">
        <v>0</v>
      </c>
    </row>
    <row r="494" spans="8:11" x14ac:dyDescent="0.3">
      <c r="H494" t="s">
        <v>535</v>
      </c>
      <c r="J494" t="s">
        <v>90</v>
      </c>
      <c r="K494">
        <v>7.1066300000000001E-3</v>
      </c>
    </row>
    <row r="495" spans="8:11" x14ac:dyDescent="0.3">
      <c r="H495" t="s">
        <v>536</v>
      </c>
      <c r="J495" t="s">
        <v>79</v>
      </c>
      <c r="K495">
        <v>2.6726300000000001E-3</v>
      </c>
    </row>
    <row r="496" spans="8:11" x14ac:dyDescent="0.3">
      <c r="H496" t="s">
        <v>537</v>
      </c>
      <c r="J496" t="s">
        <v>120</v>
      </c>
      <c r="K496">
        <v>9.0717E-4</v>
      </c>
    </row>
    <row r="497" spans="8:11" x14ac:dyDescent="0.3">
      <c r="H497" t="s">
        <v>538</v>
      </c>
      <c r="J497" t="s">
        <v>94</v>
      </c>
      <c r="K497">
        <v>7.1082000000000003E-4</v>
      </c>
    </row>
    <row r="498" spans="8:11" x14ac:dyDescent="0.3">
      <c r="H498" t="s">
        <v>539</v>
      </c>
      <c r="J498" t="s">
        <v>113</v>
      </c>
      <c r="K498">
        <v>3.1589800000000001E-2</v>
      </c>
    </row>
    <row r="499" spans="8:11" x14ac:dyDescent="0.3">
      <c r="H499" t="s">
        <v>540</v>
      </c>
      <c r="J499" t="s">
        <v>134</v>
      </c>
      <c r="K499">
        <v>3.9805020000000003E-2</v>
      </c>
    </row>
    <row r="500" spans="8:11" x14ac:dyDescent="0.3">
      <c r="H500" t="s">
        <v>541</v>
      </c>
      <c r="J500" t="s">
        <v>116</v>
      </c>
      <c r="K500">
        <v>0</v>
      </c>
    </row>
    <row r="501" spans="8:11" x14ac:dyDescent="0.3">
      <c r="H501" t="s">
        <v>542</v>
      </c>
      <c r="J501" t="s">
        <v>268</v>
      </c>
      <c r="K501">
        <v>0</v>
      </c>
    </row>
    <row r="502" spans="8:11" x14ac:dyDescent="0.3">
      <c r="H502" t="s">
        <v>543</v>
      </c>
      <c r="J502" t="s">
        <v>146</v>
      </c>
      <c r="K502">
        <v>6.0663389999999998E-2</v>
      </c>
    </row>
    <row r="503" spans="8:11" x14ac:dyDescent="0.3">
      <c r="H503" t="s">
        <v>544</v>
      </c>
      <c r="J503" t="s">
        <v>136</v>
      </c>
      <c r="K503">
        <v>6.7948129999999995E-2</v>
      </c>
    </row>
    <row r="504" spans="8:11" x14ac:dyDescent="0.3">
      <c r="H504" t="s">
        <v>545</v>
      </c>
      <c r="J504" t="s">
        <v>195</v>
      </c>
      <c r="K504">
        <v>0</v>
      </c>
    </row>
    <row r="505" spans="8:11" x14ac:dyDescent="0.3">
      <c r="H505" t="s">
        <v>546</v>
      </c>
      <c r="J505" t="s">
        <v>160</v>
      </c>
      <c r="K505">
        <v>0</v>
      </c>
    </row>
    <row r="506" spans="8:11" x14ac:dyDescent="0.3">
      <c r="H506" t="s">
        <v>547</v>
      </c>
      <c r="J506" t="s">
        <v>247</v>
      </c>
      <c r="K506">
        <v>0</v>
      </c>
    </row>
    <row r="507" spans="8:11" x14ac:dyDescent="0.3">
      <c r="H507" t="s">
        <v>548</v>
      </c>
      <c r="J507" t="s">
        <v>206</v>
      </c>
      <c r="K507">
        <v>0</v>
      </c>
    </row>
    <row r="508" spans="8:11" x14ac:dyDescent="0.3">
      <c r="H508" t="s">
        <v>549</v>
      </c>
      <c r="J508" t="s">
        <v>249</v>
      </c>
      <c r="K508">
        <v>0</v>
      </c>
    </row>
  </sheetData>
  <autoFilter ref="A8:BM226" xr:uid="{EFA49779-290C-47E1-A815-D7A501A3DBF1}">
    <sortState xmlns:xlrd2="http://schemas.microsoft.com/office/spreadsheetml/2017/richdata2" ref="A9:BM226">
      <sortCondition descending="1" ref="F8:F226"/>
    </sortState>
  </autoFilter>
  <mergeCells count="3">
    <mergeCell ref="S1:AE3"/>
    <mergeCell ref="AF1:AK3"/>
    <mergeCell ref="AL1:BM3"/>
  </mergeCells>
  <conditionalFormatting sqref="F9:F60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26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9:K22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226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:R226 M9:M222 Q9:R22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:BL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S60"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26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26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26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26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26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26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26">
    <cfRule type="colorScale" priority="1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26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26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26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26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26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26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26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26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26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26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26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26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26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26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26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26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26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26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26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26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26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26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26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26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26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26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26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26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26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26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26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26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26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26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26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26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26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26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60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226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N9:BN60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N9:BN226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M245:M275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4:S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BL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0:E222 C9:D21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:BL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G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K245:K27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9:P2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9:BM60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M9:BM22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9:E2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FD78-13E4-460E-A5A8-DA49117156E1}">
  <sheetPr>
    <tabColor theme="3" tint="0.249977111117893"/>
  </sheetPr>
  <dimension ref="A1:BL268"/>
  <sheetViews>
    <sheetView showGridLines="0" tabSelected="1" zoomScaleNormal="100" workbookViewId="0">
      <selection activeCell="K15" sqref="K15"/>
    </sheetView>
  </sheetViews>
  <sheetFormatPr defaultRowHeight="14.4" x14ac:dyDescent="0.3"/>
  <cols>
    <col min="5" max="5" width="12.88671875" customWidth="1"/>
    <col min="8" max="8" width="22.77734375" bestFit="1" customWidth="1"/>
    <col min="9" max="9" width="11.88671875" bestFit="1" customWidth="1"/>
    <col min="10" max="10" width="17.44140625" bestFit="1" customWidth="1"/>
    <col min="11" max="11" width="14.109375" bestFit="1" customWidth="1"/>
    <col min="12" max="12" width="20.21875" bestFit="1" customWidth="1"/>
    <col min="13" max="13" width="17.6640625" bestFit="1" customWidth="1"/>
    <col min="14" max="14" width="19.44140625" bestFit="1" customWidth="1"/>
    <col min="15" max="15" width="11.77734375" customWidth="1"/>
    <col min="17" max="17" width="15" bestFit="1" customWidth="1"/>
  </cols>
  <sheetData>
    <row r="1" spans="1:64" ht="14.4" customHeight="1" x14ac:dyDescent="0.3">
      <c r="B1" s="30">
        <f>COUNTIF(B9:B222,"&gt;0")</f>
        <v>38</v>
      </c>
      <c r="E1" s="30">
        <f>COUNTIF(E9:E222,"&gt;0")</f>
        <v>67</v>
      </c>
      <c r="K1" s="51" t="s">
        <v>320</v>
      </c>
      <c r="L1" s="52" t="s">
        <v>321</v>
      </c>
      <c r="M1" s="52" t="s">
        <v>312</v>
      </c>
      <c r="N1" s="52" t="s">
        <v>313</v>
      </c>
      <c r="O1" s="52" t="s">
        <v>322</v>
      </c>
      <c r="R1" s="102" t="s">
        <v>269</v>
      </c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3" t="s">
        <v>270</v>
      </c>
      <c r="AF1" s="103"/>
      <c r="AG1" s="103"/>
      <c r="AH1" s="103"/>
      <c r="AI1" s="103"/>
      <c r="AJ1" s="103"/>
      <c r="AK1" s="104" t="s">
        <v>271</v>
      </c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</row>
    <row r="2" spans="1:64" ht="14.4" customHeight="1" x14ac:dyDescent="0.3">
      <c r="K2" s="28" t="s">
        <v>322</v>
      </c>
      <c r="L2" s="2">
        <f>SQRT(SUMSQ(L9:L222)^2)</f>
        <v>2.2827E-2</v>
      </c>
      <c r="M2" s="2">
        <f>SQRT(SUMSQ(N9:N222)^2)</f>
        <v>7.3015388337651879E-2</v>
      </c>
      <c r="N2" s="2">
        <f>SQRT(SUMSQ(Q9:Q222)^2)</f>
        <v>4.185286839967009E-2</v>
      </c>
      <c r="O2" s="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</row>
    <row r="3" spans="1:64" ht="14.4" customHeight="1" x14ac:dyDescent="0.3">
      <c r="E3" s="30" t="s">
        <v>331</v>
      </c>
      <c r="F3" s="5">
        <f>SUMPRODUCT($D$9:$D$222,F9:F222)</f>
        <v>6.2452000000000035E-2</v>
      </c>
      <c r="K3" s="28" t="s">
        <v>325</v>
      </c>
      <c r="L3" s="2">
        <f>SQRT(SUMSQ(C9:C222)^2)</f>
        <v>2.1454999999999998E-2</v>
      </c>
      <c r="M3" s="2">
        <f>SQRT(SUMSQ(O9:O222)^2)</f>
        <v>4.0534391216207104E-2</v>
      </c>
      <c r="O3" s="2">
        <f>SQRT(SUMSQ(D9:D222)^2)</f>
        <v>3.8299999999999988E-4</v>
      </c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3"/>
      <c r="AF3" s="103"/>
      <c r="AG3" s="103"/>
      <c r="AH3" s="103"/>
      <c r="AI3" s="103"/>
      <c r="AJ3" s="103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</row>
    <row r="4" spans="1:64" ht="14.4" customHeight="1" x14ac:dyDescent="0.3">
      <c r="E4" s="32" t="s">
        <v>317</v>
      </c>
      <c r="F4" s="5">
        <f>SUMPRODUCT($Q$9:$Q$222,F9:F222)</f>
        <v>3.4543137642348447E-2</v>
      </c>
      <c r="Q4" s="30" t="s">
        <v>331</v>
      </c>
      <c r="R4" s="5">
        <f>SUMPRODUCT($D$9:$D$226,R9:R226)</f>
        <v>3.7584999999999993E-2</v>
      </c>
      <c r="S4" s="5">
        <f t="shared" ref="S4:BK4" si="0">SUMPRODUCT($D$9:$D$226,S9:S226)</f>
        <v>3.4378999999999993E-2</v>
      </c>
      <c r="T4" s="5">
        <f t="shared" si="0"/>
        <v>3.7803999999999997E-2</v>
      </c>
      <c r="U4" s="5">
        <f t="shared" si="0"/>
        <v>3.4272999999999998E-2</v>
      </c>
      <c r="V4" s="5">
        <f t="shared" si="0"/>
        <v>3.9319E-2</v>
      </c>
      <c r="W4" s="5">
        <f t="shared" si="0"/>
        <v>2.7453999999999999E-2</v>
      </c>
      <c r="X4" s="5">
        <f t="shared" si="0"/>
        <v>1.8769999999999995E-2</v>
      </c>
      <c r="Y4" s="5">
        <f t="shared" si="0"/>
        <v>2.9155999999999994E-2</v>
      </c>
      <c r="Z4" s="5">
        <f t="shared" si="0"/>
        <v>6.8680000000000104E-3</v>
      </c>
      <c r="AA4" s="5">
        <f t="shared" si="0"/>
        <v>6.8500000000000063E-3</v>
      </c>
      <c r="AB4" s="5">
        <f t="shared" si="0"/>
        <v>2.5550000000000117E-3</v>
      </c>
      <c r="AC4" s="5">
        <f t="shared" si="0"/>
        <v>-4.049999999999887E-4</v>
      </c>
      <c r="AD4" s="5">
        <f t="shared" si="0"/>
        <v>6.6210000000000028E-3</v>
      </c>
      <c r="AE4" s="5">
        <f t="shared" si="0"/>
        <v>3.4254999999999994E-2</v>
      </c>
      <c r="AF4" s="5">
        <f t="shared" si="0"/>
        <v>2.5185999999999997E-2</v>
      </c>
      <c r="AG4" s="5">
        <f t="shared" si="0"/>
        <v>1.4435999999999999E-2</v>
      </c>
      <c r="AH4" s="5">
        <f t="shared" si="0"/>
        <v>2.1747999999999983E-2</v>
      </c>
      <c r="AI4" s="5">
        <f t="shared" si="0"/>
        <v>2.2769999999999985E-2</v>
      </c>
      <c r="AJ4" s="5">
        <f t="shared" si="0"/>
        <v>3.3648999999999984E-2</v>
      </c>
      <c r="AK4" s="5">
        <f t="shared" si="0"/>
        <v>9.4769999999999993E-3</v>
      </c>
      <c r="AL4" s="5">
        <f t="shared" si="0"/>
        <v>1.3674E-2</v>
      </c>
      <c r="AM4" s="5">
        <f t="shared" si="0"/>
        <v>9.0889999999999912E-3</v>
      </c>
      <c r="AN4" s="5">
        <f t="shared" si="0"/>
        <v>2.0257999999999998E-2</v>
      </c>
      <c r="AO4" s="5">
        <f t="shared" si="0"/>
        <v>8.0000000000000004E-4</v>
      </c>
      <c r="AP4" s="5">
        <f t="shared" si="0"/>
        <v>-1.4249999999999961E-3</v>
      </c>
      <c r="AQ4" s="5">
        <f t="shared" si="0"/>
        <v>2.5080000000000015E-3</v>
      </c>
      <c r="AR4" s="5">
        <f t="shared" si="0"/>
        <v>-2.5979999999999987E-3</v>
      </c>
      <c r="AS4" s="5">
        <f t="shared" si="0"/>
        <v>-5.4819999999999999E-3</v>
      </c>
      <c r="AT4" s="5">
        <f t="shared" si="0"/>
        <v>9.7980000000000081E-3</v>
      </c>
      <c r="AU4" s="5">
        <f t="shared" si="0"/>
        <v>2.5599999999999967E-3</v>
      </c>
      <c r="AV4" s="5">
        <f t="shared" si="0"/>
        <v>1.4031000000000005E-2</v>
      </c>
      <c r="AW4" s="5">
        <f t="shared" si="0"/>
        <v>-3.2389999999999945E-3</v>
      </c>
      <c r="AX4" s="5">
        <f t="shared" si="0"/>
        <v>2.0619999999999999E-2</v>
      </c>
      <c r="AY4" s="5">
        <f t="shared" si="0"/>
        <v>-1.0905999999999987E-2</v>
      </c>
      <c r="AZ4" s="5">
        <f t="shared" si="0"/>
        <v>-3.2739999999999944E-3</v>
      </c>
      <c r="BA4" s="5">
        <f t="shared" si="0"/>
        <v>2.7440000000000029E-3</v>
      </c>
      <c r="BB4" s="5">
        <f t="shared" si="0"/>
        <v>2.7149999999999974E-3</v>
      </c>
      <c r="BC4" s="5">
        <f t="shared" si="0"/>
        <v>1.2025999999999995E-2</v>
      </c>
      <c r="BD4" s="5">
        <f t="shared" si="0"/>
        <v>-2.801999999999995E-3</v>
      </c>
      <c r="BE4" s="5">
        <f t="shared" si="0"/>
        <v>-7.2720000000000007E-3</v>
      </c>
      <c r="BF4" s="5">
        <f t="shared" si="0"/>
        <v>-2.4660000000000046E-3</v>
      </c>
      <c r="BG4" s="5">
        <f t="shared" si="0"/>
        <v>-1.0769999999999988E-2</v>
      </c>
      <c r="BH4" s="5">
        <f t="shared" si="0"/>
        <v>5.2719999999999911E-3</v>
      </c>
      <c r="BI4" s="5">
        <f t="shared" si="0"/>
        <v>6.4179999999999975E-3</v>
      </c>
      <c r="BJ4" s="5">
        <f t="shared" si="0"/>
        <v>1.0532999999999994E-2</v>
      </c>
      <c r="BK4" s="5">
        <f t="shared" si="0"/>
        <v>2.2975999999999989E-2</v>
      </c>
    </row>
    <row r="5" spans="1:64" ht="14.4" customHeight="1" x14ac:dyDescent="0.3">
      <c r="E5" s="32" t="s">
        <v>318</v>
      </c>
      <c r="F5" s="5">
        <f>SUMPRODUCT($O$9:$O$222,F9:F222)</f>
        <v>-0.43261610579813936</v>
      </c>
      <c r="Q5" s="32" t="s">
        <v>317</v>
      </c>
      <c r="R5" s="5">
        <f>SUMPRODUCT($Q$9:$Q$226,R9:R226)</f>
        <v>5.3086140337003873E-2</v>
      </c>
      <c r="S5" s="5">
        <f t="shared" ref="S5:BK5" si="1">SUMPRODUCT($Q$9:$Q$226,S9:S226)</f>
        <v>-2.4449984497660268E-2</v>
      </c>
      <c r="T5" s="5">
        <f t="shared" si="1"/>
        <v>0.1344527428995908</v>
      </c>
      <c r="U5" s="5">
        <f t="shared" si="1"/>
        <v>2.4543499238075795E-2</v>
      </c>
      <c r="V5" s="5">
        <f t="shared" si="1"/>
        <v>7.4111708297625936E-2</v>
      </c>
      <c r="W5" s="5">
        <f t="shared" si="1"/>
        <v>4.4055233000285625E-2</v>
      </c>
      <c r="X5" s="5">
        <f t="shared" si="1"/>
        <v>8.1397496012515003E-2</v>
      </c>
      <c r="Y5" s="5">
        <f t="shared" si="1"/>
        <v>2.284782359220577E-2</v>
      </c>
      <c r="Z5" s="5">
        <f t="shared" si="1"/>
        <v>-9.6068351113837505E-3</v>
      </c>
      <c r="AA5" s="5">
        <f t="shared" si="1"/>
        <v>-1.0720747974400459E-2</v>
      </c>
      <c r="AB5" s="5">
        <f t="shared" si="1"/>
        <v>1.9582402098311393E-2</v>
      </c>
      <c r="AC5" s="5">
        <f t="shared" si="1"/>
        <v>-7.8152433382711675E-3</v>
      </c>
      <c r="AD5" s="5">
        <f t="shared" si="1"/>
        <v>-1.9357507789819275E-2</v>
      </c>
      <c r="AE5" s="5">
        <f t="shared" si="1"/>
        <v>0.17300935741111581</v>
      </c>
      <c r="AF5" s="5">
        <f t="shared" si="1"/>
        <v>0.1011778275831843</v>
      </c>
      <c r="AG5" s="5">
        <f t="shared" si="1"/>
        <v>-0.14549134180301548</v>
      </c>
      <c r="AH5" s="5">
        <f t="shared" si="1"/>
        <v>0.18192253905286618</v>
      </c>
      <c r="AI5" s="5">
        <f t="shared" si="1"/>
        <v>2.8513925250142971E-3</v>
      </c>
      <c r="AJ5" s="5">
        <f t="shared" si="1"/>
        <v>0.10824892169805816</v>
      </c>
      <c r="AK5" s="5">
        <f t="shared" si="1"/>
        <v>0.10477054606849884</v>
      </c>
      <c r="AL5" s="5">
        <f t="shared" si="1"/>
        <v>0.24788347249362735</v>
      </c>
      <c r="AM5" s="5">
        <f t="shared" si="1"/>
        <v>0.13853144600104222</v>
      </c>
      <c r="AN5" s="5">
        <f t="shared" si="1"/>
        <v>9.4924061255642858E-2</v>
      </c>
      <c r="AO5" s="5">
        <f t="shared" si="1"/>
        <v>-0.22775726309710798</v>
      </c>
      <c r="AP5" s="5">
        <f t="shared" si="1"/>
        <v>-0.29039332466226991</v>
      </c>
      <c r="AQ5" s="5">
        <f t="shared" si="1"/>
        <v>-0.1338829080698406</v>
      </c>
      <c r="AR5" s="5">
        <f t="shared" si="1"/>
        <v>-4.5688633681261109E-2</v>
      </c>
      <c r="AS5" s="5">
        <f t="shared" si="1"/>
        <v>-0.14666617466665605</v>
      </c>
      <c r="AT5" s="5">
        <f t="shared" si="1"/>
        <v>-2.5857714184591585E-2</v>
      </c>
      <c r="AU5" s="5">
        <f t="shared" si="1"/>
        <v>2.6743763165332349E-2</v>
      </c>
      <c r="AV5" s="5">
        <f t="shared" si="1"/>
        <v>5.9886913567103583E-3</v>
      </c>
      <c r="AW5" s="5">
        <f t="shared" si="1"/>
        <v>3.2262390324104447E-2</v>
      </c>
      <c r="AX5" s="5">
        <f t="shared" si="1"/>
        <v>7.1478692449507081E-2</v>
      </c>
      <c r="AY5" s="5">
        <f t="shared" si="1"/>
        <v>8.63933662332814E-3</v>
      </c>
      <c r="AZ5" s="5">
        <f t="shared" si="1"/>
        <v>-5.6014810215615593E-2</v>
      </c>
      <c r="BA5" s="5">
        <f t="shared" si="1"/>
        <v>-9.0857942005136721E-2</v>
      </c>
      <c r="BB5" s="5">
        <f t="shared" si="1"/>
        <v>4.7303765500160758E-2</v>
      </c>
      <c r="BC5" s="5">
        <f t="shared" si="1"/>
        <v>0.10381136880120451</v>
      </c>
      <c r="BD5" s="5">
        <f t="shared" si="1"/>
        <v>-2.5951181699975314E-2</v>
      </c>
      <c r="BE5" s="5">
        <f t="shared" si="1"/>
        <v>0.16207764939972494</v>
      </c>
      <c r="BF5" s="5">
        <f t="shared" si="1"/>
        <v>7.9336537895057693E-2</v>
      </c>
      <c r="BG5" s="5">
        <f t="shared" si="1"/>
        <v>-5.3357503561012584E-2</v>
      </c>
      <c r="BH5" s="5">
        <f t="shared" si="1"/>
        <v>0.12507629863760991</v>
      </c>
      <c r="BI5" s="5">
        <f t="shared" si="1"/>
        <v>7.3903309111265095E-2</v>
      </c>
      <c r="BJ5" s="5">
        <f t="shared" si="1"/>
        <v>0.10680824324531293</v>
      </c>
      <c r="BK5" s="5">
        <f t="shared" si="1"/>
        <v>0.15393458059043105</v>
      </c>
    </row>
    <row r="6" spans="1:64" ht="14.4" customHeight="1" x14ac:dyDescent="0.3">
      <c r="E6" s="32" t="s">
        <v>319</v>
      </c>
      <c r="F6" s="5">
        <f>SUMPRODUCT($L$9:$L$222,F9:F222)</f>
        <v>0.4683670000000002</v>
      </c>
      <c r="G6" s="5">
        <f>SUMPRODUCT($L$9:$L$222,G9:G222)</f>
        <v>0.64973700000000023</v>
      </c>
      <c r="Q6" s="32" t="s">
        <v>318</v>
      </c>
      <c r="R6" s="5">
        <f>SUMPRODUCT($O$9:$O$226,R9:R226)</f>
        <v>-0.21597168660209198</v>
      </c>
      <c r="S6" s="5">
        <f t="shared" ref="S6:BK6" si="2">SUMPRODUCT($O$9:$O$226,S9:S226)</f>
        <v>-0.18287058671630818</v>
      </c>
      <c r="T6" s="5">
        <f t="shared" si="2"/>
        <v>-9.2801236247965588E-2</v>
      </c>
      <c r="U6" s="5">
        <f t="shared" si="2"/>
        <v>-0.2691144487439503</v>
      </c>
      <c r="V6" s="5">
        <f t="shared" si="2"/>
        <v>-0.18396119170228781</v>
      </c>
      <c r="W6" s="5">
        <f t="shared" si="2"/>
        <v>-0.23063888293046356</v>
      </c>
      <c r="X6" s="5">
        <f t="shared" si="2"/>
        <v>-0.22061253627129268</v>
      </c>
      <c r="Y6" s="5">
        <f t="shared" si="2"/>
        <v>-0.19591368353524574</v>
      </c>
      <c r="Z6" s="5">
        <f t="shared" si="2"/>
        <v>-6.8020991201775585E-2</v>
      </c>
      <c r="AA6" s="5">
        <f t="shared" si="2"/>
        <v>-6.7677866995476982E-2</v>
      </c>
      <c r="AB6" s="5">
        <f t="shared" si="2"/>
        <v>-2.3760301507351884E-2</v>
      </c>
      <c r="AC6" s="5">
        <f t="shared" si="2"/>
        <v>-3.4272765238903297E-2</v>
      </c>
      <c r="AD6" s="5">
        <f t="shared" si="2"/>
        <v>-5.2959480491497991E-2</v>
      </c>
      <c r="AE6" s="5">
        <f t="shared" si="2"/>
        <v>-0.22807500649255011</v>
      </c>
      <c r="AF6" s="5">
        <f t="shared" si="2"/>
        <v>-0.11039055613366311</v>
      </c>
      <c r="AG6" s="5">
        <f t="shared" si="2"/>
        <v>-9.3128253435839831E-2</v>
      </c>
      <c r="AH6" s="5">
        <f t="shared" si="2"/>
        <v>2.5831452830675099E-2</v>
      </c>
      <c r="AI6" s="5">
        <f t="shared" si="2"/>
        <v>-5.0677910684566521E-3</v>
      </c>
      <c r="AJ6" s="5">
        <f t="shared" si="2"/>
        <v>-7.2080529935730955E-2</v>
      </c>
      <c r="AK6" s="5">
        <f t="shared" si="2"/>
        <v>-9.92799182752655E-2</v>
      </c>
      <c r="AL6" s="5">
        <f t="shared" si="2"/>
        <v>3.3952289679276444E-2</v>
      </c>
      <c r="AM6" s="5">
        <f t="shared" si="2"/>
        <v>9.2126512351037498E-2</v>
      </c>
      <c r="AN6" s="5">
        <f t="shared" si="2"/>
        <v>-5.4540833701299141E-2</v>
      </c>
      <c r="AO6" s="5">
        <f t="shared" si="2"/>
        <v>-9.4230034113593E-2</v>
      </c>
      <c r="AP6" s="5">
        <f t="shared" si="2"/>
        <v>-1.0283114515530191E-2</v>
      </c>
      <c r="AQ6" s="5">
        <f t="shared" si="2"/>
        <v>-8.4846563703695588E-2</v>
      </c>
      <c r="AR6" s="5">
        <f t="shared" si="2"/>
        <v>-1.9987812112130104E-5</v>
      </c>
      <c r="AS6" s="5">
        <f t="shared" si="2"/>
        <v>-9.811636566145282E-3</v>
      </c>
      <c r="AT6" s="5">
        <f t="shared" si="2"/>
        <v>-8.5591831696846588E-2</v>
      </c>
      <c r="AU6" s="5">
        <f t="shared" si="2"/>
        <v>-0.16972612643381757</v>
      </c>
      <c r="AV6" s="5">
        <f t="shared" si="2"/>
        <v>-0.23933553210459935</v>
      </c>
      <c r="AW6" s="5">
        <f t="shared" si="2"/>
        <v>9.9473610387131248E-3</v>
      </c>
      <c r="AX6" s="5">
        <f t="shared" si="2"/>
        <v>-0.12449040364032909</v>
      </c>
      <c r="AY6" s="5">
        <f t="shared" si="2"/>
        <v>0.12000908572995414</v>
      </c>
      <c r="AZ6" s="5">
        <f t="shared" si="2"/>
        <v>-4.2268688424915282E-2</v>
      </c>
      <c r="BA6" s="5">
        <f t="shared" si="2"/>
        <v>-0.12823035772777905</v>
      </c>
      <c r="BB6" s="5">
        <f t="shared" si="2"/>
        <v>-5.8640022666814222E-2</v>
      </c>
      <c r="BC6" s="5">
        <f t="shared" si="2"/>
        <v>-0.17045399528799474</v>
      </c>
      <c r="BD6" s="5">
        <f t="shared" si="2"/>
        <v>-1.9279060813486765E-2</v>
      </c>
      <c r="BE6" s="5">
        <f t="shared" si="2"/>
        <v>6.0255436798606697E-2</v>
      </c>
      <c r="BF6" s="5">
        <f t="shared" si="2"/>
        <v>-5.081646824371561E-3</v>
      </c>
      <c r="BG6" s="5">
        <f t="shared" si="2"/>
        <v>3.4785073469273189E-2</v>
      </c>
      <c r="BH6" s="5">
        <f t="shared" si="2"/>
        <v>5.7082407633875745E-2</v>
      </c>
      <c r="BI6" s="5">
        <f t="shared" si="2"/>
        <v>5.5873053438094044E-4</v>
      </c>
      <c r="BJ6" s="5">
        <f t="shared" si="2"/>
        <v>-2.3981558791005331E-2</v>
      </c>
      <c r="BK6" s="5">
        <f t="shared" si="2"/>
        <v>3.7309357779019156E-2</v>
      </c>
    </row>
    <row r="7" spans="1:64" ht="15" thickBot="1" x14ac:dyDescent="0.35">
      <c r="B7" s="54">
        <f>SUM(B9:B222)</f>
        <v>1.0000000000000004</v>
      </c>
      <c r="E7" s="54">
        <f>SUM(E9:E222)</f>
        <v>1.0030000000000006</v>
      </c>
      <c r="F7" s="5">
        <f>SUMPRODUCT($L$9:$L$226,F9:F226)</f>
        <v>0.4683670000000002</v>
      </c>
      <c r="G7" s="5">
        <f>SUMPRODUCT($L$9:$L$226,G9:G226)</f>
        <v>0.64973700000000023</v>
      </c>
      <c r="K7" s="54">
        <f>SUM(K9:K222)</f>
        <v>1.0030000000000003</v>
      </c>
      <c r="M7" s="5"/>
      <c r="N7" s="54">
        <f>SUM(N9:N222)</f>
        <v>0.99999999999999967</v>
      </c>
      <c r="O7" s="5"/>
      <c r="P7" s="54">
        <f>SUM(P9:P222)</f>
        <v>0.99999999999999989</v>
      </c>
      <c r="Q7" s="32" t="s">
        <v>319</v>
      </c>
      <c r="R7" s="5">
        <f t="shared" ref="R7:BK7" si="3">SUMPRODUCT($L$9:$L$226,R9:R226)</f>
        <v>0.31800600000000001</v>
      </c>
      <c r="S7" s="5">
        <f t="shared" si="3"/>
        <v>0.30433800000000005</v>
      </c>
      <c r="T7" s="5">
        <f t="shared" si="3"/>
        <v>0.24924400000000005</v>
      </c>
      <c r="U7" s="5">
        <f t="shared" si="3"/>
        <v>0.33112599999999992</v>
      </c>
      <c r="V7" s="5">
        <f t="shared" si="3"/>
        <v>0.282441</v>
      </c>
      <c r="W7" s="5">
        <f t="shared" si="3"/>
        <v>0.34815599999999997</v>
      </c>
      <c r="X7" s="5">
        <f t="shared" si="3"/>
        <v>0.33647599999999994</v>
      </c>
      <c r="Y7" s="5">
        <f t="shared" si="3"/>
        <v>0.32992000000000005</v>
      </c>
      <c r="Z7" s="5">
        <f t="shared" si="3"/>
        <v>0.17543399999999998</v>
      </c>
      <c r="AA7" s="5">
        <f t="shared" si="3"/>
        <v>0.174735</v>
      </c>
      <c r="AB7" s="5">
        <f t="shared" si="3"/>
        <v>9.5436999999999828E-2</v>
      </c>
      <c r="AC7" s="6">
        <f t="shared" si="3"/>
        <v>0.11123700000000003</v>
      </c>
      <c r="AD7" s="13">
        <f t="shared" si="3"/>
        <v>0.15734800000000007</v>
      </c>
      <c r="AE7" s="12">
        <f t="shared" si="3"/>
        <v>0.21996900000000005</v>
      </c>
      <c r="AF7" s="13">
        <f t="shared" si="3"/>
        <v>0.16520000000000001</v>
      </c>
      <c r="AG7" s="13">
        <f t="shared" si="3"/>
        <v>0.21373900000000001</v>
      </c>
      <c r="AH7" s="13">
        <f t="shared" si="3"/>
        <v>0.16979200000000003</v>
      </c>
      <c r="AI7" s="13">
        <f t="shared" si="3"/>
        <v>0.25098900000000002</v>
      </c>
      <c r="AJ7" s="7">
        <f t="shared" si="3"/>
        <v>0.21455799999999994</v>
      </c>
      <c r="AK7" s="6">
        <f t="shared" si="3"/>
        <v>3.0386999999999994E-2</v>
      </c>
      <c r="AL7" s="5">
        <f t="shared" si="3"/>
        <v>0.14432700000000004</v>
      </c>
      <c r="AM7" s="5">
        <f t="shared" si="3"/>
        <v>-9.6619999999999762E-3</v>
      </c>
      <c r="AN7" s="5">
        <f t="shared" si="3"/>
        <v>9.2959999999999848E-3</v>
      </c>
      <c r="AO7" s="5">
        <f t="shared" si="3"/>
        <v>0.13902799999999998</v>
      </c>
      <c r="AP7" s="5">
        <f t="shared" si="3"/>
        <v>3.7971999999999999E-2</v>
      </c>
      <c r="AQ7" s="5">
        <f t="shared" si="3"/>
        <v>0.10678900000000001</v>
      </c>
      <c r="AR7" s="5">
        <f t="shared" si="3"/>
        <v>0.15871000000000002</v>
      </c>
      <c r="AS7" s="5">
        <f t="shared" si="3"/>
        <v>9.7991999999999982E-2</v>
      </c>
      <c r="AT7" s="5">
        <f t="shared" si="3"/>
        <v>9.1420000000000015E-2</v>
      </c>
      <c r="AU7" s="5">
        <f t="shared" si="3"/>
        <v>8.1449999999999967E-2</v>
      </c>
      <c r="AV7" s="5">
        <f t="shared" si="3"/>
        <v>0.21796799999999997</v>
      </c>
      <c r="AW7" s="5">
        <f t="shared" si="3"/>
        <v>4.664699999999998E-2</v>
      </c>
      <c r="AX7" s="5">
        <f t="shared" si="3"/>
        <v>0.12608799999999998</v>
      </c>
      <c r="AY7" s="5">
        <f t="shared" si="3"/>
        <v>8.874499999999981E-2</v>
      </c>
      <c r="AZ7" s="5">
        <f t="shared" si="3"/>
        <v>0.13514000000000004</v>
      </c>
      <c r="BA7" s="5">
        <f t="shared" si="3"/>
        <v>0.10989099999999996</v>
      </c>
      <c r="BB7" s="5">
        <f t="shared" si="3"/>
        <v>3.3108000000000012E-2</v>
      </c>
      <c r="BC7" s="5">
        <f t="shared" si="3"/>
        <v>2.9351000000000002E-2</v>
      </c>
      <c r="BD7" s="5">
        <f t="shared" si="3"/>
        <v>6.8572999999999953E-2</v>
      </c>
      <c r="BE7" s="5">
        <f t="shared" si="3"/>
        <v>-6.6662000000000027E-2</v>
      </c>
      <c r="BF7" s="5">
        <f t="shared" si="3"/>
        <v>-4.3012000000000009E-2</v>
      </c>
      <c r="BG7" s="5">
        <f t="shared" si="3"/>
        <v>1.7425000000000086E-2</v>
      </c>
      <c r="BH7" s="5">
        <f t="shared" si="3"/>
        <v>-0.10759500000000002</v>
      </c>
      <c r="BI7" s="5">
        <f t="shared" si="3"/>
        <v>-1.7037999999999994E-2</v>
      </c>
      <c r="BJ7" s="5">
        <f t="shared" si="3"/>
        <v>0.13517099999999999</v>
      </c>
      <c r="BK7" s="5">
        <f t="shared" si="3"/>
        <v>0.16907300000000003</v>
      </c>
    </row>
    <row r="8" spans="1:64" x14ac:dyDescent="0.3">
      <c r="A8" s="1" t="s">
        <v>0</v>
      </c>
      <c r="B8" s="55" t="s">
        <v>325</v>
      </c>
      <c r="C8" s="56" t="s">
        <v>554</v>
      </c>
      <c r="D8" s="56" t="s">
        <v>330</v>
      </c>
      <c r="E8" s="57" t="s">
        <v>321</v>
      </c>
      <c r="F8" s="1" t="s">
        <v>1</v>
      </c>
      <c r="G8" s="1" t="s">
        <v>2</v>
      </c>
      <c r="H8" s="1" t="s">
        <v>3</v>
      </c>
      <c r="I8" s="22" t="s">
        <v>305</v>
      </c>
      <c r="J8" s="22" t="s">
        <v>307</v>
      </c>
      <c r="K8" s="64" t="s">
        <v>334</v>
      </c>
      <c r="L8" s="98" t="s">
        <v>5</v>
      </c>
      <c r="M8" s="99" t="s">
        <v>274</v>
      </c>
      <c r="N8" s="64" t="s">
        <v>314</v>
      </c>
      <c r="O8" s="60" t="s">
        <v>318</v>
      </c>
      <c r="P8" s="64" t="s">
        <v>315</v>
      </c>
      <c r="Q8" s="70" t="s">
        <v>317</v>
      </c>
      <c r="R8" s="46" t="s">
        <v>6</v>
      </c>
      <c r="S8" s="3" t="s">
        <v>7</v>
      </c>
      <c r="T8" s="3" t="s">
        <v>8</v>
      </c>
      <c r="U8" s="3" t="s">
        <v>9</v>
      </c>
      <c r="V8" s="3" t="s">
        <v>10</v>
      </c>
      <c r="W8" s="3" t="s">
        <v>11</v>
      </c>
      <c r="X8" s="3" t="s">
        <v>12</v>
      </c>
      <c r="Y8" s="3" t="s">
        <v>13</v>
      </c>
      <c r="Z8" s="3" t="s">
        <v>14</v>
      </c>
      <c r="AA8" s="3" t="s">
        <v>15</v>
      </c>
      <c r="AB8" s="3" t="s">
        <v>16</v>
      </c>
      <c r="AC8" s="3" t="s">
        <v>17</v>
      </c>
      <c r="AD8" s="3" t="s">
        <v>18</v>
      </c>
      <c r="AE8" s="3" t="s">
        <v>19</v>
      </c>
      <c r="AF8" s="14" t="s">
        <v>20</v>
      </c>
      <c r="AG8" s="14" t="s">
        <v>21</v>
      </c>
      <c r="AH8" s="15" t="s">
        <v>22</v>
      </c>
      <c r="AI8" s="15" t="s">
        <v>23</v>
      </c>
      <c r="AJ8" s="15" t="s">
        <v>24</v>
      </c>
      <c r="AK8" s="16" t="s">
        <v>25</v>
      </c>
      <c r="AL8" s="8" t="s">
        <v>26</v>
      </c>
      <c r="AM8" s="3" t="s">
        <v>27</v>
      </c>
      <c r="AN8" s="3" t="s">
        <v>28</v>
      </c>
      <c r="AO8" s="3" t="s">
        <v>29</v>
      </c>
      <c r="AP8" s="3" t="s">
        <v>30</v>
      </c>
      <c r="AQ8" s="3" t="s">
        <v>31</v>
      </c>
      <c r="AR8" s="3" t="s">
        <v>32</v>
      </c>
      <c r="AS8" s="3" t="s">
        <v>33</v>
      </c>
      <c r="AT8" s="3" t="s">
        <v>34</v>
      </c>
      <c r="AU8" s="3" t="s">
        <v>35</v>
      </c>
      <c r="AV8" s="3" t="s">
        <v>36</v>
      </c>
      <c r="AW8" s="3" t="s">
        <v>37</v>
      </c>
      <c r="AX8" s="3" t="s">
        <v>38</v>
      </c>
      <c r="AY8" s="3" t="s">
        <v>39</v>
      </c>
      <c r="AZ8" s="3" t="s">
        <v>40</v>
      </c>
      <c r="BA8" s="3" t="s">
        <v>41</v>
      </c>
      <c r="BB8" s="3" t="s">
        <v>42</v>
      </c>
      <c r="BC8" s="3" t="s">
        <v>43</v>
      </c>
      <c r="BD8" s="3" t="s">
        <v>44</v>
      </c>
      <c r="BE8" s="3" t="s">
        <v>45</v>
      </c>
      <c r="BF8" s="3" t="s">
        <v>46</v>
      </c>
      <c r="BG8" s="3" t="s">
        <v>47</v>
      </c>
      <c r="BH8" s="3" t="s">
        <v>48</v>
      </c>
      <c r="BI8" s="3" t="s">
        <v>49</v>
      </c>
      <c r="BJ8" s="3" t="s">
        <v>50</v>
      </c>
      <c r="BK8" s="3" t="s">
        <v>51</v>
      </c>
      <c r="BL8" s="3"/>
    </row>
    <row r="9" spans="1:64" x14ac:dyDescent="0.3">
      <c r="A9" t="s">
        <v>91</v>
      </c>
      <c r="B9" s="53">
        <v>5.0000000000000001E-3</v>
      </c>
      <c r="C9" s="53">
        <f>B9-E9</f>
        <v>5.0000000000000001E-3</v>
      </c>
      <c r="D9" s="53">
        <f>B9-K9</f>
        <v>5.0000000000000001E-3</v>
      </c>
      <c r="E9" s="53">
        <f>M9</f>
        <v>0</v>
      </c>
      <c r="F9" s="15">
        <v>3.6120000000000001</v>
      </c>
      <c r="G9">
        <v>3.3759999999999999</v>
      </c>
      <c r="H9" t="s">
        <v>57</v>
      </c>
      <c r="I9" t="str">
        <f>VLOOKUP(A9,Setores!$A$2:$C$215,2,0)</f>
        <v>homebuilders</v>
      </c>
      <c r="J9" t="str">
        <f>VLOOKUP(A9,Setores!$A$2:$C$215,3,0)</f>
        <v>very_high_beta</v>
      </c>
      <c r="K9" s="100">
        <v>0</v>
      </c>
      <c r="L9" s="58">
        <v>0</v>
      </c>
      <c r="M9" s="7">
        <v>0</v>
      </c>
      <c r="N9" s="41">
        <f>VLOOKUP(A9,'Mandato ISEE'!$A$1:$C$215,2,0)</f>
        <v>0</v>
      </c>
      <c r="O9" s="58">
        <f>K9-N9</f>
        <v>0</v>
      </c>
      <c r="P9" s="41">
        <f>VLOOKUP(A9,'Mandato ISEE'!$A$1:$C$215,3,0)</f>
        <v>0</v>
      </c>
      <c r="Q9" s="42">
        <f>K9-P9</f>
        <v>0</v>
      </c>
      <c r="R9" s="42">
        <v>1</v>
      </c>
      <c r="S9" s="15">
        <v>1</v>
      </c>
      <c r="T9" s="15">
        <v>0.60599999999999998</v>
      </c>
      <c r="U9" s="15">
        <v>1</v>
      </c>
      <c r="V9" s="15">
        <v>1</v>
      </c>
      <c r="W9" s="15">
        <v>1</v>
      </c>
      <c r="X9" s="15">
        <v>0.97299999999999998</v>
      </c>
      <c r="Y9" s="15">
        <v>1</v>
      </c>
      <c r="Z9" s="15">
        <v>0.69499999999999995</v>
      </c>
      <c r="AA9" s="15">
        <v>0.69099999999999995</v>
      </c>
      <c r="AB9" s="15">
        <v>0.92900000000000005</v>
      </c>
      <c r="AC9" s="15">
        <v>0.85899999999999999</v>
      </c>
      <c r="AD9" s="15">
        <v>1</v>
      </c>
      <c r="AE9" s="15">
        <v>1</v>
      </c>
      <c r="AF9" s="14">
        <v>0.93799999999999994</v>
      </c>
      <c r="AG9" s="15">
        <v>1</v>
      </c>
      <c r="AH9" s="15">
        <v>-0.41499999999999998</v>
      </c>
      <c r="AI9" s="15">
        <v>0.72799999999999998</v>
      </c>
      <c r="AJ9" s="15">
        <v>0.253</v>
      </c>
      <c r="AK9" s="16">
        <v>0.29599999999999999</v>
      </c>
      <c r="AL9" s="4">
        <v>-5.2999999999999999E-2</v>
      </c>
      <c r="AM9" s="4">
        <v>-0.41099999999999998</v>
      </c>
      <c r="AN9" s="4">
        <v>0.313</v>
      </c>
      <c r="AO9" s="4">
        <v>0.63200000000000001</v>
      </c>
      <c r="AP9" s="4">
        <v>0.92700000000000005</v>
      </c>
      <c r="AQ9" s="4">
        <v>0.53200000000000003</v>
      </c>
      <c r="AR9" s="4">
        <v>0.182</v>
      </c>
      <c r="AS9" s="4">
        <v>0.309</v>
      </c>
      <c r="AT9" s="4">
        <v>0.33</v>
      </c>
      <c r="AU9" s="4">
        <v>0.41399999999999998</v>
      </c>
      <c r="AV9" s="4">
        <v>0.90800000000000003</v>
      </c>
      <c r="AW9" s="4">
        <v>-4.4999999999999998E-2</v>
      </c>
      <c r="AX9" s="4">
        <v>0.13600000000000001</v>
      </c>
      <c r="AY9" s="4">
        <v>-0.17599999999999999</v>
      </c>
      <c r="AZ9" s="4">
        <v>0.53700000000000003</v>
      </c>
      <c r="BA9" s="4">
        <v>-0.253</v>
      </c>
      <c r="BB9" s="4">
        <v>8.0000000000000002E-3</v>
      </c>
      <c r="BC9" s="4">
        <v>0.54100000000000004</v>
      </c>
      <c r="BD9" s="4">
        <v>0.64700000000000002</v>
      </c>
      <c r="BE9" s="4">
        <v>0.217</v>
      </c>
      <c r="BF9" s="4">
        <v>0.151</v>
      </c>
      <c r="BG9" s="4">
        <v>0.14199999999999999</v>
      </c>
      <c r="BH9" s="4">
        <v>-0.85699999999999998</v>
      </c>
      <c r="BI9" s="4">
        <v>0.70399999999999996</v>
      </c>
      <c r="BJ9" s="4">
        <v>-5.0999999999999997E-2</v>
      </c>
      <c r="BK9" s="4">
        <v>-0.25800000000000001</v>
      </c>
      <c r="BL9" s="4"/>
    </row>
    <row r="10" spans="1:64" x14ac:dyDescent="0.3">
      <c r="A10" t="s">
        <v>87</v>
      </c>
      <c r="B10" s="53">
        <v>0</v>
      </c>
      <c r="C10" s="53">
        <f t="shared" ref="C10:C73" si="4">B10-E10</f>
        <v>0</v>
      </c>
      <c r="D10" s="53">
        <f t="shared" ref="D10:D73" si="5">B10-K10</f>
        <v>0</v>
      </c>
      <c r="E10" s="53">
        <f t="shared" ref="E10:E73" si="6">M10</f>
        <v>0</v>
      </c>
      <c r="F10" s="15">
        <v>3.6120000000000001</v>
      </c>
      <c r="G10">
        <v>3.8650000000000002</v>
      </c>
      <c r="H10" t="s">
        <v>55</v>
      </c>
      <c r="I10" t="str">
        <f>VLOOKUP(A10,Setores!$A$2:$C$215,2,0)</f>
        <v>real_estate</v>
      </c>
      <c r="J10" t="str">
        <f>VLOOKUP(A10,Setores!$A$2:$C$215,3,0)</f>
        <v>neutral_beta</v>
      </c>
      <c r="K10" s="100">
        <v>0</v>
      </c>
      <c r="L10" s="58">
        <v>0</v>
      </c>
      <c r="M10" s="7">
        <v>0</v>
      </c>
      <c r="N10" s="41">
        <f>VLOOKUP(A10,'Mandato ISEE'!$A$1:$C$215,2,0)</f>
        <v>0</v>
      </c>
      <c r="O10" s="58">
        <f t="shared" ref="O10:O73" si="7">K10-N10</f>
        <v>0</v>
      </c>
      <c r="P10" s="41">
        <f>VLOOKUP(A10,'Mandato ISEE'!$A$1:$C$215,3,0)</f>
        <v>0</v>
      </c>
      <c r="Q10" s="42">
        <f t="shared" ref="Q10:Q73" si="8">K10-P10</f>
        <v>0</v>
      </c>
      <c r="R10" s="42">
        <v>0.753</v>
      </c>
      <c r="S10" s="15">
        <v>1</v>
      </c>
      <c r="T10" s="15">
        <v>0.51100000000000001</v>
      </c>
      <c r="U10" s="15">
        <v>0.89600000000000002</v>
      </c>
      <c r="V10" s="15">
        <v>0.88200000000000001</v>
      </c>
      <c r="W10" s="15">
        <v>0.996</v>
      </c>
      <c r="X10" s="15">
        <v>1</v>
      </c>
      <c r="Y10" s="15">
        <v>1</v>
      </c>
      <c r="Z10" s="15">
        <v>0.53500000000000003</v>
      </c>
      <c r="AA10" s="15">
        <v>0.54</v>
      </c>
      <c r="AB10" s="15">
        <v>1</v>
      </c>
      <c r="AC10" s="15">
        <v>0.99099999999999999</v>
      </c>
      <c r="AD10" s="15">
        <v>1</v>
      </c>
      <c r="AE10" s="15">
        <v>1</v>
      </c>
      <c r="AF10" s="14">
        <v>9.1999999999999998E-2</v>
      </c>
      <c r="AG10" s="15">
        <v>0.79700000000000004</v>
      </c>
      <c r="AH10" s="15">
        <v>0.29799999999999999</v>
      </c>
      <c r="AI10" s="15">
        <v>0.91800000000000004</v>
      </c>
      <c r="AJ10" s="15">
        <v>-0.122</v>
      </c>
      <c r="AK10" s="16">
        <v>-0.20399999999999999</v>
      </c>
      <c r="AL10" s="4">
        <v>0.32700000000000001</v>
      </c>
      <c r="AM10" s="4">
        <v>-0.17</v>
      </c>
      <c r="AN10" s="4">
        <v>3.3000000000000002E-2</v>
      </c>
      <c r="AO10" s="4">
        <v>0.439</v>
      </c>
      <c r="AP10" s="4">
        <v>2.3E-2</v>
      </c>
      <c r="AQ10" s="4">
        <v>-7.1999999999999995E-2</v>
      </c>
      <c r="AR10" s="4">
        <v>0.52700000000000002</v>
      </c>
      <c r="AS10" s="4">
        <v>0.52</v>
      </c>
      <c r="AT10" s="4">
        <v>-0.109</v>
      </c>
      <c r="AU10" s="4">
        <v>0.75900000000000001</v>
      </c>
      <c r="AV10" s="4">
        <v>0.41899999999999998</v>
      </c>
      <c r="AW10" s="4">
        <v>0.34399999999999997</v>
      </c>
      <c r="AX10" s="4">
        <v>-0.73499999999999999</v>
      </c>
      <c r="AY10" s="4">
        <v>0.03</v>
      </c>
      <c r="AZ10" s="4">
        <v>-0.26200000000000001</v>
      </c>
      <c r="BA10" s="4">
        <v>-0.245</v>
      </c>
      <c r="BB10" s="4">
        <v>0.13500000000000001</v>
      </c>
      <c r="BC10" s="4">
        <v>0.59299999999999997</v>
      </c>
      <c r="BD10" s="4">
        <v>0.51</v>
      </c>
      <c r="BE10" s="4">
        <v>-0.35099999999999998</v>
      </c>
      <c r="BF10" s="4">
        <v>-0.122</v>
      </c>
      <c r="BG10" s="4">
        <v>0.72799999999999998</v>
      </c>
      <c r="BH10" s="4">
        <v>-0.41599999999999998</v>
      </c>
      <c r="BI10" s="4">
        <v>0.223</v>
      </c>
      <c r="BJ10" s="4">
        <v>0.36899999999999999</v>
      </c>
      <c r="BK10" s="4">
        <v>0.29699999999999999</v>
      </c>
      <c r="BL10" s="4"/>
    </row>
    <row r="11" spans="1:64" x14ac:dyDescent="0.3">
      <c r="A11" t="s">
        <v>52</v>
      </c>
      <c r="B11" s="53">
        <v>0</v>
      </c>
      <c r="C11" s="53">
        <f t="shared" si="4"/>
        <v>0</v>
      </c>
      <c r="D11" s="53">
        <f t="shared" si="5"/>
        <v>0</v>
      </c>
      <c r="E11" s="53">
        <f t="shared" si="6"/>
        <v>0</v>
      </c>
      <c r="F11" s="15">
        <v>3.6120000000000001</v>
      </c>
      <c r="G11">
        <v>3.5550000000000002</v>
      </c>
      <c r="H11" t="s">
        <v>53</v>
      </c>
      <c r="I11" t="str">
        <f>VLOOKUP(A11,Setores!$A$2:$C$215,2,0)</f>
        <v>financial_services</v>
      </c>
      <c r="J11" t="str">
        <f>VLOOKUP(A11,Setores!$A$2:$C$215,3,0)</f>
        <v>very_low_beta</v>
      </c>
      <c r="K11" s="100">
        <v>0</v>
      </c>
      <c r="L11" s="58">
        <v>0</v>
      </c>
      <c r="M11" s="7">
        <v>0</v>
      </c>
      <c r="N11" s="41">
        <f>VLOOKUP(A11,'Mandato ISEE'!$A$1:$C$215,2,0)</f>
        <v>0</v>
      </c>
      <c r="O11" s="58">
        <f t="shared" si="7"/>
        <v>0</v>
      </c>
      <c r="P11" s="41">
        <f>VLOOKUP(A11,'Mandato ISEE'!$A$1:$C$215,3,0)</f>
        <v>0</v>
      </c>
      <c r="Q11" s="42">
        <f t="shared" si="8"/>
        <v>0</v>
      </c>
      <c r="R11" s="42">
        <v>1</v>
      </c>
      <c r="S11" s="15">
        <v>0.96599999999999997</v>
      </c>
      <c r="T11" s="15">
        <v>1</v>
      </c>
      <c r="U11" s="15">
        <v>1</v>
      </c>
      <c r="V11" s="15">
        <v>1</v>
      </c>
      <c r="W11" s="15">
        <v>1</v>
      </c>
      <c r="X11" s="15">
        <v>1</v>
      </c>
      <c r="Y11" s="15">
        <v>0.63100000000000001</v>
      </c>
      <c r="Z11" s="15">
        <v>0.72399999999999998</v>
      </c>
      <c r="AA11" s="15">
        <v>0.72299999999999998</v>
      </c>
      <c r="AB11" s="15">
        <v>1</v>
      </c>
      <c r="AC11" s="15">
        <v>1</v>
      </c>
      <c r="AD11" s="15">
        <v>0.99</v>
      </c>
      <c r="AE11" s="15">
        <v>1</v>
      </c>
      <c r="AF11" s="14">
        <v>0.20499999999999999</v>
      </c>
      <c r="AG11" s="15">
        <v>0.42099999999999999</v>
      </c>
      <c r="AH11" s="15">
        <v>0.54600000000000004</v>
      </c>
      <c r="AI11" s="15">
        <v>0.997</v>
      </c>
      <c r="AJ11" s="15">
        <v>1</v>
      </c>
      <c r="AK11" s="16">
        <v>0.55100000000000005</v>
      </c>
      <c r="AL11" s="4">
        <v>-0.187</v>
      </c>
      <c r="AM11" s="4">
        <v>-0.26300000000000001</v>
      </c>
      <c r="AN11" s="4">
        <v>5.5E-2</v>
      </c>
      <c r="AO11" s="4">
        <v>3.5999999999999997E-2</v>
      </c>
      <c r="AP11" s="4">
        <v>0.11799999999999999</v>
      </c>
      <c r="AQ11" s="4">
        <v>0.27100000000000002</v>
      </c>
      <c r="AR11" s="4">
        <v>0.157</v>
      </c>
      <c r="AS11" s="4">
        <v>-0.34599999999999997</v>
      </c>
      <c r="AT11" s="4">
        <v>0.72399999999999998</v>
      </c>
      <c r="AU11" s="4">
        <v>0.40300000000000002</v>
      </c>
      <c r="AV11" s="4">
        <v>1</v>
      </c>
      <c r="AW11" s="4">
        <v>0.36299999999999999</v>
      </c>
      <c r="AX11" s="4">
        <v>-6.2E-2</v>
      </c>
      <c r="AY11" s="4">
        <v>0.80400000000000005</v>
      </c>
      <c r="AZ11" s="4">
        <v>0.496</v>
      </c>
      <c r="BA11" s="4">
        <v>-4.2999999999999997E-2</v>
      </c>
      <c r="BB11" s="4">
        <v>0.05</v>
      </c>
      <c r="BC11" s="4">
        <v>0.06</v>
      </c>
      <c r="BD11" s="4">
        <v>0.53500000000000003</v>
      </c>
      <c r="BE11" s="4">
        <v>-2.1000000000000001E-2</v>
      </c>
      <c r="BF11" s="4">
        <v>1</v>
      </c>
      <c r="BG11" s="4">
        <v>0.64100000000000001</v>
      </c>
      <c r="BH11" s="4">
        <v>-0.36099999999999999</v>
      </c>
      <c r="BI11" s="4">
        <v>-0.36699999999999999</v>
      </c>
      <c r="BJ11" s="4">
        <v>0.61399999999999999</v>
      </c>
      <c r="BK11" s="4">
        <v>0.69299999999999995</v>
      </c>
      <c r="BL11" s="4"/>
    </row>
    <row r="12" spans="1:64" x14ac:dyDescent="0.3">
      <c r="A12" t="s">
        <v>69</v>
      </c>
      <c r="B12" s="53">
        <f t="shared" ref="B12:B73" si="9">K12</f>
        <v>0</v>
      </c>
      <c r="C12" s="53">
        <f t="shared" si="4"/>
        <v>0</v>
      </c>
      <c r="D12" s="53">
        <f t="shared" si="5"/>
        <v>0</v>
      </c>
      <c r="E12" s="53">
        <f t="shared" si="6"/>
        <v>0</v>
      </c>
      <c r="F12" s="15">
        <v>3.6120000000000001</v>
      </c>
      <c r="G12">
        <v>3.597</v>
      </c>
      <c r="H12" t="s">
        <v>57</v>
      </c>
      <c r="I12" t="str">
        <f>VLOOKUP(A12,Setores!$A$2:$C$215,2,0)</f>
        <v>banks</v>
      </c>
      <c r="J12" t="str">
        <f>VLOOKUP(A12,Setores!$A$2:$C$215,3,0)</f>
        <v>high_beta</v>
      </c>
      <c r="K12" s="100">
        <v>0</v>
      </c>
      <c r="L12" s="58">
        <v>0</v>
      </c>
      <c r="M12" s="7">
        <v>0</v>
      </c>
      <c r="N12" s="41">
        <f>VLOOKUP(A12,'Mandato ISEE'!$A$1:$C$215,2,0)</f>
        <v>0</v>
      </c>
      <c r="O12" s="58">
        <f t="shared" si="7"/>
        <v>0</v>
      </c>
      <c r="P12" s="41">
        <f>VLOOKUP(A12,'Mandato ISEE'!$A$1:$C$215,3,0)</f>
        <v>0</v>
      </c>
      <c r="Q12" s="42">
        <f t="shared" si="8"/>
        <v>0</v>
      </c>
      <c r="R12" s="42">
        <v>0.90200000000000002</v>
      </c>
      <c r="S12" s="15">
        <v>1</v>
      </c>
      <c r="T12" s="15">
        <v>0.81699999999999995</v>
      </c>
      <c r="U12" s="15">
        <v>0.91100000000000003</v>
      </c>
      <c r="V12" s="15">
        <v>1</v>
      </c>
      <c r="W12" s="15">
        <v>1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1</v>
      </c>
      <c r="AD12" s="15">
        <v>1</v>
      </c>
      <c r="AE12" s="15">
        <v>0.19400000000000001</v>
      </c>
      <c r="AF12" s="14">
        <v>1</v>
      </c>
      <c r="AG12" s="15">
        <v>1</v>
      </c>
      <c r="AH12" s="15">
        <v>0.251</v>
      </c>
      <c r="AI12" s="15">
        <v>1</v>
      </c>
      <c r="AJ12" s="15">
        <v>0.23</v>
      </c>
      <c r="AK12" s="16">
        <v>7.2999999999999995E-2</v>
      </c>
      <c r="AL12" s="4">
        <v>0.54</v>
      </c>
      <c r="AM12" s="4">
        <v>0.42</v>
      </c>
      <c r="AN12" s="4">
        <v>0.223</v>
      </c>
      <c r="AO12" s="4">
        <v>0.56100000000000005</v>
      </c>
      <c r="AP12" s="4">
        <v>0.81299999999999994</v>
      </c>
      <c r="AQ12" s="4">
        <v>0.55700000000000005</v>
      </c>
      <c r="AR12" s="4">
        <v>0.25</v>
      </c>
      <c r="AS12" s="4">
        <v>-0.13900000000000001</v>
      </c>
      <c r="AT12" s="4">
        <v>2E-3</v>
      </c>
      <c r="AU12" s="4">
        <v>-0.26700000000000002</v>
      </c>
      <c r="AV12" s="4">
        <v>-0.13100000000000001</v>
      </c>
      <c r="AW12" s="4">
        <v>0.51500000000000001</v>
      </c>
      <c r="AX12" s="4">
        <v>-0.09</v>
      </c>
      <c r="AY12" s="4">
        <v>0.65500000000000003</v>
      </c>
      <c r="AZ12" s="4">
        <v>0.249</v>
      </c>
      <c r="BA12" s="4">
        <v>-3.0000000000000001E-3</v>
      </c>
      <c r="BB12" s="4">
        <v>0.126</v>
      </c>
      <c r="BC12" s="4">
        <v>0.215</v>
      </c>
      <c r="BD12" s="4">
        <v>-0.73199999999999998</v>
      </c>
      <c r="BE12" s="4">
        <v>-0.36299999999999999</v>
      </c>
      <c r="BF12" s="4">
        <v>0.186</v>
      </c>
      <c r="BG12" s="4">
        <v>0.93600000000000005</v>
      </c>
      <c r="BH12" s="4">
        <v>-0.81</v>
      </c>
      <c r="BI12" s="4">
        <v>8.2000000000000003E-2</v>
      </c>
      <c r="BJ12" s="4">
        <v>0.64</v>
      </c>
      <c r="BK12" s="4">
        <v>0.67900000000000005</v>
      </c>
      <c r="BL12" s="4"/>
    </row>
    <row r="13" spans="1:64" x14ac:dyDescent="0.3">
      <c r="A13" t="s">
        <v>59</v>
      </c>
      <c r="B13" s="53">
        <f t="shared" si="9"/>
        <v>0</v>
      </c>
      <c r="C13" s="53">
        <f t="shared" si="4"/>
        <v>0</v>
      </c>
      <c r="D13" s="53">
        <f t="shared" si="5"/>
        <v>0</v>
      </c>
      <c r="E13" s="53">
        <f t="shared" si="6"/>
        <v>0</v>
      </c>
      <c r="F13" s="15">
        <v>3.6120000000000001</v>
      </c>
      <c r="G13">
        <v>2.7629999999999999</v>
      </c>
      <c r="H13" t="s">
        <v>57</v>
      </c>
      <c r="I13" t="str">
        <f>VLOOKUP(A13,Setores!$A$2:$C$215,2,0)</f>
        <v>consumer_durables</v>
      </c>
      <c r="J13" t="str">
        <f>VLOOKUP(A13,Setores!$A$2:$C$215,3,0)</f>
        <v>very_low_beta</v>
      </c>
      <c r="K13" s="100">
        <v>0</v>
      </c>
      <c r="L13" s="58">
        <v>0</v>
      </c>
      <c r="M13" s="7">
        <v>0</v>
      </c>
      <c r="N13" s="41">
        <f>VLOOKUP(A13,'Mandato ISEE'!$A$1:$C$215,2,0)</f>
        <v>0</v>
      </c>
      <c r="O13" s="58">
        <f t="shared" si="7"/>
        <v>0</v>
      </c>
      <c r="P13" s="41">
        <f>VLOOKUP(A13,'Mandato ISEE'!$A$1:$C$215,3,0)</f>
        <v>0</v>
      </c>
      <c r="Q13" s="42">
        <f t="shared" si="8"/>
        <v>0</v>
      </c>
      <c r="R13" s="42">
        <v>1</v>
      </c>
      <c r="S13" s="15">
        <v>0.64600000000000002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0.73699999999999999</v>
      </c>
      <c r="Z13" s="15">
        <v>1</v>
      </c>
      <c r="AA13" s="15">
        <v>1</v>
      </c>
      <c r="AB13" s="15">
        <v>0.73499999999999999</v>
      </c>
      <c r="AC13" s="15">
        <v>0.749</v>
      </c>
      <c r="AD13" s="15">
        <v>0.92800000000000005</v>
      </c>
      <c r="AE13" s="15">
        <v>1</v>
      </c>
      <c r="AF13" s="14">
        <v>1</v>
      </c>
      <c r="AG13" s="15">
        <v>-0.13800000000000001</v>
      </c>
      <c r="AH13" s="15">
        <v>1</v>
      </c>
      <c r="AI13" s="15">
        <v>-0.315</v>
      </c>
      <c r="AJ13" s="15">
        <v>1</v>
      </c>
      <c r="AK13" s="16">
        <v>0.88200000000000001</v>
      </c>
      <c r="AL13" s="4">
        <v>1</v>
      </c>
      <c r="AM13" s="4">
        <v>0.45100000000000001</v>
      </c>
      <c r="AN13" s="4">
        <v>0.65200000000000002</v>
      </c>
      <c r="AO13" s="4">
        <v>-0.80800000000000005</v>
      </c>
      <c r="AP13" s="4">
        <v>-0.66500000000000004</v>
      </c>
      <c r="AQ13" s="4">
        <v>0.30299999999999999</v>
      </c>
      <c r="AR13" s="4">
        <v>0.59399999999999997</v>
      </c>
      <c r="AS13" s="4">
        <v>9.7000000000000003E-2</v>
      </c>
      <c r="AT13" s="4">
        <v>0.69699999999999995</v>
      </c>
      <c r="AU13" s="4">
        <v>-0.54800000000000004</v>
      </c>
      <c r="AV13" s="4">
        <v>0.90800000000000003</v>
      </c>
      <c r="AW13" s="4">
        <v>0.32600000000000001</v>
      </c>
      <c r="AX13" s="4">
        <v>5.3999999999999999E-2</v>
      </c>
      <c r="AY13" s="4">
        <v>0.47</v>
      </c>
      <c r="AZ13" s="4">
        <v>0.60399999999999998</v>
      </c>
      <c r="BA13" s="4">
        <v>0.25</v>
      </c>
      <c r="BB13" s="4">
        <v>0.29199999999999998</v>
      </c>
      <c r="BC13" s="4">
        <v>0.30299999999999999</v>
      </c>
      <c r="BD13" s="4">
        <v>0.59399999999999997</v>
      </c>
      <c r="BE13" s="4">
        <v>4.2999999999999997E-2</v>
      </c>
      <c r="BF13" s="4">
        <v>9.7000000000000003E-2</v>
      </c>
      <c r="BG13" s="4">
        <v>0.90700000000000003</v>
      </c>
      <c r="BH13" s="4">
        <v>-0.34499999999999997</v>
      </c>
      <c r="BI13" s="4">
        <v>-0.437</v>
      </c>
      <c r="BJ13" s="4">
        <v>0.52100000000000002</v>
      </c>
      <c r="BK13" s="4">
        <v>0.80200000000000005</v>
      </c>
      <c r="BL13" s="4"/>
    </row>
    <row r="14" spans="1:64" x14ac:dyDescent="0.3">
      <c r="A14" t="s">
        <v>54</v>
      </c>
      <c r="B14" s="53">
        <f t="shared" si="9"/>
        <v>0</v>
      </c>
      <c r="C14" s="53">
        <f t="shared" si="4"/>
        <v>0</v>
      </c>
      <c r="D14" s="53">
        <f t="shared" si="5"/>
        <v>0</v>
      </c>
      <c r="E14" s="53">
        <f t="shared" si="6"/>
        <v>0</v>
      </c>
      <c r="F14" s="15">
        <v>3.6120000000000001</v>
      </c>
      <c r="G14">
        <v>3.6219999999999999</v>
      </c>
      <c r="H14" t="s">
        <v>55</v>
      </c>
      <c r="I14" t="str">
        <f>VLOOKUP(A14,Setores!$A$2:$C$215,2,0)</f>
        <v>telecom</v>
      </c>
      <c r="J14" t="str">
        <f>VLOOKUP(A14,Setores!$A$2:$C$215,3,0)</f>
        <v>low_beta</v>
      </c>
      <c r="K14" s="100">
        <v>0</v>
      </c>
      <c r="L14" s="58">
        <v>0</v>
      </c>
      <c r="M14" s="7">
        <v>0</v>
      </c>
      <c r="N14" s="41">
        <f>VLOOKUP(A14,'Mandato ISEE'!$A$1:$C$215,2,0)</f>
        <v>0</v>
      </c>
      <c r="O14" s="58">
        <f t="shared" si="7"/>
        <v>0</v>
      </c>
      <c r="P14" s="41">
        <f>VLOOKUP(A14,'Mandato ISEE'!$A$1:$C$215,3,0)</f>
        <v>0</v>
      </c>
      <c r="Q14" s="42">
        <f t="shared" si="8"/>
        <v>0</v>
      </c>
      <c r="R14" s="42">
        <v>1</v>
      </c>
      <c r="S14" s="15">
        <v>1</v>
      </c>
      <c r="T14" s="15">
        <v>0.64200000000000002</v>
      </c>
      <c r="U14" s="15">
        <v>1</v>
      </c>
      <c r="V14" s="15">
        <v>0.93799999999999994</v>
      </c>
      <c r="W14" s="15">
        <v>1</v>
      </c>
      <c r="X14" s="15">
        <v>1</v>
      </c>
      <c r="Y14" s="15">
        <v>1</v>
      </c>
      <c r="Z14" s="15">
        <v>0.68700000000000006</v>
      </c>
      <c r="AA14" s="15">
        <v>0.68899999999999995</v>
      </c>
      <c r="AB14" s="15">
        <v>1</v>
      </c>
      <c r="AC14" s="15">
        <v>1</v>
      </c>
      <c r="AD14" s="15">
        <v>1</v>
      </c>
      <c r="AE14" s="15">
        <v>0.55700000000000005</v>
      </c>
      <c r="AF14" s="14">
        <v>2E-3</v>
      </c>
      <c r="AG14" s="15">
        <v>0.80500000000000005</v>
      </c>
      <c r="AH14" s="15">
        <v>-0.26100000000000001</v>
      </c>
      <c r="AI14" s="15">
        <v>1</v>
      </c>
      <c r="AJ14" s="15">
        <v>0.752</v>
      </c>
      <c r="AK14" s="16">
        <v>-0.20499999999999999</v>
      </c>
      <c r="AL14" s="4">
        <v>0.13300000000000001</v>
      </c>
      <c r="AM14" s="4">
        <v>-0.80500000000000005</v>
      </c>
      <c r="AN14" s="4">
        <v>6.4000000000000001E-2</v>
      </c>
      <c r="AO14" s="4">
        <v>0.751</v>
      </c>
      <c r="AP14" s="4">
        <v>1</v>
      </c>
      <c r="AQ14" s="4">
        <v>0.29299999999999998</v>
      </c>
      <c r="AR14" s="4">
        <v>0.40500000000000003</v>
      </c>
      <c r="AS14" s="4">
        <v>0.47499999999999998</v>
      </c>
      <c r="AT14" s="4">
        <v>0.41699999999999998</v>
      </c>
      <c r="AU14" s="4">
        <v>0.26</v>
      </c>
      <c r="AV14" s="4">
        <v>0.76700000000000002</v>
      </c>
      <c r="AW14" s="4">
        <v>0.42599999999999999</v>
      </c>
      <c r="AX14" s="4">
        <v>0.17899999999999999</v>
      </c>
      <c r="AY14" s="4">
        <v>0.88500000000000001</v>
      </c>
      <c r="AZ14" s="4">
        <v>0.104</v>
      </c>
      <c r="BA14" s="4">
        <v>0.58299999999999996</v>
      </c>
      <c r="BB14" s="4">
        <v>-0.29899999999999999</v>
      </c>
      <c r="BC14" s="4">
        <v>-0.20100000000000001</v>
      </c>
      <c r="BD14" s="4">
        <v>0.29299999999999998</v>
      </c>
      <c r="BE14" s="4">
        <v>-0.371</v>
      </c>
      <c r="BF14" s="4">
        <v>0.371</v>
      </c>
      <c r="BG14" s="4">
        <v>0.68200000000000005</v>
      </c>
      <c r="BH14" s="4">
        <v>-0.52700000000000002</v>
      </c>
      <c r="BI14" s="4">
        <v>-0.40100000000000002</v>
      </c>
      <c r="BJ14" s="4">
        <v>0.71699999999999997</v>
      </c>
      <c r="BK14" s="4">
        <v>0.495</v>
      </c>
      <c r="BL14" s="4"/>
    </row>
    <row r="15" spans="1:64" x14ac:dyDescent="0.3">
      <c r="A15" t="s">
        <v>60</v>
      </c>
      <c r="B15" s="53">
        <f t="shared" si="9"/>
        <v>1.6E-2</v>
      </c>
      <c r="C15" s="53">
        <f t="shared" si="4"/>
        <v>1.4999999999999999E-2</v>
      </c>
      <c r="D15" s="53">
        <f t="shared" si="5"/>
        <v>0</v>
      </c>
      <c r="E15" s="53">
        <f t="shared" si="6"/>
        <v>1E-3</v>
      </c>
      <c r="F15" s="15">
        <v>3.5289999999999999</v>
      </c>
      <c r="G15">
        <v>2.754</v>
      </c>
      <c r="H15" t="s">
        <v>57</v>
      </c>
      <c r="I15" t="str">
        <f>VLOOKUP(A15,Setores!$A$2:$C$215,2,0)</f>
        <v>apparel</v>
      </c>
      <c r="J15" t="str">
        <f>VLOOKUP(A15,Setores!$A$2:$C$215,3,0)</f>
        <v>very_high_beta</v>
      </c>
      <c r="K15" s="100">
        <v>1.6E-2</v>
      </c>
      <c r="L15" s="58">
        <v>1.4E-2</v>
      </c>
      <c r="M15" s="7">
        <v>1E-3</v>
      </c>
      <c r="N15" s="41">
        <f>VLOOKUP(A15,'Mandato ISEE'!$A$1:$C$215,2,0)</f>
        <v>4.6826126039753203E-2</v>
      </c>
      <c r="O15" s="58">
        <f t="shared" si="7"/>
        <v>-3.0826126039753203E-2</v>
      </c>
      <c r="P15" s="41">
        <f>VLOOKUP(A15,'Mandato ISEE'!$A$1:$C$215,3,0)</f>
        <v>2.5488817338611899E-2</v>
      </c>
      <c r="Q15" s="42">
        <f t="shared" si="8"/>
        <v>-9.488817338611899E-3</v>
      </c>
      <c r="R15" s="42">
        <v>0.99299999999999999</v>
      </c>
      <c r="S15" s="15">
        <v>0.84899999999999998</v>
      </c>
      <c r="T15" s="15">
        <v>0.79700000000000004</v>
      </c>
      <c r="U15" s="15">
        <v>1</v>
      </c>
      <c r="V15" s="15">
        <v>0.96899999999999997</v>
      </c>
      <c r="W15" s="15">
        <v>0.78600000000000003</v>
      </c>
      <c r="X15" s="15">
        <v>0.51400000000000001</v>
      </c>
      <c r="Y15" s="15">
        <v>0.755</v>
      </c>
      <c r="Z15" s="15">
        <v>0.75700000000000001</v>
      </c>
      <c r="AA15" s="15">
        <v>0.752</v>
      </c>
      <c r="AB15" s="15">
        <v>0.77800000000000002</v>
      </c>
      <c r="AC15" s="15">
        <v>0.79800000000000004</v>
      </c>
      <c r="AD15" s="15">
        <v>0.95599999999999996</v>
      </c>
      <c r="AE15" s="15">
        <v>1</v>
      </c>
      <c r="AF15" s="14">
        <v>1</v>
      </c>
      <c r="AG15" s="15">
        <v>0.41799999999999998</v>
      </c>
      <c r="AH15" s="15">
        <v>0.13700000000000001</v>
      </c>
      <c r="AI15" s="15">
        <v>0.13300000000000001</v>
      </c>
      <c r="AJ15" s="15">
        <v>0.61</v>
      </c>
      <c r="AK15" s="16">
        <v>0.55600000000000005</v>
      </c>
      <c r="AL15" s="4">
        <v>9.0999999999999998E-2</v>
      </c>
      <c r="AM15" s="4">
        <v>-0.11799999999999999</v>
      </c>
      <c r="AN15" s="4">
        <v>0.47799999999999998</v>
      </c>
      <c r="AO15" s="4">
        <v>0.22700000000000001</v>
      </c>
      <c r="AP15" s="4">
        <v>-8.1000000000000003E-2</v>
      </c>
      <c r="AQ15" s="4">
        <v>0.58399999999999996</v>
      </c>
      <c r="AR15" s="4">
        <v>0.76800000000000002</v>
      </c>
      <c r="AS15" s="4">
        <v>0.38400000000000001</v>
      </c>
      <c r="AT15" s="4">
        <v>0.42799999999999999</v>
      </c>
      <c r="AU15" s="4">
        <v>-0.1</v>
      </c>
      <c r="AV15" s="4">
        <v>0.95799999999999996</v>
      </c>
      <c r="AW15" s="4">
        <v>-0.59099999999999997</v>
      </c>
      <c r="AX15" s="4">
        <v>7.6999999999999999E-2</v>
      </c>
      <c r="AY15" s="4">
        <v>0.42299999999999999</v>
      </c>
      <c r="AZ15" s="4">
        <v>0.629</v>
      </c>
      <c r="BA15" s="4">
        <v>-0.314</v>
      </c>
      <c r="BB15" s="4">
        <v>0.21099999999999999</v>
      </c>
      <c r="BC15" s="4">
        <v>1.9E-2</v>
      </c>
      <c r="BD15" s="4">
        <v>0.625</v>
      </c>
      <c r="BE15" s="4">
        <v>0.23400000000000001</v>
      </c>
      <c r="BF15" s="4">
        <v>-0.28799999999999998</v>
      </c>
      <c r="BG15" s="4">
        <v>0.20399999999999999</v>
      </c>
      <c r="BH15" s="4">
        <v>-0.48799999999999999</v>
      </c>
      <c r="BI15" s="4">
        <v>0.29199999999999998</v>
      </c>
      <c r="BJ15" s="4">
        <v>0.253</v>
      </c>
      <c r="BK15" s="4">
        <v>0.20599999999999999</v>
      </c>
      <c r="BL15" s="4"/>
    </row>
    <row r="16" spans="1:64" x14ac:dyDescent="0.3">
      <c r="A16" t="s">
        <v>58</v>
      </c>
      <c r="B16" s="53">
        <v>5.0000000000000001E-3</v>
      </c>
      <c r="C16" s="53">
        <f t="shared" si="4"/>
        <v>5.0000000000000001E-3</v>
      </c>
      <c r="D16" s="53">
        <f t="shared" si="5"/>
        <v>5.0000000000000001E-3</v>
      </c>
      <c r="E16" s="53">
        <f t="shared" si="6"/>
        <v>0</v>
      </c>
      <c r="F16" s="15">
        <v>3.4969999999999999</v>
      </c>
      <c r="G16">
        <v>3.72</v>
      </c>
      <c r="H16" t="s">
        <v>57</v>
      </c>
      <c r="I16" t="str">
        <f>VLOOKUP(A16,Setores!$A$2:$C$215,2,0)</f>
        <v>apparel</v>
      </c>
      <c r="J16" t="str">
        <f>VLOOKUP(A16,Setores!$A$2:$C$215,3,0)</f>
        <v>very_low_beta</v>
      </c>
      <c r="K16" s="100">
        <v>0</v>
      </c>
      <c r="L16" s="58">
        <v>0</v>
      </c>
      <c r="M16" s="7">
        <v>0</v>
      </c>
      <c r="N16" s="41">
        <f>VLOOKUP(A16,'Mandato ISEE'!$A$1:$C$215,2,0)</f>
        <v>0</v>
      </c>
      <c r="O16" s="58">
        <f t="shared" si="7"/>
        <v>0</v>
      </c>
      <c r="P16" s="41">
        <f>VLOOKUP(A16,'Mandato ISEE'!$A$1:$C$215,3,0)</f>
        <v>0</v>
      </c>
      <c r="Q16" s="42">
        <f t="shared" si="8"/>
        <v>0</v>
      </c>
      <c r="R16" s="42">
        <v>0.73699999999999999</v>
      </c>
      <c r="S16" s="15">
        <v>0.61</v>
      </c>
      <c r="T16" s="15">
        <v>0.67800000000000005</v>
      </c>
      <c r="U16" s="15">
        <v>0.68700000000000006</v>
      </c>
      <c r="V16" s="15">
        <v>0.67500000000000004</v>
      </c>
      <c r="W16" s="15">
        <v>1</v>
      </c>
      <c r="X16" s="15">
        <v>1</v>
      </c>
      <c r="Y16" s="15">
        <v>0.97799999999999998</v>
      </c>
      <c r="Z16" s="15">
        <v>0.55600000000000005</v>
      </c>
      <c r="AA16" s="15">
        <v>0.55900000000000005</v>
      </c>
      <c r="AB16" s="15">
        <v>0.89400000000000002</v>
      </c>
      <c r="AC16" s="15">
        <v>0.83899999999999997</v>
      </c>
      <c r="AD16" s="15">
        <v>0.89100000000000001</v>
      </c>
      <c r="AE16" s="15">
        <v>0.84699999999999998</v>
      </c>
      <c r="AF16" s="14">
        <v>6.3E-2</v>
      </c>
      <c r="AG16" s="15">
        <v>-0.123</v>
      </c>
      <c r="AH16" s="15">
        <v>2.7E-2</v>
      </c>
      <c r="AI16" s="15">
        <v>0.129</v>
      </c>
      <c r="AJ16" s="15">
        <v>0.84699999999999998</v>
      </c>
      <c r="AK16" s="16">
        <v>0.13500000000000001</v>
      </c>
      <c r="AL16" s="4">
        <v>0.94799999999999995</v>
      </c>
      <c r="AM16" s="4">
        <v>-0.47699999999999998</v>
      </c>
      <c r="AN16" s="4">
        <v>0.54</v>
      </c>
      <c r="AO16" s="4">
        <v>0.16900000000000001</v>
      </c>
      <c r="AP16" s="4">
        <v>-0.25800000000000001</v>
      </c>
      <c r="AQ16" s="4">
        <v>-2.3E-2</v>
      </c>
      <c r="AR16" s="4">
        <v>0.29899999999999999</v>
      </c>
      <c r="AS16" s="4">
        <v>-0.16800000000000001</v>
      </c>
      <c r="AT16" s="4">
        <v>0.20499999999999999</v>
      </c>
      <c r="AU16" s="4">
        <v>0.159</v>
      </c>
      <c r="AV16" s="4">
        <v>0.17</v>
      </c>
      <c r="AW16" s="4">
        <v>0.51800000000000002</v>
      </c>
      <c r="AX16" s="4">
        <v>0.77400000000000002</v>
      </c>
      <c r="AY16" s="4">
        <v>0.495</v>
      </c>
      <c r="AZ16" s="4">
        <v>-4.9000000000000002E-2</v>
      </c>
      <c r="BA16" s="4">
        <v>0.10199999999999999</v>
      </c>
      <c r="BB16" s="4">
        <v>0.55300000000000005</v>
      </c>
      <c r="BC16" s="4">
        <v>0.50700000000000001</v>
      </c>
      <c r="BD16" s="4">
        <v>0.54600000000000004</v>
      </c>
      <c r="BE16" s="4">
        <v>0.21099999999999999</v>
      </c>
      <c r="BF16" s="4">
        <v>4.8000000000000001E-2</v>
      </c>
      <c r="BG16" s="4">
        <v>0.82899999999999996</v>
      </c>
      <c r="BH16" s="4">
        <v>-7.4999999999999997E-2</v>
      </c>
      <c r="BI16" s="4">
        <v>-0.35799999999999998</v>
      </c>
      <c r="BJ16" s="4">
        <v>0.19700000000000001</v>
      </c>
      <c r="BK16" s="4">
        <v>0.34699999999999998</v>
      </c>
      <c r="BL16" s="4"/>
    </row>
    <row r="17" spans="1:64" x14ac:dyDescent="0.3">
      <c r="A17" t="s">
        <v>75</v>
      </c>
      <c r="B17" s="53">
        <f t="shared" si="9"/>
        <v>0</v>
      </c>
      <c r="C17" s="53">
        <f t="shared" si="4"/>
        <v>0</v>
      </c>
      <c r="D17" s="53">
        <f t="shared" si="5"/>
        <v>0</v>
      </c>
      <c r="E17" s="53">
        <f t="shared" si="6"/>
        <v>0</v>
      </c>
      <c r="F17" s="15">
        <v>3.3780000000000001</v>
      </c>
      <c r="G17">
        <v>2.577</v>
      </c>
      <c r="H17" t="s">
        <v>55</v>
      </c>
      <c r="I17" t="str">
        <f>VLOOKUP(A17,Setores!$A$2:$C$215,2,0)</f>
        <v>real_estate</v>
      </c>
      <c r="J17" t="str">
        <f>VLOOKUP(A17,Setores!$A$2:$C$215,3,0)</f>
        <v>very_high_beta</v>
      </c>
      <c r="K17" s="100">
        <v>0</v>
      </c>
      <c r="L17" s="58">
        <v>0</v>
      </c>
      <c r="M17" s="7">
        <v>0</v>
      </c>
      <c r="N17" s="41">
        <f>VLOOKUP(A17,'Mandato ISEE'!$A$1:$C$215,2,0)</f>
        <v>0</v>
      </c>
      <c r="O17" s="58">
        <f t="shared" si="7"/>
        <v>0</v>
      </c>
      <c r="P17" s="41">
        <f>VLOOKUP(A17,'Mandato ISEE'!$A$1:$C$215,3,0)</f>
        <v>0</v>
      </c>
      <c r="Q17" s="42">
        <f t="shared" si="8"/>
        <v>0</v>
      </c>
      <c r="R17" s="42">
        <v>1</v>
      </c>
      <c r="S17" s="15">
        <v>1</v>
      </c>
      <c r="T17" s="15">
        <v>1</v>
      </c>
      <c r="U17" s="15">
        <v>0.70199999999999996</v>
      </c>
      <c r="V17" s="15">
        <v>1</v>
      </c>
      <c r="W17" s="15">
        <v>0.86</v>
      </c>
      <c r="X17" s="15">
        <v>0.81</v>
      </c>
      <c r="Y17" s="15">
        <v>0.47</v>
      </c>
      <c r="Z17" s="15">
        <v>0.55700000000000005</v>
      </c>
      <c r="AA17" s="15">
        <v>0.55600000000000005</v>
      </c>
      <c r="AB17" s="15">
        <v>0.64400000000000002</v>
      </c>
      <c r="AC17" s="15">
        <v>0.81</v>
      </c>
      <c r="AD17" s="15">
        <v>0.97799999999999998</v>
      </c>
      <c r="AE17" s="15">
        <v>0.23699999999999999</v>
      </c>
      <c r="AF17" s="14">
        <v>1</v>
      </c>
      <c r="AG17" s="15">
        <v>1</v>
      </c>
      <c r="AH17" s="15">
        <v>1</v>
      </c>
      <c r="AI17" s="15">
        <v>0.38400000000000001</v>
      </c>
      <c r="AJ17" s="15">
        <v>-0.22500000000000001</v>
      </c>
      <c r="AK17" s="16">
        <v>0.75</v>
      </c>
      <c r="AL17" s="4">
        <v>-0.02</v>
      </c>
      <c r="AM17" s="4">
        <v>1</v>
      </c>
      <c r="AN17" s="4">
        <v>0.77500000000000002</v>
      </c>
      <c r="AO17" s="4">
        <v>-9.7000000000000003E-2</v>
      </c>
      <c r="AP17" s="4">
        <v>-0.185</v>
      </c>
      <c r="AQ17" s="4">
        <v>-0.221</v>
      </c>
      <c r="AR17" s="4">
        <v>0.34300000000000003</v>
      </c>
      <c r="AS17" s="4">
        <v>0.114</v>
      </c>
      <c r="AT17" s="4">
        <v>-0.22800000000000001</v>
      </c>
      <c r="AU17" s="4">
        <v>0.47</v>
      </c>
      <c r="AV17" s="4">
        <v>-0.33600000000000002</v>
      </c>
      <c r="AW17" s="4">
        <v>-4.8000000000000001E-2</v>
      </c>
      <c r="AX17" s="4">
        <v>-0.71399999999999997</v>
      </c>
      <c r="AY17" s="4">
        <v>-0.34399999999999997</v>
      </c>
      <c r="AZ17" s="4">
        <v>0.126</v>
      </c>
      <c r="BA17" s="4">
        <v>0.84699999999999998</v>
      </c>
      <c r="BB17" s="4">
        <v>0.16600000000000001</v>
      </c>
      <c r="BC17" s="4">
        <v>0.73899999999999999</v>
      </c>
      <c r="BD17" s="4">
        <v>0.32600000000000001</v>
      </c>
      <c r="BE17" s="4">
        <v>-1E-3</v>
      </c>
      <c r="BF17" s="4">
        <v>0.315</v>
      </c>
      <c r="BG17" s="4">
        <v>0.28299999999999997</v>
      </c>
      <c r="BH17" s="4">
        <v>0.154</v>
      </c>
      <c r="BI17" s="4">
        <v>0.81899999999999995</v>
      </c>
      <c r="BJ17" s="4">
        <v>0.621</v>
      </c>
      <c r="BK17" s="4">
        <v>0.97399999999999998</v>
      </c>
      <c r="BL17" s="4"/>
    </row>
    <row r="18" spans="1:64" x14ac:dyDescent="0.3">
      <c r="A18" t="s">
        <v>67</v>
      </c>
      <c r="B18" s="53">
        <f t="shared" si="9"/>
        <v>0</v>
      </c>
      <c r="C18" s="53">
        <f t="shared" si="4"/>
        <v>0</v>
      </c>
      <c r="D18" s="53">
        <f t="shared" si="5"/>
        <v>0</v>
      </c>
      <c r="E18" s="53">
        <f t="shared" si="6"/>
        <v>0</v>
      </c>
      <c r="F18" s="15">
        <v>3.3239999999999998</v>
      </c>
      <c r="G18">
        <v>2.9630000000000001</v>
      </c>
      <c r="H18" t="s">
        <v>68</v>
      </c>
      <c r="I18" t="str">
        <f>VLOOKUP(A18,Setores!$A$2:$C$215,2,0)</f>
        <v>capital_goods</v>
      </c>
      <c r="J18" t="str">
        <f>VLOOKUP(A18,Setores!$A$2:$C$215,3,0)</f>
        <v>neutral_beta</v>
      </c>
      <c r="K18" s="100">
        <v>0</v>
      </c>
      <c r="L18" s="58">
        <v>0</v>
      </c>
      <c r="M18" s="7">
        <v>0</v>
      </c>
      <c r="N18" s="41">
        <f>VLOOKUP(A18,'Mandato ISEE'!$A$1:$C$215,2,0)</f>
        <v>0</v>
      </c>
      <c r="O18" s="58">
        <f t="shared" si="7"/>
        <v>0</v>
      </c>
      <c r="P18" s="41">
        <f>VLOOKUP(A18,'Mandato ISEE'!$A$1:$C$215,3,0)</f>
        <v>0</v>
      </c>
      <c r="Q18" s="42">
        <f t="shared" si="8"/>
        <v>0</v>
      </c>
      <c r="R18" s="42">
        <v>0.621</v>
      </c>
      <c r="S18" s="15">
        <v>0.14000000000000001</v>
      </c>
      <c r="T18" s="15">
        <v>0.39700000000000002</v>
      </c>
      <c r="U18" s="15">
        <v>0.92300000000000004</v>
      </c>
      <c r="V18" s="15">
        <v>0.53900000000000003</v>
      </c>
      <c r="W18" s="15">
        <v>0.84799999999999998</v>
      </c>
      <c r="X18" s="15">
        <v>0.81599999999999995</v>
      </c>
      <c r="Y18" s="15">
        <v>1</v>
      </c>
      <c r="Z18" s="15">
        <v>0.63200000000000001</v>
      </c>
      <c r="AA18" s="15">
        <v>0.63300000000000001</v>
      </c>
      <c r="AB18" s="15">
        <v>0.94599999999999995</v>
      </c>
      <c r="AC18" s="15">
        <v>0.86</v>
      </c>
      <c r="AD18" s="15">
        <v>0.85399999999999998</v>
      </c>
      <c r="AE18" s="15">
        <v>1</v>
      </c>
      <c r="AF18" s="14">
        <v>0.59</v>
      </c>
      <c r="AG18" s="15">
        <v>0.154</v>
      </c>
      <c r="AH18" s="15">
        <v>-0.45400000000000001</v>
      </c>
      <c r="AI18" s="15">
        <v>-0.03</v>
      </c>
      <c r="AJ18" s="15">
        <v>9.6000000000000002E-2</v>
      </c>
      <c r="AK18" s="16">
        <v>-3.5000000000000003E-2</v>
      </c>
      <c r="AL18" s="4">
        <v>0.628</v>
      </c>
      <c r="AM18" s="4">
        <v>-0.68500000000000005</v>
      </c>
      <c r="AN18" s="4">
        <v>0.375</v>
      </c>
      <c r="AO18" s="4">
        <v>0.28699999999999998</v>
      </c>
      <c r="AP18" s="4">
        <v>0.44800000000000001</v>
      </c>
      <c r="AQ18" s="4">
        <v>0.59899999999999998</v>
      </c>
      <c r="AR18" s="4">
        <v>0.28299999999999997</v>
      </c>
      <c r="AS18" s="4">
        <v>-0.498</v>
      </c>
      <c r="AT18" s="4">
        <v>0.61399999999999999</v>
      </c>
      <c r="AU18" s="4">
        <v>-0.33700000000000002</v>
      </c>
      <c r="AV18" s="4">
        <v>0.64400000000000002</v>
      </c>
      <c r="AW18" s="4">
        <v>0.41</v>
      </c>
      <c r="AX18" s="4">
        <v>0.114</v>
      </c>
      <c r="AY18" s="4">
        <v>0.84299999999999997</v>
      </c>
      <c r="AZ18" s="4">
        <v>0.74099999999999999</v>
      </c>
      <c r="BA18" s="4">
        <v>0.22600000000000001</v>
      </c>
      <c r="BB18" s="4">
        <v>-0.159</v>
      </c>
      <c r="BC18" s="4">
        <v>-0.188</v>
      </c>
      <c r="BD18" s="4">
        <v>0.438</v>
      </c>
      <c r="BE18" s="4">
        <v>-0.41699999999999998</v>
      </c>
      <c r="BF18" s="4">
        <v>0.14599999999999999</v>
      </c>
      <c r="BG18" s="4">
        <v>0.34599999999999997</v>
      </c>
      <c r="BH18" s="4">
        <v>-0.96099999999999997</v>
      </c>
      <c r="BI18" s="4">
        <v>0.17199999999999999</v>
      </c>
      <c r="BJ18" s="4">
        <v>0.73</v>
      </c>
      <c r="BK18" s="4">
        <v>-0.151</v>
      </c>
      <c r="BL18" s="4"/>
    </row>
    <row r="19" spans="1:64" x14ac:dyDescent="0.3">
      <c r="A19" t="s">
        <v>86</v>
      </c>
      <c r="B19" s="53">
        <f t="shared" si="9"/>
        <v>3.4000000000000002E-2</v>
      </c>
      <c r="C19" s="53">
        <f t="shared" si="4"/>
        <v>3.4000000000000002E-2</v>
      </c>
      <c r="D19" s="53">
        <f t="shared" si="5"/>
        <v>0</v>
      </c>
      <c r="E19" s="53">
        <f t="shared" si="6"/>
        <v>0</v>
      </c>
      <c r="F19" s="15">
        <v>3.23</v>
      </c>
      <c r="G19">
        <v>3.5339999999999998</v>
      </c>
      <c r="H19" t="s">
        <v>57</v>
      </c>
      <c r="I19" t="str">
        <f>VLOOKUP(A19,Setores!$A$2:$C$215,2,0)</f>
        <v>homebuilders</v>
      </c>
      <c r="J19" t="str">
        <f>VLOOKUP(A19,Setores!$A$2:$C$215,3,0)</f>
        <v>low_beta</v>
      </c>
      <c r="K19" s="100">
        <v>3.4000000000000002E-2</v>
      </c>
      <c r="L19" s="58">
        <v>3.3000000000000002E-2</v>
      </c>
      <c r="M19" s="7">
        <v>0</v>
      </c>
      <c r="N19" s="41">
        <f>VLOOKUP(A19,'Mandato ISEE'!$A$1:$C$215,2,0)</f>
        <v>4.0785259116309501E-2</v>
      </c>
      <c r="O19" s="58">
        <f t="shared" si="7"/>
        <v>-6.7852591163094986E-3</v>
      </c>
      <c r="P19" s="41">
        <f>VLOOKUP(A19,'Mandato ISEE'!$A$1:$C$215,3,0)</f>
        <v>1.8467465940933198E-2</v>
      </c>
      <c r="Q19" s="42">
        <f t="shared" si="8"/>
        <v>1.5532534059066804E-2</v>
      </c>
      <c r="R19" s="42">
        <v>0.68799999999999994</v>
      </c>
      <c r="S19" s="15">
        <v>0.79400000000000004</v>
      </c>
      <c r="T19" s="15">
        <v>0.80100000000000005</v>
      </c>
      <c r="U19" s="15">
        <v>0.52</v>
      </c>
      <c r="V19" s="15">
        <v>0.76700000000000002</v>
      </c>
      <c r="W19" s="15">
        <v>0.68799999999999994</v>
      </c>
      <c r="X19" s="15">
        <v>0.66700000000000004</v>
      </c>
      <c r="Y19" s="15">
        <v>0.60199999999999998</v>
      </c>
      <c r="Z19" s="15">
        <v>0.67600000000000005</v>
      </c>
      <c r="AA19" s="15">
        <v>0.67200000000000004</v>
      </c>
      <c r="AB19" s="15">
        <v>1</v>
      </c>
      <c r="AC19" s="15">
        <v>0.93400000000000005</v>
      </c>
      <c r="AD19" s="15">
        <v>0.93700000000000006</v>
      </c>
      <c r="AE19" s="15">
        <v>-2.5999999999999999E-2</v>
      </c>
      <c r="AF19" s="14">
        <v>1</v>
      </c>
      <c r="AG19" s="15">
        <v>0.53500000000000003</v>
      </c>
      <c r="AH19" s="15">
        <v>1</v>
      </c>
      <c r="AI19" s="15">
        <v>0.45600000000000002</v>
      </c>
      <c r="AJ19" s="15">
        <v>1.6E-2</v>
      </c>
      <c r="AK19" s="16">
        <v>0.14699999999999999</v>
      </c>
      <c r="AL19" s="4">
        <v>0.69899999999999995</v>
      </c>
      <c r="AM19" s="4">
        <v>0.31900000000000001</v>
      </c>
      <c r="AN19" s="4">
        <v>0.41599999999999998</v>
      </c>
      <c r="AO19" s="4">
        <v>-0.13100000000000001</v>
      </c>
      <c r="AP19" s="4">
        <v>-0.245</v>
      </c>
      <c r="AQ19" s="4">
        <v>0.252</v>
      </c>
      <c r="AR19" s="4">
        <v>0.54600000000000004</v>
      </c>
      <c r="AS19" s="4">
        <v>0.17100000000000001</v>
      </c>
      <c r="AT19" s="4">
        <v>-3.1E-2</v>
      </c>
      <c r="AU19" s="4">
        <v>-0.32700000000000001</v>
      </c>
      <c r="AV19" s="4">
        <v>-0.23899999999999999</v>
      </c>
      <c r="AW19" s="4">
        <v>-1.4999999999999999E-2</v>
      </c>
      <c r="AX19" s="4">
        <v>-0.32600000000000001</v>
      </c>
      <c r="AY19" s="4">
        <v>0.67800000000000005</v>
      </c>
      <c r="AZ19" s="4">
        <v>0.185</v>
      </c>
      <c r="BA19" s="4">
        <v>5.8000000000000003E-2</v>
      </c>
      <c r="BB19" s="4">
        <v>-0.186</v>
      </c>
      <c r="BC19" s="4">
        <v>-7.0000000000000007E-2</v>
      </c>
      <c r="BD19" s="4">
        <v>0.24399999999999999</v>
      </c>
      <c r="BE19" s="4">
        <v>-0.151</v>
      </c>
      <c r="BF19" s="4">
        <v>0.36699999999999999</v>
      </c>
      <c r="BG19" s="4">
        <v>0.85299999999999998</v>
      </c>
      <c r="BH19" s="4">
        <v>-6.0999999999999999E-2</v>
      </c>
      <c r="BI19" s="4">
        <v>0.12</v>
      </c>
      <c r="BJ19" s="4">
        <v>0.60899999999999999</v>
      </c>
      <c r="BK19" s="4">
        <v>0.875</v>
      </c>
      <c r="BL19" s="4"/>
    </row>
    <row r="20" spans="1:64" x14ac:dyDescent="0.3">
      <c r="A20" t="s">
        <v>126</v>
      </c>
      <c r="B20" s="53">
        <f t="shared" si="9"/>
        <v>0</v>
      </c>
      <c r="C20" s="53">
        <f t="shared" si="4"/>
        <v>0</v>
      </c>
      <c r="D20" s="53">
        <f t="shared" si="5"/>
        <v>0</v>
      </c>
      <c r="E20" s="53">
        <f t="shared" si="6"/>
        <v>0</v>
      </c>
      <c r="F20" s="15">
        <v>2.9369999999999998</v>
      </c>
      <c r="G20">
        <v>2.169</v>
      </c>
      <c r="H20" t="s">
        <v>57</v>
      </c>
      <c r="I20" t="str">
        <f>VLOOKUP(A20,Setores!$A$2:$C$215,2,0)</f>
        <v>tech</v>
      </c>
      <c r="J20" t="str">
        <f>VLOOKUP(A20,Setores!$A$2:$C$215,3,0)</f>
        <v>high_beta</v>
      </c>
      <c r="K20" s="100">
        <v>0</v>
      </c>
      <c r="L20" s="58">
        <v>0</v>
      </c>
      <c r="M20" s="7">
        <v>0</v>
      </c>
      <c r="N20" s="41">
        <f>VLOOKUP(A20,'Mandato ISEE'!$A$1:$C$215,2,0)</f>
        <v>0</v>
      </c>
      <c r="O20" s="58">
        <f t="shared" si="7"/>
        <v>0</v>
      </c>
      <c r="P20" s="41">
        <f>VLOOKUP(A20,'Mandato ISEE'!$A$1:$C$215,3,0)</f>
        <v>0</v>
      </c>
      <c r="Q20" s="42">
        <f t="shared" si="8"/>
        <v>0</v>
      </c>
      <c r="R20" s="42">
        <v>1</v>
      </c>
      <c r="S20" s="15">
        <v>1</v>
      </c>
      <c r="T20" s="15">
        <v>1</v>
      </c>
      <c r="U20" s="15">
        <v>1</v>
      </c>
      <c r="V20" s="15">
        <v>1</v>
      </c>
      <c r="W20" s="15">
        <v>0.184</v>
      </c>
      <c r="X20" s="15">
        <v>-0.57499999999999996</v>
      </c>
      <c r="Y20" s="15">
        <v>0.38900000000000001</v>
      </c>
      <c r="Z20" s="15">
        <v>0.34799999999999998</v>
      </c>
      <c r="AA20" s="15">
        <v>0.34699999999999998</v>
      </c>
      <c r="AB20" s="15">
        <v>0.76600000000000001</v>
      </c>
      <c r="AC20" s="15">
        <v>0.79300000000000004</v>
      </c>
      <c r="AD20" s="15">
        <v>1</v>
      </c>
      <c r="AE20" s="15">
        <v>1</v>
      </c>
      <c r="AF20" s="14">
        <v>1</v>
      </c>
      <c r="AG20" s="15">
        <v>1</v>
      </c>
      <c r="AH20" s="15">
        <v>0.58799999999999997</v>
      </c>
      <c r="AI20" s="15">
        <v>0.89800000000000002</v>
      </c>
      <c r="AJ20" s="15">
        <v>1</v>
      </c>
      <c r="AK20" s="16">
        <v>0.42399999999999999</v>
      </c>
      <c r="AL20" s="4">
        <v>-0.80900000000000005</v>
      </c>
      <c r="AM20" s="4">
        <v>0.44500000000000001</v>
      </c>
      <c r="AN20" s="4">
        <v>0.34100000000000003</v>
      </c>
      <c r="AO20" s="4">
        <v>0.35499999999999998</v>
      </c>
      <c r="AP20" s="4">
        <v>0.38200000000000001</v>
      </c>
      <c r="AQ20" s="4">
        <v>0.7</v>
      </c>
      <c r="AR20" s="4">
        <v>0.66400000000000003</v>
      </c>
      <c r="AS20" s="4">
        <v>0.36599999999999999</v>
      </c>
      <c r="AT20" s="4">
        <v>0.13700000000000001</v>
      </c>
      <c r="AU20" s="4">
        <v>-0.44500000000000001</v>
      </c>
      <c r="AV20" s="4">
        <v>0.85799999999999998</v>
      </c>
      <c r="AW20" s="4">
        <v>-0.52800000000000002</v>
      </c>
      <c r="AX20" s="4">
        <v>0.35799999999999998</v>
      </c>
      <c r="AY20" s="4">
        <v>0.41299999999999998</v>
      </c>
      <c r="AZ20" s="4">
        <v>-0.318</v>
      </c>
      <c r="BA20" s="4">
        <v>0.93200000000000005</v>
      </c>
      <c r="BB20" s="4">
        <v>0.33600000000000002</v>
      </c>
      <c r="BC20" s="4">
        <v>0.23400000000000001</v>
      </c>
      <c r="BD20" s="4">
        <v>0.79900000000000004</v>
      </c>
      <c r="BE20" s="4">
        <v>-1</v>
      </c>
      <c r="BF20" s="4">
        <v>-0.38200000000000001</v>
      </c>
      <c r="BG20" s="4">
        <v>-1</v>
      </c>
      <c r="BH20" s="4">
        <v>0.53300000000000003</v>
      </c>
      <c r="BI20" s="4">
        <v>-0.127</v>
      </c>
      <c r="BJ20" s="4">
        <v>0.91700000000000004</v>
      </c>
      <c r="BK20" s="4">
        <v>0.46400000000000002</v>
      </c>
      <c r="BL20" s="4"/>
    </row>
    <row r="21" spans="1:64" x14ac:dyDescent="0.3">
      <c r="A21" t="s">
        <v>70</v>
      </c>
      <c r="B21" s="53">
        <f t="shared" si="9"/>
        <v>0</v>
      </c>
      <c r="C21" s="53">
        <f t="shared" si="4"/>
        <v>0</v>
      </c>
      <c r="D21" s="53">
        <f t="shared" si="5"/>
        <v>0</v>
      </c>
      <c r="E21" s="53">
        <f t="shared" si="6"/>
        <v>0</v>
      </c>
      <c r="F21" s="15">
        <v>2.92</v>
      </c>
      <c r="G21">
        <v>3.6709999999999998</v>
      </c>
      <c r="H21" t="s">
        <v>71</v>
      </c>
      <c r="I21" t="str">
        <f>VLOOKUP(A21,Setores!$A$2:$C$215,2,0)</f>
        <v>basic_materials</v>
      </c>
      <c r="J21" t="str">
        <f>VLOOKUP(A21,Setores!$A$2:$C$215,3,0)</f>
        <v>low_beta</v>
      </c>
      <c r="K21" s="100">
        <v>0</v>
      </c>
      <c r="L21" s="58">
        <v>0</v>
      </c>
      <c r="M21" s="7">
        <v>0</v>
      </c>
      <c r="N21" s="41">
        <f>VLOOKUP(A21,'Mandato ISEE'!$A$1:$C$215,2,0)</f>
        <v>0</v>
      </c>
      <c r="O21" s="58">
        <f t="shared" si="7"/>
        <v>0</v>
      </c>
      <c r="P21" s="41">
        <f>VLOOKUP(A21,'Mandato ISEE'!$A$1:$C$215,3,0)</f>
        <v>0</v>
      </c>
      <c r="Q21" s="42">
        <f t="shared" si="8"/>
        <v>0</v>
      </c>
      <c r="R21" s="42">
        <v>8.6999999999999994E-2</v>
      </c>
      <c r="S21" s="15">
        <v>0.432</v>
      </c>
      <c r="T21" s="15">
        <v>-0.19</v>
      </c>
      <c r="U21" s="15">
        <v>0.2</v>
      </c>
      <c r="V21" s="15">
        <v>0.191</v>
      </c>
      <c r="W21" s="15">
        <v>0.58199999999999996</v>
      </c>
      <c r="X21" s="15">
        <v>0.73</v>
      </c>
      <c r="Y21" s="15">
        <v>0.879</v>
      </c>
      <c r="Z21" s="15">
        <v>0.97299999999999998</v>
      </c>
      <c r="AA21" s="15">
        <v>0.96799999999999997</v>
      </c>
      <c r="AB21" s="15">
        <v>0.78900000000000003</v>
      </c>
      <c r="AC21" s="15">
        <v>0.78700000000000003</v>
      </c>
      <c r="AD21" s="15">
        <v>1</v>
      </c>
      <c r="AE21" s="15">
        <v>-0.129</v>
      </c>
      <c r="AF21" s="14">
        <v>-0.58699999999999997</v>
      </c>
      <c r="AG21" s="15">
        <v>0.44400000000000001</v>
      </c>
      <c r="AH21" s="15">
        <v>-0.63800000000000001</v>
      </c>
      <c r="AI21" s="15">
        <v>0.17100000000000001</v>
      </c>
      <c r="AJ21" s="15">
        <v>-0.49099999999999999</v>
      </c>
      <c r="AK21" s="16">
        <v>-0.30599999999999999</v>
      </c>
      <c r="AL21" s="4">
        <v>0.66</v>
      </c>
      <c r="AM21" s="4">
        <v>-0.439</v>
      </c>
      <c r="AN21" s="4">
        <v>-0.48899999999999999</v>
      </c>
      <c r="AO21" s="4">
        <v>0.79900000000000004</v>
      </c>
      <c r="AP21" s="4">
        <v>0.125</v>
      </c>
      <c r="AQ21" s="4">
        <v>-0.77600000000000002</v>
      </c>
      <c r="AR21" s="4">
        <v>0.68600000000000005</v>
      </c>
      <c r="AS21" s="4">
        <v>0.40699999999999997</v>
      </c>
      <c r="AT21" s="4">
        <v>4.3999999999999997E-2</v>
      </c>
      <c r="AU21" s="4">
        <v>7.1999999999999995E-2</v>
      </c>
      <c r="AV21" s="4">
        <v>0.11899999999999999</v>
      </c>
      <c r="AW21" s="4">
        <v>0.67600000000000005</v>
      </c>
      <c r="AX21" s="4">
        <v>8.5999999999999993E-2</v>
      </c>
      <c r="AY21" s="4">
        <v>0.61399999999999999</v>
      </c>
      <c r="AZ21" s="4">
        <v>-0.94099999999999995</v>
      </c>
      <c r="BA21" s="4">
        <v>0.86699999999999999</v>
      </c>
      <c r="BB21" s="4">
        <v>-9.0999999999999998E-2</v>
      </c>
      <c r="BC21" s="4">
        <v>0.377</v>
      </c>
      <c r="BD21" s="4">
        <v>0.58299999999999996</v>
      </c>
      <c r="BE21" s="4">
        <v>-0.45700000000000002</v>
      </c>
      <c r="BF21" s="4">
        <v>-4.0000000000000001E-3</v>
      </c>
      <c r="BG21" s="4">
        <v>0.71799999999999997</v>
      </c>
      <c r="BH21" s="4">
        <v>-0.34899999999999998</v>
      </c>
      <c r="BI21" s="4">
        <v>-0.53200000000000003</v>
      </c>
      <c r="BJ21" s="4">
        <v>1</v>
      </c>
      <c r="BK21" s="4">
        <v>9.6000000000000002E-2</v>
      </c>
      <c r="BL21" s="4"/>
    </row>
    <row r="22" spans="1:64" x14ac:dyDescent="0.3">
      <c r="A22" t="s">
        <v>66</v>
      </c>
      <c r="B22" s="53">
        <f t="shared" si="9"/>
        <v>0</v>
      </c>
      <c r="C22" s="53">
        <f t="shared" si="4"/>
        <v>0</v>
      </c>
      <c r="D22" s="53">
        <f t="shared" si="5"/>
        <v>0</v>
      </c>
      <c r="E22" s="53">
        <f t="shared" si="6"/>
        <v>0</v>
      </c>
      <c r="F22" s="15">
        <v>2.9009999999999998</v>
      </c>
      <c r="G22">
        <v>2.2559999999999998</v>
      </c>
      <c r="H22" t="s">
        <v>55</v>
      </c>
      <c r="I22" t="str">
        <f>VLOOKUP(A22,Setores!$A$2:$C$215,2,0)</f>
        <v>real_estate</v>
      </c>
      <c r="J22" t="str">
        <f>VLOOKUP(A22,Setores!$A$2:$C$215,3,0)</f>
        <v>low_beta</v>
      </c>
      <c r="K22" s="100">
        <v>0</v>
      </c>
      <c r="L22" s="58">
        <v>0</v>
      </c>
      <c r="M22" s="7">
        <v>0</v>
      </c>
      <c r="N22" s="41">
        <f>VLOOKUP(A22,'Mandato ISEE'!$A$1:$C$215,2,0)</f>
        <v>0</v>
      </c>
      <c r="O22" s="58">
        <f t="shared" si="7"/>
        <v>0</v>
      </c>
      <c r="P22" s="41">
        <f>VLOOKUP(A22,'Mandato ISEE'!$A$1:$C$215,3,0)</f>
        <v>0</v>
      </c>
      <c r="Q22" s="42">
        <f t="shared" si="8"/>
        <v>0</v>
      </c>
      <c r="R22" s="42">
        <v>0.61099999999999999</v>
      </c>
      <c r="S22" s="15">
        <v>-4.0000000000000001E-3</v>
      </c>
      <c r="T22" s="15">
        <v>1</v>
      </c>
      <c r="U22" s="15">
        <v>0.67100000000000004</v>
      </c>
      <c r="V22" s="15">
        <v>0.65800000000000003</v>
      </c>
      <c r="W22" s="15">
        <v>0.82</v>
      </c>
      <c r="X22" s="15">
        <v>0.98299999999999998</v>
      </c>
      <c r="Y22" s="15">
        <v>0.42399999999999999</v>
      </c>
      <c r="Z22" s="15">
        <v>0.42</v>
      </c>
      <c r="AA22" s="15">
        <v>0.41899999999999998</v>
      </c>
      <c r="AB22" s="15">
        <v>0.89400000000000002</v>
      </c>
      <c r="AC22" s="15">
        <v>0.81499999999999995</v>
      </c>
      <c r="AD22" s="15">
        <v>0.751</v>
      </c>
      <c r="AE22" s="15">
        <v>1</v>
      </c>
      <c r="AF22" s="14">
        <v>1</v>
      </c>
      <c r="AG22" s="15">
        <v>-0.63500000000000001</v>
      </c>
      <c r="AH22" s="15">
        <v>1</v>
      </c>
      <c r="AI22" s="15">
        <v>-0.185</v>
      </c>
      <c r="AJ22" s="15">
        <v>1</v>
      </c>
      <c r="AK22" s="16">
        <v>0.377</v>
      </c>
      <c r="AL22" s="4">
        <v>1</v>
      </c>
      <c r="AM22" s="4">
        <v>0.215</v>
      </c>
      <c r="AN22" s="4">
        <v>-0.28199999999999997</v>
      </c>
      <c r="AO22" s="4">
        <v>-0.56499999999999995</v>
      </c>
      <c r="AP22" s="4">
        <v>-0.497</v>
      </c>
      <c r="AQ22" s="4">
        <v>0.69499999999999995</v>
      </c>
      <c r="AR22" s="4">
        <v>-0.375</v>
      </c>
      <c r="AS22" s="4">
        <v>-2.7E-2</v>
      </c>
      <c r="AT22" s="4">
        <v>-0.11899999999999999</v>
      </c>
      <c r="AU22" s="4">
        <v>0.14599999999999999</v>
      </c>
      <c r="AV22" s="4">
        <v>0.379</v>
      </c>
      <c r="AW22" s="4">
        <v>0.23799999999999999</v>
      </c>
      <c r="AX22" s="4">
        <v>-0.35799999999999998</v>
      </c>
      <c r="AY22" s="4">
        <v>5.2999999999999999E-2</v>
      </c>
      <c r="AZ22" s="4">
        <v>-0.182</v>
      </c>
      <c r="BA22" s="4">
        <v>7.0000000000000001E-3</v>
      </c>
      <c r="BB22" s="4">
        <v>0.60199999999999998</v>
      </c>
      <c r="BC22" s="4">
        <v>0.73</v>
      </c>
      <c r="BD22" s="4">
        <v>0.622</v>
      </c>
      <c r="BE22" s="4">
        <v>-0.114</v>
      </c>
      <c r="BF22" s="4">
        <v>-0.53700000000000003</v>
      </c>
      <c r="BG22" s="4">
        <v>0.54200000000000004</v>
      </c>
      <c r="BH22" s="4">
        <v>-0.85199999999999998</v>
      </c>
      <c r="BI22" s="4">
        <v>9.9000000000000005E-2</v>
      </c>
      <c r="BJ22" s="4">
        <v>0.66900000000000004</v>
      </c>
      <c r="BK22" s="4">
        <v>0.82199999999999995</v>
      </c>
      <c r="BL22" s="4"/>
    </row>
    <row r="23" spans="1:64" x14ac:dyDescent="0.3">
      <c r="A23" t="s">
        <v>73</v>
      </c>
      <c r="B23" s="53">
        <v>5.0000000000000001E-3</v>
      </c>
      <c r="C23" s="53">
        <f t="shared" si="4"/>
        <v>5.0000000000000001E-3</v>
      </c>
      <c r="D23" s="53">
        <f t="shared" si="5"/>
        <v>5.0000000000000001E-3</v>
      </c>
      <c r="E23" s="53">
        <f t="shared" si="6"/>
        <v>0</v>
      </c>
      <c r="F23" s="15">
        <v>2.8340000000000001</v>
      </c>
      <c r="G23">
        <v>2.9750000000000001</v>
      </c>
      <c r="H23" t="s">
        <v>57</v>
      </c>
      <c r="I23" t="str">
        <f>VLOOKUP(A23,Setores!$A$2:$C$215,2,0)</f>
        <v>banks</v>
      </c>
      <c r="J23" t="str">
        <f>VLOOKUP(A23,Setores!$A$2:$C$215,3,0)</f>
        <v>neutral_beta</v>
      </c>
      <c r="K23" s="100">
        <v>0</v>
      </c>
      <c r="L23" s="58">
        <v>0</v>
      </c>
      <c r="M23" s="7">
        <v>0</v>
      </c>
      <c r="N23" s="41">
        <f>VLOOKUP(A23,'Mandato ISEE'!$A$1:$C$215,2,0)</f>
        <v>0</v>
      </c>
      <c r="O23" s="58">
        <f t="shared" si="7"/>
        <v>0</v>
      </c>
      <c r="P23" s="41">
        <f>VLOOKUP(A23,'Mandato ISEE'!$A$1:$C$215,3,0)</f>
        <v>0</v>
      </c>
      <c r="Q23" s="42">
        <f t="shared" si="8"/>
        <v>0</v>
      </c>
      <c r="R23" s="42">
        <v>0.249</v>
      </c>
      <c r="S23" s="15">
        <v>0.52800000000000002</v>
      </c>
      <c r="T23" s="15">
        <v>-3.1E-2</v>
      </c>
      <c r="U23" s="15">
        <v>0.371</v>
      </c>
      <c r="V23" s="15">
        <v>0.36099999999999999</v>
      </c>
      <c r="W23" s="15">
        <v>0.53400000000000003</v>
      </c>
      <c r="X23" s="15">
        <v>0.67200000000000004</v>
      </c>
      <c r="Y23" s="15">
        <v>0.57099999999999995</v>
      </c>
      <c r="Z23" s="15">
        <v>0.91200000000000003</v>
      </c>
      <c r="AA23" s="15">
        <v>0.91100000000000003</v>
      </c>
      <c r="AB23" s="15">
        <v>0.86299999999999999</v>
      </c>
      <c r="AC23" s="15">
        <v>0.91400000000000003</v>
      </c>
      <c r="AD23" s="15">
        <v>0.94499999999999995</v>
      </c>
      <c r="AE23" s="15">
        <v>-7.6999999999999999E-2</v>
      </c>
      <c r="AF23" s="14">
        <v>0.65100000000000002</v>
      </c>
      <c r="AG23" s="15">
        <v>0.92400000000000004</v>
      </c>
      <c r="AH23" s="15">
        <v>-3.7999999999999999E-2</v>
      </c>
      <c r="AI23" s="15">
        <v>-0.27300000000000002</v>
      </c>
      <c r="AJ23" s="15">
        <v>-0.625</v>
      </c>
      <c r="AK23" s="16">
        <v>-5.8000000000000003E-2</v>
      </c>
      <c r="AL23" s="4">
        <v>0.32</v>
      </c>
      <c r="AM23" s="4">
        <v>0.58299999999999996</v>
      </c>
      <c r="AN23" s="4">
        <v>0.34200000000000003</v>
      </c>
      <c r="AO23" s="4">
        <v>0.114</v>
      </c>
      <c r="AP23" s="4">
        <v>-0.51400000000000001</v>
      </c>
      <c r="AQ23" s="4">
        <v>0.13800000000000001</v>
      </c>
      <c r="AR23" s="4">
        <v>0.32100000000000001</v>
      </c>
      <c r="AS23" s="4">
        <v>0.24099999999999999</v>
      </c>
      <c r="AT23" s="4">
        <v>-0.16200000000000001</v>
      </c>
      <c r="AU23" s="4">
        <v>-0.23799999999999999</v>
      </c>
      <c r="AV23" s="4">
        <v>-0.21199999999999999</v>
      </c>
      <c r="AW23" s="4">
        <v>0.442</v>
      </c>
      <c r="AX23" s="4">
        <v>-0.39300000000000002</v>
      </c>
      <c r="AY23" s="4">
        <v>0.67</v>
      </c>
      <c r="AZ23" s="4">
        <v>0.39300000000000002</v>
      </c>
      <c r="BA23" s="4">
        <v>0.65700000000000003</v>
      </c>
      <c r="BB23" s="4">
        <v>-0.40899999999999997</v>
      </c>
      <c r="BC23" s="4">
        <v>-0.23400000000000001</v>
      </c>
      <c r="BD23" s="4">
        <v>0.34</v>
      </c>
      <c r="BE23" s="4">
        <v>-4.3999999999999997E-2</v>
      </c>
      <c r="BF23" s="4">
        <v>0.29099999999999998</v>
      </c>
      <c r="BG23" s="4">
        <v>0.95799999999999996</v>
      </c>
      <c r="BH23" s="4">
        <v>-0.47799999999999998</v>
      </c>
      <c r="BI23" s="4">
        <v>-8.8999999999999996E-2</v>
      </c>
      <c r="BJ23" s="4">
        <v>0.20300000000000001</v>
      </c>
      <c r="BK23" s="4">
        <v>0.42599999999999999</v>
      </c>
      <c r="BL23" s="4"/>
    </row>
    <row r="24" spans="1:64" x14ac:dyDescent="0.3">
      <c r="A24" t="s">
        <v>163</v>
      </c>
      <c r="B24" s="53">
        <f t="shared" si="9"/>
        <v>2.7E-2</v>
      </c>
      <c r="C24" s="53">
        <f t="shared" si="4"/>
        <v>2.4E-2</v>
      </c>
      <c r="D24" s="53">
        <f t="shared" si="5"/>
        <v>0</v>
      </c>
      <c r="E24" s="53">
        <f t="shared" si="6"/>
        <v>3.0000000000000001E-3</v>
      </c>
      <c r="F24" s="15">
        <v>2.64</v>
      </c>
      <c r="G24">
        <v>3.544</v>
      </c>
      <c r="H24" t="s">
        <v>68</v>
      </c>
      <c r="I24" t="str">
        <f>VLOOKUP(A24,Setores!$A$2:$C$215,2,0)</f>
        <v>building_materials</v>
      </c>
      <c r="J24" t="str">
        <f>VLOOKUP(A24,Setores!$A$2:$C$215,3,0)</f>
        <v>neutral_beta</v>
      </c>
      <c r="K24" s="100">
        <v>2.7E-2</v>
      </c>
      <c r="L24" s="58">
        <v>2.4E-2</v>
      </c>
      <c r="M24" s="7">
        <v>3.0000000000000001E-3</v>
      </c>
      <c r="N24" s="41">
        <f>VLOOKUP(A24,'Mandato ISEE'!$A$1:$C$215,2,0)</f>
        <v>3.8757149386853901E-2</v>
      </c>
      <c r="O24" s="58">
        <f t="shared" si="7"/>
        <v>-1.1757149386853901E-2</v>
      </c>
      <c r="P24" s="41">
        <f>VLOOKUP(A24,'Mandato ISEE'!$A$1:$C$215,3,0)</f>
        <v>1.7070737931926601E-2</v>
      </c>
      <c r="Q24" s="42">
        <f t="shared" si="8"/>
        <v>9.9292620680733988E-3</v>
      </c>
      <c r="R24" s="42">
        <v>0.499</v>
      </c>
      <c r="S24" s="15">
        <v>0.28100000000000003</v>
      </c>
      <c r="T24" s="15">
        <v>0.11</v>
      </c>
      <c r="U24" s="15">
        <v>0.375</v>
      </c>
      <c r="V24" s="15">
        <v>0.126</v>
      </c>
      <c r="W24" s="15">
        <v>0.67300000000000004</v>
      </c>
      <c r="X24" s="15">
        <v>0.95299999999999996</v>
      </c>
      <c r="Y24" s="15">
        <v>0.191</v>
      </c>
      <c r="Z24" s="15">
        <v>0.70199999999999996</v>
      </c>
      <c r="AA24" s="15">
        <v>0.69699999999999995</v>
      </c>
      <c r="AB24" s="15">
        <v>0.90400000000000003</v>
      </c>
      <c r="AC24" s="15">
        <v>0.88800000000000001</v>
      </c>
      <c r="AD24" s="15">
        <v>0.84499999999999997</v>
      </c>
      <c r="AE24" s="15">
        <v>2.1999999999999999E-2</v>
      </c>
      <c r="AF24" s="14">
        <v>0.11600000000000001</v>
      </c>
      <c r="AG24" s="15">
        <v>-0.16500000000000001</v>
      </c>
      <c r="AH24" s="15">
        <v>-0.34100000000000003</v>
      </c>
      <c r="AI24" s="15">
        <v>0.34599999999999997</v>
      </c>
      <c r="AJ24" s="15">
        <v>6.0000000000000001E-3</v>
      </c>
      <c r="AK24" s="16">
        <v>-5.6000000000000001E-2</v>
      </c>
      <c r="AL24" s="4">
        <v>-0.23599999999999999</v>
      </c>
      <c r="AM24" s="4">
        <v>-0.61699999999999999</v>
      </c>
      <c r="AN24" s="4">
        <v>0.82499999999999996</v>
      </c>
      <c r="AO24" s="4">
        <v>0.20899999999999999</v>
      </c>
      <c r="AP24" s="4">
        <v>-0.249</v>
      </c>
      <c r="AQ24" s="4">
        <v>0.34</v>
      </c>
      <c r="AR24" s="4">
        <v>0.86399999999999999</v>
      </c>
      <c r="AS24" s="4">
        <v>0.25800000000000001</v>
      </c>
      <c r="AT24" s="4">
        <v>0.436</v>
      </c>
      <c r="AU24" s="4">
        <v>0.442</v>
      </c>
      <c r="AV24" s="4">
        <v>0.32500000000000001</v>
      </c>
      <c r="AW24" s="4">
        <v>0.39700000000000002</v>
      </c>
      <c r="AX24" s="4">
        <v>4.3999999999999997E-2</v>
      </c>
      <c r="AY24" s="4">
        <v>0.38400000000000001</v>
      </c>
      <c r="AZ24" s="4">
        <v>0.60699999999999998</v>
      </c>
      <c r="BA24" s="4">
        <v>0.46600000000000003</v>
      </c>
      <c r="BB24" s="4">
        <v>-0.29299999999999998</v>
      </c>
      <c r="BC24" s="4">
        <v>-0.375</v>
      </c>
      <c r="BD24" s="4">
        <v>0.39900000000000002</v>
      </c>
      <c r="BE24" s="4">
        <v>-0.373</v>
      </c>
      <c r="BF24" s="4">
        <v>-0.309</v>
      </c>
      <c r="BG24" s="4">
        <v>0.80800000000000005</v>
      </c>
      <c r="BH24" s="4">
        <v>-0.48299999999999998</v>
      </c>
      <c r="BI24" s="4">
        <v>0.215</v>
      </c>
      <c r="BJ24" s="4">
        <v>0.29499999999999998</v>
      </c>
      <c r="BK24" s="4">
        <v>4.7E-2</v>
      </c>
      <c r="BL24" s="4"/>
    </row>
    <row r="25" spans="1:64" x14ac:dyDescent="0.3">
      <c r="A25" t="s">
        <v>130</v>
      </c>
      <c r="B25" s="53">
        <f t="shared" si="9"/>
        <v>0</v>
      </c>
      <c r="C25" s="53">
        <f t="shared" si="4"/>
        <v>0</v>
      </c>
      <c r="D25" s="53">
        <f t="shared" si="5"/>
        <v>0</v>
      </c>
      <c r="E25" s="53">
        <f t="shared" si="6"/>
        <v>0</v>
      </c>
      <c r="F25" s="15">
        <v>2.6240000000000001</v>
      </c>
      <c r="G25">
        <v>1.87</v>
      </c>
      <c r="H25" t="s">
        <v>71</v>
      </c>
      <c r="I25" t="str">
        <f>VLOOKUP(A25,Setores!$A$2:$C$215,2,0)</f>
        <v>basic_materials</v>
      </c>
      <c r="J25" t="str">
        <f>VLOOKUP(A25,Setores!$A$2:$C$215,3,0)</f>
        <v>very_high_beta</v>
      </c>
      <c r="K25" s="100">
        <v>0</v>
      </c>
      <c r="L25" s="58">
        <v>0</v>
      </c>
      <c r="M25" s="7">
        <v>0</v>
      </c>
      <c r="N25" s="41">
        <f>VLOOKUP(A25,'Mandato ISEE'!$A$1:$C$215,2,0)</f>
        <v>0</v>
      </c>
      <c r="O25" s="58">
        <f t="shared" si="7"/>
        <v>0</v>
      </c>
      <c r="P25" s="41">
        <f>VLOOKUP(A25,'Mandato ISEE'!$A$1:$C$215,3,0)</f>
        <v>0</v>
      </c>
      <c r="Q25" s="42">
        <f t="shared" si="8"/>
        <v>0</v>
      </c>
      <c r="R25" s="42">
        <v>0.33</v>
      </c>
      <c r="S25" s="15">
        <v>0.65800000000000003</v>
      </c>
      <c r="T25" s="15">
        <v>-0.46700000000000003</v>
      </c>
      <c r="U25" s="15">
        <v>0.58899999999999997</v>
      </c>
      <c r="V25" s="15">
        <v>0.20300000000000001</v>
      </c>
      <c r="W25" s="15">
        <v>0.22700000000000001</v>
      </c>
      <c r="X25" s="15">
        <v>-0.08</v>
      </c>
      <c r="Y25" s="15">
        <v>0.47</v>
      </c>
      <c r="Z25" s="15">
        <v>1</v>
      </c>
      <c r="AA25" s="15">
        <v>1</v>
      </c>
      <c r="AB25" s="15">
        <v>0.871</v>
      </c>
      <c r="AC25" s="15">
        <v>0.996</v>
      </c>
      <c r="AD25" s="15">
        <v>0.96599999999999997</v>
      </c>
      <c r="AE25" s="15">
        <v>-0.26500000000000001</v>
      </c>
      <c r="AF25" s="14">
        <v>-0.50800000000000001</v>
      </c>
      <c r="AG25" s="15">
        <v>1</v>
      </c>
      <c r="AH25" s="15">
        <v>-0.754</v>
      </c>
      <c r="AI25" s="15">
        <v>4.1000000000000002E-2</v>
      </c>
      <c r="AJ25" s="15">
        <v>-0.67800000000000005</v>
      </c>
      <c r="AK25" s="16">
        <v>0.10100000000000001</v>
      </c>
      <c r="AL25" s="4">
        <v>-0.54600000000000004</v>
      </c>
      <c r="AM25" s="4">
        <v>-0.20200000000000001</v>
      </c>
      <c r="AN25" s="4">
        <v>-0.54300000000000004</v>
      </c>
      <c r="AO25" s="4">
        <v>0.83399999999999996</v>
      </c>
      <c r="AP25" s="4">
        <v>0.81100000000000005</v>
      </c>
      <c r="AQ25" s="4">
        <v>0.495</v>
      </c>
      <c r="AR25" s="4">
        <v>0.92200000000000004</v>
      </c>
      <c r="AS25" s="4">
        <v>0.36299999999999999</v>
      </c>
      <c r="AT25" s="4">
        <v>0.95599999999999996</v>
      </c>
      <c r="AU25" s="4">
        <v>0.373</v>
      </c>
      <c r="AV25" s="4">
        <v>0.83499999999999996</v>
      </c>
      <c r="AW25" s="4">
        <v>4.5999999999999999E-2</v>
      </c>
      <c r="AX25" s="4">
        <v>0.16700000000000001</v>
      </c>
      <c r="AY25" s="4">
        <v>-0.35299999999999998</v>
      </c>
      <c r="AZ25" s="4">
        <v>0.14099999999999999</v>
      </c>
      <c r="BA25" s="4">
        <v>0.65700000000000003</v>
      </c>
      <c r="BB25" s="4">
        <v>-0.28199999999999997</v>
      </c>
      <c r="BC25" s="4">
        <v>0.33</v>
      </c>
      <c r="BD25" s="4">
        <v>0.64600000000000002</v>
      </c>
      <c r="BE25" s="4">
        <v>1</v>
      </c>
      <c r="BF25" s="4">
        <v>-0.36399999999999999</v>
      </c>
      <c r="BG25" s="4">
        <v>-0.78600000000000003</v>
      </c>
      <c r="BH25" s="4">
        <v>-1</v>
      </c>
      <c r="BI25" s="4">
        <v>0.36099999999999999</v>
      </c>
      <c r="BJ25" s="4">
        <v>-1.9E-2</v>
      </c>
      <c r="BK25" s="4">
        <v>-0.45500000000000002</v>
      </c>
      <c r="BL25" s="4"/>
    </row>
    <row r="26" spans="1:64" x14ac:dyDescent="0.3">
      <c r="A26" t="s">
        <v>82</v>
      </c>
      <c r="B26" s="53">
        <f t="shared" si="9"/>
        <v>0</v>
      </c>
      <c r="C26" s="53">
        <f t="shared" si="4"/>
        <v>0</v>
      </c>
      <c r="D26" s="53">
        <f t="shared" si="5"/>
        <v>0</v>
      </c>
      <c r="E26" s="53">
        <f t="shared" si="6"/>
        <v>0</v>
      </c>
      <c r="F26" s="15">
        <v>2.61</v>
      </c>
      <c r="G26">
        <v>3.2120000000000002</v>
      </c>
      <c r="H26" t="s">
        <v>71</v>
      </c>
      <c r="I26" t="str">
        <f>VLOOKUP(A26,Setores!$A$2:$C$215,2,0)</f>
        <v>basic_materials</v>
      </c>
      <c r="J26" t="str">
        <f>VLOOKUP(A26,Setores!$A$2:$C$215,3,0)</f>
        <v>neutral_beta</v>
      </c>
      <c r="K26" s="100">
        <v>0</v>
      </c>
      <c r="L26" s="58">
        <v>0</v>
      </c>
      <c r="M26" s="7">
        <v>0</v>
      </c>
      <c r="N26" s="41">
        <f>VLOOKUP(A26,'Mandato ISEE'!$A$1:$C$215,2,0)</f>
        <v>0</v>
      </c>
      <c r="O26" s="58">
        <f t="shared" si="7"/>
        <v>0</v>
      </c>
      <c r="P26" s="41">
        <f>VLOOKUP(A26,'Mandato ISEE'!$A$1:$C$215,3,0)</f>
        <v>0</v>
      </c>
      <c r="Q26" s="42">
        <f t="shared" si="8"/>
        <v>0</v>
      </c>
      <c r="R26" s="42">
        <v>-0.11700000000000001</v>
      </c>
      <c r="S26" s="15">
        <v>0.40799999999999997</v>
      </c>
      <c r="T26" s="15">
        <v>-0.56599999999999995</v>
      </c>
      <c r="U26" s="15">
        <v>0.127</v>
      </c>
      <c r="V26" s="15">
        <v>5.5E-2</v>
      </c>
      <c r="W26" s="15">
        <v>0.433</v>
      </c>
      <c r="X26" s="15">
        <v>0.59299999999999997</v>
      </c>
      <c r="Y26" s="15">
        <v>0.84799999999999998</v>
      </c>
      <c r="Z26" s="15">
        <v>0.81299999999999994</v>
      </c>
      <c r="AA26" s="15">
        <v>0.80900000000000005</v>
      </c>
      <c r="AB26" s="15">
        <v>0.86499999999999999</v>
      </c>
      <c r="AC26" s="15">
        <v>0.76700000000000002</v>
      </c>
      <c r="AD26" s="15">
        <v>0.93899999999999995</v>
      </c>
      <c r="AE26" s="15">
        <v>-0.158</v>
      </c>
      <c r="AF26" s="14">
        <v>-0.60499999999999998</v>
      </c>
      <c r="AG26" s="15">
        <v>0.57399999999999995</v>
      </c>
      <c r="AH26" s="15">
        <v>-0.65</v>
      </c>
      <c r="AI26" s="15">
        <v>0.29799999999999999</v>
      </c>
      <c r="AJ26" s="15">
        <v>-0.49099999999999999</v>
      </c>
      <c r="AK26" s="16">
        <v>-0.30599999999999999</v>
      </c>
      <c r="AL26" s="4">
        <v>0.621</v>
      </c>
      <c r="AM26" s="4">
        <v>-0.439</v>
      </c>
      <c r="AN26" s="4">
        <v>-0.49099999999999999</v>
      </c>
      <c r="AO26" s="4">
        <v>0.871</v>
      </c>
      <c r="AP26" s="4">
        <v>0.22500000000000001</v>
      </c>
      <c r="AQ26" s="4">
        <v>-0.77200000000000002</v>
      </c>
      <c r="AR26" s="4">
        <v>0.68600000000000005</v>
      </c>
      <c r="AS26" s="4">
        <v>0.40300000000000002</v>
      </c>
      <c r="AT26" s="4">
        <v>4.3999999999999997E-2</v>
      </c>
      <c r="AU26" s="4">
        <v>0.12</v>
      </c>
      <c r="AV26" s="4">
        <v>0.11899999999999999</v>
      </c>
      <c r="AW26" s="4">
        <v>0.56299999999999994</v>
      </c>
      <c r="AX26" s="4">
        <v>0.02</v>
      </c>
      <c r="AY26" s="4">
        <v>0.55300000000000005</v>
      </c>
      <c r="AZ26" s="4">
        <v>-0.78700000000000003</v>
      </c>
      <c r="BA26" s="4">
        <v>0.34100000000000003</v>
      </c>
      <c r="BB26" s="4">
        <v>-9.0999999999999998E-2</v>
      </c>
      <c r="BC26" s="4">
        <v>0.377</v>
      </c>
      <c r="BD26" s="4">
        <v>0.60199999999999998</v>
      </c>
      <c r="BE26" s="4">
        <v>-0.32700000000000001</v>
      </c>
      <c r="BF26" s="4">
        <v>0.33500000000000002</v>
      </c>
      <c r="BG26" s="4">
        <v>0.67300000000000004</v>
      </c>
      <c r="BH26" s="4">
        <v>-0.40300000000000002</v>
      </c>
      <c r="BI26" s="4">
        <v>-0.36</v>
      </c>
      <c r="BJ26" s="4">
        <v>-0.27700000000000002</v>
      </c>
      <c r="BK26" s="4">
        <v>9.6000000000000002E-2</v>
      </c>
      <c r="BL26" s="4"/>
    </row>
    <row r="27" spans="1:64" x14ac:dyDescent="0.3">
      <c r="A27" t="s">
        <v>167</v>
      </c>
      <c r="B27" s="53">
        <v>5.0000000000000001E-3</v>
      </c>
      <c r="C27" s="53">
        <f t="shared" si="4"/>
        <v>5.0000000000000001E-3</v>
      </c>
      <c r="D27" s="53">
        <f t="shared" si="5"/>
        <v>5.0000000000000001E-3</v>
      </c>
      <c r="E27" s="53">
        <f t="shared" si="6"/>
        <v>0</v>
      </c>
      <c r="F27" s="15">
        <v>2.6019999999999999</v>
      </c>
      <c r="G27">
        <v>2.246</v>
      </c>
      <c r="H27" t="s">
        <v>57</v>
      </c>
      <c r="I27" t="str">
        <f>VLOOKUP(A27,Setores!$A$2:$C$215,2,0)</f>
        <v>tech</v>
      </c>
      <c r="J27" t="str">
        <f>VLOOKUP(A27,Setores!$A$2:$C$215,3,0)</f>
        <v>high_beta</v>
      </c>
      <c r="K27" s="100">
        <v>0</v>
      </c>
      <c r="L27" s="58">
        <v>0</v>
      </c>
      <c r="M27" s="7">
        <v>0</v>
      </c>
      <c r="N27" s="41">
        <f>VLOOKUP(A27,'Mandato ISEE'!$A$1:$C$215,2,0)</f>
        <v>0</v>
      </c>
      <c r="O27" s="58">
        <f t="shared" si="7"/>
        <v>0</v>
      </c>
      <c r="P27" s="41">
        <f>VLOOKUP(A27,'Mandato ISEE'!$A$1:$C$215,3,0)</f>
        <v>0</v>
      </c>
      <c r="Q27" s="42">
        <f t="shared" si="8"/>
        <v>0</v>
      </c>
      <c r="R27" s="42">
        <v>0.71299999999999997</v>
      </c>
      <c r="S27" s="15">
        <v>0.61099999999999999</v>
      </c>
      <c r="T27" s="15">
        <v>0.23200000000000001</v>
      </c>
      <c r="U27" s="15">
        <v>0.68300000000000005</v>
      </c>
      <c r="V27" s="15">
        <v>0.433</v>
      </c>
      <c r="W27" s="15">
        <v>0.27500000000000002</v>
      </c>
      <c r="X27" s="15">
        <v>-7.0000000000000001E-3</v>
      </c>
      <c r="Y27" s="15">
        <v>0.34300000000000003</v>
      </c>
      <c r="Z27" s="15">
        <v>0.23300000000000001</v>
      </c>
      <c r="AA27" s="15">
        <v>0.23599999999999999</v>
      </c>
      <c r="AB27" s="15">
        <v>0.99399999999999999</v>
      </c>
      <c r="AC27" s="15">
        <v>0.89</v>
      </c>
      <c r="AD27" s="15">
        <v>0.877</v>
      </c>
      <c r="AE27" s="15">
        <v>0.83399999999999996</v>
      </c>
      <c r="AF27" s="14">
        <v>-0.13900000000000001</v>
      </c>
      <c r="AG27" s="15">
        <v>0.11600000000000001</v>
      </c>
      <c r="AH27" s="15">
        <v>-0.40100000000000002</v>
      </c>
      <c r="AI27" s="15">
        <v>0.13900000000000001</v>
      </c>
      <c r="AJ27" s="15">
        <v>0.27800000000000002</v>
      </c>
      <c r="AK27" s="16">
        <v>0.113</v>
      </c>
      <c r="AL27" s="4">
        <v>-0.28799999999999998</v>
      </c>
      <c r="AM27" s="4">
        <v>-0.69799999999999995</v>
      </c>
      <c r="AN27" s="4">
        <v>0.72099999999999997</v>
      </c>
      <c r="AO27" s="4">
        <v>0.29199999999999998</v>
      </c>
      <c r="AP27" s="4">
        <v>0.79100000000000004</v>
      </c>
      <c r="AQ27" s="4">
        <v>7.5999999999999998E-2</v>
      </c>
      <c r="AR27" s="4">
        <v>0.81499999999999995</v>
      </c>
      <c r="AS27" s="4">
        <v>0.80400000000000005</v>
      </c>
      <c r="AT27" s="4">
        <v>0.59399999999999997</v>
      </c>
      <c r="AU27" s="4">
        <v>-0.22900000000000001</v>
      </c>
      <c r="AV27" s="4">
        <v>0.84199999999999997</v>
      </c>
      <c r="AW27" s="4">
        <v>0.182</v>
      </c>
      <c r="AX27" s="4">
        <v>0.495</v>
      </c>
      <c r="AY27" s="4">
        <v>0.755</v>
      </c>
      <c r="AZ27" s="4">
        <v>-0.27100000000000002</v>
      </c>
      <c r="BA27" s="4">
        <v>0.61799999999999999</v>
      </c>
      <c r="BB27" s="4">
        <v>8.6999999999999994E-2</v>
      </c>
      <c r="BC27" s="4">
        <v>0.41299999999999998</v>
      </c>
      <c r="BD27" s="4">
        <v>0.44400000000000001</v>
      </c>
      <c r="BE27" s="4">
        <v>-0.99399999999999999</v>
      </c>
      <c r="BF27" s="4">
        <v>-1</v>
      </c>
      <c r="BG27" s="4">
        <v>-0.44700000000000001</v>
      </c>
      <c r="BH27" s="4">
        <v>0.16500000000000001</v>
      </c>
      <c r="BI27" s="4">
        <v>3.7999999999999999E-2</v>
      </c>
      <c r="BJ27" s="4">
        <v>2.5000000000000001E-2</v>
      </c>
      <c r="BK27" s="4">
        <v>-0.151</v>
      </c>
      <c r="BL27" s="4"/>
    </row>
    <row r="28" spans="1:64" x14ac:dyDescent="0.3">
      <c r="A28" t="s">
        <v>137</v>
      </c>
      <c r="B28" s="53">
        <f t="shared" si="9"/>
        <v>0</v>
      </c>
      <c r="C28" s="53">
        <f t="shared" si="4"/>
        <v>0</v>
      </c>
      <c r="D28" s="53">
        <f t="shared" si="5"/>
        <v>0</v>
      </c>
      <c r="E28" s="53">
        <f t="shared" si="6"/>
        <v>0</v>
      </c>
      <c r="F28" s="15">
        <v>2.593</v>
      </c>
      <c r="G28">
        <v>1.8620000000000001</v>
      </c>
      <c r="H28" t="s">
        <v>57</v>
      </c>
      <c r="I28" t="str">
        <f>VLOOKUP(A28,Setores!$A$2:$C$215,2,0)</f>
        <v>education</v>
      </c>
      <c r="J28" t="str">
        <f>VLOOKUP(A28,Setores!$A$2:$C$215,3,0)</f>
        <v>high_beta</v>
      </c>
      <c r="K28" s="100">
        <v>0</v>
      </c>
      <c r="L28" s="58">
        <v>0</v>
      </c>
      <c r="M28" s="7">
        <v>0</v>
      </c>
      <c r="N28" s="41">
        <f>VLOOKUP(A28,'Mandato ISEE'!$A$1:$C$215,2,0)</f>
        <v>0</v>
      </c>
      <c r="O28" s="58">
        <f t="shared" si="7"/>
        <v>0</v>
      </c>
      <c r="P28" s="41">
        <f>VLOOKUP(A28,'Mandato ISEE'!$A$1:$C$215,3,0)</f>
        <v>0</v>
      </c>
      <c r="Q28" s="42">
        <f t="shared" si="8"/>
        <v>0</v>
      </c>
      <c r="R28" s="42">
        <v>0.79900000000000004</v>
      </c>
      <c r="S28" s="15">
        <v>0.628</v>
      </c>
      <c r="T28" s="15">
        <v>0.58799999999999997</v>
      </c>
      <c r="U28" s="15">
        <v>0.72499999999999998</v>
      </c>
      <c r="V28" s="15">
        <v>0.60099999999999998</v>
      </c>
      <c r="W28" s="15">
        <v>0.41299999999999998</v>
      </c>
      <c r="X28" s="15">
        <v>0.161</v>
      </c>
      <c r="Y28" s="15">
        <v>0.16400000000000001</v>
      </c>
      <c r="Z28" s="15">
        <v>0.2</v>
      </c>
      <c r="AA28" s="15">
        <v>0.2</v>
      </c>
      <c r="AB28" s="15">
        <v>0.82199999999999995</v>
      </c>
      <c r="AC28" s="15">
        <v>0.58299999999999996</v>
      </c>
      <c r="AD28" s="15">
        <v>0.88800000000000001</v>
      </c>
      <c r="AE28" s="15">
        <v>0.877</v>
      </c>
      <c r="AF28" s="14">
        <v>0.45700000000000002</v>
      </c>
      <c r="AG28" s="15">
        <v>0.33700000000000002</v>
      </c>
      <c r="AH28" s="15">
        <v>-3.4000000000000002E-2</v>
      </c>
      <c r="AI28" s="15">
        <v>1</v>
      </c>
      <c r="AJ28" s="15">
        <v>1</v>
      </c>
      <c r="AK28" s="16">
        <v>0.184</v>
      </c>
      <c r="AL28" s="4">
        <v>-0.76</v>
      </c>
      <c r="AM28" s="4">
        <v>-0.52800000000000002</v>
      </c>
      <c r="AN28" s="4">
        <v>0.45700000000000002</v>
      </c>
      <c r="AO28" s="4">
        <v>0.25</v>
      </c>
      <c r="AP28" s="4">
        <v>0.47199999999999998</v>
      </c>
      <c r="AQ28" s="4">
        <v>0.47199999999999998</v>
      </c>
      <c r="AR28" s="4">
        <v>0.55900000000000005</v>
      </c>
      <c r="AS28" s="4">
        <v>3.7999999999999999E-2</v>
      </c>
      <c r="AT28" s="4">
        <v>0.45900000000000002</v>
      </c>
      <c r="AU28" s="4">
        <v>0.08</v>
      </c>
      <c r="AV28" s="4">
        <v>0.998</v>
      </c>
      <c r="AW28" s="4">
        <v>-0.629</v>
      </c>
      <c r="AX28" s="4">
        <v>2E-3</v>
      </c>
      <c r="AY28" s="4">
        <v>0.747</v>
      </c>
      <c r="AZ28" s="4">
        <v>0.52500000000000002</v>
      </c>
      <c r="BA28" s="4">
        <v>0.27300000000000002</v>
      </c>
      <c r="BB28" s="4">
        <v>-8.0000000000000002E-3</v>
      </c>
      <c r="BC28" s="4">
        <v>4.9000000000000002E-2</v>
      </c>
      <c r="BD28" s="4">
        <v>0.52600000000000002</v>
      </c>
      <c r="BE28" s="4">
        <v>-0.13500000000000001</v>
      </c>
      <c r="BF28" s="4">
        <v>0.54400000000000004</v>
      </c>
      <c r="BG28" s="4">
        <v>0.223</v>
      </c>
      <c r="BH28" s="4">
        <v>-0.623</v>
      </c>
      <c r="BI28" s="4">
        <v>0.27300000000000002</v>
      </c>
      <c r="BJ28" s="4">
        <v>-4.9000000000000002E-2</v>
      </c>
      <c r="BK28" s="4">
        <v>0.54700000000000004</v>
      </c>
      <c r="BL28" s="4"/>
    </row>
    <row r="29" spans="1:64" x14ac:dyDescent="0.3">
      <c r="A29" t="s">
        <v>136</v>
      </c>
      <c r="B29" s="53">
        <f t="shared" si="9"/>
        <v>0</v>
      </c>
      <c r="C29" s="53">
        <f t="shared" si="4"/>
        <v>0</v>
      </c>
      <c r="D29" s="53">
        <f t="shared" si="5"/>
        <v>0</v>
      </c>
      <c r="E29" s="53">
        <f t="shared" si="6"/>
        <v>0</v>
      </c>
      <c r="F29" s="15">
        <v>2.5590000000000002</v>
      </c>
      <c r="G29">
        <v>2.8250000000000002</v>
      </c>
      <c r="H29" t="s">
        <v>71</v>
      </c>
      <c r="I29" t="str">
        <f>VLOOKUP(A29,Setores!$A$2:$C$215,2,0)</f>
        <v>crude_oil</v>
      </c>
      <c r="J29" t="str">
        <f>VLOOKUP(A29,Setores!$A$2:$C$215,3,0)</f>
        <v>very_low_beta</v>
      </c>
      <c r="K29" s="100">
        <v>0</v>
      </c>
      <c r="L29" s="58">
        <v>0</v>
      </c>
      <c r="M29" s="7">
        <v>0</v>
      </c>
      <c r="N29" s="41">
        <f>VLOOKUP(A29,'Mandato ISEE'!$A$1:$C$215,2,0)</f>
        <v>0</v>
      </c>
      <c r="O29" s="58">
        <f t="shared" si="7"/>
        <v>0</v>
      </c>
      <c r="P29" s="41">
        <f>VLOOKUP(A29,'Mandato ISEE'!$A$1:$C$215,3,0)</f>
        <v>0</v>
      </c>
      <c r="Q29" s="42">
        <f t="shared" si="8"/>
        <v>0</v>
      </c>
      <c r="R29" s="42">
        <v>-0.29399999999999998</v>
      </c>
      <c r="S29" s="15">
        <v>0.28000000000000003</v>
      </c>
      <c r="T29" s="15">
        <v>-0.85299999999999998</v>
      </c>
      <c r="U29" s="15">
        <v>0.315</v>
      </c>
      <c r="V29" s="15">
        <v>-0.04</v>
      </c>
      <c r="W29" s="15">
        <v>0.44700000000000001</v>
      </c>
      <c r="X29" s="15">
        <v>0.53100000000000003</v>
      </c>
      <c r="Y29" s="15">
        <v>1</v>
      </c>
      <c r="Z29" s="15">
        <v>1</v>
      </c>
      <c r="AA29" s="15">
        <v>1</v>
      </c>
      <c r="AB29" s="15">
        <v>0.56100000000000005</v>
      </c>
      <c r="AC29" s="15">
        <v>0.73</v>
      </c>
      <c r="AD29" s="15">
        <v>0.88900000000000001</v>
      </c>
      <c r="AE29" s="15">
        <v>-1.7999999999999999E-2</v>
      </c>
      <c r="AF29" s="14">
        <v>-0.745</v>
      </c>
      <c r="AG29" s="15">
        <v>1</v>
      </c>
      <c r="AH29" s="15">
        <v>-0.93500000000000005</v>
      </c>
      <c r="AI29" s="15">
        <v>-0.54400000000000004</v>
      </c>
      <c r="AJ29" s="15">
        <v>-0.92200000000000004</v>
      </c>
      <c r="AK29" s="16">
        <v>0.151</v>
      </c>
      <c r="AL29" s="4">
        <v>0.432</v>
      </c>
      <c r="AM29" s="4">
        <v>-0.54200000000000004</v>
      </c>
      <c r="AN29" s="4">
        <v>-0.64700000000000002</v>
      </c>
      <c r="AO29" s="4">
        <v>0.94399999999999995</v>
      </c>
      <c r="AP29" s="4">
        <v>1</v>
      </c>
      <c r="AQ29" s="4">
        <v>-0.33500000000000002</v>
      </c>
      <c r="AR29" s="4">
        <v>0.14499999999999999</v>
      </c>
      <c r="AS29" s="4">
        <v>3.5000000000000003E-2</v>
      </c>
      <c r="AT29" s="4">
        <v>0.41199999999999998</v>
      </c>
      <c r="AU29" s="4">
        <v>0.26900000000000002</v>
      </c>
      <c r="AV29" s="4">
        <v>0.23</v>
      </c>
      <c r="AW29" s="4">
        <v>0.503</v>
      </c>
      <c r="AX29" s="4">
        <v>-0.21199999999999999</v>
      </c>
      <c r="AY29" s="4">
        <v>0.74299999999999999</v>
      </c>
      <c r="AZ29" s="4">
        <v>0.38900000000000001</v>
      </c>
      <c r="BA29" s="4">
        <v>0.39100000000000001</v>
      </c>
      <c r="BB29" s="4">
        <v>-0.151</v>
      </c>
      <c r="BC29" s="4">
        <v>-0.21299999999999999</v>
      </c>
      <c r="BD29" s="4">
        <v>0.60099999999999998</v>
      </c>
      <c r="BE29" s="4">
        <v>-0.67900000000000005</v>
      </c>
      <c r="BF29" s="4">
        <v>0.29299999999999998</v>
      </c>
      <c r="BG29" s="4">
        <v>0.39200000000000002</v>
      </c>
      <c r="BH29" s="4">
        <v>-0.90700000000000003</v>
      </c>
      <c r="BI29" s="4">
        <v>-1</v>
      </c>
      <c r="BJ29" s="4">
        <v>-0.247</v>
      </c>
      <c r="BK29" s="4">
        <v>-0.89800000000000002</v>
      </c>
      <c r="BL29" s="4"/>
    </row>
    <row r="30" spans="1:64" x14ac:dyDescent="0.3">
      <c r="A30" t="s">
        <v>84</v>
      </c>
      <c r="B30" s="53">
        <f t="shared" si="9"/>
        <v>0</v>
      </c>
      <c r="C30" s="53">
        <f t="shared" si="4"/>
        <v>0</v>
      </c>
      <c r="D30" s="53">
        <f t="shared" si="5"/>
        <v>0</v>
      </c>
      <c r="E30" s="53">
        <f t="shared" si="6"/>
        <v>0</v>
      </c>
      <c r="F30" s="15">
        <v>2.5230000000000001</v>
      </c>
      <c r="G30">
        <v>1.9319999999999999</v>
      </c>
      <c r="H30" t="s">
        <v>57</v>
      </c>
      <c r="I30" t="str">
        <f>VLOOKUP(A30,Setores!$A$2:$C$215,2,0)</f>
        <v>banks</v>
      </c>
      <c r="J30" t="str">
        <f>VLOOKUP(A30,Setores!$A$2:$C$215,3,0)</f>
        <v>neutral_beta</v>
      </c>
      <c r="K30" s="100">
        <v>0</v>
      </c>
      <c r="L30" s="58">
        <v>0</v>
      </c>
      <c r="M30" s="7">
        <v>0</v>
      </c>
      <c r="N30" s="41">
        <f>VLOOKUP(A30,'Mandato ISEE'!$A$1:$C$215,2,0)</f>
        <v>0</v>
      </c>
      <c r="O30" s="58">
        <f t="shared" si="7"/>
        <v>0</v>
      </c>
      <c r="P30" s="41">
        <f>VLOOKUP(A30,'Mandato ISEE'!$A$1:$C$215,3,0)</f>
        <v>0</v>
      </c>
      <c r="Q30" s="42">
        <f t="shared" si="8"/>
        <v>0</v>
      </c>
      <c r="R30" s="42">
        <v>0.32600000000000001</v>
      </c>
      <c r="S30" s="15">
        <v>0.39200000000000002</v>
      </c>
      <c r="T30" s="15">
        <v>0.23499999999999999</v>
      </c>
      <c r="U30" s="15">
        <v>0.47599999999999998</v>
      </c>
      <c r="V30" s="15">
        <v>0.39900000000000002</v>
      </c>
      <c r="W30" s="15">
        <v>0.13800000000000001</v>
      </c>
      <c r="X30" s="15">
        <v>-4.8000000000000001E-2</v>
      </c>
      <c r="Y30" s="15">
        <v>0.49299999999999999</v>
      </c>
      <c r="Z30" s="15">
        <v>0.47299999999999998</v>
      </c>
      <c r="AA30" s="15">
        <v>0.47</v>
      </c>
      <c r="AB30" s="15">
        <v>0.88400000000000001</v>
      </c>
      <c r="AC30" s="15">
        <v>0.92400000000000004</v>
      </c>
      <c r="AD30" s="15">
        <v>0.94599999999999995</v>
      </c>
      <c r="AE30" s="15">
        <v>-0.17499999999999999</v>
      </c>
      <c r="AF30" s="14">
        <v>0.65700000000000003</v>
      </c>
      <c r="AG30" s="15">
        <v>0.65500000000000003</v>
      </c>
      <c r="AH30" s="15">
        <v>-0.40300000000000002</v>
      </c>
      <c r="AI30" s="15">
        <v>1</v>
      </c>
      <c r="AJ30" s="15">
        <v>0.65300000000000002</v>
      </c>
      <c r="AK30" s="16">
        <v>-0.112</v>
      </c>
      <c r="AL30" s="4">
        <v>-7.0000000000000007E-2</v>
      </c>
      <c r="AM30" s="4">
        <v>-0.40699999999999997</v>
      </c>
      <c r="AN30" s="4">
        <v>5.8000000000000003E-2</v>
      </c>
      <c r="AO30" s="4">
        <v>0.54300000000000004</v>
      </c>
      <c r="AP30" s="4">
        <v>0.46600000000000003</v>
      </c>
      <c r="AQ30" s="4">
        <v>0.99199999999999999</v>
      </c>
      <c r="AR30" s="4">
        <v>0.51200000000000001</v>
      </c>
      <c r="AS30" s="4">
        <v>-0.16300000000000001</v>
      </c>
      <c r="AT30" s="4">
        <v>0.192</v>
      </c>
      <c r="AU30" s="4">
        <v>-0.23200000000000001</v>
      </c>
      <c r="AV30" s="4">
        <v>8.5000000000000006E-2</v>
      </c>
      <c r="AW30" s="4">
        <v>0.36399999999999999</v>
      </c>
      <c r="AX30" s="4">
        <v>-0.14099999999999999</v>
      </c>
      <c r="AY30" s="4">
        <v>0.47599999999999998</v>
      </c>
      <c r="AZ30" s="4">
        <v>0.44400000000000001</v>
      </c>
      <c r="BA30" s="4">
        <v>0.33300000000000002</v>
      </c>
      <c r="BB30" s="4">
        <v>-0.502</v>
      </c>
      <c r="BC30" s="4">
        <v>-2.3E-2</v>
      </c>
      <c r="BD30" s="4">
        <v>-0.60299999999999998</v>
      </c>
      <c r="BE30" s="4">
        <v>-0.496</v>
      </c>
      <c r="BF30" s="4">
        <v>0.188</v>
      </c>
      <c r="BG30" s="4">
        <v>-0.108</v>
      </c>
      <c r="BH30" s="4">
        <v>-1</v>
      </c>
      <c r="BI30" s="4">
        <v>-0.20399999999999999</v>
      </c>
      <c r="BJ30" s="4">
        <v>0.437</v>
      </c>
      <c r="BK30" s="4">
        <v>0.63800000000000001</v>
      </c>
      <c r="BL30" s="4"/>
    </row>
    <row r="31" spans="1:64" x14ac:dyDescent="0.3">
      <c r="A31" t="s">
        <v>90</v>
      </c>
      <c r="B31" s="53">
        <v>5.0000000000000001E-3</v>
      </c>
      <c r="C31" s="53">
        <f t="shared" si="4"/>
        <v>5.0000000000000001E-3</v>
      </c>
      <c r="D31" s="53">
        <f t="shared" si="5"/>
        <v>5.0000000000000001E-3</v>
      </c>
      <c r="E31" s="53">
        <f t="shared" si="6"/>
        <v>0</v>
      </c>
      <c r="F31" s="15">
        <v>2.5179999999999998</v>
      </c>
      <c r="G31">
        <v>2.327</v>
      </c>
      <c r="H31" t="s">
        <v>68</v>
      </c>
      <c r="I31" t="str">
        <f>VLOOKUP(A31,Setores!$A$2:$C$215,2,0)</f>
        <v>capital_goods</v>
      </c>
      <c r="J31" t="str">
        <f>VLOOKUP(A31,Setores!$A$2:$C$215,3,0)</f>
        <v>high_beta</v>
      </c>
      <c r="K31" s="100">
        <v>0</v>
      </c>
      <c r="L31" s="58">
        <v>0</v>
      </c>
      <c r="M31" s="7">
        <v>0</v>
      </c>
      <c r="N31" s="41">
        <f>VLOOKUP(A31,'Mandato ISEE'!$A$1:$C$215,2,0)</f>
        <v>0</v>
      </c>
      <c r="O31" s="58">
        <f t="shared" si="7"/>
        <v>0</v>
      </c>
      <c r="P31" s="41">
        <f>VLOOKUP(A31,'Mandato ISEE'!$A$1:$C$215,3,0)</f>
        <v>0</v>
      </c>
      <c r="Q31" s="42">
        <f t="shared" si="8"/>
        <v>0</v>
      </c>
      <c r="R31" s="42">
        <v>0.34</v>
      </c>
      <c r="S31" s="15">
        <v>-0.216</v>
      </c>
      <c r="T31" s="15">
        <v>-7.0000000000000001E-3</v>
      </c>
      <c r="U31" s="15">
        <v>0.64300000000000002</v>
      </c>
      <c r="V31" s="15">
        <v>0.16800000000000001</v>
      </c>
      <c r="W31" s="15">
        <v>0.67900000000000005</v>
      </c>
      <c r="X31" s="15">
        <v>0.75700000000000001</v>
      </c>
      <c r="Y31" s="15">
        <v>0.58099999999999996</v>
      </c>
      <c r="Z31" s="15">
        <v>0.311</v>
      </c>
      <c r="AA31" s="15">
        <v>0.313</v>
      </c>
      <c r="AB31" s="15">
        <v>0.79800000000000004</v>
      </c>
      <c r="AC31" s="15">
        <v>0.77900000000000003</v>
      </c>
      <c r="AD31" s="15">
        <v>0.69299999999999995</v>
      </c>
      <c r="AE31" s="15">
        <v>1</v>
      </c>
      <c r="AF31" s="14">
        <v>0.57499999999999996</v>
      </c>
      <c r="AG31" s="15">
        <v>-0.214</v>
      </c>
      <c r="AH31" s="15">
        <v>-0.45900000000000002</v>
      </c>
      <c r="AI31" s="15">
        <v>-0.30599999999999999</v>
      </c>
      <c r="AJ31" s="15">
        <v>8.7999999999999995E-2</v>
      </c>
      <c r="AK31" s="16">
        <v>-3.5000000000000003E-2</v>
      </c>
      <c r="AL31" s="4">
        <v>0.433</v>
      </c>
      <c r="AM31" s="4">
        <v>-0.68500000000000005</v>
      </c>
      <c r="AN31" s="4">
        <v>0.42799999999999999</v>
      </c>
      <c r="AO31" s="4">
        <v>5.7000000000000002E-2</v>
      </c>
      <c r="AP31" s="4">
        <v>0.312</v>
      </c>
      <c r="AQ31" s="4">
        <v>0.59899999999999998</v>
      </c>
      <c r="AR31" s="4">
        <v>0.28299999999999997</v>
      </c>
      <c r="AS31" s="4">
        <v>-0.498</v>
      </c>
      <c r="AT31" s="4">
        <v>0.61399999999999999</v>
      </c>
      <c r="AU31" s="4">
        <v>-0.33700000000000002</v>
      </c>
      <c r="AV31" s="4">
        <v>0.63900000000000001</v>
      </c>
      <c r="AW31" s="4">
        <v>0.41399999999999998</v>
      </c>
      <c r="AX31" s="4">
        <v>0.114</v>
      </c>
      <c r="AY31" s="4">
        <v>0.84299999999999997</v>
      </c>
      <c r="AZ31" s="4">
        <v>0.56100000000000005</v>
      </c>
      <c r="BA31" s="4">
        <v>0.44800000000000001</v>
      </c>
      <c r="BB31" s="4">
        <v>-0.159</v>
      </c>
      <c r="BC31" s="4">
        <v>-0.188</v>
      </c>
      <c r="BD31" s="4">
        <v>0.3</v>
      </c>
      <c r="BE31" s="4">
        <v>-0.187</v>
      </c>
      <c r="BF31" s="4">
        <v>2.7E-2</v>
      </c>
      <c r="BG31" s="4">
        <v>0.58799999999999997</v>
      </c>
      <c r="BH31" s="4">
        <v>-0.85399999999999998</v>
      </c>
      <c r="BI31" s="4">
        <v>0.34599999999999997</v>
      </c>
      <c r="BJ31" s="4">
        <v>-0.38200000000000001</v>
      </c>
      <c r="BK31" s="4">
        <v>-0.151</v>
      </c>
      <c r="BL31" s="4"/>
    </row>
    <row r="32" spans="1:64" x14ac:dyDescent="0.3">
      <c r="A32" t="s">
        <v>146</v>
      </c>
      <c r="B32" s="53">
        <f t="shared" si="9"/>
        <v>0</v>
      </c>
      <c r="C32" s="53">
        <f t="shared" si="4"/>
        <v>0</v>
      </c>
      <c r="D32" s="53">
        <f t="shared" si="5"/>
        <v>0</v>
      </c>
      <c r="E32" s="53">
        <f t="shared" si="6"/>
        <v>0</v>
      </c>
      <c r="F32" s="15">
        <v>2.4710000000000001</v>
      </c>
      <c r="G32">
        <v>2.472</v>
      </c>
      <c r="H32" t="s">
        <v>71</v>
      </c>
      <c r="I32" t="str">
        <f>VLOOKUP(A32,Setores!$A$2:$C$215,2,0)</f>
        <v>crude_oil</v>
      </c>
      <c r="J32" t="str">
        <f>VLOOKUP(A32,Setores!$A$2:$C$215,3,0)</f>
        <v>very_low_beta</v>
      </c>
      <c r="K32" s="100">
        <v>0</v>
      </c>
      <c r="L32" s="58">
        <v>0</v>
      </c>
      <c r="M32" s="7">
        <v>0</v>
      </c>
      <c r="N32" s="41">
        <f>VLOOKUP(A32,'Mandato ISEE'!$A$1:$C$215,2,0)</f>
        <v>0</v>
      </c>
      <c r="O32" s="58">
        <f t="shared" si="7"/>
        <v>0</v>
      </c>
      <c r="P32" s="41">
        <f>VLOOKUP(A32,'Mandato ISEE'!$A$1:$C$215,3,0)</f>
        <v>0</v>
      </c>
      <c r="Q32" s="42">
        <f t="shared" si="8"/>
        <v>0</v>
      </c>
      <c r="R32" s="42">
        <v>-0.308</v>
      </c>
      <c r="S32" s="15">
        <v>0.26300000000000001</v>
      </c>
      <c r="T32" s="15">
        <v>-0.84799999999999998</v>
      </c>
      <c r="U32" s="15">
        <v>0.26500000000000001</v>
      </c>
      <c r="V32" s="15">
        <v>-6.7000000000000004E-2</v>
      </c>
      <c r="W32" s="15">
        <v>0.35799999999999998</v>
      </c>
      <c r="X32" s="15">
        <v>0.39600000000000002</v>
      </c>
      <c r="Y32" s="15">
        <v>0.94599999999999995</v>
      </c>
      <c r="Z32" s="15">
        <v>1</v>
      </c>
      <c r="AA32" s="15">
        <v>1</v>
      </c>
      <c r="AB32" s="15">
        <v>0.59599999999999997</v>
      </c>
      <c r="AC32" s="15">
        <v>0.75600000000000001</v>
      </c>
      <c r="AD32" s="15">
        <v>0.88500000000000001</v>
      </c>
      <c r="AE32" s="15">
        <v>-8.8999999999999996E-2</v>
      </c>
      <c r="AF32" s="14">
        <v>-0.77100000000000002</v>
      </c>
      <c r="AG32" s="15">
        <v>1</v>
      </c>
      <c r="AH32" s="15">
        <v>-0.94399999999999995</v>
      </c>
      <c r="AI32" s="15">
        <v>-0.56799999999999995</v>
      </c>
      <c r="AJ32" s="15">
        <v>-0.92600000000000005</v>
      </c>
      <c r="AK32" s="16">
        <v>0.151</v>
      </c>
      <c r="AL32" s="4">
        <v>0.35699999999999998</v>
      </c>
      <c r="AM32" s="4">
        <v>-0.54200000000000004</v>
      </c>
      <c r="AN32" s="4">
        <v>-0.65800000000000003</v>
      </c>
      <c r="AO32" s="4">
        <v>0.93500000000000005</v>
      </c>
      <c r="AP32" s="4">
        <v>1</v>
      </c>
      <c r="AQ32" s="4">
        <v>-0.33500000000000002</v>
      </c>
      <c r="AR32" s="4">
        <v>0.14499999999999999</v>
      </c>
      <c r="AS32" s="4">
        <v>3.5000000000000003E-2</v>
      </c>
      <c r="AT32" s="4">
        <v>0.41199999999999998</v>
      </c>
      <c r="AU32" s="4">
        <v>0.26900000000000002</v>
      </c>
      <c r="AV32" s="4">
        <v>0.223</v>
      </c>
      <c r="AW32" s="4">
        <v>0.40899999999999997</v>
      </c>
      <c r="AX32" s="4">
        <v>-0.21199999999999999</v>
      </c>
      <c r="AY32" s="4">
        <v>0.74299999999999999</v>
      </c>
      <c r="AZ32" s="4">
        <v>0.438</v>
      </c>
      <c r="BA32" s="4">
        <v>0.498</v>
      </c>
      <c r="BB32" s="4">
        <v>-0.151</v>
      </c>
      <c r="BC32" s="4">
        <v>-0.21299999999999999</v>
      </c>
      <c r="BD32" s="4">
        <v>0.624</v>
      </c>
      <c r="BE32" s="4">
        <v>-0.70499999999999996</v>
      </c>
      <c r="BF32" s="4">
        <v>0.311</v>
      </c>
      <c r="BG32" s="4">
        <v>0.27</v>
      </c>
      <c r="BH32" s="4">
        <v>-0.89300000000000002</v>
      </c>
      <c r="BI32" s="4">
        <v>-1</v>
      </c>
      <c r="BJ32" s="4">
        <v>-8.5000000000000006E-2</v>
      </c>
      <c r="BK32" s="4">
        <v>-0.89800000000000002</v>
      </c>
      <c r="BL32" s="4"/>
    </row>
    <row r="33" spans="1:64" x14ac:dyDescent="0.3">
      <c r="A33" t="s">
        <v>77</v>
      </c>
      <c r="B33" s="53">
        <f t="shared" si="9"/>
        <v>0</v>
      </c>
      <c r="C33" s="53">
        <f t="shared" si="4"/>
        <v>0</v>
      </c>
      <c r="D33" s="53">
        <f t="shared" si="5"/>
        <v>0</v>
      </c>
      <c r="E33" s="53">
        <f t="shared" si="6"/>
        <v>0</v>
      </c>
      <c r="F33" s="15">
        <v>2.4249999999999998</v>
      </c>
      <c r="G33">
        <v>1.841</v>
      </c>
      <c r="H33" t="s">
        <v>57</v>
      </c>
      <c r="I33" t="str">
        <f>VLOOKUP(A33,Setores!$A$2:$C$215,2,0)</f>
        <v>education</v>
      </c>
      <c r="J33" t="str">
        <f>VLOOKUP(A33,Setores!$A$2:$C$215,3,0)</f>
        <v>very_high_beta</v>
      </c>
      <c r="K33" s="100">
        <v>0</v>
      </c>
      <c r="L33" s="58">
        <v>0</v>
      </c>
      <c r="M33" s="7">
        <v>0</v>
      </c>
      <c r="N33" s="41">
        <f>VLOOKUP(A33,'Mandato ISEE'!$A$1:$C$215,2,0)</f>
        <v>0</v>
      </c>
      <c r="O33" s="58">
        <f t="shared" si="7"/>
        <v>0</v>
      </c>
      <c r="P33" s="41">
        <f>VLOOKUP(A33,'Mandato ISEE'!$A$1:$C$215,3,0)</f>
        <v>0</v>
      </c>
      <c r="Q33" s="42">
        <f t="shared" si="8"/>
        <v>0</v>
      </c>
      <c r="R33" s="42">
        <v>0.69099999999999995</v>
      </c>
      <c r="S33" s="15">
        <v>-1.4E-2</v>
      </c>
      <c r="T33" s="15">
        <v>0.99</v>
      </c>
      <c r="U33" s="15">
        <v>0.68799999999999994</v>
      </c>
      <c r="V33" s="15">
        <v>0.60299999999999998</v>
      </c>
      <c r="W33" s="15">
        <v>0.48699999999999999</v>
      </c>
      <c r="X33" s="15">
        <v>0.433</v>
      </c>
      <c r="Y33" s="15">
        <v>0.112</v>
      </c>
      <c r="Z33" s="15">
        <v>0.14899999999999999</v>
      </c>
      <c r="AA33" s="15">
        <v>0.14799999999999999</v>
      </c>
      <c r="AB33" s="15">
        <v>0.90500000000000003</v>
      </c>
      <c r="AC33" s="15">
        <v>0.70099999999999996</v>
      </c>
      <c r="AD33" s="15">
        <v>0.64300000000000002</v>
      </c>
      <c r="AE33" s="15">
        <v>1</v>
      </c>
      <c r="AF33" s="14">
        <v>1</v>
      </c>
      <c r="AG33" s="15">
        <v>-0.46100000000000002</v>
      </c>
      <c r="AH33" s="15">
        <v>0.72799999999999998</v>
      </c>
      <c r="AI33" s="15">
        <v>-0.22800000000000001</v>
      </c>
      <c r="AJ33" s="15">
        <v>1</v>
      </c>
      <c r="AK33" s="16">
        <v>0.63300000000000001</v>
      </c>
      <c r="AL33" s="4">
        <v>0.309</v>
      </c>
      <c r="AM33" s="4">
        <v>-0.39200000000000002</v>
      </c>
      <c r="AN33" s="4">
        <v>0.60899999999999999</v>
      </c>
      <c r="AO33" s="4">
        <v>-0.624</v>
      </c>
      <c r="AP33" s="4">
        <v>-0.60399999999999998</v>
      </c>
      <c r="AQ33" s="4">
        <v>0.73399999999999999</v>
      </c>
      <c r="AR33" s="4">
        <v>2.1000000000000001E-2</v>
      </c>
      <c r="AS33" s="4">
        <v>-0.56699999999999995</v>
      </c>
      <c r="AT33" s="4">
        <v>0.41</v>
      </c>
      <c r="AU33" s="4">
        <v>0.08</v>
      </c>
      <c r="AV33" s="4">
        <v>0.89700000000000002</v>
      </c>
      <c r="AW33" s="4">
        <v>-0.28599999999999998</v>
      </c>
      <c r="AX33" s="4">
        <v>0.03</v>
      </c>
      <c r="AY33" s="4">
        <v>0.74399999999999999</v>
      </c>
      <c r="AZ33" s="4">
        <v>0.218</v>
      </c>
      <c r="BA33" s="4">
        <v>0.45</v>
      </c>
      <c r="BB33" s="4">
        <v>9.8000000000000004E-2</v>
      </c>
      <c r="BC33" s="4">
        <v>0.17100000000000001</v>
      </c>
      <c r="BD33" s="4">
        <v>0.26800000000000002</v>
      </c>
      <c r="BE33" s="4">
        <v>1</v>
      </c>
      <c r="BF33" s="4">
        <v>1</v>
      </c>
      <c r="BG33" s="4">
        <v>5.6000000000000001E-2</v>
      </c>
      <c r="BH33" s="4">
        <v>-0.29499999999999998</v>
      </c>
      <c r="BI33" s="4">
        <v>0.28499999999999998</v>
      </c>
      <c r="BJ33" s="4">
        <v>0.73399999999999999</v>
      </c>
      <c r="BK33" s="4">
        <v>0.55700000000000005</v>
      </c>
      <c r="BL33" s="4"/>
    </row>
    <row r="34" spans="1:64" x14ac:dyDescent="0.3">
      <c r="A34" t="s">
        <v>101</v>
      </c>
      <c r="B34" s="53">
        <f t="shared" si="9"/>
        <v>2.5000000000000001E-2</v>
      </c>
      <c r="C34" s="53">
        <f t="shared" si="4"/>
        <v>2.2000000000000002E-2</v>
      </c>
      <c r="D34" s="53">
        <f t="shared" si="5"/>
        <v>0</v>
      </c>
      <c r="E34" s="53">
        <f t="shared" si="6"/>
        <v>3.0000000000000001E-3</v>
      </c>
      <c r="F34" s="15">
        <v>2.3660000000000001</v>
      </c>
      <c r="G34">
        <v>2.74</v>
      </c>
      <c r="H34" t="s">
        <v>71</v>
      </c>
      <c r="I34" t="str">
        <f>VLOOKUP(A34,Setores!$A$2:$C$215,2,0)</f>
        <v>crude_oil</v>
      </c>
      <c r="J34" t="str">
        <f>VLOOKUP(A34,Setores!$A$2:$C$215,3,0)</f>
        <v>very_low_beta</v>
      </c>
      <c r="K34" s="100">
        <v>2.5000000000000001E-2</v>
      </c>
      <c r="L34" s="58">
        <v>2.1999999999999999E-2</v>
      </c>
      <c r="M34" s="7">
        <v>3.0000000000000001E-3</v>
      </c>
      <c r="N34" s="41">
        <f>VLOOKUP(A34,'Mandato ISEE'!$A$1:$C$215,2,0)</f>
        <v>3.3940159743544598E-2</v>
      </c>
      <c r="O34" s="58">
        <f t="shared" si="7"/>
        <v>-8.940159743544597E-3</v>
      </c>
      <c r="P34" s="41">
        <f>VLOOKUP(A34,'Mandato ISEE'!$A$1:$C$215,3,0)</f>
        <v>3.11436752183629E-2</v>
      </c>
      <c r="Q34" s="42">
        <f t="shared" si="8"/>
        <v>-6.1436752183628984E-3</v>
      </c>
      <c r="R34" s="42">
        <v>0.33100000000000002</v>
      </c>
      <c r="S34" s="15">
        <v>0.40899999999999997</v>
      </c>
      <c r="T34" s="15">
        <v>-0.13100000000000001</v>
      </c>
      <c r="U34" s="15">
        <v>0.32400000000000001</v>
      </c>
      <c r="V34" s="15">
        <v>0.11899999999999999</v>
      </c>
      <c r="W34" s="15">
        <v>0.48399999999999999</v>
      </c>
      <c r="X34" s="15">
        <v>0.35</v>
      </c>
      <c r="Y34" s="15">
        <v>6.2E-2</v>
      </c>
      <c r="Z34" s="15">
        <v>0.72299999999999998</v>
      </c>
      <c r="AA34" s="15">
        <v>0.71799999999999997</v>
      </c>
      <c r="AB34" s="15">
        <v>0.75</v>
      </c>
      <c r="AC34" s="15">
        <v>0.86</v>
      </c>
      <c r="AD34" s="15">
        <v>0.99099999999999999</v>
      </c>
      <c r="AE34" s="15">
        <v>-0.318</v>
      </c>
      <c r="AF34" s="14">
        <v>-8.4000000000000005E-2</v>
      </c>
      <c r="AG34" s="15">
        <v>0.57399999999999995</v>
      </c>
      <c r="AH34" s="15">
        <v>-0.499</v>
      </c>
      <c r="AI34" s="15">
        <v>1</v>
      </c>
      <c r="AJ34" s="15">
        <v>0.28999999999999998</v>
      </c>
      <c r="AK34" s="16">
        <v>-0.30499999999999999</v>
      </c>
      <c r="AL34" s="4">
        <v>-0.94299999999999995</v>
      </c>
      <c r="AM34" s="4">
        <v>-0.72199999999999998</v>
      </c>
      <c r="AN34" s="4">
        <v>0.55600000000000005</v>
      </c>
      <c r="AO34" s="4">
        <v>0.76500000000000001</v>
      </c>
      <c r="AP34" s="4">
        <v>0.74</v>
      </c>
      <c r="AQ34" s="4">
        <v>0.81299999999999994</v>
      </c>
      <c r="AR34" s="4">
        <v>0.69599999999999995</v>
      </c>
      <c r="AS34" s="4">
        <v>0.12</v>
      </c>
      <c r="AT34" s="4">
        <v>0.191</v>
      </c>
      <c r="AU34" s="4">
        <v>-0.28899999999999998</v>
      </c>
      <c r="AV34" s="4">
        <v>0.54600000000000004</v>
      </c>
      <c r="AW34" s="4">
        <v>0.503</v>
      </c>
      <c r="AX34" s="4">
        <v>-0.16300000000000001</v>
      </c>
      <c r="AY34" s="4">
        <v>0.67100000000000004</v>
      </c>
      <c r="AZ34" s="4">
        <v>-0.49</v>
      </c>
      <c r="BA34" s="4">
        <v>0.96599999999999997</v>
      </c>
      <c r="BB34" s="4">
        <v>-0.371</v>
      </c>
      <c r="BC34" s="4">
        <v>-0.73</v>
      </c>
      <c r="BD34" s="4">
        <v>0.54600000000000004</v>
      </c>
      <c r="BE34" s="4">
        <v>-0.59299999999999997</v>
      </c>
      <c r="BF34" s="4">
        <v>0.24099999999999999</v>
      </c>
      <c r="BG34" s="4">
        <v>0.80900000000000005</v>
      </c>
      <c r="BH34" s="4">
        <v>-0.61499999999999999</v>
      </c>
      <c r="BI34" s="4">
        <v>-0.83799999999999997</v>
      </c>
      <c r="BJ34" s="4">
        <v>0.66</v>
      </c>
      <c r="BK34" s="4">
        <v>0.64500000000000002</v>
      </c>
      <c r="BL34" s="4"/>
    </row>
    <row r="35" spans="1:64" x14ac:dyDescent="0.3">
      <c r="A35" t="s">
        <v>599</v>
      </c>
      <c r="B35" s="53">
        <f t="shared" si="9"/>
        <v>0</v>
      </c>
      <c r="C35" s="53">
        <f t="shared" si="4"/>
        <v>0</v>
      </c>
      <c r="D35" s="53">
        <f t="shared" si="5"/>
        <v>0</v>
      </c>
      <c r="E35" s="53">
        <f t="shared" si="6"/>
        <v>0</v>
      </c>
      <c r="F35" s="15">
        <v>2.359</v>
      </c>
      <c r="G35">
        <v>1.746</v>
      </c>
      <c r="H35" t="s">
        <v>57</v>
      </c>
      <c r="I35" t="str">
        <f>VLOOKUP(A35,Setores!$A$2:$C$215,2,0)</f>
        <v>consumer_services</v>
      </c>
      <c r="J35" t="str">
        <f>VLOOKUP(A35,Setores!$A$2:$C$215,3,0)</f>
        <v>very_low_beta</v>
      </c>
      <c r="K35" s="100">
        <v>0</v>
      </c>
      <c r="L35" s="58">
        <v>0</v>
      </c>
      <c r="M35" s="7">
        <v>0</v>
      </c>
      <c r="N35" s="41">
        <f>VLOOKUP(A35,'Mandato ISEE'!$A$1:$C$215,2,0)</f>
        <v>0</v>
      </c>
      <c r="O35" s="58">
        <f t="shared" si="7"/>
        <v>0</v>
      </c>
      <c r="P35" s="41">
        <f>VLOOKUP(A35,'Mandato ISEE'!$A$1:$C$215,3,0)</f>
        <v>0</v>
      </c>
      <c r="Q35" s="42">
        <f t="shared" si="8"/>
        <v>0</v>
      </c>
      <c r="R35" s="42">
        <v>0.84699999999999998</v>
      </c>
      <c r="S35" s="15">
        <v>0.872</v>
      </c>
      <c r="T35" s="15">
        <v>1</v>
      </c>
      <c r="U35" s="15">
        <v>0.53700000000000003</v>
      </c>
      <c r="V35" s="15">
        <v>0.86299999999999999</v>
      </c>
      <c r="W35" s="15">
        <v>0.23100000000000001</v>
      </c>
      <c r="X35" s="15">
        <v>-0.08</v>
      </c>
      <c r="Y35" s="15">
        <v>-0.224</v>
      </c>
      <c r="Z35" s="15">
        <v>0.215</v>
      </c>
      <c r="AA35" s="15">
        <v>0.214</v>
      </c>
      <c r="AB35" s="15">
        <v>0.80700000000000005</v>
      </c>
      <c r="AC35" s="15">
        <v>0.76600000000000001</v>
      </c>
      <c r="AD35" s="15">
        <v>0.79200000000000004</v>
      </c>
      <c r="AE35" s="15">
        <v>0.96399999999999997</v>
      </c>
      <c r="AF35" s="14">
        <v>1</v>
      </c>
      <c r="AG35" s="15">
        <v>0.189</v>
      </c>
      <c r="AH35" s="15">
        <v>1</v>
      </c>
      <c r="AI35" s="15">
        <v>0.64900000000000002</v>
      </c>
      <c r="AJ35" s="15">
        <v>0.61699999999999999</v>
      </c>
      <c r="AK35" s="16">
        <v>0.17599999999999999</v>
      </c>
      <c r="AL35" s="4">
        <v>-0.72299999999999998</v>
      </c>
      <c r="AM35" s="4">
        <v>0.64100000000000001</v>
      </c>
      <c r="AN35" s="4">
        <v>0.60099999999999998</v>
      </c>
      <c r="AO35" s="4">
        <v>-0.32200000000000001</v>
      </c>
      <c r="AP35" s="4">
        <v>0.13600000000000001</v>
      </c>
      <c r="AQ35" s="4">
        <v>0.47099999999999997</v>
      </c>
      <c r="AR35" s="4">
        <v>0.252</v>
      </c>
      <c r="AS35" s="4">
        <v>-0.14299999999999999</v>
      </c>
      <c r="AT35" s="4">
        <v>-4.1000000000000002E-2</v>
      </c>
      <c r="AU35" s="4">
        <v>-0.28199999999999997</v>
      </c>
      <c r="AV35" s="4">
        <v>0.46200000000000002</v>
      </c>
      <c r="AW35" s="4">
        <v>-0.19400000000000001</v>
      </c>
      <c r="AX35" s="4">
        <v>-0.33</v>
      </c>
      <c r="AY35" s="4">
        <v>0.94299999999999995</v>
      </c>
      <c r="AZ35" s="4">
        <v>-0.35899999999999999</v>
      </c>
      <c r="BA35" s="4">
        <v>0.98499999999999999</v>
      </c>
      <c r="BB35" s="4">
        <v>0.14799999999999999</v>
      </c>
      <c r="BC35" s="4">
        <v>3.5000000000000003E-2</v>
      </c>
      <c r="BD35" s="4">
        <v>0.35</v>
      </c>
      <c r="BE35" s="4">
        <v>1</v>
      </c>
      <c r="BF35" s="4">
        <v>0.46800000000000003</v>
      </c>
      <c r="BG35" s="4">
        <v>0.3</v>
      </c>
      <c r="BH35" s="4">
        <v>0.64500000000000002</v>
      </c>
      <c r="BI35" s="4">
        <v>-0.68</v>
      </c>
      <c r="BJ35" s="4">
        <v>0.81499999999999995</v>
      </c>
      <c r="BK35" s="4">
        <v>1</v>
      </c>
      <c r="BL35" s="4"/>
    </row>
    <row r="36" spans="1:64" x14ac:dyDescent="0.3">
      <c r="A36" t="s">
        <v>85</v>
      </c>
      <c r="B36" s="53">
        <f t="shared" si="9"/>
        <v>0</v>
      </c>
      <c r="C36" s="53">
        <f t="shared" si="4"/>
        <v>0</v>
      </c>
      <c r="D36" s="53">
        <f t="shared" si="5"/>
        <v>0</v>
      </c>
      <c r="E36" s="53">
        <f t="shared" si="6"/>
        <v>0</v>
      </c>
      <c r="F36" s="15">
        <v>2.3580000000000001</v>
      </c>
      <c r="G36">
        <v>1.8340000000000001</v>
      </c>
      <c r="H36" t="s">
        <v>57</v>
      </c>
      <c r="I36" t="str">
        <f>VLOOKUP(A36,Setores!$A$2:$C$215,2,0)</f>
        <v>education</v>
      </c>
      <c r="J36" t="str">
        <f>VLOOKUP(A36,Setores!$A$2:$C$215,3,0)</f>
        <v>neutral_beta</v>
      </c>
      <c r="K36" s="100">
        <v>0</v>
      </c>
      <c r="L36" s="58">
        <v>0</v>
      </c>
      <c r="M36" s="7">
        <v>0</v>
      </c>
      <c r="N36" s="41">
        <f>VLOOKUP(A36,'Mandato ISEE'!$A$1:$C$215,2,0)</f>
        <v>0</v>
      </c>
      <c r="O36" s="58">
        <f t="shared" si="7"/>
        <v>0</v>
      </c>
      <c r="P36" s="41">
        <f>VLOOKUP(A36,'Mandato ISEE'!$A$1:$C$215,3,0)</f>
        <v>0</v>
      </c>
      <c r="Q36" s="42">
        <f t="shared" si="8"/>
        <v>0</v>
      </c>
      <c r="R36" s="42">
        <v>0.55000000000000004</v>
      </c>
      <c r="S36" s="15">
        <v>0.58799999999999997</v>
      </c>
      <c r="T36" s="15">
        <v>0.40200000000000002</v>
      </c>
      <c r="U36" s="15">
        <v>0.60199999999999998</v>
      </c>
      <c r="V36" s="15">
        <v>0.54700000000000004</v>
      </c>
      <c r="W36" s="15">
        <v>0.17</v>
      </c>
      <c r="X36" s="15">
        <v>0.128</v>
      </c>
      <c r="Y36" s="15">
        <v>-0.11700000000000001</v>
      </c>
      <c r="Z36" s="15">
        <v>0.56399999999999995</v>
      </c>
      <c r="AA36" s="15">
        <v>0.56499999999999995</v>
      </c>
      <c r="AB36" s="15">
        <v>0.92600000000000005</v>
      </c>
      <c r="AC36" s="15">
        <v>0.91100000000000003</v>
      </c>
      <c r="AD36" s="15">
        <v>0.88200000000000001</v>
      </c>
      <c r="AE36" s="15">
        <v>0.504</v>
      </c>
      <c r="AF36" s="14">
        <v>1</v>
      </c>
      <c r="AG36" s="15">
        <v>0.47199999999999998</v>
      </c>
      <c r="AH36" s="15">
        <v>0.10199999999999999</v>
      </c>
      <c r="AI36" s="15">
        <v>0.19500000000000001</v>
      </c>
      <c r="AJ36" s="15">
        <v>0.47899999999999998</v>
      </c>
      <c r="AK36" s="16">
        <v>-0.04</v>
      </c>
      <c r="AL36" s="4">
        <v>-0.91200000000000003</v>
      </c>
      <c r="AM36" s="4">
        <v>0.17199999999999999</v>
      </c>
      <c r="AN36" s="4">
        <v>0.36699999999999999</v>
      </c>
      <c r="AO36" s="4">
        <v>-5.6000000000000001E-2</v>
      </c>
      <c r="AP36" s="4">
        <v>-0.22500000000000001</v>
      </c>
      <c r="AQ36" s="4">
        <v>0.61699999999999999</v>
      </c>
      <c r="AR36" s="4">
        <v>1</v>
      </c>
      <c r="AS36" s="4">
        <v>0.251</v>
      </c>
      <c r="AT36" s="4">
        <v>0.432</v>
      </c>
      <c r="AU36" s="4">
        <v>0.65900000000000003</v>
      </c>
      <c r="AV36" s="4">
        <v>0.51800000000000002</v>
      </c>
      <c r="AW36" s="4">
        <v>-0.34</v>
      </c>
      <c r="AX36" s="4">
        <v>-0.29799999999999999</v>
      </c>
      <c r="AY36" s="4">
        <v>0.58299999999999996</v>
      </c>
      <c r="AZ36" s="4">
        <v>0.23799999999999999</v>
      </c>
      <c r="BA36" s="4">
        <v>0.65</v>
      </c>
      <c r="BB36" s="4">
        <v>-0.21</v>
      </c>
      <c r="BC36" s="4">
        <v>-0.64600000000000002</v>
      </c>
      <c r="BD36" s="4">
        <v>0.42399999999999999</v>
      </c>
      <c r="BE36" s="4">
        <v>-0.81299999999999994</v>
      </c>
      <c r="BF36" s="4">
        <v>0.372</v>
      </c>
      <c r="BG36" s="4">
        <v>-7.4999999999999997E-2</v>
      </c>
      <c r="BH36" s="4">
        <v>-0.44</v>
      </c>
      <c r="BI36" s="4">
        <v>-0.157</v>
      </c>
      <c r="BJ36" s="4">
        <v>0.34699999999999998</v>
      </c>
      <c r="BK36" s="4">
        <v>0.38700000000000001</v>
      </c>
      <c r="BL36" s="4"/>
    </row>
    <row r="37" spans="1:64" x14ac:dyDescent="0.3">
      <c r="A37" t="s">
        <v>109</v>
      </c>
      <c r="B37" s="53">
        <f t="shared" si="9"/>
        <v>0</v>
      </c>
      <c r="C37" s="53">
        <f t="shared" si="4"/>
        <v>0</v>
      </c>
      <c r="D37" s="53">
        <f t="shared" si="5"/>
        <v>0</v>
      </c>
      <c r="E37" s="53">
        <f t="shared" si="6"/>
        <v>0</v>
      </c>
      <c r="F37" s="15">
        <v>2.34</v>
      </c>
      <c r="G37">
        <v>3.1379999999999999</v>
      </c>
      <c r="H37" t="s">
        <v>57</v>
      </c>
      <c r="I37" t="str">
        <f>VLOOKUP(A37,Setores!$A$2:$C$215,2,0)</f>
        <v>banks</v>
      </c>
      <c r="J37" t="str">
        <f>VLOOKUP(A37,Setores!$A$2:$C$215,3,0)</f>
        <v>neutral_beta</v>
      </c>
      <c r="K37" s="100">
        <v>0</v>
      </c>
      <c r="L37" s="58">
        <v>0</v>
      </c>
      <c r="M37" s="7">
        <v>0</v>
      </c>
      <c r="N37" s="41">
        <f>VLOOKUP(A37,'Mandato ISEE'!$A$1:$C$215,2,0)</f>
        <v>0</v>
      </c>
      <c r="O37" s="58">
        <f t="shared" si="7"/>
        <v>0</v>
      </c>
      <c r="P37" s="41">
        <f>VLOOKUP(A37,'Mandato ISEE'!$A$1:$C$215,3,0)</f>
        <v>0</v>
      </c>
      <c r="Q37" s="42">
        <f t="shared" si="8"/>
        <v>0</v>
      </c>
      <c r="R37" s="42">
        <v>-0.02</v>
      </c>
      <c r="S37" s="15">
        <v>-0.124</v>
      </c>
      <c r="T37" s="15">
        <v>-0.47699999999999998</v>
      </c>
      <c r="U37" s="15">
        <v>0.216</v>
      </c>
      <c r="V37" s="15">
        <v>-0.156</v>
      </c>
      <c r="W37" s="15">
        <v>0.42499999999999999</v>
      </c>
      <c r="X37" s="15">
        <v>0.67</v>
      </c>
      <c r="Y37" s="15">
        <v>0.54</v>
      </c>
      <c r="Z37" s="15">
        <v>0.67600000000000005</v>
      </c>
      <c r="AA37" s="15">
        <v>0.67500000000000004</v>
      </c>
      <c r="AB37" s="15">
        <v>0.872</v>
      </c>
      <c r="AC37" s="15">
        <v>0.84499999999999997</v>
      </c>
      <c r="AD37" s="15">
        <v>0.86399999999999999</v>
      </c>
      <c r="AE37" s="15">
        <v>0.14699999999999999</v>
      </c>
      <c r="AF37" s="14">
        <v>-0.222</v>
      </c>
      <c r="AG37" s="15">
        <v>0.09</v>
      </c>
      <c r="AH37" s="15">
        <v>-0.96399999999999997</v>
      </c>
      <c r="AI37" s="15">
        <v>-0.75800000000000001</v>
      </c>
      <c r="AJ37" s="15">
        <v>-0.81599999999999995</v>
      </c>
      <c r="AK37" s="16">
        <v>-0.17399999999999999</v>
      </c>
      <c r="AL37" s="4">
        <v>0.21099999999999999</v>
      </c>
      <c r="AM37" s="4">
        <v>-0.67900000000000005</v>
      </c>
      <c r="AN37" s="4">
        <v>-0.20799999999999999</v>
      </c>
      <c r="AO37" s="4">
        <v>0.498</v>
      </c>
      <c r="AP37" s="4">
        <v>-5.6000000000000001E-2</v>
      </c>
      <c r="AQ37" s="4">
        <v>8.9999999999999993E-3</v>
      </c>
      <c r="AR37" s="4">
        <v>0.30599999999999999</v>
      </c>
      <c r="AS37" s="4">
        <v>0.41299999999999998</v>
      </c>
      <c r="AT37" s="4">
        <v>-1E-3</v>
      </c>
      <c r="AU37" s="4">
        <v>-2E-3</v>
      </c>
      <c r="AV37" s="4">
        <v>0.40300000000000002</v>
      </c>
      <c r="AW37" s="4">
        <v>0.499</v>
      </c>
      <c r="AX37" s="4">
        <v>-0.40100000000000002</v>
      </c>
      <c r="AY37" s="4">
        <v>0.91</v>
      </c>
      <c r="AZ37" s="4">
        <v>0.66800000000000004</v>
      </c>
      <c r="BA37" s="4">
        <v>0.96699999999999997</v>
      </c>
      <c r="BB37" s="4">
        <v>-0.20699999999999999</v>
      </c>
      <c r="BC37" s="4">
        <v>1.4E-2</v>
      </c>
      <c r="BD37" s="4">
        <v>0.55700000000000005</v>
      </c>
      <c r="BE37" s="4">
        <v>-0.215</v>
      </c>
      <c r="BF37" s="4">
        <v>-0.33900000000000002</v>
      </c>
      <c r="BG37" s="4">
        <v>0.84099999999999997</v>
      </c>
      <c r="BH37" s="4">
        <v>-0.65600000000000003</v>
      </c>
      <c r="BI37" s="4">
        <v>-0.14599999999999999</v>
      </c>
      <c r="BJ37" s="4">
        <v>0.90300000000000002</v>
      </c>
      <c r="BK37" s="4">
        <v>-0.70899999999999996</v>
      </c>
      <c r="BL37" s="4"/>
    </row>
    <row r="38" spans="1:64" x14ac:dyDescent="0.3">
      <c r="A38" t="s">
        <v>97</v>
      </c>
      <c r="B38" s="53">
        <v>5.0000000000000001E-3</v>
      </c>
      <c r="C38" s="53">
        <f t="shared" si="4"/>
        <v>5.0000000000000001E-3</v>
      </c>
      <c r="D38" s="53">
        <f t="shared" si="5"/>
        <v>5.0000000000000001E-3</v>
      </c>
      <c r="E38" s="53">
        <f t="shared" si="6"/>
        <v>0</v>
      </c>
      <c r="F38" s="15">
        <v>2.2639999999999998</v>
      </c>
      <c r="G38">
        <v>2.93</v>
      </c>
      <c r="H38" t="s">
        <v>57</v>
      </c>
      <c r="I38" t="str">
        <f>VLOOKUP(A38,Setores!$A$2:$C$215,2,0)</f>
        <v>banks</v>
      </c>
      <c r="J38" t="str">
        <f>VLOOKUP(A38,Setores!$A$2:$C$215,3,0)</f>
        <v>low_beta</v>
      </c>
      <c r="K38" s="100">
        <v>0</v>
      </c>
      <c r="L38" s="58">
        <v>0</v>
      </c>
      <c r="M38" s="7">
        <v>0</v>
      </c>
      <c r="N38" s="41">
        <f>VLOOKUP(A38,'Mandato ISEE'!$A$1:$C$215,2,0)</f>
        <v>0</v>
      </c>
      <c r="O38" s="58">
        <f t="shared" si="7"/>
        <v>0</v>
      </c>
      <c r="P38" s="41">
        <f>VLOOKUP(A38,'Mandato ISEE'!$A$1:$C$215,3,0)</f>
        <v>0</v>
      </c>
      <c r="Q38" s="42">
        <f t="shared" si="8"/>
        <v>0</v>
      </c>
      <c r="R38" s="42">
        <v>-0.02</v>
      </c>
      <c r="S38" s="15">
        <v>0.153</v>
      </c>
      <c r="T38" s="15">
        <v>-0.27700000000000002</v>
      </c>
      <c r="U38" s="15">
        <v>-1.7000000000000001E-2</v>
      </c>
      <c r="V38" s="15">
        <v>-4.9000000000000002E-2</v>
      </c>
      <c r="W38" s="15">
        <v>0.30599999999999999</v>
      </c>
      <c r="X38" s="15">
        <v>0.439</v>
      </c>
      <c r="Y38" s="15">
        <v>0.38400000000000001</v>
      </c>
      <c r="Z38" s="15">
        <v>0.75700000000000001</v>
      </c>
      <c r="AA38" s="15">
        <v>0.753</v>
      </c>
      <c r="AB38" s="15">
        <v>0.84799999999999998</v>
      </c>
      <c r="AC38" s="15">
        <v>0.874</v>
      </c>
      <c r="AD38" s="15">
        <v>0.90300000000000002</v>
      </c>
      <c r="AE38" s="15">
        <v>-0.61099999999999999</v>
      </c>
      <c r="AF38" s="14">
        <v>0.41199999999999998</v>
      </c>
      <c r="AG38" s="15">
        <v>0.61799999999999999</v>
      </c>
      <c r="AH38" s="15">
        <v>-0.28499999999999998</v>
      </c>
      <c r="AI38" s="15">
        <v>5.2999999999999999E-2</v>
      </c>
      <c r="AJ38" s="15">
        <v>-0.77900000000000003</v>
      </c>
      <c r="AK38" s="16">
        <v>-0.11899999999999999</v>
      </c>
      <c r="AL38" s="4">
        <v>0.26100000000000001</v>
      </c>
      <c r="AM38" s="4">
        <v>-9.1999999999999998E-2</v>
      </c>
      <c r="AN38" s="4">
        <v>0.16900000000000001</v>
      </c>
      <c r="AO38" s="4">
        <v>0.27700000000000002</v>
      </c>
      <c r="AP38" s="4">
        <v>-0.112</v>
      </c>
      <c r="AQ38" s="4">
        <v>4.2999999999999997E-2</v>
      </c>
      <c r="AR38" s="4">
        <v>0.20799999999999999</v>
      </c>
      <c r="AS38" s="4">
        <v>-0.34</v>
      </c>
      <c r="AT38" s="4">
        <v>-0.13500000000000001</v>
      </c>
      <c r="AU38" s="4">
        <v>-0.27700000000000002</v>
      </c>
      <c r="AV38" s="4">
        <v>-0.55100000000000005</v>
      </c>
      <c r="AW38" s="4">
        <v>0.64800000000000002</v>
      </c>
      <c r="AX38" s="4">
        <v>9.7000000000000003E-2</v>
      </c>
      <c r="AY38" s="4">
        <v>0.80700000000000005</v>
      </c>
      <c r="AZ38" s="4">
        <v>0.58399999999999996</v>
      </c>
      <c r="BA38" s="4">
        <v>0.52</v>
      </c>
      <c r="BB38" s="4">
        <v>-0.33700000000000002</v>
      </c>
      <c r="BC38" s="4">
        <v>-0.107</v>
      </c>
      <c r="BD38" s="4">
        <v>0.47199999999999998</v>
      </c>
      <c r="BE38" s="4">
        <v>-0.17599999999999999</v>
      </c>
      <c r="BF38" s="4">
        <v>0.84799999999999998</v>
      </c>
      <c r="BG38" s="4">
        <v>0.92100000000000004</v>
      </c>
      <c r="BH38" s="4">
        <v>-0.59399999999999997</v>
      </c>
      <c r="BI38" s="4">
        <v>-0.251</v>
      </c>
      <c r="BJ38" s="4">
        <v>0.41899999999999998</v>
      </c>
      <c r="BK38" s="4">
        <v>0.433</v>
      </c>
      <c r="BL38" s="4"/>
    </row>
    <row r="39" spans="1:64" x14ac:dyDescent="0.3">
      <c r="A39" t="s">
        <v>65</v>
      </c>
      <c r="B39" s="53">
        <f t="shared" si="9"/>
        <v>0</v>
      </c>
      <c r="C39" s="53">
        <f t="shared" si="4"/>
        <v>0</v>
      </c>
      <c r="D39" s="53">
        <f t="shared" si="5"/>
        <v>0</v>
      </c>
      <c r="E39" s="53">
        <f t="shared" si="6"/>
        <v>0</v>
      </c>
      <c r="F39" s="15">
        <v>2.2480000000000002</v>
      </c>
      <c r="G39">
        <v>2.4289999999999998</v>
      </c>
      <c r="H39" t="s">
        <v>57</v>
      </c>
      <c r="I39" t="str">
        <f>VLOOKUP(A39,Setores!$A$2:$C$215,2,0)</f>
        <v>homebuilders</v>
      </c>
      <c r="J39" t="str">
        <f>VLOOKUP(A39,Setores!$A$2:$C$215,3,0)</f>
        <v>low_beta</v>
      </c>
      <c r="K39" s="100">
        <v>0</v>
      </c>
      <c r="L39" s="58">
        <v>0</v>
      </c>
      <c r="M39" s="7">
        <v>0</v>
      </c>
      <c r="N39" s="41">
        <f>VLOOKUP(A39,'Mandato ISEE'!$A$1:$C$215,2,0)</f>
        <v>0</v>
      </c>
      <c r="O39" s="58">
        <f t="shared" si="7"/>
        <v>0</v>
      </c>
      <c r="P39" s="41">
        <f>VLOOKUP(A39,'Mandato ISEE'!$A$1:$C$215,3,0)</f>
        <v>0</v>
      </c>
      <c r="Q39" s="42">
        <f t="shared" si="8"/>
        <v>0</v>
      </c>
      <c r="R39" s="42">
        <v>5.8999999999999997E-2</v>
      </c>
      <c r="S39" s="15">
        <v>-7.4999999999999997E-2</v>
      </c>
      <c r="T39" s="15">
        <v>0.40300000000000002</v>
      </c>
      <c r="U39" s="15">
        <v>2.9000000000000001E-2</v>
      </c>
      <c r="V39" s="15">
        <v>0.16800000000000001</v>
      </c>
      <c r="W39" s="15">
        <v>0.28799999999999998</v>
      </c>
      <c r="X39" s="15">
        <v>0.45600000000000002</v>
      </c>
      <c r="Y39" s="15">
        <v>0.35</v>
      </c>
      <c r="Z39" s="15">
        <v>0.56799999999999995</v>
      </c>
      <c r="AA39" s="15">
        <v>0.56599999999999995</v>
      </c>
      <c r="AB39" s="15">
        <v>0.85399999999999998</v>
      </c>
      <c r="AC39" s="15">
        <v>0.90800000000000003</v>
      </c>
      <c r="AD39" s="15">
        <v>0.77100000000000002</v>
      </c>
      <c r="AE39" s="15">
        <v>0.13700000000000001</v>
      </c>
      <c r="AF39" s="14">
        <v>0.11700000000000001</v>
      </c>
      <c r="AG39" s="15">
        <v>-0.40699999999999997</v>
      </c>
      <c r="AH39" s="15">
        <v>0.85299999999999998</v>
      </c>
      <c r="AI39" s="15">
        <v>6.8000000000000005E-2</v>
      </c>
      <c r="AJ39" s="15">
        <v>-2.1999999999999999E-2</v>
      </c>
      <c r="AK39" s="16">
        <v>-0.36099999999999999</v>
      </c>
      <c r="AL39" s="4">
        <v>0.97799999999999998</v>
      </c>
      <c r="AM39" s="4">
        <v>-3.5999999999999997E-2</v>
      </c>
      <c r="AN39" s="4">
        <v>-0.10299999999999999</v>
      </c>
      <c r="AO39" s="4">
        <v>-0.28199999999999997</v>
      </c>
      <c r="AP39" s="4">
        <v>-0.55100000000000005</v>
      </c>
      <c r="AQ39" s="4">
        <v>6.0000000000000001E-3</v>
      </c>
      <c r="AR39" s="4">
        <v>0.55400000000000005</v>
      </c>
      <c r="AS39" s="4">
        <v>0.47599999999999998</v>
      </c>
      <c r="AT39" s="4">
        <v>-0.105</v>
      </c>
      <c r="AU39" s="4">
        <v>-0.44600000000000001</v>
      </c>
      <c r="AV39" s="4">
        <v>-0.04</v>
      </c>
      <c r="AW39" s="4">
        <v>0.59099999999999997</v>
      </c>
      <c r="AX39" s="4">
        <v>-0.29299999999999998</v>
      </c>
      <c r="AY39" s="4">
        <v>0.53400000000000003</v>
      </c>
      <c r="AZ39" s="4">
        <v>0.36599999999999999</v>
      </c>
      <c r="BA39" s="4">
        <v>-3.4000000000000002E-2</v>
      </c>
      <c r="BB39" s="4">
        <v>-0.38300000000000001</v>
      </c>
      <c r="BC39" s="4">
        <v>-0.69199999999999995</v>
      </c>
      <c r="BD39" s="4">
        <v>-0.154</v>
      </c>
      <c r="BE39" s="4">
        <v>-0.43</v>
      </c>
      <c r="BF39" s="4">
        <v>-0.33600000000000002</v>
      </c>
      <c r="BG39" s="4">
        <v>0.78800000000000003</v>
      </c>
      <c r="BH39" s="4">
        <v>-0.27800000000000002</v>
      </c>
      <c r="BI39" s="4">
        <v>0.104</v>
      </c>
      <c r="BJ39" s="4">
        <v>0.73699999999999999</v>
      </c>
      <c r="BK39" s="4">
        <v>0.69299999999999995</v>
      </c>
      <c r="BL39" s="4"/>
    </row>
    <row r="40" spans="1:64" x14ac:dyDescent="0.3">
      <c r="A40" t="s">
        <v>92</v>
      </c>
      <c r="B40" s="53">
        <f t="shared" si="9"/>
        <v>0</v>
      </c>
      <c r="C40" s="53">
        <f t="shared" si="4"/>
        <v>0</v>
      </c>
      <c r="D40" s="53">
        <f t="shared" si="5"/>
        <v>0</v>
      </c>
      <c r="E40" s="53">
        <f t="shared" si="6"/>
        <v>0</v>
      </c>
      <c r="F40" s="15">
        <v>2.2050000000000001</v>
      </c>
      <c r="G40">
        <v>2.1320000000000001</v>
      </c>
      <c r="H40" t="s">
        <v>57</v>
      </c>
      <c r="I40" t="str">
        <f>VLOOKUP(A40,Setores!$A$2:$C$215,2,0)</f>
        <v>tech</v>
      </c>
      <c r="J40" t="str">
        <f>VLOOKUP(A40,Setores!$A$2:$C$215,3,0)</f>
        <v>neutral_beta</v>
      </c>
      <c r="K40" s="100">
        <v>0</v>
      </c>
      <c r="L40" s="58">
        <v>0</v>
      </c>
      <c r="M40" s="7">
        <v>0</v>
      </c>
      <c r="N40" s="41">
        <f>VLOOKUP(A40,'Mandato ISEE'!$A$1:$C$215,2,0)</f>
        <v>0</v>
      </c>
      <c r="O40" s="58">
        <f t="shared" si="7"/>
        <v>0</v>
      </c>
      <c r="P40" s="41">
        <f>VLOOKUP(A40,'Mandato ISEE'!$A$1:$C$215,3,0)</f>
        <v>0</v>
      </c>
      <c r="Q40" s="42">
        <f t="shared" si="8"/>
        <v>0</v>
      </c>
      <c r="R40" s="42">
        <v>0.41599999999999998</v>
      </c>
      <c r="S40" s="15">
        <v>0.14599999999999999</v>
      </c>
      <c r="T40" s="15">
        <v>0.371</v>
      </c>
      <c r="U40" s="15">
        <v>0.23599999999999999</v>
      </c>
      <c r="V40" s="15">
        <v>0.13500000000000001</v>
      </c>
      <c r="W40" s="15">
        <v>0.38100000000000001</v>
      </c>
      <c r="X40" s="15">
        <v>0.26</v>
      </c>
      <c r="Y40" s="15">
        <v>0.126</v>
      </c>
      <c r="Z40" s="15">
        <v>0.14399999999999999</v>
      </c>
      <c r="AA40" s="15">
        <v>0.14099999999999999</v>
      </c>
      <c r="AB40" s="15">
        <v>0.77700000000000002</v>
      </c>
      <c r="AC40" s="15">
        <v>0.93799999999999994</v>
      </c>
      <c r="AD40" s="15">
        <v>0.84399999999999997</v>
      </c>
      <c r="AE40" s="15">
        <v>0.222</v>
      </c>
      <c r="AF40" s="14">
        <v>-0.113</v>
      </c>
      <c r="AG40" s="15">
        <v>-0.27400000000000002</v>
      </c>
      <c r="AH40" s="15">
        <v>-0.377</v>
      </c>
      <c r="AI40" s="15">
        <v>0.998</v>
      </c>
      <c r="AJ40" s="15">
        <v>1</v>
      </c>
      <c r="AK40" s="16">
        <v>-0.34200000000000003</v>
      </c>
      <c r="AL40" s="4">
        <v>-0.16300000000000001</v>
      </c>
      <c r="AM40" s="4">
        <v>-0.86599999999999999</v>
      </c>
      <c r="AN40" s="4">
        <v>-7.4999999999999997E-2</v>
      </c>
      <c r="AO40" s="4">
        <v>0.182</v>
      </c>
      <c r="AP40" s="4">
        <v>0.68300000000000005</v>
      </c>
      <c r="AQ40" s="4">
        <v>0.432</v>
      </c>
      <c r="AR40" s="4">
        <v>0.36699999999999999</v>
      </c>
      <c r="AS40" s="4">
        <v>0.39100000000000001</v>
      </c>
      <c r="AT40" s="4">
        <v>0.38100000000000001</v>
      </c>
      <c r="AU40" s="4">
        <v>-0.434</v>
      </c>
      <c r="AV40" s="4">
        <v>0.66300000000000003</v>
      </c>
      <c r="AW40" s="4">
        <v>0.22</v>
      </c>
      <c r="AX40" s="4">
        <v>0.51700000000000002</v>
      </c>
      <c r="AY40" s="4">
        <v>0.92800000000000005</v>
      </c>
      <c r="AZ40" s="4">
        <v>0.55100000000000005</v>
      </c>
      <c r="BA40" s="4">
        <v>0.90200000000000002</v>
      </c>
      <c r="BB40" s="4">
        <v>-3.2000000000000001E-2</v>
      </c>
      <c r="BC40" s="4">
        <v>-5.1999999999999998E-2</v>
      </c>
      <c r="BD40" s="4">
        <v>-0.78200000000000003</v>
      </c>
      <c r="BE40" s="4">
        <v>-0.45</v>
      </c>
      <c r="BF40" s="4">
        <v>0.56799999999999995</v>
      </c>
      <c r="BG40" s="4">
        <v>0.69</v>
      </c>
      <c r="BH40" s="4">
        <v>-0.58299999999999996</v>
      </c>
      <c r="BI40" s="4">
        <v>-9.8000000000000004E-2</v>
      </c>
      <c r="BJ40" s="4">
        <v>0.30399999999999999</v>
      </c>
      <c r="BK40" s="4">
        <v>0.20799999999999999</v>
      </c>
      <c r="BL40" s="4"/>
    </row>
    <row r="41" spans="1:64" x14ac:dyDescent="0.3">
      <c r="A41" t="s">
        <v>79</v>
      </c>
      <c r="B41" s="53">
        <v>5.0000000000000001E-3</v>
      </c>
      <c r="C41" s="53">
        <f t="shared" si="4"/>
        <v>5.0000000000000001E-3</v>
      </c>
      <c r="D41" s="53">
        <f t="shared" si="5"/>
        <v>5.0000000000000001E-3</v>
      </c>
      <c r="E41" s="53">
        <f t="shared" si="6"/>
        <v>0</v>
      </c>
      <c r="F41" s="15">
        <v>2.1789999999999998</v>
      </c>
      <c r="G41">
        <v>2.5329999999999999</v>
      </c>
      <c r="H41" t="s">
        <v>68</v>
      </c>
      <c r="I41" t="str">
        <f>VLOOKUP(A41,Setores!$A$2:$C$215,2,0)</f>
        <v>capital_goods</v>
      </c>
      <c r="J41" t="str">
        <f>VLOOKUP(A41,Setores!$A$2:$C$215,3,0)</f>
        <v>very_low_beta</v>
      </c>
      <c r="K41" s="100">
        <v>0</v>
      </c>
      <c r="L41" s="58">
        <v>0</v>
      </c>
      <c r="M41" s="7">
        <v>0</v>
      </c>
      <c r="N41" s="41">
        <f>VLOOKUP(A41,'Mandato ISEE'!$A$1:$C$215,2,0)</f>
        <v>0</v>
      </c>
      <c r="O41" s="58">
        <f t="shared" si="7"/>
        <v>0</v>
      </c>
      <c r="P41" s="41">
        <f>VLOOKUP(A41,'Mandato ISEE'!$A$1:$C$215,3,0)</f>
        <v>0</v>
      </c>
      <c r="Q41" s="42">
        <f t="shared" si="8"/>
        <v>0</v>
      </c>
      <c r="R41" s="42">
        <v>0.03</v>
      </c>
      <c r="S41" s="15">
        <v>-0.222</v>
      </c>
      <c r="T41" s="15">
        <v>-3.6999999999999998E-2</v>
      </c>
      <c r="U41" s="15">
        <v>0.252</v>
      </c>
      <c r="V41" s="15">
        <v>-2.3E-2</v>
      </c>
      <c r="W41" s="15">
        <v>0.34</v>
      </c>
      <c r="X41" s="15">
        <v>0.51</v>
      </c>
      <c r="Y41" s="15">
        <v>0.33300000000000002</v>
      </c>
      <c r="Z41" s="15">
        <v>0.71499999999999997</v>
      </c>
      <c r="AA41" s="15">
        <v>0.71399999999999997</v>
      </c>
      <c r="AB41" s="15">
        <v>0.83599999999999997</v>
      </c>
      <c r="AC41" s="15">
        <v>0.76500000000000001</v>
      </c>
      <c r="AD41" s="15">
        <v>0.73599999999999999</v>
      </c>
      <c r="AE41" s="15">
        <v>0.22800000000000001</v>
      </c>
      <c r="AF41" s="14">
        <v>-0.32900000000000001</v>
      </c>
      <c r="AG41" s="15">
        <v>-0.27500000000000002</v>
      </c>
      <c r="AH41" s="15">
        <v>-0.49</v>
      </c>
      <c r="AI41" s="15">
        <v>6.3E-2</v>
      </c>
      <c r="AJ41" s="15">
        <v>0.27300000000000002</v>
      </c>
      <c r="AK41" s="16">
        <v>-0.14599999999999999</v>
      </c>
      <c r="AL41" s="4">
        <v>0.28000000000000003</v>
      </c>
      <c r="AM41" s="4">
        <v>-0.88600000000000001</v>
      </c>
      <c r="AN41" s="4">
        <v>1.9E-2</v>
      </c>
      <c r="AO41" s="4">
        <v>8.7999999999999995E-2</v>
      </c>
      <c r="AP41" s="4">
        <v>0.33100000000000002</v>
      </c>
      <c r="AQ41" s="4">
        <v>0.23699999999999999</v>
      </c>
      <c r="AR41" s="4">
        <v>0.377</v>
      </c>
      <c r="AS41" s="4">
        <v>-7.6999999999999999E-2</v>
      </c>
      <c r="AT41" s="4">
        <v>0.995</v>
      </c>
      <c r="AU41" s="4">
        <v>-0.30599999999999999</v>
      </c>
      <c r="AV41" s="4">
        <v>0.54200000000000004</v>
      </c>
      <c r="AW41" s="4">
        <v>0.65400000000000003</v>
      </c>
      <c r="AX41" s="4">
        <v>-4.8000000000000001E-2</v>
      </c>
      <c r="AY41" s="4">
        <v>0.71</v>
      </c>
      <c r="AZ41" s="4">
        <v>0.69599999999999995</v>
      </c>
      <c r="BA41" s="4">
        <v>-0.58399999999999996</v>
      </c>
      <c r="BB41" s="4">
        <v>-0.23799999999999999</v>
      </c>
      <c r="BC41" s="4">
        <v>-0.55800000000000005</v>
      </c>
      <c r="BD41" s="4">
        <v>7.5999999999999998E-2</v>
      </c>
      <c r="BE41" s="4">
        <v>-0.56899999999999995</v>
      </c>
      <c r="BF41" s="4">
        <v>8.5999999999999993E-2</v>
      </c>
      <c r="BG41" s="4">
        <v>0.66400000000000003</v>
      </c>
      <c r="BH41" s="4">
        <v>-0.47199999999999998</v>
      </c>
      <c r="BI41" s="4">
        <v>-0.04</v>
      </c>
      <c r="BJ41" s="4">
        <v>0.47199999999999998</v>
      </c>
      <c r="BK41" s="4">
        <v>3.4000000000000002E-2</v>
      </c>
      <c r="BL41" s="4"/>
    </row>
    <row r="42" spans="1:64" x14ac:dyDescent="0.3">
      <c r="A42" t="s">
        <v>600</v>
      </c>
      <c r="B42" s="53">
        <f t="shared" si="9"/>
        <v>0</v>
      </c>
      <c r="C42" s="53">
        <f t="shared" si="4"/>
        <v>0</v>
      </c>
      <c r="D42" s="53">
        <f t="shared" si="5"/>
        <v>0</v>
      </c>
      <c r="E42" s="53">
        <f t="shared" si="6"/>
        <v>0</v>
      </c>
      <c r="F42" s="15">
        <v>2.1739999999999999</v>
      </c>
      <c r="G42">
        <v>2.3119999999999998</v>
      </c>
      <c r="H42" t="s">
        <v>68</v>
      </c>
      <c r="I42" t="str">
        <f>VLOOKUP(A42,Setores!$A$2:$C$215,2,0)</f>
        <v>building_materials</v>
      </c>
      <c r="J42" t="str">
        <f>VLOOKUP(A42,Setores!$A$2:$C$215,3,0)</f>
        <v>very_low_beta</v>
      </c>
      <c r="K42" s="100">
        <v>0</v>
      </c>
      <c r="L42" s="58">
        <v>0</v>
      </c>
      <c r="M42" s="7">
        <v>0</v>
      </c>
      <c r="N42" s="41">
        <f>VLOOKUP(A42,'Mandato ISEE'!$A$1:$C$215,2,0)</f>
        <v>0</v>
      </c>
      <c r="O42" s="58">
        <f t="shared" si="7"/>
        <v>0</v>
      </c>
      <c r="P42" s="41">
        <f>VLOOKUP(A42,'Mandato ISEE'!$A$1:$C$215,3,0)</f>
        <v>0</v>
      </c>
      <c r="Q42" s="42">
        <f t="shared" si="8"/>
        <v>0</v>
      </c>
      <c r="R42" s="42">
        <v>0.28499999999999998</v>
      </c>
      <c r="S42" s="15">
        <v>9.8000000000000004E-2</v>
      </c>
      <c r="T42" s="15">
        <v>0.184</v>
      </c>
      <c r="U42" s="15">
        <v>0.26900000000000002</v>
      </c>
      <c r="V42" s="15">
        <v>0.104</v>
      </c>
      <c r="W42" s="15">
        <v>7.3999999999999996E-2</v>
      </c>
      <c r="X42" s="15">
        <v>-1.4E-2</v>
      </c>
      <c r="Y42" s="15">
        <v>2.3E-2</v>
      </c>
      <c r="Z42" s="15">
        <v>0.77200000000000002</v>
      </c>
      <c r="AA42" s="15">
        <v>0.76800000000000002</v>
      </c>
      <c r="AB42" s="15">
        <v>1</v>
      </c>
      <c r="AC42" s="15">
        <v>0.91200000000000003</v>
      </c>
      <c r="AD42" s="15">
        <v>0.89700000000000002</v>
      </c>
      <c r="AE42" s="15">
        <v>7.0000000000000007E-2</v>
      </c>
      <c r="AF42" s="14">
        <v>-5.1999999999999998E-2</v>
      </c>
      <c r="AG42" s="15">
        <v>-0.122</v>
      </c>
      <c r="AH42" s="15">
        <v>-0.22800000000000001</v>
      </c>
      <c r="AI42" s="15">
        <v>-2.5999999999999999E-2</v>
      </c>
      <c r="AJ42" s="15">
        <v>0.157</v>
      </c>
      <c r="AK42" s="16">
        <v>0.14399999999999999</v>
      </c>
      <c r="AL42" s="4">
        <v>-0.28000000000000003</v>
      </c>
      <c r="AM42" s="4">
        <v>-0.20100000000000001</v>
      </c>
      <c r="AN42" s="4">
        <v>-0.51100000000000001</v>
      </c>
      <c r="AO42" s="4">
        <v>0.13900000000000001</v>
      </c>
      <c r="AP42" s="4">
        <v>3.5000000000000003E-2</v>
      </c>
      <c r="AQ42" s="4">
        <v>0.33400000000000002</v>
      </c>
      <c r="AR42" s="4">
        <v>0.63600000000000001</v>
      </c>
      <c r="AS42" s="4">
        <v>0.34200000000000003</v>
      </c>
      <c r="AT42" s="4">
        <v>0.36099999999999999</v>
      </c>
      <c r="AU42" s="4">
        <v>-0.13300000000000001</v>
      </c>
      <c r="AV42" s="4">
        <v>0.34599999999999997</v>
      </c>
      <c r="AW42" s="4">
        <v>0.61</v>
      </c>
      <c r="AX42" s="4">
        <v>0.124</v>
      </c>
      <c r="AY42" s="4">
        <v>0.76200000000000001</v>
      </c>
      <c r="AZ42" s="4">
        <v>0.51100000000000001</v>
      </c>
      <c r="BA42" s="4">
        <v>0.66300000000000003</v>
      </c>
      <c r="BB42" s="4">
        <v>-0.26700000000000002</v>
      </c>
      <c r="BC42" s="4">
        <v>-0.32200000000000001</v>
      </c>
      <c r="BD42" s="4">
        <v>0.68200000000000005</v>
      </c>
      <c r="BE42" s="4">
        <v>-1</v>
      </c>
      <c r="BF42" s="4">
        <v>-2.4E-2</v>
      </c>
      <c r="BG42" s="4">
        <v>-6.9000000000000006E-2</v>
      </c>
      <c r="BH42" s="4">
        <v>-0.69299999999999995</v>
      </c>
      <c r="BI42" s="4">
        <v>-2.5000000000000001E-2</v>
      </c>
      <c r="BJ42" s="4">
        <v>0.97899999999999998</v>
      </c>
      <c r="BK42" s="4">
        <v>0.14000000000000001</v>
      </c>
      <c r="BL42" s="4"/>
    </row>
    <row r="43" spans="1:64" x14ac:dyDescent="0.3">
      <c r="A43" t="s">
        <v>597</v>
      </c>
      <c r="B43" s="53">
        <f t="shared" si="9"/>
        <v>0</v>
      </c>
      <c r="C43" s="53">
        <f t="shared" si="4"/>
        <v>0</v>
      </c>
      <c r="D43" s="53">
        <f t="shared" si="5"/>
        <v>0</v>
      </c>
      <c r="E43" s="53">
        <f t="shared" si="6"/>
        <v>0</v>
      </c>
      <c r="F43" s="15">
        <v>2.1589999999999998</v>
      </c>
      <c r="G43">
        <v>2.274</v>
      </c>
      <c r="H43" t="s">
        <v>57</v>
      </c>
      <c r="I43" t="str">
        <f>VLOOKUP(A43,Setores!$A$2:$C$215,2,0)</f>
        <v>financial_services</v>
      </c>
      <c r="J43" t="str">
        <f>VLOOKUP(A43,Setores!$A$2:$C$215,3,0)</f>
        <v>very_low_beta</v>
      </c>
      <c r="K43" s="100">
        <v>0</v>
      </c>
      <c r="L43" s="58">
        <v>0</v>
      </c>
      <c r="M43" s="7">
        <v>0</v>
      </c>
      <c r="N43" s="41">
        <f>VLOOKUP(A43,'Mandato ISEE'!$A$1:$C$215,2,0)</f>
        <v>0</v>
      </c>
      <c r="O43" s="58">
        <f t="shared" si="7"/>
        <v>0</v>
      </c>
      <c r="P43" s="41">
        <f>VLOOKUP(A43,'Mandato ISEE'!$A$1:$C$215,3,0)</f>
        <v>0</v>
      </c>
      <c r="Q43" s="42">
        <f t="shared" si="8"/>
        <v>0</v>
      </c>
      <c r="R43" s="42">
        <v>0.23</v>
      </c>
      <c r="S43" s="15">
        <v>-0.16900000000000001</v>
      </c>
      <c r="T43" s="15">
        <v>0.54100000000000004</v>
      </c>
      <c r="U43" s="15">
        <v>0.184</v>
      </c>
      <c r="V43" s="15">
        <v>0.20599999999999999</v>
      </c>
      <c r="W43" s="15">
        <v>0.29799999999999999</v>
      </c>
      <c r="X43" s="15">
        <v>0.46700000000000003</v>
      </c>
      <c r="Y43" s="15">
        <v>0.17</v>
      </c>
      <c r="Z43" s="15">
        <v>0.41</v>
      </c>
      <c r="AA43" s="15">
        <v>0.41099999999999998</v>
      </c>
      <c r="AB43" s="15">
        <v>0.78500000000000003</v>
      </c>
      <c r="AC43" s="15">
        <v>0.70899999999999996</v>
      </c>
      <c r="AD43" s="15">
        <v>0.752</v>
      </c>
      <c r="AE43" s="15">
        <v>0.52700000000000002</v>
      </c>
      <c r="AF43" s="14">
        <v>-0.121</v>
      </c>
      <c r="AG43" s="15">
        <v>-0.72199999999999998</v>
      </c>
      <c r="AH43" s="15">
        <v>0.47599999999999998</v>
      </c>
      <c r="AI43" s="15">
        <v>2.8000000000000001E-2</v>
      </c>
      <c r="AJ43" s="15">
        <v>1</v>
      </c>
      <c r="AK43" s="16">
        <v>-7.1999999999999995E-2</v>
      </c>
      <c r="AL43" s="4">
        <v>0.32500000000000001</v>
      </c>
      <c r="AM43" s="4">
        <v>-0.60399999999999998</v>
      </c>
      <c r="AN43" s="4">
        <v>0.36399999999999999</v>
      </c>
      <c r="AO43" s="4">
        <v>-0.13100000000000001</v>
      </c>
      <c r="AP43" s="4">
        <v>-0.33700000000000002</v>
      </c>
      <c r="AQ43" s="4">
        <v>6.0000000000000001E-3</v>
      </c>
      <c r="AR43" s="4">
        <v>9.6000000000000002E-2</v>
      </c>
      <c r="AS43" s="4">
        <v>-0.35</v>
      </c>
      <c r="AT43" s="4">
        <v>0.57199999999999995</v>
      </c>
      <c r="AU43" s="4">
        <v>2.3E-2</v>
      </c>
      <c r="AV43" s="4">
        <v>0.43</v>
      </c>
      <c r="AW43" s="4">
        <v>0.64600000000000002</v>
      </c>
      <c r="AX43" s="4">
        <v>-7.8E-2</v>
      </c>
      <c r="AY43" s="4">
        <v>0.88900000000000001</v>
      </c>
      <c r="AZ43" s="4">
        <v>0.36699999999999999</v>
      </c>
      <c r="BA43" s="4">
        <v>0.90700000000000003</v>
      </c>
      <c r="BB43" s="4">
        <v>-0.3</v>
      </c>
      <c r="BC43" s="4">
        <v>-0.32</v>
      </c>
      <c r="BD43" s="4">
        <v>-9.6000000000000002E-2</v>
      </c>
      <c r="BE43" s="4">
        <v>-0.63200000000000001</v>
      </c>
      <c r="BF43" s="4">
        <v>4.3999999999999997E-2</v>
      </c>
      <c r="BG43" s="4">
        <v>0.376</v>
      </c>
      <c r="BH43" s="4">
        <v>-0.39400000000000002</v>
      </c>
      <c r="BI43" s="4">
        <v>-0.68</v>
      </c>
      <c r="BJ43" s="4">
        <v>0.874</v>
      </c>
      <c r="BK43" s="4">
        <v>0.90300000000000002</v>
      </c>
      <c r="BL43" s="4"/>
    </row>
    <row r="44" spans="1:64" x14ac:dyDescent="0.3">
      <c r="A44" t="s">
        <v>116</v>
      </c>
      <c r="B44" s="53">
        <f t="shared" si="9"/>
        <v>0</v>
      </c>
      <c r="C44" s="53">
        <f t="shared" si="4"/>
        <v>0</v>
      </c>
      <c r="D44" s="53">
        <f t="shared" si="5"/>
        <v>0</v>
      </c>
      <c r="E44" s="53">
        <f t="shared" si="6"/>
        <v>0</v>
      </c>
      <c r="F44" s="15">
        <v>2.105</v>
      </c>
      <c r="G44">
        <v>2.1869999999999998</v>
      </c>
      <c r="H44" t="s">
        <v>53</v>
      </c>
      <c r="I44" t="str">
        <f>VLOOKUP(A44,Setores!$A$2:$C$215,2,0)</f>
        <v>healthcare</v>
      </c>
      <c r="J44" t="str">
        <f>VLOOKUP(A44,Setores!$A$2:$C$215,3,0)</f>
        <v>high_beta</v>
      </c>
      <c r="K44" s="100">
        <v>0</v>
      </c>
      <c r="L44" s="58">
        <v>0</v>
      </c>
      <c r="M44" s="7">
        <v>0</v>
      </c>
      <c r="N44" s="41">
        <f>VLOOKUP(A44,'Mandato ISEE'!$A$1:$C$215,2,0)</f>
        <v>0</v>
      </c>
      <c r="O44" s="58">
        <f t="shared" si="7"/>
        <v>0</v>
      </c>
      <c r="P44" s="41">
        <f>VLOOKUP(A44,'Mandato ISEE'!$A$1:$C$215,3,0)</f>
        <v>0</v>
      </c>
      <c r="Q44" s="42">
        <f t="shared" si="8"/>
        <v>0</v>
      </c>
      <c r="R44" s="42">
        <v>0.29699999999999999</v>
      </c>
      <c r="S44" s="15">
        <v>0.32900000000000001</v>
      </c>
      <c r="T44" s="15">
        <v>6.6000000000000003E-2</v>
      </c>
      <c r="U44" s="15">
        <v>0.16700000000000001</v>
      </c>
      <c r="V44" s="15">
        <v>8.5000000000000006E-2</v>
      </c>
      <c r="W44" s="15">
        <v>0.188</v>
      </c>
      <c r="X44" s="15">
        <v>0.156</v>
      </c>
      <c r="Y44" s="15">
        <v>2.1999999999999999E-2</v>
      </c>
      <c r="Z44" s="15">
        <v>0.41499999999999998</v>
      </c>
      <c r="AA44" s="15">
        <v>0.40899999999999997</v>
      </c>
      <c r="AB44" s="15">
        <v>0.85299999999999998</v>
      </c>
      <c r="AC44" s="15">
        <v>0.91300000000000003</v>
      </c>
      <c r="AD44" s="15">
        <v>0.88200000000000001</v>
      </c>
      <c r="AE44" s="15">
        <v>-0.127</v>
      </c>
      <c r="AF44" s="14">
        <v>-0.36899999999999999</v>
      </c>
      <c r="AG44" s="15">
        <v>0.111</v>
      </c>
      <c r="AH44" s="15">
        <v>-0.34499999999999997</v>
      </c>
      <c r="AI44" s="15">
        <v>1</v>
      </c>
      <c r="AJ44" s="15">
        <v>0.24199999999999999</v>
      </c>
      <c r="AK44" s="16">
        <v>-6.8000000000000005E-2</v>
      </c>
      <c r="AL44" s="4">
        <v>-0.58099999999999996</v>
      </c>
      <c r="AM44" s="4">
        <v>-0.56899999999999995</v>
      </c>
      <c r="AN44" s="4">
        <v>0.23100000000000001</v>
      </c>
      <c r="AO44" s="4">
        <v>0.47199999999999998</v>
      </c>
      <c r="AP44" s="4">
        <v>-0.38600000000000001</v>
      </c>
      <c r="AQ44" s="4">
        <v>0.245</v>
      </c>
      <c r="AR44" s="4">
        <v>0.36699999999999999</v>
      </c>
      <c r="AS44" s="4">
        <v>0.42299999999999999</v>
      </c>
      <c r="AT44" s="4">
        <v>0.436</v>
      </c>
      <c r="AU44" s="4">
        <v>-0.443</v>
      </c>
      <c r="AV44" s="4">
        <v>0.51400000000000001</v>
      </c>
      <c r="AW44" s="4">
        <v>0.33400000000000002</v>
      </c>
      <c r="AX44" s="4">
        <v>-0.16800000000000001</v>
      </c>
      <c r="AY44" s="4">
        <v>0.997</v>
      </c>
      <c r="AZ44" s="4">
        <v>0.65200000000000002</v>
      </c>
      <c r="BA44" s="4">
        <v>0.69699999999999995</v>
      </c>
      <c r="BB44" s="4">
        <v>-0.255</v>
      </c>
      <c r="BC44" s="4">
        <v>-0.24399999999999999</v>
      </c>
      <c r="BD44" s="4">
        <v>0.46300000000000002</v>
      </c>
      <c r="BE44" s="4">
        <v>0.33200000000000002</v>
      </c>
      <c r="BF44" s="4">
        <v>0.45800000000000002</v>
      </c>
      <c r="BG44" s="4">
        <v>0.55800000000000005</v>
      </c>
      <c r="BH44" s="4">
        <v>-0.17199999999999999</v>
      </c>
      <c r="BI44" s="4">
        <v>4.3999999999999997E-2</v>
      </c>
      <c r="BJ44" s="4">
        <v>0.23599999999999999</v>
      </c>
      <c r="BK44" s="4">
        <v>0.44600000000000001</v>
      </c>
      <c r="BL44" s="4"/>
    </row>
    <row r="45" spans="1:64" x14ac:dyDescent="0.3">
      <c r="A45" t="s">
        <v>64</v>
      </c>
      <c r="B45" s="53">
        <f t="shared" si="9"/>
        <v>0</v>
      </c>
      <c r="C45" s="53">
        <f t="shared" si="4"/>
        <v>0</v>
      </c>
      <c r="D45" s="53">
        <f t="shared" si="5"/>
        <v>0</v>
      </c>
      <c r="E45" s="53">
        <f t="shared" si="6"/>
        <v>0</v>
      </c>
      <c r="F45" s="15">
        <v>2.0529999999999999</v>
      </c>
      <c r="G45">
        <v>1.7030000000000001</v>
      </c>
      <c r="H45" t="s">
        <v>55</v>
      </c>
      <c r="I45" t="str">
        <f>VLOOKUP(A45,Setores!$A$2:$C$215,2,0)</f>
        <v>utilities</v>
      </c>
      <c r="J45" t="str">
        <f>VLOOKUP(A45,Setores!$A$2:$C$215,3,0)</f>
        <v>high_beta</v>
      </c>
      <c r="K45" s="100">
        <v>0</v>
      </c>
      <c r="L45" s="58">
        <v>0</v>
      </c>
      <c r="M45" s="7">
        <v>0</v>
      </c>
      <c r="N45" s="41">
        <f>VLOOKUP(A45,'Mandato ISEE'!$A$1:$C$215,2,0)</f>
        <v>0</v>
      </c>
      <c r="O45" s="58">
        <f t="shared" si="7"/>
        <v>0</v>
      </c>
      <c r="P45" s="41">
        <f>VLOOKUP(A45,'Mandato ISEE'!$A$1:$C$215,3,0)</f>
        <v>0</v>
      </c>
      <c r="Q45" s="42">
        <f t="shared" si="8"/>
        <v>0</v>
      </c>
      <c r="R45" s="42">
        <v>-2.4E-2</v>
      </c>
      <c r="S45" s="15">
        <v>-4.5999999999999999E-2</v>
      </c>
      <c r="T45" s="15">
        <v>-0.154</v>
      </c>
      <c r="U45" s="15">
        <v>0.249</v>
      </c>
      <c r="V45" s="15">
        <v>0.06</v>
      </c>
      <c r="W45" s="15">
        <v>0.17</v>
      </c>
      <c r="X45" s="15">
        <v>0.28699999999999998</v>
      </c>
      <c r="Y45" s="15">
        <v>0.30399999999999999</v>
      </c>
      <c r="Z45" s="15">
        <v>0.505</v>
      </c>
      <c r="AA45" s="15">
        <v>0.50800000000000001</v>
      </c>
      <c r="AB45" s="15">
        <v>0.85599999999999998</v>
      </c>
      <c r="AC45" s="15">
        <v>0.78700000000000003</v>
      </c>
      <c r="AD45" s="15">
        <v>0.78800000000000003</v>
      </c>
      <c r="AE45" s="15">
        <v>0.36299999999999999</v>
      </c>
      <c r="AF45" s="14">
        <v>-0.16</v>
      </c>
      <c r="AG45" s="15">
        <v>0.621</v>
      </c>
      <c r="AH45" s="15">
        <v>-0.56100000000000005</v>
      </c>
      <c r="AI45" s="15">
        <v>-0.47599999999999998</v>
      </c>
      <c r="AJ45" s="15">
        <v>-0.40699999999999997</v>
      </c>
      <c r="AK45" s="16">
        <v>0.40799999999999997</v>
      </c>
      <c r="AL45" s="4">
        <v>-0.32500000000000001</v>
      </c>
      <c r="AM45" s="4">
        <v>-0.34300000000000003</v>
      </c>
      <c r="AN45" s="4">
        <v>-0.32</v>
      </c>
      <c r="AO45" s="4">
        <v>0.28999999999999998</v>
      </c>
      <c r="AP45" s="4">
        <v>-0.624</v>
      </c>
      <c r="AQ45" s="4">
        <v>-1.4E-2</v>
      </c>
      <c r="AR45" s="4">
        <v>-0.52400000000000002</v>
      </c>
      <c r="AS45" s="4">
        <v>-0.79100000000000004</v>
      </c>
      <c r="AT45" s="4">
        <v>0.17199999999999999</v>
      </c>
      <c r="AU45" s="4">
        <v>0.26400000000000001</v>
      </c>
      <c r="AV45" s="4">
        <v>0.44</v>
      </c>
      <c r="AW45" s="4">
        <v>0.60899999999999999</v>
      </c>
      <c r="AX45" s="4">
        <v>-9.5000000000000001E-2</v>
      </c>
      <c r="AY45" s="4">
        <v>-0.214</v>
      </c>
      <c r="AZ45" s="4">
        <v>0.70199999999999996</v>
      </c>
      <c r="BA45" s="4">
        <v>0.76</v>
      </c>
      <c r="BB45" s="4">
        <v>1.7999999999999999E-2</v>
      </c>
      <c r="BC45" s="4">
        <v>0.47699999999999998</v>
      </c>
      <c r="BD45" s="4">
        <v>0.502</v>
      </c>
      <c r="BE45" s="4">
        <v>-0.107</v>
      </c>
      <c r="BF45" s="4">
        <v>0.72</v>
      </c>
      <c r="BG45" s="4">
        <v>9.8000000000000004E-2</v>
      </c>
      <c r="BH45" s="4">
        <v>-0.79100000000000004</v>
      </c>
      <c r="BI45" s="4">
        <v>0.16400000000000001</v>
      </c>
      <c r="BJ45" s="4">
        <v>0.98099999999999998</v>
      </c>
      <c r="BK45" s="4">
        <v>0.109</v>
      </c>
      <c r="BL45" s="4"/>
    </row>
    <row r="46" spans="1:64" x14ac:dyDescent="0.3">
      <c r="A46" t="s">
        <v>118</v>
      </c>
      <c r="B46" s="53">
        <f t="shared" si="9"/>
        <v>0</v>
      </c>
      <c r="C46" s="53">
        <f t="shared" si="4"/>
        <v>0</v>
      </c>
      <c r="D46" s="53">
        <f t="shared" si="5"/>
        <v>0</v>
      </c>
      <c r="E46" s="53">
        <f t="shared" si="6"/>
        <v>0</v>
      </c>
      <c r="F46" s="15">
        <v>2.016</v>
      </c>
      <c r="G46">
        <v>1.5580000000000001</v>
      </c>
      <c r="H46" t="s">
        <v>57</v>
      </c>
      <c r="I46" t="str">
        <f>VLOOKUP(A46,Setores!$A$2:$C$215,2,0)</f>
        <v>homebuilders</v>
      </c>
      <c r="J46" t="str">
        <f>VLOOKUP(A46,Setores!$A$2:$C$215,3,0)</f>
        <v>very_high_beta</v>
      </c>
      <c r="K46" s="100">
        <v>0</v>
      </c>
      <c r="L46" s="58">
        <v>0</v>
      </c>
      <c r="M46" s="7">
        <v>0</v>
      </c>
      <c r="N46" s="41">
        <f>VLOOKUP(A46,'Mandato ISEE'!$A$1:$C$215,2,0)</f>
        <v>0</v>
      </c>
      <c r="O46" s="58">
        <f t="shared" si="7"/>
        <v>0</v>
      </c>
      <c r="P46" s="41">
        <f>VLOOKUP(A46,'Mandato ISEE'!$A$1:$C$215,3,0)</f>
        <v>0</v>
      </c>
      <c r="Q46" s="42">
        <f t="shared" si="8"/>
        <v>0</v>
      </c>
      <c r="R46" s="42">
        <v>0.16900000000000001</v>
      </c>
      <c r="S46" s="15">
        <v>-0.09</v>
      </c>
      <c r="T46" s="15">
        <v>-2.7E-2</v>
      </c>
      <c r="U46" s="15">
        <v>0.28699999999999998</v>
      </c>
      <c r="V46" s="15">
        <v>0.05</v>
      </c>
      <c r="W46" s="15">
        <v>0.20799999999999999</v>
      </c>
      <c r="X46" s="15">
        <v>9.8000000000000004E-2</v>
      </c>
      <c r="Y46" s="15">
        <v>0.30199999999999999</v>
      </c>
      <c r="Z46" s="15">
        <v>0.182</v>
      </c>
      <c r="AA46" s="15">
        <v>0.17699999999999999</v>
      </c>
      <c r="AB46" s="15">
        <v>0.877</v>
      </c>
      <c r="AC46" s="15">
        <v>0.78100000000000003</v>
      </c>
      <c r="AD46" s="15">
        <v>0.755</v>
      </c>
      <c r="AE46" s="15">
        <v>0.35499999999999998</v>
      </c>
      <c r="AF46" s="14">
        <v>0.69499999999999995</v>
      </c>
      <c r="AG46" s="15">
        <v>-4.7E-2</v>
      </c>
      <c r="AH46" s="15">
        <v>-0.11899999999999999</v>
      </c>
      <c r="AI46" s="15">
        <v>0.69099999999999995</v>
      </c>
      <c r="AJ46" s="15">
        <v>-0.13900000000000001</v>
      </c>
      <c r="AK46" s="16">
        <v>-0.27</v>
      </c>
      <c r="AL46" s="4">
        <v>0.255</v>
      </c>
      <c r="AM46" s="4">
        <v>-0.56200000000000006</v>
      </c>
      <c r="AN46" s="4">
        <v>0.21</v>
      </c>
      <c r="AO46" s="4">
        <v>0.114</v>
      </c>
      <c r="AP46" s="4">
        <v>8.8999999999999996E-2</v>
      </c>
      <c r="AQ46" s="4">
        <v>0.48499999999999999</v>
      </c>
      <c r="AR46" s="4">
        <v>0.55700000000000005</v>
      </c>
      <c r="AS46" s="4">
        <v>0.38</v>
      </c>
      <c r="AT46" s="4">
        <v>0.14000000000000001</v>
      </c>
      <c r="AU46" s="4">
        <v>-0.23899999999999999</v>
      </c>
      <c r="AV46" s="4">
        <v>0.26</v>
      </c>
      <c r="AW46" s="4">
        <v>-0.30599999999999999</v>
      </c>
      <c r="AX46" s="4">
        <v>4.4999999999999998E-2</v>
      </c>
      <c r="AY46" s="4">
        <v>0.80400000000000005</v>
      </c>
      <c r="AZ46" s="4">
        <v>0.91800000000000004</v>
      </c>
      <c r="BA46" s="4">
        <v>-7.8E-2</v>
      </c>
      <c r="BB46" s="4">
        <v>-0.78200000000000003</v>
      </c>
      <c r="BC46" s="4">
        <v>-0.47899999999999998</v>
      </c>
      <c r="BD46" s="4">
        <v>0.123</v>
      </c>
      <c r="BE46" s="4">
        <v>0.26600000000000001</v>
      </c>
      <c r="BF46" s="4">
        <v>0.27600000000000002</v>
      </c>
      <c r="BG46" s="4">
        <v>0.27600000000000002</v>
      </c>
      <c r="BH46" s="4">
        <v>-0.98699999999999999</v>
      </c>
      <c r="BI46" s="4">
        <v>0.90400000000000003</v>
      </c>
      <c r="BJ46" s="4">
        <v>-0.56499999999999995</v>
      </c>
      <c r="BK46" s="4">
        <v>0.113</v>
      </c>
      <c r="BL46" s="4"/>
    </row>
    <row r="47" spans="1:64" x14ac:dyDescent="0.3">
      <c r="A47" t="s">
        <v>100</v>
      </c>
      <c r="B47" s="53">
        <f t="shared" si="9"/>
        <v>0</v>
      </c>
      <c r="C47" s="53">
        <f t="shared" si="4"/>
        <v>0</v>
      </c>
      <c r="D47" s="53">
        <f t="shared" si="5"/>
        <v>0</v>
      </c>
      <c r="E47" s="53">
        <f t="shared" si="6"/>
        <v>0</v>
      </c>
      <c r="F47" s="15">
        <v>1.992</v>
      </c>
      <c r="G47">
        <v>2.3969999999999998</v>
      </c>
      <c r="H47" t="s">
        <v>68</v>
      </c>
      <c r="I47" t="str">
        <f>VLOOKUP(A47,Setores!$A$2:$C$215,2,0)</f>
        <v>capital_goods</v>
      </c>
      <c r="J47" t="str">
        <f>VLOOKUP(A47,Setores!$A$2:$C$215,3,0)</f>
        <v>low_beta</v>
      </c>
      <c r="K47" s="100">
        <v>0</v>
      </c>
      <c r="L47" s="58">
        <v>0</v>
      </c>
      <c r="M47" s="7">
        <v>0</v>
      </c>
      <c r="N47" s="41">
        <f>VLOOKUP(A47,'Mandato ISEE'!$A$1:$C$215,2,0)</f>
        <v>0</v>
      </c>
      <c r="O47" s="58">
        <f t="shared" si="7"/>
        <v>0</v>
      </c>
      <c r="P47" s="41">
        <f>VLOOKUP(A47,'Mandato ISEE'!$A$1:$C$215,3,0)</f>
        <v>0</v>
      </c>
      <c r="Q47" s="42">
        <f t="shared" si="8"/>
        <v>0</v>
      </c>
      <c r="R47" s="42">
        <v>5.8999999999999997E-2</v>
      </c>
      <c r="S47" s="15">
        <v>4.0000000000000001E-3</v>
      </c>
      <c r="T47" s="15">
        <v>7.9000000000000001E-2</v>
      </c>
      <c r="U47" s="15">
        <v>-0.23499999999999999</v>
      </c>
      <c r="V47" s="15">
        <v>-0.13900000000000001</v>
      </c>
      <c r="W47" s="15">
        <v>0.152</v>
      </c>
      <c r="X47" s="15">
        <v>0.215</v>
      </c>
      <c r="Y47" s="15">
        <v>0.223</v>
      </c>
      <c r="Z47" s="15">
        <v>0.58899999999999997</v>
      </c>
      <c r="AA47" s="15">
        <v>0.58499999999999996</v>
      </c>
      <c r="AB47" s="15">
        <v>0.79200000000000004</v>
      </c>
      <c r="AC47" s="15">
        <v>0.69799999999999995</v>
      </c>
      <c r="AD47" s="15">
        <v>0.80600000000000005</v>
      </c>
      <c r="AE47" s="15">
        <v>-0.42499999999999999</v>
      </c>
      <c r="AF47" s="14">
        <v>-0.64</v>
      </c>
      <c r="AG47" s="15">
        <v>-0.22800000000000001</v>
      </c>
      <c r="AH47" s="15">
        <v>5.1999999999999998E-2</v>
      </c>
      <c r="AI47" s="15">
        <v>0.23200000000000001</v>
      </c>
      <c r="AJ47" s="15">
        <v>-0.252</v>
      </c>
      <c r="AK47" s="16">
        <v>-6.9000000000000006E-2</v>
      </c>
      <c r="AL47" s="4">
        <v>0.32900000000000001</v>
      </c>
      <c r="AM47" s="4">
        <v>-0.48699999999999999</v>
      </c>
      <c r="AN47" s="4">
        <v>0.34200000000000003</v>
      </c>
      <c r="AO47" s="4">
        <v>0.26200000000000001</v>
      </c>
      <c r="AP47" s="4">
        <v>-0.161</v>
      </c>
      <c r="AQ47" s="4">
        <v>-0.32200000000000001</v>
      </c>
      <c r="AR47" s="4">
        <v>6.4000000000000001E-2</v>
      </c>
      <c r="AS47" s="4">
        <v>-0.52400000000000002</v>
      </c>
      <c r="AT47" s="4">
        <v>0.20699999999999999</v>
      </c>
      <c r="AU47" s="4">
        <v>-0.32900000000000001</v>
      </c>
      <c r="AV47" s="4">
        <v>-0.20899999999999999</v>
      </c>
      <c r="AW47" s="4">
        <v>0.69</v>
      </c>
      <c r="AX47" s="4">
        <v>0.51</v>
      </c>
      <c r="AY47" s="4">
        <v>0.90800000000000003</v>
      </c>
      <c r="AZ47" s="4">
        <v>0.90200000000000002</v>
      </c>
      <c r="BA47" s="4">
        <v>0.61299999999999999</v>
      </c>
      <c r="BB47" s="4">
        <v>-2.5999999999999999E-2</v>
      </c>
      <c r="BC47" s="4">
        <v>-8.8999999999999996E-2</v>
      </c>
      <c r="BD47" s="4">
        <v>0.36599999999999999</v>
      </c>
      <c r="BE47" s="4">
        <v>-0.43099999999999999</v>
      </c>
      <c r="BF47" s="4">
        <v>-9.8000000000000004E-2</v>
      </c>
      <c r="BG47" s="4">
        <v>0.51500000000000001</v>
      </c>
      <c r="BH47" s="4">
        <v>-0.28699999999999998</v>
      </c>
      <c r="BI47" s="4">
        <v>2.7E-2</v>
      </c>
      <c r="BJ47" s="4">
        <v>0.88200000000000001</v>
      </c>
      <c r="BK47" s="4">
        <v>0.371</v>
      </c>
      <c r="BL47" s="4"/>
    </row>
    <row r="48" spans="1:64" x14ac:dyDescent="0.3">
      <c r="A48" t="s">
        <v>106</v>
      </c>
      <c r="B48" s="53">
        <f t="shared" si="9"/>
        <v>0</v>
      </c>
      <c r="C48" s="53">
        <f t="shared" si="4"/>
        <v>0</v>
      </c>
      <c r="D48" s="53">
        <f t="shared" si="5"/>
        <v>0</v>
      </c>
      <c r="E48" s="53">
        <f t="shared" si="6"/>
        <v>0</v>
      </c>
      <c r="F48" s="15">
        <v>1.9890000000000001</v>
      </c>
      <c r="G48">
        <v>1.637</v>
      </c>
      <c r="H48" t="s">
        <v>57</v>
      </c>
      <c r="I48" t="str">
        <f>VLOOKUP(A48,Setores!$A$2:$C$215,2,0)</f>
        <v>tech</v>
      </c>
      <c r="J48" t="str">
        <f>VLOOKUP(A48,Setores!$A$2:$C$215,3,0)</f>
        <v>neutral_beta</v>
      </c>
      <c r="K48" s="100">
        <v>0</v>
      </c>
      <c r="L48" s="58">
        <v>0</v>
      </c>
      <c r="M48" s="7">
        <v>0</v>
      </c>
      <c r="N48" s="41">
        <f>VLOOKUP(A48,'Mandato ISEE'!$A$1:$C$215,2,0)</f>
        <v>0</v>
      </c>
      <c r="O48" s="58">
        <f t="shared" si="7"/>
        <v>0</v>
      </c>
      <c r="P48" s="41">
        <f>VLOOKUP(A48,'Mandato ISEE'!$A$1:$C$215,3,0)</f>
        <v>0</v>
      </c>
      <c r="Q48" s="42">
        <f t="shared" si="8"/>
        <v>0</v>
      </c>
      <c r="R48" s="42">
        <v>0.35</v>
      </c>
      <c r="S48" s="15">
        <v>0.72399999999999998</v>
      </c>
      <c r="T48" s="15">
        <v>0.42399999999999999</v>
      </c>
      <c r="U48" s="15">
        <v>8.1000000000000003E-2</v>
      </c>
      <c r="V48" s="15">
        <v>0.435</v>
      </c>
      <c r="W48" s="15">
        <v>-0.189</v>
      </c>
      <c r="X48" s="15">
        <v>-0.51900000000000002</v>
      </c>
      <c r="Y48" s="15">
        <v>-0.14799999999999999</v>
      </c>
      <c r="Z48" s="15">
        <v>0.46600000000000003</v>
      </c>
      <c r="AA48" s="15">
        <v>0.46100000000000002</v>
      </c>
      <c r="AB48" s="15">
        <v>0.81399999999999995</v>
      </c>
      <c r="AC48" s="15">
        <v>0.89900000000000002</v>
      </c>
      <c r="AD48" s="15">
        <v>0.94</v>
      </c>
      <c r="AE48" s="15">
        <v>-0.11899999999999999</v>
      </c>
      <c r="AF48" s="14">
        <v>0.56799999999999995</v>
      </c>
      <c r="AG48" s="15">
        <v>0.60399999999999998</v>
      </c>
      <c r="AH48" s="15">
        <v>1</v>
      </c>
      <c r="AI48" s="15">
        <v>0.56999999999999995</v>
      </c>
      <c r="AJ48" s="15">
        <v>-0.42099999999999999</v>
      </c>
      <c r="AK48" s="16">
        <v>0.75</v>
      </c>
      <c r="AL48" s="4">
        <v>-0.17599999999999999</v>
      </c>
      <c r="AM48" s="4">
        <v>0.68899999999999995</v>
      </c>
      <c r="AN48" s="4">
        <v>-0.20399999999999999</v>
      </c>
      <c r="AO48" s="4">
        <v>-0.21099999999999999</v>
      </c>
      <c r="AP48" s="4">
        <v>0.38700000000000001</v>
      </c>
      <c r="AQ48" s="4">
        <v>-0.48299999999999998</v>
      </c>
      <c r="AR48" s="4">
        <v>0.27100000000000002</v>
      </c>
      <c r="AS48" s="4">
        <v>0.19900000000000001</v>
      </c>
      <c r="AT48" s="4">
        <v>6.0000000000000001E-3</v>
      </c>
      <c r="AU48" s="4">
        <v>-0.434</v>
      </c>
      <c r="AV48" s="4">
        <v>-0.26200000000000001</v>
      </c>
      <c r="AW48" s="4">
        <v>-0.13200000000000001</v>
      </c>
      <c r="AX48" s="4">
        <v>-0.109</v>
      </c>
      <c r="AY48" s="4">
        <v>0.59599999999999997</v>
      </c>
      <c r="AZ48" s="4">
        <v>-0.17699999999999999</v>
      </c>
      <c r="BA48" s="4">
        <v>0.45500000000000002</v>
      </c>
      <c r="BB48" s="4">
        <v>0.17799999999999999</v>
      </c>
      <c r="BC48" s="4">
        <v>0.504</v>
      </c>
      <c r="BD48" s="4">
        <v>0.29599999999999999</v>
      </c>
      <c r="BE48" s="4">
        <v>7.2999999999999995E-2</v>
      </c>
      <c r="BF48" s="4">
        <v>0.41799999999999998</v>
      </c>
      <c r="BG48" s="4">
        <v>-0.05</v>
      </c>
      <c r="BH48" s="4">
        <v>0.17899999999999999</v>
      </c>
      <c r="BI48" s="4">
        <v>-7.0000000000000001E-3</v>
      </c>
      <c r="BJ48" s="4">
        <v>0.21199999999999999</v>
      </c>
      <c r="BK48" s="4">
        <v>0.85099999999999998</v>
      </c>
      <c r="BL48" s="4"/>
    </row>
    <row r="49" spans="1:64" x14ac:dyDescent="0.3">
      <c r="A49" t="s">
        <v>74</v>
      </c>
      <c r="B49" s="53">
        <f t="shared" si="9"/>
        <v>0</v>
      </c>
      <c r="C49" s="53">
        <f t="shared" si="4"/>
        <v>0</v>
      </c>
      <c r="D49" s="53">
        <f t="shared" si="5"/>
        <v>0</v>
      </c>
      <c r="E49" s="53">
        <f t="shared" si="6"/>
        <v>0</v>
      </c>
      <c r="F49" s="15">
        <v>1.97</v>
      </c>
      <c r="G49">
        <v>1.5449999999999999</v>
      </c>
      <c r="H49" t="s">
        <v>53</v>
      </c>
      <c r="I49" t="str">
        <f>VLOOKUP(A49,Setores!$A$2:$C$215,2,0)</f>
        <v>healthcare</v>
      </c>
      <c r="J49" t="str">
        <f>VLOOKUP(A49,Setores!$A$2:$C$215,3,0)</f>
        <v>high_beta</v>
      </c>
      <c r="K49" s="100">
        <v>0</v>
      </c>
      <c r="L49" s="58">
        <v>0</v>
      </c>
      <c r="M49" s="7">
        <v>0</v>
      </c>
      <c r="N49" s="41">
        <f>VLOOKUP(A49,'Mandato ISEE'!$A$1:$C$215,2,0)</f>
        <v>0</v>
      </c>
      <c r="O49" s="58">
        <f t="shared" si="7"/>
        <v>0</v>
      </c>
      <c r="P49" s="41">
        <f>VLOOKUP(A49,'Mandato ISEE'!$A$1:$C$215,3,0)</f>
        <v>0</v>
      </c>
      <c r="Q49" s="42">
        <f t="shared" si="8"/>
        <v>0</v>
      </c>
      <c r="R49" s="42">
        <v>0.23499999999999999</v>
      </c>
      <c r="S49" s="15">
        <v>-9.9000000000000005E-2</v>
      </c>
      <c r="T49" s="15">
        <v>0.58599999999999997</v>
      </c>
      <c r="U49" s="15">
        <v>0.27400000000000002</v>
      </c>
      <c r="V49" s="15">
        <v>0.33300000000000002</v>
      </c>
      <c r="W49" s="15">
        <v>0.125</v>
      </c>
      <c r="X49" s="15">
        <v>5.0000000000000001E-3</v>
      </c>
      <c r="Y49" s="15">
        <v>1.9E-2</v>
      </c>
      <c r="Z49" s="15">
        <v>0.45300000000000001</v>
      </c>
      <c r="AA49" s="15">
        <v>0.45200000000000001</v>
      </c>
      <c r="AB49" s="15">
        <v>0.64100000000000001</v>
      </c>
      <c r="AC49" s="15">
        <v>0.754</v>
      </c>
      <c r="AD49" s="15">
        <v>0.72299999999999998</v>
      </c>
      <c r="AE49" s="15">
        <v>0.61899999999999999</v>
      </c>
      <c r="AF49" s="14">
        <v>0.497</v>
      </c>
      <c r="AG49" s="15">
        <v>-0.12</v>
      </c>
      <c r="AH49" s="15">
        <v>1</v>
      </c>
      <c r="AI49" s="15">
        <v>2.5000000000000001E-2</v>
      </c>
      <c r="AJ49" s="15">
        <v>0.158</v>
      </c>
      <c r="AK49" s="16">
        <v>0.78600000000000003</v>
      </c>
      <c r="AL49" s="4">
        <v>0.155</v>
      </c>
      <c r="AM49" s="4">
        <v>0.13600000000000001</v>
      </c>
      <c r="AN49" s="4">
        <v>0.14499999999999999</v>
      </c>
      <c r="AO49" s="4">
        <v>-0.30599999999999999</v>
      </c>
      <c r="AP49" s="4">
        <v>-0.23799999999999999</v>
      </c>
      <c r="AQ49" s="4">
        <v>0.186</v>
      </c>
      <c r="AR49" s="4">
        <v>-0.23200000000000001</v>
      </c>
      <c r="AS49" s="4">
        <v>-0.62</v>
      </c>
      <c r="AT49" s="4">
        <v>0.33</v>
      </c>
      <c r="AU49" s="4">
        <v>-0.60699999999999998</v>
      </c>
      <c r="AV49" s="4">
        <v>0.21299999999999999</v>
      </c>
      <c r="AW49" s="4">
        <v>0.23400000000000001</v>
      </c>
      <c r="AX49" s="4">
        <v>-0.128</v>
      </c>
      <c r="AY49" s="4">
        <v>0.878</v>
      </c>
      <c r="AZ49" s="4">
        <v>0.28599999999999998</v>
      </c>
      <c r="BA49" s="4">
        <v>0.16200000000000001</v>
      </c>
      <c r="BB49" s="4">
        <v>-6.7000000000000004E-2</v>
      </c>
      <c r="BC49" s="4">
        <v>4.2999999999999997E-2</v>
      </c>
      <c r="BD49" s="4">
        <v>0.16400000000000001</v>
      </c>
      <c r="BE49" s="4">
        <v>0.34200000000000003</v>
      </c>
      <c r="BF49" s="4">
        <v>-0.14199999999999999</v>
      </c>
      <c r="BG49" s="4">
        <v>0.24099999999999999</v>
      </c>
      <c r="BH49" s="4">
        <v>-0.70199999999999996</v>
      </c>
      <c r="BI49" s="4">
        <v>-0.11600000000000001</v>
      </c>
      <c r="BJ49" s="4">
        <v>0.83199999999999996</v>
      </c>
      <c r="BK49" s="4">
        <v>0.745</v>
      </c>
      <c r="BL49" s="4"/>
    </row>
    <row r="50" spans="1:64" x14ac:dyDescent="0.3">
      <c r="A50" t="s">
        <v>120</v>
      </c>
      <c r="B50" s="53">
        <f t="shared" si="9"/>
        <v>0</v>
      </c>
      <c r="C50" s="53">
        <f t="shared" si="4"/>
        <v>0</v>
      </c>
      <c r="D50" s="53">
        <f t="shared" si="5"/>
        <v>0</v>
      </c>
      <c r="E50" s="53">
        <f t="shared" si="6"/>
        <v>0</v>
      </c>
      <c r="F50" s="15">
        <v>1.9690000000000001</v>
      </c>
      <c r="G50">
        <v>2.2210000000000001</v>
      </c>
      <c r="H50" t="s">
        <v>71</v>
      </c>
      <c r="I50" t="str">
        <f>VLOOKUP(A50,Setores!$A$2:$C$215,2,0)</f>
        <v>basic_materials</v>
      </c>
      <c r="J50" t="str">
        <f>VLOOKUP(A50,Setores!$A$2:$C$215,3,0)</f>
        <v>low_beta</v>
      </c>
      <c r="K50" s="100">
        <v>0</v>
      </c>
      <c r="L50" s="58">
        <v>0</v>
      </c>
      <c r="M50" s="7">
        <v>0</v>
      </c>
      <c r="N50" s="41">
        <f>VLOOKUP(A50,'Mandato ISEE'!$A$1:$C$215,2,0)</f>
        <v>0</v>
      </c>
      <c r="O50" s="58">
        <f t="shared" si="7"/>
        <v>0</v>
      </c>
      <c r="P50" s="41">
        <f>VLOOKUP(A50,'Mandato ISEE'!$A$1:$C$215,3,0)</f>
        <v>0</v>
      </c>
      <c r="Q50" s="42">
        <f t="shared" si="8"/>
        <v>0</v>
      </c>
      <c r="R50" s="42">
        <v>-0.27500000000000002</v>
      </c>
      <c r="S50" s="15">
        <v>0.45600000000000002</v>
      </c>
      <c r="T50" s="15">
        <v>-0.63400000000000001</v>
      </c>
      <c r="U50" s="15">
        <v>-2.1000000000000001E-2</v>
      </c>
      <c r="V50" s="15">
        <v>4.0000000000000001E-3</v>
      </c>
      <c r="W50" s="15">
        <v>-0.05</v>
      </c>
      <c r="X50" s="15">
        <v>-0.32600000000000001</v>
      </c>
      <c r="Y50" s="15">
        <v>0.25800000000000001</v>
      </c>
      <c r="Z50" s="15">
        <v>1</v>
      </c>
      <c r="AA50" s="15">
        <v>1</v>
      </c>
      <c r="AB50" s="15">
        <v>0.90500000000000003</v>
      </c>
      <c r="AC50" s="15">
        <v>0.97199999999999998</v>
      </c>
      <c r="AD50" s="15">
        <v>0.95699999999999996</v>
      </c>
      <c r="AE50" s="15">
        <v>-0.14399999999999999</v>
      </c>
      <c r="AF50" s="14">
        <v>-0.36399999999999999</v>
      </c>
      <c r="AG50" s="15">
        <v>1</v>
      </c>
      <c r="AH50" s="15">
        <v>-0.45500000000000002</v>
      </c>
      <c r="AI50" s="15">
        <v>-0.218</v>
      </c>
      <c r="AJ50" s="15">
        <v>-0.874</v>
      </c>
      <c r="AK50" s="16">
        <v>0.55200000000000005</v>
      </c>
      <c r="AL50" s="4">
        <v>-0.19800000000000001</v>
      </c>
      <c r="AM50" s="4">
        <v>0.55600000000000005</v>
      </c>
      <c r="AN50" s="4">
        <v>-0.623</v>
      </c>
      <c r="AO50" s="4">
        <v>0.55000000000000004</v>
      </c>
      <c r="AP50" s="4">
        <v>0.30099999999999999</v>
      </c>
      <c r="AQ50" s="4">
        <v>-0.86</v>
      </c>
      <c r="AR50" s="4">
        <v>0.48</v>
      </c>
      <c r="AS50" s="4">
        <v>0.40200000000000002</v>
      </c>
      <c r="AT50" s="4">
        <v>9.7000000000000003E-2</v>
      </c>
      <c r="AU50" s="4">
        <v>-0.53500000000000003</v>
      </c>
      <c r="AV50" s="4">
        <v>-0.152</v>
      </c>
      <c r="AW50" s="4">
        <v>0.41199999999999998</v>
      </c>
      <c r="AX50" s="4">
        <v>-6.0999999999999999E-2</v>
      </c>
      <c r="AY50" s="4">
        <v>0.8</v>
      </c>
      <c r="AZ50" s="4">
        <v>-0.158</v>
      </c>
      <c r="BA50" s="4">
        <v>-9.5000000000000001E-2</v>
      </c>
      <c r="BB50" s="4">
        <v>0.20100000000000001</v>
      </c>
      <c r="BC50" s="4">
        <v>7.2999999999999995E-2</v>
      </c>
      <c r="BD50" s="4">
        <v>0.69299999999999995</v>
      </c>
      <c r="BE50" s="4">
        <v>-1</v>
      </c>
      <c r="BF50" s="4">
        <v>-0.67</v>
      </c>
      <c r="BG50" s="4">
        <v>0.36499999999999999</v>
      </c>
      <c r="BH50" s="4">
        <v>-0.35099999999999998</v>
      </c>
      <c r="BI50" s="4">
        <v>-0.45900000000000002</v>
      </c>
      <c r="BJ50" s="4">
        <v>-0.183</v>
      </c>
      <c r="BK50" s="4">
        <v>-7.9000000000000001E-2</v>
      </c>
      <c r="BL50" s="4"/>
    </row>
    <row r="51" spans="1:64" x14ac:dyDescent="0.3">
      <c r="A51" t="s">
        <v>121</v>
      </c>
      <c r="B51" s="53">
        <f t="shared" si="9"/>
        <v>5.5E-2</v>
      </c>
      <c r="C51" s="53">
        <f t="shared" si="4"/>
        <v>2.7E-2</v>
      </c>
      <c r="D51" s="53">
        <f t="shared" si="5"/>
        <v>0</v>
      </c>
      <c r="E51" s="53">
        <f t="shared" si="6"/>
        <v>2.8000000000000001E-2</v>
      </c>
      <c r="F51" s="15">
        <v>1.9079999999999999</v>
      </c>
      <c r="G51">
        <v>4.1559999999999997</v>
      </c>
      <c r="H51" t="s">
        <v>57</v>
      </c>
      <c r="I51" t="str">
        <f>VLOOKUP(A51,Setores!$A$2:$C$215,2,0)</f>
        <v>banks</v>
      </c>
      <c r="J51" t="str">
        <f>VLOOKUP(A51,Setores!$A$2:$C$215,3,0)</f>
        <v>neutral_beta</v>
      </c>
      <c r="K51" s="100">
        <v>5.5E-2</v>
      </c>
      <c r="L51" s="58">
        <v>2.7E-2</v>
      </c>
      <c r="M51" s="7">
        <v>2.8000000000000001E-2</v>
      </c>
      <c r="N51" s="41">
        <f>VLOOKUP(A51,'Mandato ISEE'!$A$1:$C$215,2,0)</f>
        <v>0.108765258318773</v>
      </c>
      <c r="O51" s="58">
        <f t="shared" si="7"/>
        <v>-5.3765258318772997E-2</v>
      </c>
      <c r="P51" s="41">
        <f>VLOOKUP(A51,'Mandato ISEE'!$A$1:$C$215,3,0)</f>
        <v>6.1718063583087998E-2</v>
      </c>
      <c r="Q51" s="42">
        <f t="shared" si="8"/>
        <v>-6.7180635830879978E-3</v>
      </c>
      <c r="R51" s="42">
        <v>-0.25</v>
      </c>
      <c r="S51" s="15">
        <v>-0.26600000000000001</v>
      </c>
      <c r="T51" s="15">
        <v>-0.77200000000000002</v>
      </c>
      <c r="U51" s="15">
        <v>9.1999999999999998E-2</v>
      </c>
      <c r="V51" s="15">
        <v>-0.34300000000000003</v>
      </c>
      <c r="W51" s="15">
        <v>0.26100000000000001</v>
      </c>
      <c r="X51" s="15">
        <v>0.53300000000000003</v>
      </c>
      <c r="Y51" s="15">
        <v>0.42899999999999999</v>
      </c>
      <c r="Z51" s="15">
        <v>0.50800000000000001</v>
      </c>
      <c r="AA51" s="15">
        <v>0.50800000000000001</v>
      </c>
      <c r="AB51" s="15">
        <v>0.77700000000000002</v>
      </c>
      <c r="AC51" s="15">
        <v>0.83099999999999996</v>
      </c>
      <c r="AD51" s="15">
        <v>0.77100000000000002</v>
      </c>
      <c r="AE51" s="15">
        <v>0.123</v>
      </c>
      <c r="AF51" s="14">
        <v>-0.218</v>
      </c>
      <c r="AG51" s="15">
        <v>6.3E-2</v>
      </c>
      <c r="AH51" s="15">
        <v>-0.96399999999999997</v>
      </c>
      <c r="AI51" s="15">
        <v>-0.76200000000000001</v>
      </c>
      <c r="AJ51" s="15">
        <v>-0.83</v>
      </c>
      <c r="AK51" s="16">
        <v>-0.17399999999999999</v>
      </c>
      <c r="AL51" s="4">
        <v>0.221</v>
      </c>
      <c r="AM51" s="4">
        <v>-0.67900000000000005</v>
      </c>
      <c r="AN51" s="4">
        <v>-0.20599999999999999</v>
      </c>
      <c r="AO51" s="4">
        <v>0.46300000000000002</v>
      </c>
      <c r="AP51" s="4">
        <v>-4.5999999999999999E-2</v>
      </c>
      <c r="AQ51" s="4">
        <v>8.9999999999999993E-3</v>
      </c>
      <c r="AR51" s="4">
        <v>0.30599999999999999</v>
      </c>
      <c r="AS51" s="4">
        <v>0.41299999999999998</v>
      </c>
      <c r="AT51" s="4">
        <v>-1E-3</v>
      </c>
      <c r="AU51" s="4">
        <v>-2E-3</v>
      </c>
      <c r="AV51" s="4">
        <v>0.379</v>
      </c>
      <c r="AW51" s="4">
        <v>0.436</v>
      </c>
      <c r="AX51" s="4">
        <v>-0.40100000000000002</v>
      </c>
      <c r="AY51" s="4">
        <v>0.91</v>
      </c>
      <c r="AZ51" s="4">
        <v>0.68799999999999994</v>
      </c>
      <c r="BA51" s="4">
        <v>0.65300000000000002</v>
      </c>
      <c r="BB51" s="4">
        <v>-0.20699999999999999</v>
      </c>
      <c r="BC51" s="4">
        <v>1.4E-2</v>
      </c>
      <c r="BD51" s="4">
        <v>0.55000000000000004</v>
      </c>
      <c r="BE51" s="4">
        <v>-0.128</v>
      </c>
      <c r="BF51" s="4">
        <v>-0.39500000000000002</v>
      </c>
      <c r="BG51" s="4">
        <v>0.82399999999999995</v>
      </c>
      <c r="BH51" s="4">
        <v>-0.68</v>
      </c>
      <c r="BI51" s="4">
        <v>-0.08</v>
      </c>
      <c r="BJ51" s="4">
        <v>-0.182</v>
      </c>
      <c r="BK51" s="4">
        <v>-0.70899999999999996</v>
      </c>
      <c r="BL51" s="4"/>
    </row>
    <row r="52" spans="1:64" x14ac:dyDescent="0.3">
      <c r="A52" t="s">
        <v>72</v>
      </c>
      <c r="B52" s="53">
        <f t="shared" si="9"/>
        <v>0</v>
      </c>
      <c r="C52" s="53">
        <f t="shared" si="4"/>
        <v>0</v>
      </c>
      <c r="D52" s="53">
        <f t="shared" si="5"/>
        <v>0</v>
      </c>
      <c r="E52" s="53">
        <f t="shared" si="6"/>
        <v>0</v>
      </c>
      <c r="F52" s="15">
        <v>1.9039999999999999</v>
      </c>
      <c r="G52">
        <v>1.556</v>
      </c>
      <c r="H52" t="s">
        <v>57</v>
      </c>
      <c r="I52" t="str">
        <f>VLOOKUP(A52,Setores!$A$2:$C$215,2,0)</f>
        <v>apparel</v>
      </c>
      <c r="J52" t="str">
        <f>VLOOKUP(A52,Setores!$A$2:$C$215,3,0)</f>
        <v>high_beta</v>
      </c>
      <c r="K52" s="100">
        <v>0</v>
      </c>
      <c r="L52" s="58">
        <v>0</v>
      </c>
      <c r="M52" s="7">
        <v>0</v>
      </c>
      <c r="N52" s="41">
        <f>VLOOKUP(A52,'Mandato ISEE'!$A$1:$C$215,2,0)</f>
        <v>0</v>
      </c>
      <c r="O52" s="58">
        <f t="shared" si="7"/>
        <v>0</v>
      </c>
      <c r="P52" s="41">
        <f>VLOOKUP(A52,'Mandato ISEE'!$A$1:$C$215,3,0)</f>
        <v>0</v>
      </c>
      <c r="Q52" s="42">
        <f t="shared" si="8"/>
        <v>0</v>
      </c>
      <c r="R52" s="42">
        <v>0.26600000000000001</v>
      </c>
      <c r="S52" s="15">
        <v>-0.21299999999999999</v>
      </c>
      <c r="T52" s="15">
        <v>0.12</v>
      </c>
      <c r="U52" s="15">
        <v>0.49299999999999999</v>
      </c>
      <c r="V52" s="15">
        <v>0.151</v>
      </c>
      <c r="W52" s="15">
        <v>0.20699999999999999</v>
      </c>
      <c r="X52" s="15">
        <v>0.20599999999999999</v>
      </c>
      <c r="Y52" s="15">
        <v>9.1999999999999998E-2</v>
      </c>
      <c r="Z52" s="15">
        <v>8.5999999999999993E-2</v>
      </c>
      <c r="AA52" s="15">
        <v>8.5000000000000006E-2</v>
      </c>
      <c r="AB52" s="15">
        <v>0.77600000000000002</v>
      </c>
      <c r="AC52" s="15">
        <v>0.75900000000000001</v>
      </c>
      <c r="AD52" s="15">
        <v>0.67200000000000004</v>
      </c>
      <c r="AE52" s="15">
        <v>0.90800000000000003</v>
      </c>
      <c r="AF52" s="14">
        <v>0.92500000000000004</v>
      </c>
      <c r="AG52" s="15">
        <v>-0.60099999999999998</v>
      </c>
      <c r="AH52" s="15">
        <v>-0.52400000000000002</v>
      </c>
      <c r="AI52" s="15">
        <v>-0.45600000000000002</v>
      </c>
      <c r="AJ52" s="15">
        <v>0.24399999999999999</v>
      </c>
      <c r="AK52" s="16">
        <v>-0.34200000000000003</v>
      </c>
      <c r="AL52" s="4">
        <v>-6.8000000000000005E-2</v>
      </c>
      <c r="AM52" s="4">
        <v>-0.79100000000000004</v>
      </c>
      <c r="AN52" s="4">
        <v>0.497</v>
      </c>
      <c r="AO52" s="4">
        <v>1.7999999999999999E-2</v>
      </c>
      <c r="AP52" s="4">
        <v>-0.70199999999999996</v>
      </c>
      <c r="AQ52" s="4">
        <v>0.82099999999999995</v>
      </c>
      <c r="AR52" s="4">
        <v>0.55200000000000005</v>
      </c>
      <c r="AS52" s="4">
        <v>0.51100000000000001</v>
      </c>
      <c r="AT52" s="4">
        <v>0.30299999999999999</v>
      </c>
      <c r="AU52" s="4">
        <v>-2.1000000000000001E-2</v>
      </c>
      <c r="AV52" s="4">
        <v>0.71399999999999997</v>
      </c>
      <c r="AW52" s="4">
        <v>-1.7000000000000001E-2</v>
      </c>
      <c r="AX52" s="4">
        <v>7.1999999999999995E-2</v>
      </c>
      <c r="AY52" s="4">
        <v>-5.2999999999999999E-2</v>
      </c>
      <c r="AZ52" s="4">
        <v>6.0999999999999999E-2</v>
      </c>
      <c r="BA52" s="4">
        <v>0.35</v>
      </c>
      <c r="BB52" s="4">
        <v>0.33800000000000002</v>
      </c>
      <c r="BC52" s="4">
        <v>-9.0999999999999998E-2</v>
      </c>
      <c r="BD52" s="4">
        <v>0.45600000000000002</v>
      </c>
      <c r="BE52" s="4">
        <v>-0.38400000000000001</v>
      </c>
      <c r="BF52" s="4">
        <v>-1.7999999999999999E-2</v>
      </c>
      <c r="BG52" s="4">
        <v>9.8000000000000004E-2</v>
      </c>
      <c r="BH52" s="4">
        <v>-8.0000000000000002E-3</v>
      </c>
      <c r="BI52" s="4">
        <v>0.219</v>
      </c>
      <c r="BJ52" s="4">
        <v>0.221</v>
      </c>
      <c r="BK52" s="4">
        <v>-0.24099999999999999</v>
      </c>
      <c r="BL52" s="4"/>
    </row>
    <row r="53" spans="1:64" x14ac:dyDescent="0.3">
      <c r="A53" t="s">
        <v>56</v>
      </c>
      <c r="B53" s="53">
        <f t="shared" si="9"/>
        <v>0</v>
      </c>
      <c r="C53" s="53">
        <f t="shared" si="4"/>
        <v>0</v>
      </c>
      <c r="D53" s="53">
        <f t="shared" si="5"/>
        <v>0</v>
      </c>
      <c r="E53" s="53">
        <f t="shared" si="6"/>
        <v>0</v>
      </c>
      <c r="F53" s="15">
        <v>1.8919999999999999</v>
      </c>
      <c r="G53">
        <v>1.9830000000000001</v>
      </c>
      <c r="H53" t="s">
        <v>55</v>
      </c>
      <c r="I53" t="str">
        <f>VLOOKUP(A53,Setores!$A$2:$C$215,2,0)</f>
        <v>utilities</v>
      </c>
      <c r="J53" t="str">
        <f>VLOOKUP(A53,Setores!$A$2:$C$215,3,0)</f>
        <v>neutral_beta</v>
      </c>
      <c r="K53" s="100">
        <v>0</v>
      </c>
      <c r="L53" s="58">
        <v>0</v>
      </c>
      <c r="M53" s="7">
        <v>0</v>
      </c>
      <c r="N53" s="41">
        <f>VLOOKUP(A53,'Mandato ISEE'!$A$1:$C$215,2,0)</f>
        <v>0</v>
      </c>
      <c r="O53" s="58">
        <f t="shared" si="7"/>
        <v>0</v>
      </c>
      <c r="P53" s="41">
        <f>VLOOKUP(A53,'Mandato ISEE'!$A$1:$C$215,3,0)</f>
        <v>0</v>
      </c>
      <c r="Q53" s="42">
        <f t="shared" si="8"/>
        <v>0</v>
      </c>
      <c r="R53" s="42">
        <v>-7.0999999999999994E-2</v>
      </c>
      <c r="S53" s="15">
        <v>-0.20300000000000001</v>
      </c>
      <c r="T53" s="15">
        <v>-0.26700000000000002</v>
      </c>
      <c r="U53" s="15">
        <v>0.17299999999999999</v>
      </c>
      <c r="V53" s="15">
        <v>-7.4999999999999997E-2</v>
      </c>
      <c r="W53" s="15">
        <v>0.26600000000000001</v>
      </c>
      <c r="X53" s="15">
        <v>0.48599999999999999</v>
      </c>
      <c r="Y53" s="15">
        <v>0.17699999999999999</v>
      </c>
      <c r="Z53" s="15">
        <v>0.436</v>
      </c>
      <c r="AA53" s="15">
        <v>0.438</v>
      </c>
      <c r="AB53" s="15">
        <v>0.88900000000000001</v>
      </c>
      <c r="AC53" s="15">
        <v>0.68200000000000005</v>
      </c>
      <c r="AD53" s="15">
        <v>0.73499999999999999</v>
      </c>
      <c r="AE53" s="15">
        <v>0.41399999999999998</v>
      </c>
      <c r="AF53" s="14">
        <v>-0.13300000000000001</v>
      </c>
      <c r="AG53" s="15">
        <v>0.26500000000000001</v>
      </c>
      <c r="AH53" s="15">
        <v>-0.54800000000000004</v>
      </c>
      <c r="AI53" s="15">
        <v>-0.58799999999999997</v>
      </c>
      <c r="AJ53" s="15">
        <v>-0.40799999999999997</v>
      </c>
      <c r="AK53" s="16">
        <v>0.40799999999999997</v>
      </c>
      <c r="AL53" s="4">
        <v>-0.20300000000000001</v>
      </c>
      <c r="AM53" s="4">
        <v>-0.34300000000000003</v>
      </c>
      <c r="AN53" s="4">
        <v>-0.254</v>
      </c>
      <c r="AO53" s="4">
        <v>0.109</v>
      </c>
      <c r="AP53" s="4">
        <v>-0.3</v>
      </c>
      <c r="AQ53" s="4">
        <v>-1.4E-2</v>
      </c>
      <c r="AR53" s="4">
        <v>-0.52400000000000002</v>
      </c>
      <c r="AS53" s="4">
        <v>-0.79100000000000004</v>
      </c>
      <c r="AT53" s="4">
        <v>0.17199999999999999</v>
      </c>
      <c r="AU53" s="4">
        <v>0.26400000000000001</v>
      </c>
      <c r="AV53" s="4">
        <v>0.44</v>
      </c>
      <c r="AW53" s="4">
        <v>0.73499999999999999</v>
      </c>
      <c r="AX53" s="4">
        <v>-9.5000000000000001E-2</v>
      </c>
      <c r="AY53" s="4">
        <v>-0.214</v>
      </c>
      <c r="AZ53" s="4">
        <v>0.42599999999999999</v>
      </c>
      <c r="BA53" s="4">
        <v>1</v>
      </c>
      <c r="BB53" s="4">
        <v>1.7999999999999999E-2</v>
      </c>
      <c r="BC53" s="4">
        <v>0.47699999999999998</v>
      </c>
      <c r="BD53" s="4">
        <v>0.39500000000000002</v>
      </c>
      <c r="BE53" s="4">
        <v>-0.25700000000000001</v>
      </c>
      <c r="BF53" s="4">
        <v>0.46100000000000002</v>
      </c>
      <c r="BG53" s="4">
        <v>0.374</v>
      </c>
      <c r="BH53" s="4">
        <v>-0.68400000000000005</v>
      </c>
      <c r="BI53" s="4">
        <v>-0.10299999999999999</v>
      </c>
      <c r="BJ53" s="4">
        <v>0.621</v>
      </c>
      <c r="BK53" s="4">
        <v>0.109</v>
      </c>
      <c r="BL53" s="4"/>
    </row>
    <row r="54" spans="1:64" x14ac:dyDescent="0.3">
      <c r="A54" t="s">
        <v>81</v>
      </c>
      <c r="B54" s="53">
        <f t="shared" si="9"/>
        <v>3.2000000000000001E-2</v>
      </c>
      <c r="C54" s="53">
        <f t="shared" si="4"/>
        <v>4.0000000000000001E-3</v>
      </c>
      <c r="D54" s="53">
        <f t="shared" si="5"/>
        <v>0</v>
      </c>
      <c r="E54" s="53">
        <f t="shared" si="6"/>
        <v>2.8000000000000001E-2</v>
      </c>
      <c r="F54" s="15">
        <v>1.88</v>
      </c>
      <c r="G54">
        <v>3.484</v>
      </c>
      <c r="H54" t="s">
        <v>55</v>
      </c>
      <c r="I54" t="str">
        <f>VLOOKUP(A54,Setores!$A$2:$C$215,2,0)</f>
        <v>telecom</v>
      </c>
      <c r="J54" t="str">
        <f>VLOOKUP(A54,Setores!$A$2:$C$215,3,0)</f>
        <v>very_low_beta</v>
      </c>
      <c r="K54" s="100">
        <v>3.2000000000000001E-2</v>
      </c>
      <c r="L54" s="58">
        <v>3.0000000000000001E-3</v>
      </c>
      <c r="M54" s="7">
        <v>2.8000000000000001E-2</v>
      </c>
      <c r="N54" s="41">
        <f>VLOOKUP(A54,'Mandato ISEE'!$A$1:$C$215,2,0)</f>
        <v>0.10711987696192</v>
      </c>
      <c r="O54" s="58">
        <f t="shared" si="7"/>
        <v>-7.5119876961920004E-2</v>
      </c>
      <c r="P54" s="41">
        <f>VLOOKUP(A54,'Mandato ISEE'!$A$1:$C$215,3,0)</f>
        <v>0</v>
      </c>
      <c r="Q54" s="42">
        <f t="shared" si="8"/>
        <v>3.2000000000000001E-2</v>
      </c>
      <c r="R54" s="42">
        <v>2.5999999999999999E-2</v>
      </c>
      <c r="S54" s="15">
        <v>-0.56200000000000006</v>
      </c>
      <c r="T54" s="15">
        <v>-0.47899999999999998</v>
      </c>
      <c r="U54" s="15">
        <v>0.40400000000000003</v>
      </c>
      <c r="V54" s="15">
        <v>-0.26100000000000001</v>
      </c>
      <c r="W54" s="15">
        <v>0.49099999999999999</v>
      </c>
      <c r="X54" s="15">
        <v>0.74</v>
      </c>
      <c r="Y54" s="15">
        <v>0.122</v>
      </c>
      <c r="Z54" s="15">
        <v>0.45</v>
      </c>
      <c r="AA54" s="15">
        <v>0.44700000000000001</v>
      </c>
      <c r="AB54" s="15">
        <v>0.81299999999999994</v>
      </c>
      <c r="AC54" s="15">
        <v>0.78900000000000003</v>
      </c>
      <c r="AD54" s="15">
        <v>0.63300000000000001</v>
      </c>
      <c r="AE54" s="15">
        <v>0.752</v>
      </c>
      <c r="AF54" s="14">
        <v>8.7999999999999995E-2</v>
      </c>
      <c r="AG54" s="15">
        <v>-0.53400000000000003</v>
      </c>
      <c r="AH54" s="15">
        <v>-0.90400000000000003</v>
      </c>
      <c r="AI54" s="15">
        <v>-0.86</v>
      </c>
      <c r="AJ54" s="15">
        <v>-0.49199999999999999</v>
      </c>
      <c r="AK54" s="16">
        <v>0.32500000000000001</v>
      </c>
      <c r="AL54" s="4">
        <v>-2.1000000000000001E-2</v>
      </c>
      <c r="AM54" s="4">
        <v>-0.82699999999999996</v>
      </c>
      <c r="AN54" s="4">
        <v>-0.128</v>
      </c>
      <c r="AO54" s="4">
        <v>-7.0999999999999994E-2</v>
      </c>
      <c r="AP54" s="4">
        <v>-0.251</v>
      </c>
      <c r="AQ54" s="4">
        <v>0.53800000000000003</v>
      </c>
      <c r="AR54" s="4">
        <v>0.26400000000000001</v>
      </c>
      <c r="AS54" s="4">
        <v>-0.314</v>
      </c>
      <c r="AT54" s="4">
        <v>0.433</v>
      </c>
      <c r="AU54" s="4">
        <v>0.246</v>
      </c>
      <c r="AV54" s="4">
        <v>1</v>
      </c>
      <c r="AW54" s="4">
        <v>0.72699999999999998</v>
      </c>
      <c r="AX54" s="4">
        <v>0.17299999999999999</v>
      </c>
      <c r="AY54" s="4">
        <v>0.77500000000000002</v>
      </c>
      <c r="AZ54" s="4">
        <v>0.39300000000000002</v>
      </c>
      <c r="BA54" s="4">
        <v>0.89500000000000002</v>
      </c>
      <c r="BB54" s="4">
        <v>0.28399999999999997</v>
      </c>
      <c r="BC54" s="4">
        <v>0.39700000000000002</v>
      </c>
      <c r="BD54" s="4">
        <v>0.61299999999999999</v>
      </c>
      <c r="BE54" s="4">
        <v>0.27</v>
      </c>
      <c r="BF54" s="4">
        <v>0.66300000000000003</v>
      </c>
      <c r="BG54" s="4">
        <v>0.35399999999999998</v>
      </c>
      <c r="BH54" s="4">
        <v>-0.70299999999999996</v>
      </c>
      <c r="BI54" s="4">
        <v>-0.36199999999999999</v>
      </c>
      <c r="BJ54" s="4">
        <v>2.1000000000000001E-2</v>
      </c>
      <c r="BK54" s="4">
        <v>-0.53600000000000003</v>
      </c>
      <c r="BL54" s="4"/>
    </row>
    <row r="55" spans="1:64" x14ac:dyDescent="0.3">
      <c r="A55" t="s">
        <v>95</v>
      </c>
      <c r="B55" s="53">
        <f t="shared" si="9"/>
        <v>0</v>
      </c>
      <c r="C55" s="53">
        <f t="shared" si="4"/>
        <v>0</v>
      </c>
      <c r="D55" s="53">
        <f t="shared" si="5"/>
        <v>0</v>
      </c>
      <c r="E55" s="53">
        <f t="shared" si="6"/>
        <v>0</v>
      </c>
      <c r="F55" s="15">
        <v>1.865</v>
      </c>
      <c r="G55">
        <v>2.4929999999999999</v>
      </c>
      <c r="H55" t="s">
        <v>53</v>
      </c>
      <c r="I55" t="str">
        <f>VLOOKUP(A55,Setores!$A$2:$C$215,2,0)</f>
        <v>float_financials</v>
      </c>
      <c r="J55" t="str">
        <f>VLOOKUP(A55,Setores!$A$2:$C$215,3,0)</f>
        <v>very_low_beta</v>
      </c>
      <c r="K55" s="100">
        <v>0</v>
      </c>
      <c r="L55" s="58">
        <v>0</v>
      </c>
      <c r="M55" s="7">
        <v>0</v>
      </c>
      <c r="N55" s="41">
        <f>VLOOKUP(A55,'Mandato ISEE'!$A$1:$C$215,2,0)</f>
        <v>0</v>
      </c>
      <c r="O55" s="58">
        <f t="shared" si="7"/>
        <v>0</v>
      </c>
      <c r="P55" s="41">
        <f>VLOOKUP(A55,'Mandato ISEE'!$A$1:$C$215,3,0)</f>
        <v>0</v>
      </c>
      <c r="Q55" s="42">
        <f t="shared" si="8"/>
        <v>0</v>
      </c>
      <c r="R55" s="42">
        <v>-0.41899999999999998</v>
      </c>
      <c r="S55" s="15">
        <v>-0.45200000000000001</v>
      </c>
      <c r="T55" s="15">
        <v>-0.64400000000000002</v>
      </c>
      <c r="U55" s="15">
        <v>0.107</v>
      </c>
      <c r="V55" s="15">
        <v>-0.23699999999999999</v>
      </c>
      <c r="W55" s="15">
        <v>0.377</v>
      </c>
      <c r="X55" s="15">
        <v>0.89</v>
      </c>
      <c r="Y55" s="15">
        <v>0.46200000000000002</v>
      </c>
      <c r="Z55" s="15">
        <v>0.55200000000000005</v>
      </c>
      <c r="AA55" s="15">
        <v>0.55400000000000005</v>
      </c>
      <c r="AB55" s="15">
        <v>0.75700000000000001</v>
      </c>
      <c r="AC55" s="15">
        <v>0.75</v>
      </c>
      <c r="AD55" s="15">
        <v>0.61</v>
      </c>
      <c r="AE55" s="15">
        <v>8.4000000000000005E-2</v>
      </c>
      <c r="AF55" s="14">
        <v>0.68600000000000005</v>
      </c>
      <c r="AG55" s="15">
        <v>-0.183</v>
      </c>
      <c r="AH55" s="15">
        <v>-0.82499999999999996</v>
      </c>
      <c r="AI55" s="15">
        <v>-0.84799999999999998</v>
      </c>
      <c r="AJ55" s="15">
        <v>-0.64900000000000002</v>
      </c>
      <c r="AK55" s="16">
        <v>-0.27900000000000003</v>
      </c>
      <c r="AL55" s="4">
        <v>0.57599999999999996</v>
      </c>
      <c r="AM55" s="4">
        <v>-0.94199999999999995</v>
      </c>
      <c r="AN55" s="4">
        <v>0.26700000000000002</v>
      </c>
      <c r="AO55" s="4">
        <v>0.23</v>
      </c>
      <c r="AP55" s="4">
        <v>0.34300000000000003</v>
      </c>
      <c r="AQ55" s="4">
        <v>5.0999999999999997E-2</v>
      </c>
      <c r="AR55" s="4">
        <v>0.26600000000000001</v>
      </c>
      <c r="AS55" s="4">
        <v>-0.35399999999999998</v>
      </c>
      <c r="AT55" s="4">
        <v>0.71499999999999997</v>
      </c>
      <c r="AU55" s="4">
        <v>0.21</v>
      </c>
      <c r="AV55" s="4">
        <v>-0.185</v>
      </c>
      <c r="AW55" s="4">
        <v>0.95099999999999996</v>
      </c>
      <c r="AX55" s="4">
        <v>0.71899999999999997</v>
      </c>
      <c r="AY55" s="4">
        <v>0.71599999999999997</v>
      </c>
      <c r="AZ55" s="4">
        <v>-0.23699999999999999</v>
      </c>
      <c r="BA55" s="4">
        <v>-0.64900000000000002</v>
      </c>
      <c r="BB55" s="4">
        <v>-0.10299999999999999</v>
      </c>
      <c r="BC55" s="4">
        <v>0.02</v>
      </c>
      <c r="BD55" s="4">
        <v>-1</v>
      </c>
      <c r="BE55" s="4">
        <v>-0.63200000000000001</v>
      </c>
      <c r="BF55" s="4">
        <v>-7.0999999999999994E-2</v>
      </c>
      <c r="BG55" s="4">
        <v>0.92800000000000005</v>
      </c>
      <c r="BH55" s="4">
        <v>-0.40799999999999997</v>
      </c>
      <c r="BI55" s="4">
        <v>-0.628</v>
      </c>
      <c r="BJ55" s="4">
        <v>-6.7000000000000004E-2</v>
      </c>
      <c r="BK55" s="4">
        <v>-0.60299999999999998</v>
      </c>
      <c r="BL55" s="4"/>
    </row>
    <row r="56" spans="1:64" x14ac:dyDescent="0.3">
      <c r="A56" t="s">
        <v>119</v>
      </c>
      <c r="B56" s="53">
        <f t="shared" si="9"/>
        <v>0</v>
      </c>
      <c r="C56" s="53">
        <f t="shared" si="4"/>
        <v>0</v>
      </c>
      <c r="D56" s="53">
        <f t="shared" si="5"/>
        <v>0</v>
      </c>
      <c r="E56" s="53">
        <f t="shared" si="6"/>
        <v>0</v>
      </c>
      <c r="F56" s="15">
        <v>1.851</v>
      </c>
      <c r="G56">
        <v>1.7250000000000001</v>
      </c>
      <c r="H56" t="s">
        <v>57</v>
      </c>
      <c r="I56" t="str">
        <f>VLOOKUP(A56,Setores!$A$2:$C$215,2,0)</f>
        <v>homebuilders</v>
      </c>
      <c r="J56" t="str">
        <f>VLOOKUP(A56,Setores!$A$2:$C$215,3,0)</f>
        <v>high_beta</v>
      </c>
      <c r="K56" s="100">
        <v>0</v>
      </c>
      <c r="L56" s="58">
        <v>0</v>
      </c>
      <c r="M56" s="7">
        <v>0</v>
      </c>
      <c r="N56" s="41">
        <f>VLOOKUP(A56,'Mandato ISEE'!$A$1:$C$215,2,0)</f>
        <v>0</v>
      </c>
      <c r="O56" s="58">
        <f t="shared" si="7"/>
        <v>0</v>
      </c>
      <c r="P56" s="41">
        <f>VLOOKUP(A56,'Mandato ISEE'!$A$1:$C$215,3,0)</f>
        <v>0</v>
      </c>
      <c r="Q56" s="42">
        <f t="shared" si="8"/>
        <v>0</v>
      </c>
      <c r="R56" s="42">
        <v>0.29699999999999999</v>
      </c>
      <c r="S56" s="15">
        <v>9.5000000000000001E-2</v>
      </c>
      <c r="T56" s="15">
        <v>0.105</v>
      </c>
      <c r="U56" s="15">
        <v>0.20100000000000001</v>
      </c>
      <c r="V56" s="15">
        <v>5.5E-2</v>
      </c>
      <c r="W56" s="15">
        <v>0.22900000000000001</v>
      </c>
      <c r="X56" s="15">
        <v>0.28100000000000003</v>
      </c>
      <c r="Y56" s="15">
        <v>-0.13900000000000001</v>
      </c>
      <c r="Z56" s="15">
        <v>0.20799999999999999</v>
      </c>
      <c r="AA56" s="15">
        <v>0.20599999999999999</v>
      </c>
      <c r="AB56" s="15">
        <v>0.82199999999999995</v>
      </c>
      <c r="AC56" s="15">
        <v>0.88100000000000001</v>
      </c>
      <c r="AD56" s="15">
        <v>0.69699999999999995</v>
      </c>
      <c r="AE56" s="15">
        <v>0.40799999999999997</v>
      </c>
      <c r="AF56" s="14">
        <v>0.46700000000000003</v>
      </c>
      <c r="AG56" s="15">
        <v>-0.23499999999999999</v>
      </c>
      <c r="AH56" s="15">
        <v>-0.19400000000000001</v>
      </c>
      <c r="AI56" s="15">
        <v>-0.09</v>
      </c>
      <c r="AJ56" s="15">
        <v>-2.1000000000000001E-2</v>
      </c>
      <c r="AK56" s="16">
        <v>-0.10199999999999999</v>
      </c>
      <c r="AL56" s="4">
        <v>-0.21299999999999999</v>
      </c>
      <c r="AM56" s="4">
        <v>-0.186</v>
      </c>
      <c r="AN56" s="4">
        <v>0.74299999999999999</v>
      </c>
      <c r="AO56" s="4">
        <v>-0.309</v>
      </c>
      <c r="AP56" s="4">
        <v>-1.7000000000000001E-2</v>
      </c>
      <c r="AQ56" s="4">
        <v>0.47899999999999998</v>
      </c>
      <c r="AR56" s="4">
        <v>0.39200000000000002</v>
      </c>
      <c r="AS56" s="4">
        <v>0.35299999999999998</v>
      </c>
      <c r="AT56" s="4">
        <v>-5.3999999999999999E-2</v>
      </c>
      <c r="AU56" s="4">
        <v>0.432</v>
      </c>
      <c r="AV56" s="4">
        <v>0.34499999999999997</v>
      </c>
      <c r="AW56" s="4">
        <v>-0.111</v>
      </c>
      <c r="AX56" s="4">
        <v>0.186</v>
      </c>
      <c r="AY56" s="4">
        <v>0.442</v>
      </c>
      <c r="AZ56" s="4">
        <v>0.63100000000000001</v>
      </c>
      <c r="BA56" s="4">
        <v>0</v>
      </c>
      <c r="BB56" s="4">
        <v>-4.9000000000000002E-2</v>
      </c>
      <c r="BC56" s="4">
        <v>-8.5000000000000006E-2</v>
      </c>
      <c r="BD56" s="4">
        <v>0.24399999999999999</v>
      </c>
      <c r="BE56" s="4">
        <v>0.33500000000000002</v>
      </c>
      <c r="BF56" s="4">
        <v>-0.154</v>
      </c>
      <c r="BG56" s="4">
        <v>0.20300000000000001</v>
      </c>
      <c r="BH56" s="4">
        <v>-0.156</v>
      </c>
      <c r="BI56" s="4">
        <v>0.45700000000000002</v>
      </c>
      <c r="BJ56" s="4">
        <v>-1.2E-2</v>
      </c>
      <c r="BK56" s="4">
        <v>0.03</v>
      </c>
      <c r="BL56" s="4"/>
    </row>
    <row r="57" spans="1:64" x14ac:dyDescent="0.3">
      <c r="A57" t="s">
        <v>94</v>
      </c>
      <c r="B57" s="53">
        <f t="shared" si="9"/>
        <v>4.1000000000000002E-2</v>
      </c>
      <c r="C57" s="53">
        <f t="shared" si="4"/>
        <v>3.0000000000000002E-2</v>
      </c>
      <c r="D57" s="53">
        <f t="shared" si="5"/>
        <v>0</v>
      </c>
      <c r="E57" s="53">
        <f t="shared" si="6"/>
        <v>1.0999999999999999E-2</v>
      </c>
      <c r="F57" s="15">
        <v>1.8089999999999999</v>
      </c>
      <c r="G57">
        <v>3.1840000000000002</v>
      </c>
      <c r="H57" t="s">
        <v>55</v>
      </c>
      <c r="I57" t="str">
        <f>VLOOKUP(A57,Setores!$A$2:$C$215,2,0)</f>
        <v>real_estate</v>
      </c>
      <c r="J57" t="str">
        <f>VLOOKUP(A57,Setores!$A$2:$C$215,3,0)</f>
        <v>high_beta</v>
      </c>
      <c r="K57" s="100">
        <v>4.1000000000000002E-2</v>
      </c>
      <c r="L57" s="58">
        <v>0.03</v>
      </c>
      <c r="M57" s="7">
        <v>1.0999999999999999E-2</v>
      </c>
      <c r="N57" s="41">
        <f>VLOOKUP(A57,'Mandato ISEE'!$A$1:$C$215,2,0)</f>
        <v>5.3679352481425302E-2</v>
      </c>
      <c r="O57" s="58">
        <f t="shared" si="7"/>
        <v>-1.26793524814253E-2</v>
      </c>
      <c r="P57" s="41">
        <f>VLOOKUP(A57,'Mandato ISEE'!$A$1:$C$215,3,0)</f>
        <v>4.8004570954045402E-2</v>
      </c>
      <c r="Q57" s="42">
        <f t="shared" si="8"/>
        <v>-7.0045709540453999E-3</v>
      </c>
      <c r="R57" s="42">
        <v>0.253</v>
      </c>
      <c r="S57" s="15">
        <v>4.2000000000000003E-2</v>
      </c>
      <c r="T57" s="15">
        <v>-0.32400000000000001</v>
      </c>
      <c r="U57" s="15">
        <v>0.22500000000000001</v>
      </c>
      <c r="V57" s="15">
        <v>-0.19500000000000001</v>
      </c>
      <c r="W57" s="15">
        <v>0.498</v>
      </c>
      <c r="X57" s="15">
        <v>0.81599999999999995</v>
      </c>
      <c r="Y57" s="15">
        <v>-0.22</v>
      </c>
      <c r="Z57" s="15">
        <v>0.249</v>
      </c>
      <c r="AA57" s="15">
        <v>0.247</v>
      </c>
      <c r="AB57" s="15">
        <v>0.81100000000000005</v>
      </c>
      <c r="AC57" s="15">
        <v>0.78</v>
      </c>
      <c r="AD57" s="15">
        <v>0.63</v>
      </c>
      <c r="AE57" s="15">
        <v>7.6999999999999999E-2</v>
      </c>
      <c r="AF57" s="14">
        <v>-5.1999999999999998E-2</v>
      </c>
      <c r="AG57" s="15">
        <v>-0.32100000000000001</v>
      </c>
      <c r="AH57" s="15">
        <v>-0.79100000000000004</v>
      </c>
      <c r="AI57" s="15">
        <v>-0.16200000000000001</v>
      </c>
      <c r="AJ57" s="15">
        <v>2.8000000000000001E-2</v>
      </c>
      <c r="AK57" s="16">
        <v>-0.31</v>
      </c>
      <c r="AL57" s="4">
        <v>-0.69599999999999995</v>
      </c>
      <c r="AM57" s="4">
        <v>-0.67900000000000005</v>
      </c>
      <c r="AN57" s="4">
        <v>-0.20899999999999999</v>
      </c>
      <c r="AO57" s="4">
        <v>6.2E-2</v>
      </c>
      <c r="AP57" s="4">
        <v>0.36299999999999999</v>
      </c>
      <c r="AQ57" s="4">
        <v>0.80300000000000005</v>
      </c>
      <c r="AR57" s="4">
        <v>0.71599999999999997</v>
      </c>
      <c r="AS57" s="4">
        <v>0.37</v>
      </c>
      <c r="AT57" s="4">
        <v>0.20399999999999999</v>
      </c>
      <c r="AU57" s="4">
        <v>0.92800000000000005</v>
      </c>
      <c r="AV57" s="4">
        <v>0.81100000000000005</v>
      </c>
      <c r="AW57" s="4">
        <v>0.224</v>
      </c>
      <c r="AX57" s="4">
        <v>-0.16300000000000001</v>
      </c>
      <c r="AY57" s="4">
        <v>0.48399999999999999</v>
      </c>
      <c r="AZ57" s="4">
        <v>0.54900000000000004</v>
      </c>
      <c r="BA57" s="4">
        <v>0.51200000000000001</v>
      </c>
      <c r="BB57" s="4">
        <v>0.40600000000000003</v>
      </c>
      <c r="BC57" s="4">
        <v>9.0999999999999998E-2</v>
      </c>
      <c r="BD57" s="4">
        <v>0.52200000000000002</v>
      </c>
      <c r="BE57" s="4">
        <v>-0.29599999999999999</v>
      </c>
      <c r="BF57" s="4">
        <v>-0.23300000000000001</v>
      </c>
      <c r="BG57" s="4">
        <v>0.55300000000000005</v>
      </c>
      <c r="BH57" s="4">
        <v>-0.4</v>
      </c>
      <c r="BI57" s="4">
        <v>0.46500000000000002</v>
      </c>
      <c r="BJ57" s="4">
        <v>-0.23799999999999999</v>
      </c>
      <c r="BK57" s="4">
        <v>-0.17899999999999999</v>
      </c>
      <c r="BL57" s="4"/>
    </row>
    <row r="58" spans="1:64" x14ac:dyDescent="0.3">
      <c r="A58" t="s">
        <v>127</v>
      </c>
      <c r="B58" s="53">
        <f t="shared" si="9"/>
        <v>2.7E-2</v>
      </c>
      <c r="C58" s="53">
        <f t="shared" si="4"/>
        <v>9.0000000000000011E-3</v>
      </c>
      <c r="D58" s="53">
        <f t="shared" si="5"/>
        <v>0</v>
      </c>
      <c r="E58" s="53">
        <f t="shared" si="6"/>
        <v>1.7999999999999999E-2</v>
      </c>
      <c r="F58" s="15">
        <v>1.7310000000000001</v>
      </c>
      <c r="G58">
        <v>2.9950000000000001</v>
      </c>
      <c r="H58" t="s">
        <v>53</v>
      </c>
      <c r="I58" t="str">
        <f>VLOOKUP(A58,Setores!$A$2:$C$215,2,0)</f>
        <v>float_financials</v>
      </c>
      <c r="J58" t="str">
        <f>VLOOKUP(A58,Setores!$A$2:$C$215,3,0)</f>
        <v>very_low_beta</v>
      </c>
      <c r="K58" s="100">
        <v>2.7E-2</v>
      </c>
      <c r="L58" s="58">
        <v>8.9999999999999993E-3</v>
      </c>
      <c r="M58" s="7">
        <v>1.7999999999999999E-2</v>
      </c>
      <c r="N58" s="41">
        <f>VLOOKUP(A58,'Mandato ISEE'!$A$1:$C$215,2,0)</f>
        <v>7.3280821500735796E-2</v>
      </c>
      <c r="O58" s="58">
        <f t="shared" si="7"/>
        <v>-4.62808215007358E-2</v>
      </c>
      <c r="P58" s="41">
        <f>VLOOKUP(A58,'Mandato ISEE'!$A$1:$C$215,3,0)</f>
        <v>6.1629947944613801E-2</v>
      </c>
      <c r="Q58" s="42">
        <f t="shared" si="8"/>
        <v>-3.4629947944613798E-2</v>
      </c>
      <c r="R58" s="42">
        <v>-6.3E-2</v>
      </c>
      <c r="S58" s="15">
        <v>-0.33200000000000002</v>
      </c>
      <c r="T58" s="15">
        <v>-0.53900000000000003</v>
      </c>
      <c r="U58" s="15">
        <v>0.13600000000000001</v>
      </c>
      <c r="V58" s="15">
        <v>-0.34200000000000003</v>
      </c>
      <c r="W58" s="15">
        <v>0.36099999999999999</v>
      </c>
      <c r="X58" s="15">
        <v>0.59399999999999997</v>
      </c>
      <c r="Y58" s="15">
        <v>2.5000000000000001E-2</v>
      </c>
      <c r="Z58" s="15">
        <v>0.45700000000000002</v>
      </c>
      <c r="AA58" s="15">
        <v>0.45600000000000002</v>
      </c>
      <c r="AB58" s="15">
        <v>0.76900000000000002</v>
      </c>
      <c r="AC58" s="15">
        <v>0.80100000000000005</v>
      </c>
      <c r="AD58" s="15">
        <v>0.68200000000000005</v>
      </c>
      <c r="AE58" s="15">
        <v>-2.4E-2</v>
      </c>
      <c r="AF58" s="14">
        <v>0.21299999999999999</v>
      </c>
      <c r="AG58" s="15">
        <v>-0.29199999999999998</v>
      </c>
      <c r="AH58" s="15">
        <v>-0.874</v>
      </c>
      <c r="AI58" s="15">
        <v>-0.77400000000000002</v>
      </c>
      <c r="AJ58" s="15">
        <v>-0.38400000000000001</v>
      </c>
      <c r="AK58" s="16">
        <v>-5.1999999999999998E-2</v>
      </c>
      <c r="AL58" s="4">
        <v>-0.26200000000000001</v>
      </c>
      <c r="AM58" s="4">
        <v>-0.73699999999999999</v>
      </c>
      <c r="AN58" s="4">
        <v>0.19400000000000001</v>
      </c>
      <c r="AO58" s="4">
        <v>0.16</v>
      </c>
      <c r="AP58" s="4">
        <v>0.222</v>
      </c>
      <c r="AQ58" s="4">
        <v>0.49099999999999999</v>
      </c>
      <c r="AR58" s="4">
        <v>0.36099999999999999</v>
      </c>
      <c r="AS58" s="4">
        <v>0.12</v>
      </c>
      <c r="AT58" s="4">
        <v>0.37</v>
      </c>
      <c r="AU58" s="4">
        <v>0.13600000000000001</v>
      </c>
      <c r="AV58" s="4">
        <v>0.35399999999999998</v>
      </c>
      <c r="AW58" s="4">
        <v>0.78600000000000003</v>
      </c>
      <c r="AX58" s="4">
        <v>0.23799999999999999</v>
      </c>
      <c r="AY58" s="4">
        <v>0.90800000000000003</v>
      </c>
      <c r="AZ58" s="4">
        <v>1</v>
      </c>
      <c r="BA58" s="4">
        <v>0.46700000000000003</v>
      </c>
      <c r="BB58" s="4">
        <v>-0.13</v>
      </c>
      <c r="BC58" s="4">
        <v>9.6000000000000002E-2</v>
      </c>
      <c r="BD58" s="4">
        <v>-0.185</v>
      </c>
      <c r="BE58" s="4">
        <v>-0.39</v>
      </c>
      <c r="BF58" s="4">
        <v>0.441</v>
      </c>
      <c r="BG58" s="4">
        <v>0.58499999999999996</v>
      </c>
      <c r="BH58" s="4">
        <v>-0.73399999999999999</v>
      </c>
      <c r="BI58" s="4">
        <v>-0.39200000000000002</v>
      </c>
      <c r="BJ58" s="4">
        <v>7.9000000000000001E-2</v>
      </c>
      <c r="BK58" s="4">
        <v>-0.26200000000000001</v>
      </c>
      <c r="BL58" s="4"/>
    </row>
    <row r="59" spans="1:64" x14ac:dyDescent="0.3">
      <c r="A59" t="s">
        <v>105</v>
      </c>
      <c r="B59" s="53">
        <f t="shared" si="9"/>
        <v>1.2E-2</v>
      </c>
      <c r="C59" s="53">
        <f t="shared" si="4"/>
        <v>1.0999999999999999E-2</v>
      </c>
      <c r="D59" s="53">
        <f t="shared" si="5"/>
        <v>0</v>
      </c>
      <c r="E59" s="53">
        <f t="shared" si="6"/>
        <v>1E-3</v>
      </c>
      <c r="F59" s="15">
        <v>1.71</v>
      </c>
      <c r="G59">
        <v>1.264</v>
      </c>
      <c r="H59" t="s">
        <v>57</v>
      </c>
      <c r="I59" t="str">
        <f>VLOOKUP(A59,Setores!$A$2:$C$215,2,0)</f>
        <v>transportation</v>
      </c>
      <c r="J59" t="str">
        <f>VLOOKUP(A59,Setores!$A$2:$C$215,3,0)</f>
        <v>very_high_beta</v>
      </c>
      <c r="K59" s="100">
        <v>1.2E-2</v>
      </c>
      <c r="L59" s="58">
        <v>1.0999999999999999E-2</v>
      </c>
      <c r="M59" s="7">
        <v>1E-3</v>
      </c>
      <c r="N59" s="41">
        <f>VLOOKUP(A59,'Mandato ISEE'!$A$1:$C$215,2,0)</f>
        <v>2.2304301798836398E-2</v>
      </c>
      <c r="O59" s="58">
        <f t="shared" si="7"/>
        <v>-1.0304301798836398E-2</v>
      </c>
      <c r="P59" s="41">
        <f>VLOOKUP(A59,'Mandato ISEE'!$A$1:$C$215,3,0)</f>
        <v>0</v>
      </c>
      <c r="Q59" s="42">
        <f t="shared" si="8"/>
        <v>1.2E-2</v>
      </c>
      <c r="R59" s="42">
        <v>-0.153</v>
      </c>
      <c r="S59" s="15">
        <v>0.29399999999999998</v>
      </c>
      <c r="T59" s="15">
        <v>7.2999999999999995E-2</v>
      </c>
      <c r="U59" s="15">
        <v>-0.18</v>
      </c>
      <c r="V59" s="15">
        <v>0.22500000000000001</v>
      </c>
      <c r="W59" s="15">
        <v>-0.40799999999999997</v>
      </c>
      <c r="X59" s="15">
        <v>-0.51600000000000001</v>
      </c>
      <c r="Y59" s="15">
        <v>0.44500000000000001</v>
      </c>
      <c r="Z59" s="15">
        <v>7.0999999999999994E-2</v>
      </c>
      <c r="AA59" s="15">
        <v>7.0000000000000007E-2</v>
      </c>
      <c r="AB59" s="15">
        <v>0.58699999999999997</v>
      </c>
      <c r="AC59" s="15">
        <v>0.79800000000000004</v>
      </c>
      <c r="AD59" s="15">
        <v>0.78600000000000003</v>
      </c>
      <c r="AE59" s="15">
        <v>-0.443</v>
      </c>
      <c r="AF59" s="14">
        <v>-7.4999999999999997E-2</v>
      </c>
      <c r="AG59" s="15">
        <v>1</v>
      </c>
      <c r="AH59" s="15">
        <v>0.95299999999999996</v>
      </c>
      <c r="AI59" s="15">
        <v>0.97299999999999998</v>
      </c>
      <c r="AJ59" s="15">
        <v>-0.73299999999999998</v>
      </c>
      <c r="AK59" s="16">
        <v>0.70499999999999996</v>
      </c>
      <c r="AL59" s="4">
        <v>0.54100000000000004</v>
      </c>
      <c r="AM59" s="4">
        <v>-0.29899999999999999</v>
      </c>
      <c r="AN59" s="4">
        <v>8.6999999999999994E-2</v>
      </c>
      <c r="AO59" s="4">
        <v>0.52700000000000002</v>
      </c>
      <c r="AP59" s="4">
        <v>8.1000000000000003E-2</v>
      </c>
      <c r="AQ59" s="4">
        <v>-0.33</v>
      </c>
      <c r="AR59" s="4">
        <v>-1</v>
      </c>
      <c r="AS59" s="4">
        <v>-1</v>
      </c>
      <c r="AT59" s="4">
        <v>-9.8000000000000004E-2</v>
      </c>
      <c r="AU59" s="4">
        <v>-0.42199999999999999</v>
      </c>
      <c r="AV59" s="4">
        <v>-0.60499999999999998</v>
      </c>
      <c r="AW59" s="4">
        <v>-0.56799999999999995</v>
      </c>
      <c r="AX59" s="4">
        <v>-0.59299999999999997</v>
      </c>
      <c r="AY59" s="4">
        <v>0.109</v>
      </c>
      <c r="AZ59" s="4">
        <v>-0.23499999999999999</v>
      </c>
      <c r="BA59" s="4">
        <v>4.4999999999999998E-2</v>
      </c>
      <c r="BB59" s="4">
        <v>0.27700000000000002</v>
      </c>
      <c r="BC59" s="4">
        <v>0.41199999999999998</v>
      </c>
      <c r="BD59" s="4">
        <v>0.46899999999999997</v>
      </c>
      <c r="BE59" s="4">
        <v>0.56699999999999995</v>
      </c>
      <c r="BF59" s="4">
        <v>0.38600000000000001</v>
      </c>
      <c r="BG59" s="4">
        <v>3.6999999999999998E-2</v>
      </c>
      <c r="BH59" s="4">
        <v>-0.27</v>
      </c>
      <c r="BI59" s="4">
        <v>1</v>
      </c>
      <c r="BJ59" s="4">
        <v>0.40500000000000003</v>
      </c>
      <c r="BK59" s="4">
        <v>0.626</v>
      </c>
      <c r="BL59" s="4"/>
    </row>
    <row r="60" spans="1:64" x14ac:dyDescent="0.3">
      <c r="A60" t="s">
        <v>145</v>
      </c>
      <c r="B60" s="53">
        <f t="shared" si="9"/>
        <v>0</v>
      </c>
      <c r="C60" s="53">
        <f t="shared" si="4"/>
        <v>0</v>
      </c>
      <c r="D60" s="53">
        <f t="shared" si="5"/>
        <v>0</v>
      </c>
      <c r="E60" s="53">
        <f t="shared" si="6"/>
        <v>0</v>
      </c>
      <c r="F60" s="15">
        <v>1.71</v>
      </c>
      <c r="G60">
        <v>1.266</v>
      </c>
      <c r="H60" t="s">
        <v>57</v>
      </c>
      <c r="I60" t="str">
        <f>VLOOKUP(A60,Setores!$A$2:$C$215,2,0)</f>
        <v>banks</v>
      </c>
      <c r="J60" t="str">
        <f>VLOOKUP(A60,Setores!$A$2:$C$215,3,0)</f>
        <v>high_beta</v>
      </c>
      <c r="K60" s="100">
        <v>0</v>
      </c>
      <c r="L60" s="58">
        <v>0</v>
      </c>
      <c r="M60" s="7">
        <v>0</v>
      </c>
      <c r="N60" s="41">
        <f>VLOOKUP(A60,'Mandato ISEE'!$A$1:$C$215,2,0)</f>
        <v>0</v>
      </c>
      <c r="O60" s="58">
        <f t="shared" si="7"/>
        <v>0</v>
      </c>
      <c r="P60" s="41">
        <f>VLOOKUP(A60,'Mandato ISEE'!$A$1:$C$215,3,0)</f>
        <v>0</v>
      </c>
      <c r="Q60" s="42">
        <f t="shared" si="8"/>
        <v>0</v>
      </c>
      <c r="R60" s="42">
        <v>6.0000000000000001E-3</v>
      </c>
      <c r="S60" s="15">
        <v>-9.4E-2</v>
      </c>
      <c r="T60" s="15">
        <v>-0.16</v>
      </c>
      <c r="U60" s="15">
        <v>-3.4000000000000002E-2</v>
      </c>
      <c r="V60" s="15">
        <v>-0.221</v>
      </c>
      <c r="W60" s="15">
        <v>-1.2999999999999999E-2</v>
      </c>
      <c r="X60" s="15">
        <v>-9.8000000000000004E-2</v>
      </c>
      <c r="Y60" s="15">
        <v>-5.0999999999999997E-2</v>
      </c>
      <c r="Z60" s="15">
        <v>0.50700000000000001</v>
      </c>
      <c r="AA60" s="15">
        <v>0.505</v>
      </c>
      <c r="AB60" s="15">
        <v>0.90200000000000002</v>
      </c>
      <c r="AC60" s="15">
        <v>0.85699999999999998</v>
      </c>
      <c r="AD60" s="15">
        <v>0.85199999999999998</v>
      </c>
      <c r="AE60" s="15">
        <v>-0.41</v>
      </c>
      <c r="AF60" s="14">
        <v>-0.11700000000000001</v>
      </c>
      <c r="AG60" s="15">
        <v>6.0999999999999999E-2</v>
      </c>
      <c r="AH60" s="15">
        <v>-0.72399999999999998</v>
      </c>
      <c r="AI60" s="15">
        <v>0.127</v>
      </c>
      <c r="AJ60" s="15">
        <v>-0.04</v>
      </c>
      <c r="AK60" s="16">
        <v>-0.216</v>
      </c>
      <c r="AL60" s="4">
        <v>-0.40200000000000002</v>
      </c>
      <c r="AM60" s="4">
        <v>-0.58799999999999997</v>
      </c>
      <c r="AN60" s="4">
        <v>-0.48099999999999998</v>
      </c>
      <c r="AO60" s="4">
        <v>0.26300000000000001</v>
      </c>
      <c r="AP60" s="4">
        <v>0.69199999999999995</v>
      </c>
      <c r="AQ60" s="4">
        <v>0.432</v>
      </c>
      <c r="AR60" s="4">
        <v>0.57999999999999996</v>
      </c>
      <c r="AS60" s="4">
        <v>0.41599999999999998</v>
      </c>
      <c r="AT60" s="4">
        <v>0.28999999999999998</v>
      </c>
      <c r="AU60" s="4">
        <v>-0.11</v>
      </c>
      <c r="AV60" s="4">
        <v>0.16600000000000001</v>
      </c>
      <c r="AW60" s="4">
        <v>0.34599999999999997</v>
      </c>
      <c r="AX60" s="4">
        <v>0.185</v>
      </c>
      <c r="AY60" s="4">
        <v>0.66800000000000004</v>
      </c>
      <c r="AZ60" s="4">
        <v>1</v>
      </c>
      <c r="BA60" s="4">
        <v>0.48499999999999999</v>
      </c>
      <c r="BB60" s="4">
        <v>-0.68200000000000005</v>
      </c>
      <c r="BC60" s="4">
        <v>-0.14699999999999999</v>
      </c>
      <c r="BD60" s="4">
        <v>-0.60399999999999998</v>
      </c>
      <c r="BE60" s="4">
        <v>0.25900000000000001</v>
      </c>
      <c r="BF60" s="4">
        <v>-0.67100000000000004</v>
      </c>
      <c r="BG60" s="4">
        <v>0.221</v>
      </c>
      <c r="BH60" s="4">
        <v>-1</v>
      </c>
      <c r="BI60" s="4">
        <v>0.27400000000000002</v>
      </c>
      <c r="BJ60" s="4">
        <v>0.92300000000000004</v>
      </c>
      <c r="BK60" s="4">
        <v>0.38800000000000001</v>
      </c>
      <c r="BL60" s="4"/>
    </row>
    <row r="61" spans="1:64" x14ac:dyDescent="0.3">
      <c r="A61" t="s">
        <v>62</v>
      </c>
      <c r="B61" s="53">
        <f t="shared" si="9"/>
        <v>2.4E-2</v>
      </c>
      <c r="C61" s="53">
        <f t="shared" si="4"/>
        <v>6.9999999999999993E-3</v>
      </c>
      <c r="D61" s="53">
        <f t="shared" si="5"/>
        <v>0</v>
      </c>
      <c r="E61" s="53">
        <f t="shared" si="6"/>
        <v>1.7000000000000001E-2</v>
      </c>
      <c r="F61" s="15">
        <v>1.603</v>
      </c>
      <c r="G61">
        <v>2.532</v>
      </c>
      <c r="H61" t="s">
        <v>55</v>
      </c>
      <c r="I61" t="str">
        <f>VLOOKUP(A61,Setores!$A$2:$C$215,2,0)</f>
        <v>utilities</v>
      </c>
      <c r="J61" t="str">
        <f>VLOOKUP(A61,Setores!$A$2:$C$215,3,0)</f>
        <v>neutral_beta</v>
      </c>
      <c r="K61" s="100">
        <v>2.4E-2</v>
      </c>
      <c r="L61" s="58">
        <v>7.0000000000000001E-3</v>
      </c>
      <c r="M61" s="7">
        <v>1.7000000000000001E-2</v>
      </c>
      <c r="N61" s="41">
        <f>VLOOKUP(A61,'Mandato ISEE'!$A$1:$C$215,2,0)</f>
        <v>6.4198713405221305E-2</v>
      </c>
      <c r="O61" s="58">
        <f t="shared" si="7"/>
        <v>-4.0198713405221305E-2</v>
      </c>
      <c r="P61" s="41">
        <f>VLOOKUP(A61,'Mandato ISEE'!$A$1:$C$215,3,0)</f>
        <v>0</v>
      </c>
      <c r="Q61" s="42">
        <f t="shared" si="8"/>
        <v>2.4E-2</v>
      </c>
      <c r="R61" s="42">
        <v>-0.30199999999999999</v>
      </c>
      <c r="S61" s="15">
        <v>-0.313</v>
      </c>
      <c r="T61" s="15">
        <v>-0.52800000000000002</v>
      </c>
      <c r="U61" s="15">
        <v>9.5000000000000001E-2</v>
      </c>
      <c r="V61" s="15">
        <v>-0.189</v>
      </c>
      <c r="W61" s="15">
        <v>9.2999999999999999E-2</v>
      </c>
      <c r="X61" s="15">
        <v>0.35199999999999998</v>
      </c>
      <c r="Y61" s="15">
        <v>0.125</v>
      </c>
      <c r="Z61" s="15">
        <v>0.42099999999999999</v>
      </c>
      <c r="AA61" s="15">
        <v>0.42299999999999999</v>
      </c>
      <c r="AB61" s="15">
        <v>0.84099999999999997</v>
      </c>
      <c r="AC61" s="15">
        <v>0.78800000000000003</v>
      </c>
      <c r="AD61" s="15">
        <v>0.68</v>
      </c>
      <c r="AE61" s="15">
        <v>0.39800000000000002</v>
      </c>
      <c r="AF61" s="14">
        <v>-0.14000000000000001</v>
      </c>
      <c r="AG61" s="15">
        <v>0.35499999999999998</v>
      </c>
      <c r="AH61" s="15">
        <v>-0.55200000000000005</v>
      </c>
      <c r="AI61" s="15">
        <v>-0.55400000000000005</v>
      </c>
      <c r="AJ61" s="15">
        <v>-0.41099999999999998</v>
      </c>
      <c r="AK61" s="16">
        <v>0.40799999999999997</v>
      </c>
      <c r="AL61" s="4">
        <v>-0.222</v>
      </c>
      <c r="AM61" s="4">
        <v>-0.34300000000000003</v>
      </c>
      <c r="AN61" s="4">
        <v>-0.26900000000000002</v>
      </c>
      <c r="AO61" s="4">
        <v>0.13800000000000001</v>
      </c>
      <c r="AP61" s="4">
        <v>-0.39800000000000002</v>
      </c>
      <c r="AQ61" s="4">
        <v>-1.4E-2</v>
      </c>
      <c r="AR61" s="4">
        <v>-0.52400000000000002</v>
      </c>
      <c r="AS61" s="4">
        <v>-0.79100000000000004</v>
      </c>
      <c r="AT61" s="4">
        <v>0.17199999999999999</v>
      </c>
      <c r="AU61" s="4">
        <v>0.26400000000000001</v>
      </c>
      <c r="AV61" s="4">
        <v>0.438</v>
      </c>
      <c r="AW61" s="4">
        <v>0.71</v>
      </c>
      <c r="AX61" s="4">
        <v>-9.5000000000000001E-2</v>
      </c>
      <c r="AY61" s="4">
        <v>-0.214</v>
      </c>
      <c r="AZ61" s="4">
        <v>0.36299999999999999</v>
      </c>
      <c r="BA61" s="4">
        <v>0.21</v>
      </c>
      <c r="BB61" s="4">
        <v>1.7999999999999999E-2</v>
      </c>
      <c r="BC61" s="4">
        <v>0.47699999999999998</v>
      </c>
      <c r="BD61" s="4">
        <v>0.41099999999999998</v>
      </c>
      <c r="BE61" s="4">
        <v>-0.21</v>
      </c>
      <c r="BF61" s="4">
        <v>0.59099999999999997</v>
      </c>
      <c r="BG61" s="4">
        <v>0.379</v>
      </c>
      <c r="BH61" s="4">
        <v>-0.76700000000000002</v>
      </c>
      <c r="BI61" s="4">
        <v>-2E-3</v>
      </c>
      <c r="BJ61" s="4">
        <v>-7.0000000000000007E-2</v>
      </c>
      <c r="BK61" s="4">
        <v>0.109</v>
      </c>
      <c r="BL61" s="4"/>
    </row>
    <row r="62" spans="1:64" x14ac:dyDescent="0.3">
      <c r="A62" t="s">
        <v>96</v>
      </c>
      <c r="B62" s="53">
        <f t="shared" si="9"/>
        <v>0</v>
      </c>
      <c r="C62" s="53">
        <f t="shared" si="4"/>
        <v>0</v>
      </c>
      <c r="D62" s="53">
        <f t="shared" si="5"/>
        <v>0</v>
      </c>
      <c r="E62" s="53">
        <f t="shared" si="6"/>
        <v>0</v>
      </c>
      <c r="F62" s="15">
        <v>1.573</v>
      </c>
      <c r="G62">
        <v>1.456</v>
      </c>
      <c r="H62" t="s">
        <v>57</v>
      </c>
      <c r="I62" t="str">
        <f>VLOOKUP(A62,Setores!$A$2:$C$215,2,0)</f>
        <v>homebuilders</v>
      </c>
      <c r="J62" t="str">
        <f>VLOOKUP(A62,Setores!$A$2:$C$215,3,0)</f>
        <v>neutral_beta</v>
      </c>
      <c r="K62" s="100">
        <v>0</v>
      </c>
      <c r="L62" s="58">
        <v>0</v>
      </c>
      <c r="M62" s="7">
        <v>0</v>
      </c>
      <c r="N62" s="41">
        <f>VLOOKUP(A62,'Mandato ISEE'!$A$1:$C$215,2,0)</f>
        <v>0</v>
      </c>
      <c r="O62" s="58">
        <f t="shared" si="7"/>
        <v>0</v>
      </c>
      <c r="P62" s="41">
        <f>VLOOKUP(A62,'Mandato ISEE'!$A$1:$C$215,3,0)</f>
        <v>0</v>
      </c>
      <c r="Q62" s="42">
        <f t="shared" si="8"/>
        <v>0</v>
      </c>
      <c r="R62" s="42">
        <v>-7.0999999999999994E-2</v>
      </c>
      <c r="S62" s="15">
        <v>-0.74199999999999999</v>
      </c>
      <c r="T62" s="15">
        <v>-0.29099999999999998</v>
      </c>
      <c r="U62" s="15">
        <v>0.33</v>
      </c>
      <c r="V62" s="15">
        <v>-0.255</v>
      </c>
      <c r="W62" s="15">
        <v>0.19700000000000001</v>
      </c>
      <c r="X62" s="15">
        <v>0.27800000000000002</v>
      </c>
      <c r="Y62" s="15">
        <v>0.13600000000000001</v>
      </c>
      <c r="Z62" s="15">
        <v>0.29599999999999999</v>
      </c>
      <c r="AA62" s="15">
        <v>0.29599999999999999</v>
      </c>
      <c r="AB62" s="15">
        <v>0.76100000000000001</v>
      </c>
      <c r="AC62" s="15">
        <v>0.56399999999999995</v>
      </c>
      <c r="AD62" s="15">
        <v>0.54600000000000004</v>
      </c>
      <c r="AE62" s="15">
        <v>1</v>
      </c>
      <c r="AF62" s="14">
        <v>0.29799999999999999</v>
      </c>
      <c r="AG62" s="15">
        <v>-0.85799999999999998</v>
      </c>
      <c r="AH62" s="15">
        <v>-0.61699999999999999</v>
      </c>
      <c r="AI62" s="15">
        <v>-0.755</v>
      </c>
      <c r="AJ62" s="15">
        <v>-3.0000000000000001E-3</v>
      </c>
      <c r="AK62" s="16">
        <v>-7.3999999999999996E-2</v>
      </c>
      <c r="AL62" s="4">
        <v>0.39100000000000001</v>
      </c>
      <c r="AM62" s="4">
        <v>-0.874</v>
      </c>
      <c r="AN62" s="4">
        <v>0.27</v>
      </c>
      <c r="AO62" s="4">
        <v>-0.32900000000000001</v>
      </c>
      <c r="AP62" s="4">
        <v>-0.57299999999999995</v>
      </c>
      <c r="AQ62" s="4">
        <v>0.38800000000000001</v>
      </c>
      <c r="AR62" s="4">
        <v>0.33400000000000002</v>
      </c>
      <c r="AS62" s="4">
        <v>4.2999999999999997E-2</v>
      </c>
      <c r="AT62" s="4">
        <v>1</v>
      </c>
      <c r="AU62" s="4">
        <v>-5.2999999999999999E-2</v>
      </c>
      <c r="AV62" s="4">
        <v>0.85599999999999998</v>
      </c>
      <c r="AW62" s="4">
        <v>0.111</v>
      </c>
      <c r="AX62" s="4">
        <v>0.34</v>
      </c>
      <c r="AY62" s="4">
        <v>0.76900000000000002</v>
      </c>
      <c r="AZ62" s="4">
        <v>0.98499999999999999</v>
      </c>
      <c r="BA62" s="4">
        <v>0.35499999999999998</v>
      </c>
      <c r="BB62" s="4">
        <v>-0.81399999999999995</v>
      </c>
      <c r="BC62" s="4">
        <v>-0.158</v>
      </c>
      <c r="BD62" s="4">
        <v>0.20200000000000001</v>
      </c>
      <c r="BE62" s="4">
        <v>0.13300000000000001</v>
      </c>
      <c r="BF62" s="4">
        <v>-0.20699999999999999</v>
      </c>
      <c r="BG62" s="4">
        <v>1E-3</v>
      </c>
      <c r="BH62" s="4">
        <v>-0.94399999999999995</v>
      </c>
      <c r="BI62" s="4">
        <v>0.30399999999999999</v>
      </c>
      <c r="BJ62" s="4">
        <v>-0.53100000000000003</v>
      </c>
      <c r="BK62" s="4">
        <v>-0.35799999999999998</v>
      </c>
      <c r="BL62" s="4"/>
    </row>
    <row r="63" spans="1:64" x14ac:dyDescent="0.3">
      <c r="A63" t="s">
        <v>188</v>
      </c>
      <c r="B63" s="53">
        <f t="shared" si="9"/>
        <v>0</v>
      </c>
      <c r="C63" s="53">
        <f t="shared" si="4"/>
        <v>0</v>
      </c>
      <c r="D63" s="53">
        <f t="shared" si="5"/>
        <v>0</v>
      </c>
      <c r="E63" s="53">
        <f t="shared" si="6"/>
        <v>0</v>
      </c>
      <c r="F63" s="15">
        <v>1.4990000000000001</v>
      </c>
      <c r="G63">
        <v>1.8460000000000001</v>
      </c>
      <c r="H63" t="s">
        <v>55</v>
      </c>
      <c r="I63" t="str">
        <f>VLOOKUP(A63,Setores!$A$2:$C$215,2,0)</f>
        <v>utilities</v>
      </c>
      <c r="J63" t="str">
        <f>VLOOKUP(A63,Setores!$A$2:$C$215,3,0)</f>
        <v>high_beta</v>
      </c>
      <c r="K63" s="100">
        <v>0</v>
      </c>
      <c r="L63" s="58">
        <v>0</v>
      </c>
      <c r="M63" s="7">
        <v>0</v>
      </c>
      <c r="N63" s="41">
        <f>VLOOKUP(A63,'Mandato ISEE'!$A$1:$C$215,2,0)</f>
        <v>0</v>
      </c>
      <c r="O63" s="58">
        <f t="shared" si="7"/>
        <v>0</v>
      </c>
      <c r="P63" s="41">
        <f>VLOOKUP(A63,'Mandato ISEE'!$A$1:$C$215,3,0)</f>
        <v>0</v>
      </c>
      <c r="Q63" s="42">
        <f t="shared" si="8"/>
        <v>0</v>
      </c>
      <c r="R63" s="42">
        <v>-0.214</v>
      </c>
      <c r="S63" s="15">
        <v>-0.21</v>
      </c>
      <c r="T63" s="15">
        <v>-0.80400000000000005</v>
      </c>
      <c r="U63" s="15">
        <v>-0.109</v>
      </c>
      <c r="V63" s="15">
        <v>-0.51500000000000001</v>
      </c>
      <c r="W63" s="15">
        <v>0.17399999999999999</v>
      </c>
      <c r="X63" s="15">
        <v>0.36199999999999999</v>
      </c>
      <c r="Y63" s="15">
        <v>-2.9000000000000001E-2</v>
      </c>
      <c r="Z63" s="15">
        <v>0.40500000000000003</v>
      </c>
      <c r="AA63" s="15">
        <v>0.40699999999999997</v>
      </c>
      <c r="AB63" s="15">
        <v>0.80400000000000005</v>
      </c>
      <c r="AC63" s="15">
        <v>0.81799999999999995</v>
      </c>
      <c r="AD63" s="15">
        <v>0.72799999999999998</v>
      </c>
      <c r="AE63" s="15">
        <v>-0.42899999999999999</v>
      </c>
      <c r="AF63" s="14">
        <v>-0.252</v>
      </c>
      <c r="AG63" s="15">
        <v>0.14899999999999999</v>
      </c>
      <c r="AH63" s="15">
        <v>-1</v>
      </c>
      <c r="AI63" s="15">
        <v>-0.65</v>
      </c>
      <c r="AJ63" s="15">
        <v>-0.84599999999999997</v>
      </c>
      <c r="AK63" s="16">
        <v>-0.378</v>
      </c>
      <c r="AL63" s="4">
        <v>-0.33600000000000002</v>
      </c>
      <c r="AM63" s="4">
        <v>-0.55300000000000005</v>
      </c>
      <c r="AN63" s="4">
        <v>-0.317</v>
      </c>
      <c r="AO63" s="4">
        <v>0.41299999999999998</v>
      </c>
      <c r="AP63" s="4">
        <v>0.52900000000000003</v>
      </c>
      <c r="AQ63" s="4">
        <v>0.46899999999999997</v>
      </c>
      <c r="AR63" s="4">
        <v>1</v>
      </c>
      <c r="AS63" s="4">
        <v>0.65</v>
      </c>
      <c r="AT63" s="4">
        <v>-0.216</v>
      </c>
      <c r="AU63" s="4">
        <v>2E-3</v>
      </c>
      <c r="AV63" s="4">
        <v>0.17899999999999999</v>
      </c>
      <c r="AW63" s="4">
        <v>0.33</v>
      </c>
      <c r="AX63" s="4">
        <v>-0.58199999999999996</v>
      </c>
      <c r="AY63" s="4">
        <v>0.63900000000000001</v>
      </c>
      <c r="AZ63" s="4">
        <v>0.43</v>
      </c>
      <c r="BA63" s="4">
        <v>0.80500000000000005</v>
      </c>
      <c r="BB63" s="4">
        <v>-7.3999999999999996E-2</v>
      </c>
      <c r="BC63" s="4">
        <v>-0.29499999999999998</v>
      </c>
      <c r="BD63" s="4">
        <v>0.70899999999999996</v>
      </c>
      <c r="BE63" s="4">
        <v>0.24199999999999999</v>
      </c>
      <c r="BF63" s="4">
        <v>0.61399999999999999</v>
      </c>
      <c r="BG63" s="4">
        <v>0.753</v>
      </c>
      <c r="BH63" s="4">
        <v>-0.71899999999999997</v>
      </c>
      <c r="BI63" s="4">
        <v>9.7000000000000003E-2</v>
      </c>
      <c r="BJ63" s="4">
        <v>0.21299999999999999</v>
      </c>
      <c r="BK63" s="4">
        <v>-1</v>
      </c>
      <c r="BL63" s="4"/>
    </row>
    <row r="64" spans="1:64" x14ac:dyDescent="0.3">
      <c r="A64" t="s">
        <v>93</v>
      </c>
      <c r="B64" s="53">
        <f t="shared" si="9"/>
        <v>4.4999999999999998E-2</v>
      </c>
      <c r="C64" s="53">
        <f t="shared" si="4"/>
        <v>2.0999999999999998E-2</v>
      </c>
      <c r="D64" s="53">
        <f t="shared" si="5"/>
        <v>0</v>
      </c>
      <c r="E64" s="53">
        <f t="shared" si="6"/>
        <v>2.4E-2</v>
      </c>
      <c r="F64" s="15">
        <v>1.488</v>
      </c>
      <c r="G64">
        <v>3.2269999999999999</v>
      </c>
      <c r="H64" t="s">
        <v>55</v>
      </c>
      <c r="I64" t="str">
        <f>VLOOKUP(A64,Setores!$A$2:$C$215,2,0)</f>
        <v>real_estate</v>
      </c>
      <c r="J64" t="str">
        <f>VLOOKUP(A64,Setores!$A$2:$C$215,3,0)</f>
        <v>high_beta</v>
      </c>
      <c r="K64" s="100">
        <v>4.4999999999999998E-2</v>
      </c>
      <c r="L64" s="58">
        <v>2.1000000000000001E-2</v>
      </c>
      <c r="M64" s="7">
        <v>2.4E-2</v>
      </c>
      <c r="N64" s="41">
        <f>VLOOKUP(A64,'Mandato ISEE'!$A$1:$C$215,2,0)</f>
        <v>7.9504344986672595E-2</v>
      </c>
      <c r="O64" s="58">
        <f t="shared" si="7"/>
        <v>-3.4504344986672597E-2</v>
      </c>
      <c r="P64" s="41">
        <f>VLOOKUP(A64,'Mandato ISEE'!$A$1:$C$215,3,0)</f>
        <v>0</v>
      </c>
      <c r="Q64" s="42">
        <f t="shared" si="8"/>
        <v>4.4999999999999998E-2</v>
      </c>
      <c r="R64" s="42">
        <v>-0.26300000000000001</v>
      </c>
      <c r="S64" s="15">
        <v>-0.16400000000000001</v>
      </c>
      <c r="T64" s="15">
        <v>-0.69699999999999995</v>
      </c>
      <c r="U64" s="15">
        <v>-0.217</v>
      </c>
      <c r="V64" s="15">
        <v>-0.44500000000000001</v>
      </c>
      <c r="W64" s="15">
        <v>0.25700000000000001</v>
      </c>
      <c r="X64" s="15">
        <v>0.68600000000000005</v>
      </c>
      <c r="Y64" s="15">
        <v>-1.2999999999999999E-2</v>
      </c>
      <c r="Z64" s="15">
        <v>0.314</v>
      </c>
      <c r="AA64" s="15">
        <v>0.313</v>
      </c>
      <c r="AB64" s="15">
        <v>0.77</v>
      </c>
      <c r="AC64" s="15">
        <v>0.76400000000000001</v>
      </c>
      <c r="AD64" s="15">
        <v>0.624</v>
      </c>
      <c r="AE64" s="15">
        <v>-8.5000000000000006E-2</v>
      </c>
      <c r="AF64" s="14">
        <v>-0.38500000000000001</v>
      </c>
      <c r="AG64" s="15">
        <v>-3.6999999999999998E-2</v>
      </c>
      <c r="AH64" s="15">
        <v>-0.76800000000000002</v>
      </c>
      <c r="AI64" s="15">
        <v>-0.25</v>
      </c>
      <c r="AJ64" s="15">
        <v>-0.53100000000000003</v>
      </c>
      <c r="AK64" s="16">
        <v>-0.11700000000000001</v>
      </c>
      <c r="AL64" s="4">
        <v>-0.122</v>
      </c>
      <c r="AM64" s="4">
        <v>-0.53400000000000003</v>
      </c>
      <c r="AN64" s="4">
        <v>0.129</v>
      </c>
      <c r="AO64" s="4">
        <v>0.129</v>
      </c>
      <c r="AP64" s="4">
        <v>0.32900000000000001</v>
      </c>
      <c r="AQ64" s="4">
        <v>-0.251</v>
      </c>
      <c r="AR64" s="4">
        <v>0.27800000000000002</v>
      </c>
      <c r="AS64" s="4">
        <v>-0.41399999999999998</v>
      </c>
      <c r="AT64" s="4">
        <v>-0.10299999999999999</v>
      </c>
      <c r="AU64" s="4">
        <v>0.81200000000000006</v>
      </c>
      <c r="AV64" s="4">
        <v>0.20599999999999999</v>
      </c>
      <c r="AW64" s="4">
        <v>0.316</v>
      </c>
      <c r="AX64" s="4">
        <v>0.29399999999999998</v>
      </c>
      <c r="AY64" s="4">
        <v>0.51</v>
      </c>
      <c r="AZ64" s="4">
        <v>0.45300000000000001</v>
      </c>
      <c r="BA64" s="4">
        <v>-0.314</v>
      </c>
      <c r="BB64" s="4">
        <v>0.216</v>
      </c>
      <c r="BC64" s="4">
        <v>0.216</v>
      </c>
      <c r="BD64" s="4">
        <v>0.503</v>
      </c>
      <c r="BE64" s="4">
        <v>-0.108</v>
      </c>
      <c r="BF64" s="4">
        <v>-0.22600000000000001</v>
      </c>
      <c r="BG64" s="4">
        <v>0.76100000000000001</v>
      </c>
      <c r="BH64" s="4">
        <v>-0.45700000000000002</v>
      </c>
      <c r="BI64" s="4">
        <v>0.38200000000000001</v>
      </c>
      <c r="BJ64" s="4">
        <v>-0.60699999999999998</v>
      </c>
      <c r="BK64" s="4">
        <v>-0.40400000000000003</v>
      </c>
      <c r="BL64" s="4"/>
    </row>
    <row r="65" spans="1:64" x14ac:dyDescent="0.3">
      <c r="A65" t="s">
        <v>131</v>
      </c>
      <c r="B65" s="53">
        <f t="shared" si="9"/>
        <v>0</v>
      </c>
      <c r="C65" s="53">
        <f t="shared" si="4"/>
        <v>0</v>
      </c>
      <c r="D65" s="53">
        <f t="shared" si="5"/>
        <v>0</v>
      </c>
      <c r="E65" s="53">
        <f t="shared" si="6"/>
        <v>0</v>
      </c>
      <c r="F65" s="15">
        <v>1.4590000000000001</v>
      </c>
      <c r="G65">
        <v>1.425</v>
      </c>
      <c r="H65" t="s">
        <v>71</v>
      </c>
      <c r="I65" t="str">
        <f>VLOOKUP(A65,Setores!$A$2:$C$215,2,0)</f>
        <v>crude_oil</v>
      </c>
      <c r="J65" t="str">
        <f>VLOOKUP(A65,Setores!$A$2:$C$215,3,0)</f>
        <v>very_low_beta</v>
      </c>
      <c r="K65" s="100">
        <v>0</v>
      </c>
      <c r="L65" s="58">
        <v>0</v>
      </c>
      <c r="M65" s="7">
        <v>0</v>
      </c>
      <c r="N65" s="41">
        <f>VLOOKUP(A65,'Mandato ISEE'!$A$1:$C$215,2,0)</f>
        <v>0</v>
      </c>
      <c r="O65" s="58">
        <f t="shared" si="7"/>
        <v>0</v>
      </c>
      <c r="P65" s="41">
        <f>VLOOKUP(A65,'Mandato ISEE'!$A$1:$C$215,3,0)</f>
        <v>0</v>
      </c>
      <c r="Q65" s="42">
        <f t="shared" si="8"/>
        <v>0</v>
      </c>
      <c r="R65" s="42">
        <v>-0.62</v>
      </c>
      <c r="S65" s="15">
        <v>0.30199999999999999</v>
      </c>
      <c r="T65" s="15">
        <v>-0.76900000000000002</v>
      </c>
      <c r="U65" s="15">
        <v>-0.52400000000000002</v>
      </c>
      <c r="V65" s="15">
        <v>-0.27400000000000002</v>
      </c>
      <c r="W65" s="15">
        <v>-0.13800000000000001</v>
      </c>
      <c r="X65" s="15">
        <v>-0.11700000000000001</v>
      </c>
      <c r="Y65" s="15">
        <v>0.36699999999999999</v>
      </c>
      <c r="Z65" s="15">
        <v>0.54200000000000004</v>
      </c>
      <c r="AA65" s="15">
        <v>0.54200000000000004</v>
      </c>
      <c r="AB65" s="15">
        <v>0.503</v>
      </c>
      <c r="AC65" s="15">
        <v>0.63200000000000001</v>
      </c>
      <c r="AD65" s="15">
        <v>0.76700000000000002</v>
      </c>
      <c r="AE65" s="15">
        <v>-0.84599999999999997</v>
      </c>
      <c r="AF65" s="14">
        <v>-0.82899999999999996</v>
      </c>
      <c r="AG65" s="15">
        <v>1</v>
      </c>
      <c r="AH65" s="15">
        <v>-0.27500000000000002</v>
      </c>
      <c r="AI65" s="15">
        <v>0.75</v>
      </c>
      <c r="AJ65" s="15">
        <v>-0.72099999999999997</v>
      </c>
      <c r="AK65" s="16">
        <v>-0.316</v>
      </c>
      <c r="AL65" s="4">
        <v>0.35799999999999998</v>
      </c>
      <c r="AM65" s="4">
        <v>-0.127</v>
      </c>
      <c r="AN65" s="4">
        <v>0.03</v>
      </c>
      <c r="AO65" s="4">
        <v>0.496</v>
      </c>
      <c r="AP65" s="4">
        <v>0.98299999999999998</v>
      </c>
      <c r="AQ65" s="4">
        <v>-0.51100000000000001</v>
      </c>
      <c r="AR65" s="4">
        <v>-0.16</v>
      </c>
      <c r="AS65" s="4">
        <v>-0.52100000000000002</v>
      </c>
      <c r="AT65" s="4">
        <v>2E-3</v>
      </c>
      <c r="AU65" s="4">
        <v>8.7999999999999995E-2</v>
      </c>
      <c r="AV65" s="4">
        <v>-0.79800000000000004</v>
      </c>
      <c r="AW65" s="4">
        <v>0.33800000000000002</v>
      </c>
      <c r="AX65" s="4">
        <v>0.156</v>
      </c>
      <c r="AY65" s="4">
        <v>0.80400000000000005</v>
      </c>
      <c r="AZ65" s="4">
        <v>0.28100000000000003</v>
      </c>
      <c r="BA65" s="4">
        <v>-0.17499999999999999</v>
      </c>
      <c r="BB65" s="4">
        <v>-8.1000000000000003E-2</v>
      </c>
      <c r="BC65" s="4">
        <v>-0.47399999999999998</v>
      </c>
      <c r="BD65" s="4">
        <v>-0.24199999999999999</v>
      </c>
      <c r="BE65" s="4">
        <v>-0.22900000000000001</v>
      </c>
      <c r="BF65" s="4">
        <v>2.8000000000000001E-2</v>
      </c>
      <c r="BG65" s="4">
        <v>0.48299999999999998</v>
      </c>
      <c r="BH65" s="4">
        <v>-0.13600000000000001</v>
      </c>
      <c r="BI65" s="4">
        <v>-0.95699999999999996</v>
      </c>
      <c r="BJ65" s="4">
        <v>-0.49</v>
      </c>
      <c r="BK65" s="4">
        <v>0.46500000000000002</v>
      </c>
      <c r="BL65" s="4"/>
    </row>
    <row r="66" spans="1:64" x14ac:dyDescent="0.3">
      <c r="A66" t="s">
        <v>201</v>
      </c>
      <c r="B66" s="53">
        <f t="shared" si="9"/>
        <v>0</v>
      </c>
      <c r="C66" s="53">
        <f t="shared" si="4"/>
        <v>0</v>
      </c>
      <c r="D66" s="53">
        <f t="shared" si="5"/>
        <v>0</v>
      </c>
      <c r="E66" s="53">
        <f t="shared" si="6"/>
        <v>0</v>
      </c>
      <c r="F66" s="15">
        <v>1.44</v>
      </c>
      <c r="G66">
        <v>1.1100000000000001</v>
      </c>
      <c r="H66" t="s">
        <v>71</v>
      </c>
      <c r="I66" t="str">
        <f>VLOOKUP(A66,Setores!$A$2:$C$215,2,0)</f>
        <v>food</v>
      </c>
      <c r="J66" t="str">
        <f>VLOOKUP(A66,Setores!$A$2:$C$215,3,0)</f>
        <v>very_low_beta</v>
      </c>
      <c r="K66" s="100">
        <v>0</v>
      </c>
      <c r="L66" s="58">
        <v>0</v>
      </c>
      <c r="M66" s="7">
        <v>0</v>
      </c>
      <c r="N66" s="41">
        <f>VLOOKUP(A66,'Mandato ISEE'!$A$1:$C$215,2,0)</f>
        <v>0</v>
      </c>
      <c r="O66" s="58">
        <f t="shared" si="7"/>
        <v>0</v>
      </c>
      <c r="P66" s="41">
        <f>VLOOKUP(A66,'Mandato ISEE'!$A$1:$C$215,3,0)</f>
        <v>0</v>
      </c>
      <c r="Q66" s="42">
        <f t="shared" si="8"/>
        <v>0</v>
      </c>
      <c r="R66" s="42">
        <v>2E-3</v>
      </c>
      <c r="S66" s="15">
        <v>0.64300000000000002</v>
      </c>
      <c r="T66" s="15">
        <v>0.04</v>
      </c>
      <c r="U66" s="15">
        <v>-0.309</v>
      </c>
      <c r="V66" s="15">
        <v>0.13300000000000001</v>
      </c>
      <c r="W66" s="15">
        <v>-0.26200000000000001</v>
      </c>
      <c r="X66" s="15">
        <v>-0.55800000000000005</v>
      </c>
      <c r="Y66" s="15">
        <v>-0.47699999999999998</v>
      </c>
      <c r="Z66" s="15">
        <v>0.34100000000000003</v>
      </c>
      <c r="AA66" s="15">
        <v>0.34200000000000003</v>
      </c>
      <c r="AB66" s="15">
        <v>0.96299999999999997</v>
      </c>
      <c r="AC66" s="15">
        <v>1</v>
      </c>
      <c r="AD66" s="15">
        <v>0.90600000000000003</v>
      </c>
      <c r="AE66" s="15">
        <v>-0.151</v>
      </c>
      <c r="AF66" s="14">
        <v>-0.185</v>
      </c>
      <c r="AG66" s="15">
        <v>0.86899999999999999</v>
      </c>
      <c r="AH66" s="15">
        <v>0.80900000000000005</v>
      </c>
      <c r="AI66" s="15">
        <v>0.67</v>
      </c>
      <c r="AJ66" s="15">
        <v>-0.65700000000000003</v>
      </c>
      <c r="AK66" s="16">
        <v>0.33100000000000002</v>
      </c>
      <c r="AL66" s="4">
        <v>-0.86399999999999999</v>
      </c>
      <c r="AM66" s="4">
        <v>0.44900000000000001</v>
      </c>
      <c r="AN66" s="4">
        <v>-0.16700000000000001</v>
      </c>
      <c r="AO66" s="4">
        <v>-2.9000000000000001E-2</v>
      </c>
      <c r="AP66" s="4">
        <v>0.52200000000000002</v>
      </c>
      <c r="AQ66" s="4">
        <v>-1</v>
      </c>
      <c r="AR66" s="4">
        <v>0.91700000000000004</v>
      </c>
      <c r="AS66" s="4">
        <v>7.0000000000000007E-2</v>
      </c>
      <c r="AT66" s="4">
        <v>-0.21199999999999999</v>
      </c>
      <c r="AU66" s="4">
        <v>-0.39800000000000002</v>
      </c>
      <c r="AV66" s="4">
        <v>-0.26200000000000001</v>
      </c>
      <c r="AW66" s="4">
        <v>0.22600000000000001</v>
      </c>
      <c r="AX66" s="4">
        <v>-0.13200000000000001</v>
      </c>
      <c r="AY66" s="4">
        <v>-3.9E-2</v>
      </c>
      <c r="AZ66" s="4">
        <v>-0.92500000000000004</v>
      </c>
      <c r="BA66" s="4">
        <v>0.72</v>
      </c>
      <c r="BB66" s="4">
        <v>3.4000000000000002E-2</v>
      </c>
      <c r="BC66" s="4">
        <v>6.4000000000000001E-2</v>
      </c>
      <c r="BD66" s="4">
        <v>2.3E-2</v>
      </c>
      <c r="BE66" s="4">
        <v>1.7000000000000001E-2</v>
      </c>
      <c r="BF66" s="4">
        <v>0.33900000000000002</v>
      </c>
      <c r="BG66" s="4">
        <v>0.39700000000000002</v>
      </c>
      <c r="BH66" s="4">
        <v>0.44400000000000001</v>
      </c>
      <c r="BI66" s="4">
        <v>-0.56799999999999995</v>
      </c>
      <c r="BJ66" s="4">
        <v>0.627</v>
      </c>
      <c r="BK66" s="4">
        <v>0.82799999999999996</v>
      </c>
      <c r="BL66" s="4"/>
    </row>
    <row r="67" spans="1:64" x14ac:dyDescent="0.3">
      <c r="A67" t="s">
        <v>184</v>
      </c>
      <c r="B67" s="53">
        <f t="shared" si="9"/>
        <v>3.7999999999999999E-2</v>
      </c>
      <c r="C67" s="53">
        <f t="shared" si="4"/>
        <v>1.0999999999999999E-2</v>
      </c>
      <c r="D67" s="53">
        <f t="shared" si="5"/>
        <v>0</v>
      </c>
      <c r="E67" s="53">
        <f t="shared" si="6"/>
        <v>2.7E-2</v>
      </c>
      <c r="F67" s="15">
        <v>1.4330000000000001</v>
      </c>
      <c r="G67">
        <v>2.84</v>
      </c>
      <c r="H67" t="s">
        <v>57</v>
      </c>
      <c r="I67" t="str">
        <f>VLOOKUP(A67,Setores!$A$2:$C$215,2,0)</f>
        <v>financial_services</v>
      </c>
      <c r="J67" t="str">
        <f>VLOOKUP(A67,Setores!$A$2:$C$215,3,0)</f>
        <v>very_high_beta</v>
      </c>
      <c r="K67" s="100">
        <v>3.7999999999999999E-2</v>
      </c>
      <c r="L67" s="58">
        <v>1.0999999999999999E-2</v>
      </c>
      <c r="M67" s="7">
        <v>2.7E-2</v>
      </c>
      <c r="N67" s="41">
        <f>VLOOKUP(A67,'Mandato ISEE'!$A$1:$C$215,2,0)</f>
        <v>8.1669708565292806E-2</v>
      </c>
      <c r="O67" s="58">
        <f t="shared" si="7"/>
        <v>-4.3669708565292807E-2</v>
      </c>
      <c r="P67" s="41">
        <f>VLOOKUP(A67,'Mandato ISEE'!$A$1:$C$215,3,0)</f>
        <v>6.2975261973117896E-2</v>
      </c>
      <c r="Q67" s="42">
        <f t="shared" si="8"/>
        <v>-2.4975261973117897E-2</v>
      </c>
      <c r="R67" s="42">
        <v>-0.18099999999999999</v>
      </c>
      <c r="S67" s="15">
        <v>-0.20100000000000001</v>
      </c>
      <c r="T67" s="15">
        <v>-0.82499999999999996</v>
      </c>
      <c r="U67" s="15">
        <v>-3.6999999999999998E-2</v>
      </c>
      <c r="V67" s="15">
        <v>-0.53400000000000003</v>
      </c>
      <c r="W67" s="15">
        <v>0.22600000000000001</v>
      </c>
      <c r="X67" s="15">
        <v>0.749</v>
      </c>
      <c r="Y67" s="15">
        <v>-0.17499999999999999</v>
      </c>
      <c r="Z67" s="15">
        <v>0.39500000000000002</v>
      </c>
      <c r="AA67" s="15">
        <v>0.39600000000000002</v>
      </c>
      <c r="AB67" s="15">
        <v>0.70099999999999996</v>
      </c>
      <c r="AC67" s="15">
        <v>0.72399999999999998</v>
      </c>
      <c r="AD67" s="15">
        <v>0.626</v>
      </c>
      <c r="AE67" s="15">
        <v>-3.1E-2</v>
      </c>
      <c r="AF67" s="14">
        <v>-0.59599999999999997</v>
      </c>
      <c r="AG67" s="15">
        <v>-0.32</v>
      </c>
      <c r="AH67" s="15">
        <v>-0.999</v>
      </c>
      <c r="AI67" s="15">
        <v>-0.751</v>
      </c>
      <c r="AJ67" s="15">
        <v>-0.73599999999999999</v>
      </c>
      <c r="AK67" s="16">
        <v>-0.38</v>
      </c>
      <c r="AL67" s="4">
        <v>-0.52900000000000003</v>
      </c>
      <c r="AM67" s="4">
        <v>-0.998</v>
      </c>
      <c r="AN67" s="4">
        <v>-0.20499999999999999</v>
      </c>
      <c r="AO67" s="4">
        <v>0.314</v>
      </c>
      <c r="AP67" s="4">
        <v>0.40799999999999997</v>
      </c>
      <c r="AQ67" s="4">
        <v>0.22500000000000001</v>
      </c>
      <c r="AR67" s="4">
        <v>0.435</v>
      </c>
      <c r="AS67" s="4">
        <v>0.78</v>
      </c>
      <c r="AT67" s="4">
        <v>0.45200000000000001</v>
      </c>
      <c r="AU67" s="4">
        <v>1</v>
      </c>
      <c r="AV67" s="4">
        <v>0.74</v>
      </c>
      <c r="AW67" s="4">
        <v>-2.1000000000000001E-2</v>
      </c>
      <c r="AX67" s="4">
        <v>0.161</v>
      </c>
      <c r="AY67" s="4">
        <v>0.17699999999999999</v>
      </c>
      <c r="AZ67" s="4">
        <v>-6.9000000000000006E-2</v>
      </c>
      <c r="BA67" s="4">
        <v>0.44600000000000001</v>
      </c>
      <c r="BB67" s="4">
        <v>0.23699999999999999</v>
      </c>
      <c r="BC67" s="4">
        <v>0.28000000000000003</v>
      </c>
      <c r="BD67" s="4">
        <v>0.41099999999999998</v>
      </c>
      <c r="BE67" s="4">
        <v>3.9E-2</v>
      </c>
      <c r="BF67" s="4">
        <v>0.23300000000000001</v>
      </c>
      <c r="BG67" s="4">
        <v>0.90600000000000003</v>
      </c>
      <c r="BH67" s="4">
        <v>-0.35799999999999998</v>
      </c>
      <c r="BI67" s="4">
        <v>0.315</v>
      </c>
      <c r="BJ67" s="4">
        <v>-0.504</v>
      </c>
      <c r="BK67" s="4">
        <v>-0.78900000000000003</v>
      </c>
      <c r="BL67" s="4"/>
    </row>
    <row r="68" spans="1:64" x14ac:dyDescent="0.3">
      <c r="A68" t="s">
        <v>205</v>
      </c>
      <c r="B68" s="53">
        <f t="shared" si="9"/>
        <v>3.3000000000000002E-2</v>
      </c>
      <c r="C68" s="53">
        <f t="shared" si="4"/>
        <v>9.0000000000000011E-3</v>
      </c>
      <c r="D68" s="53">
        <f t="shared" si="5"/>
        <v>0</v>
      </c>
      <c r="E68" s="53">
        <f t="shared" si="6"/>
        <v>2.4E-2</v>
      </c>
      <c r="F68" s="15">
        <v>1.381</v>
      </c>
      <c r="G68">
        <v>2.6760000000000002</v>
      </c>
      <c r="H68" t="s">
        <v>57</v>
      </c>
      <c r="I68" t="str">
        <f>VLOOKUP(A68,Setores!$A$2:$C$215,2,0)</f>
        <v>consumer_services</v>
      </c>
      <c r="J68" t="str">
        <f>VLOOKUP(A68,Setores!$A$2:$C$215,3,0)</f>
        <v>low_beta</v>
      </c>
      <c r="K68" s="100">
        <v>3.3000000000000002E-2</v>
      </c>
      <c r="L68" s="58">
        <v>8.9999999999999993E-3</v>
      </c>
      <c r="M68" s="7">
        <v>2.4E-2</v>
      </c>
      <c r="N68" s="41">
        <f>VLOOKUP(A68,'Mandato ISEE'!$A$1:$C$215,2,0)</f>
        <v>7.3822707779039307E-2</v>
      </c>
      <c r="O68" s="58">
        <f t="shared" si="7"/>
        <v>-4.0822707779039305E-2</v>
      </c>
      <c r="P68" s="41">
        <f>VLOOKUP(A68,'Mandato ISEE'!$A$1:$C$215,3,0)</f>
        <v>0.102823892186516</v>
      </c>
      <c r="Q68" s="42">
        <f t="shared" si="8"/>
        <v>-6.9823892186515996E-2</v>
      </c>
      <c r="R68" s="42">
        <v>-0.39900000000000002</v>
      </c>
      <c r="S68" s="15">
        <v>-0.157</v>
      </c>
      <c r="T68" s="15">
        <v>-0.88600000000000001</v>
      </c>
      <c r="U68" s="15">
        <v>-8.7999999999999995E-2</v>
      </c>
      <c r="V68" s="15">
        <v>-0.48199999999999998</v>
      </c>
      <c r="W68" s="15">
        <v>-0.26500000000000001</v>
      </c>
      <c r="X68" s="15">
        <v>-0.34799999999999998</v>
      </c>
      <c r="Y68" s="15">
        <v>0.10299999999999999</v>
      </c>
      <c r="Z68" s="15">
        <v>0.64300000000000002</v>
      </c>
      <c r="AA68" s="15">
        <v>0.64500000000000002</v>
      </c>
      <c r="AB68" s="15">
        <v>0.72599999999999998</v>
      </c>
      <c r="AC68" s="15">
        <v>0.8</v>
      </c>
      <c r="AD68" s="15">
        <v>0.81</v>
      </c>
      <c r="AE68" s="15">
        <v>-0.46899999999999997</v>
      </c>
      <c r="AF68" s="14">
        <v>-0.34799999999999998</v>
      </c>
      <c r="AG68" s="15">
        <v>0.52900000000000003</v>
      </c>
      <c r="AH68" s="15">
        <v>-0.92200000000000004</v>
      </c>
      <c r="AI68" s="15">
        <v>-0.39800000000000002</v>
      </c>
      <c r="AJ68" s="15">
        <v>-0.97</v>
      </c>
      <c r="AK68" s="16">
        <v>-4.8000000000000001E-2</v>
      </c>
      <c r="AL68" s="4">
        <v>-0.378</v>
      </c>
      <c r="AM68" s="4">
        <v>-0.65100000000000002</v>
      </c>
      <c r="AN68" s="4">
        <v>-0.28000000000000003</v>
      </c>
      <c r="AO68" s="4">
        <v>0.70699999999999996</v>
      </c>
      <c r="AP68" s="4">
        <v>0.44400000000000001</v>
      </c>
      <c r="AQ68" s="4">
        <v>0.27800000000000002</v>
      </c>
      <c r="AR68" s="4">
        <v>0.88500000000000001</v>
      </c>
      <c r="AS68" s="4">
        <v>0.39700000000000002</v>
      </c>
      <c r="AT68" s="4">
        <v>0.52900000000000003</v>
      </c>
      <c r="AU68" s="4">
        <v>-0.61599999999999999</v>
      </c>
      <c r="AV68" s="4">
        <v>-7.0000000000000001E-3</v>
      </c>
      <c r="AW68" s="4">
        <v>0.184</v>
      </c>
      <c r="AX68" s="4">
        <v>-0.36699999999999999</v>
      </c>
      <c r="AY68" s="4">
        <v>0.53200000000000003</v>
      </c>
      <c r="AZ68" s="4">
        <v>0.57799999999999996</v>
      </c>
      <c r="BA68" s="4">
        <v>-4.2999999999999997E-2</v>
      </c>
      <c r="BB68" s="4">
        <v>-0.11700000000000001</v>
      </c>
      <c r="BC68" s="4">
        <v>0.11899999999999999</v>
      </c>
      <c r="BD68" s="4">
        <v>0.78100000000000003</v>
      </c>
      <c r="BE68" s="4">
        <v>-0.87</v>
      </c>
      <c r="BF68" s="4">
        <v>-0.64600000000000002</v>
      </c>
      <c r="BG68" s="4">
        <v>0.41699999999999998</v>
      </c>
      <c r="BH68" s="4">
        <v>-0.70099999999999996</v>
      </c>
      <c r="BI68" s="4">
        <v>-0.314</v>
      </c>
      <c r="BJ68" s="4">
        <v>-0.41099999999999998</v>
      </c>
      <c r="BK68" s="4">
        <v>-0.57699999999999996</v>
      </c>
      <c r="BL68" s="4"/>
    </row>
    <row r="69" spans="1:64" x14ac:dyDescent="0.3">
      <c r="A69" t="s">
        <v>153</v>
      </c>
      <c r="B69" s="53">
        <f t="shared" si="9"/>
        <v>3.5000000000000003E-2</v>
      </c>
      <c r="C69" s="53">
        <f t="shared" si="4"/>
        <v>1.0000000000000002E-2</v>
      </c>
      <c r="D69" s="53">
        <f t="shared" si="5"/>
        <v>0</v>
      </c>
      <c r="E69" s="53">
        <f t="shared" si="6"/>
        <v>2.5000000000000001E-2</v>
      </c>
      <c r="F69" s="15">
        <v>1.349</v>
      </c>
      <c r="G69">
        <v>2.4180000000000001</v>
      </c>
      <c r="H69" t="s">
        <v>57</v>
      </c>
      <c r="I69" t="str">
        <f>VLOOKUP(A69,Setores!$A$2:$C$215,2,0)</f>
        <v>consumer_services</v>
      </c>
      <c r="J69" t="str">
        <f>VLOOKUP(A69,Setores!$A$2:$C$215,3,0)</f>
        <v>very_low_beta</v>
      </c>
      <c r="K69" s="100">
        <v>3.5000000000000003E-2</v>
      </c>
      <c r="L69" s="58">
        <v>0.01</v>
      </c>
      <c r="M69" s="7">
        <v>2.5000000000000001E-2</v>
      </c>
      <c r="N69" s="41">
        <f>VLOOKUP(A69,'Mandato ISEE'!$A$1:$C$215,2,0)</f>
        <v>7.5533963794598799E-2</v>
      </c>
      <c r="O69" s="58">
        <f t="shared" si="7"/>
        <v>-4.0533963794598796E-2</v>
      </c>
      <c r="P69" s="41">
        <f>VLOOKUP(A69,'Mandato ISEE'!$A$1:$C$215,3,0)</f>
        <v>8.7366035367514305E-2</v>
      </c>
      <c r="Q69" s="42">
        <f t="shared" si="8"/>
        <v>-5.2366035367514302E-2</v>
      </c>
      <c r="R69" s="42">
        <v>-0.41199999999999998</v>
      </c>
      <c r="S69" s="15">
        <v>-8.7999999999999995E-2</v>
      </c>
      <c r="T69" s="15">
        <v>-0.88500000000000001</v>
      </c>
      <c r="U69" s="15">
        <v>-0.13400000000000001</v>
      </c>
      <c r="V69" s="15">
        <v>-0.45200000000000001</v>
      </c>
      <c r="W69" s="15">
        <v>-0.253</v>
      </c>
      <c r="X69" s="15">
        <v>-0.24299999999999999</v>
      </c>
      <c r="Y69" s="15">
        <v>1.6E-2</v>
      </c>
      <c r="Z69" s="15">
        <v>0.66700000000000004</v>
      </c>
      <c r="AA69" s="15">
        <v>0.66900000000000004</v>
      </c>
      <c r="AB69" s="15">
        <v>0.54100000000000004</v>
      </c>
      <c r="AC69" s="15">
        <v>0.83399999999999996</v>
      </c>
      <c r="AD69" s="15">
        <v>0.82899999999999996</v>
      </c>
      <c r="AE69" s="15">
        <v>-0.63800000000000001</v>
      </c>
      <c r="AF69" s="14">
        <v>-0.309</v>
      </c>
      <c r="AG69" s="15">
        <v>0.70699999999999996</v>
      </c>
      <c r="AH69" s="15">
        <v>-0.91300000000000003</v>
      </c>
      <c r="AI69" s="15">
        <v>-0.27600000000000002</v>
      </c>
      <c r="AJ69" s="15">
        <v>-0.93300000000000005</v>
      </c>
      <c r="AK69" s="16">
        <v>-9.5000000000000001E-2</v>
      </c>
      <c r="AL69" s="4">
        <v>-0.46300000000000002</v>
      </c>
      <c r="AM69" s="4">
        <v>-0.64400000000000002</v>
      </c>
      <c r="AN69" s="4">
        <v>0.10199999999999999</v>
      </c>
      <c r="AO69" s="4">
        <v>0.70599999999999996</v>
      </c>
      <c r="AP69" s="4">
        <v>0.65</v>
      </c>
      <c r="AQ69" s="4">
        <v>0.315</v>
      </c>
      <c r="AR69" s="4">
        <v>0.71699999999999997</v>
      </c>
      <c r="AS69" s="4">
        <v>0.41799999999999998</v>
      </c>
      <c r="AT69" s="4">
        <v>0.54700000000000004</v>
      </c>
      <c r="AU69" s="4">
        <v>-0.61899999999999999</v>
      </c>
      <c r="AV69" s="4">
        <v>-0.122</v>
      </c>
      <c r="AW69" s="4">
        <v>9.7000000000000003E-2</v>
      </c>
      <c r="AX69" s="4">
        <v>-0.154</v>
      </c>
      <c r="AY69" s="4">
        <v>0.89800000000000002</v>
      </c>
      <c r="AZ69" s="4">
        <v>-0.25800000000000001</v>
      </c>
      <c r="BA69" s="4">
        <v>0.57999999999999996</v>
      </c>
      <c r="BB69" s="4">
        <v>-0.51400000000000001</v>
      </c>
      <c r="BC69" s="4">
        <v>-0.501</v>
      </c>
      <c r="BD69" s="4">
        <v>0.52900000000000003</v>
      </c>
      <c r="BE69" s="4">
        <v>-0.70099999999999996</v>
      </c>
      <c r="BF69" s="4">
        <v>-0.16500000000000001</v>
      </c>
      <c r="BG69" s="4">
        <v>0.68600000000000005</v>
      </c>
      <c r="BH69" s="4">
        <v>-0.52900000000000003</v>
      </c>
      <c r="BI69" s="4">
        <v>-0.57899999999999996</v>
      </c>
      <c r="BJ69" s="4">
        <v>-0.17799999999999999</v>
      </c>
      <c r="BK69" s="4">
        <v>-0.502</v>
      </c>
      <c r="BL69" s="4"/>
    </row>
    <row r="70" spans="1:64" x14ac:dyDescent="0.3">
      <c r="A70" t="s">
        <v>152</v>
      </c>
      <c r="B70" s="53">
        <f t="shared" si="9"/>
        <v>0</v>
      </c>
      <c r="C70" s="53">
        <f t="shared" si="4"/>
        <v>0</v>
      </c>
      <c r="D70" s="53">
        <f t="shared" si="5"/>
        <v>0</v>
      </c>
      <c r="E70" s="53">
        <f t="shared" si="6"/>
        <v>0</v>
      </c>
      <c r="F70" s="15">
        <v>1.3220000000000001</v>
      </c>
      <c r="G70">
        <v>1.004</v>
      </c>
      <c r="H70" t="s">
        <v>57</v>
      </c>
      <c r="I70" t="str">
        <f>VLOOKUP(A70,Setores!$A$2:$C$215,2,0)</f>
        <v>homebuilders</v>
      </c>
      <c r="J70" t="str">
        <f>VLOOKUP(A70,Setores!$A$2:$C$215,3,0)</f>
        <v>high_beta</v>
      </c>
      <c r="K70" s="100">
        <v>0</v>
      </c>
      <c r="L70" s="58">
        <v>0</v>
      </c>
      <c r="M70" s="7">
        <v>0</v>
      </c>
      <c r="N70" s="41">
        <f>VLOOKUP(A70,'Mandato ISEE'!$A$1:$C$215,2,0)</f>
        <v>0</v>
      </c>
      <c r="O70" s="58">
        <f t="shared" si="7"/>
        <v>0</v>
      </c>
      <c r="P70" s="41">
        <f>VLOOKUP(A70,'Mandato ISEE'!$A$1:$C$215,3,0)</f>
        <v>0</v>
      </c>
      <c r="Q70" s="42">
        <f t="shared" si="8"/>
        <v>0</v>
      </c>
      <c r="R70" s="42">
        <v>0.19</v>
      </c>
      <c r="S70" s="15">
        <v>-6.0999999999999999E-2</v>
      </c>
      <c r="T70" s="15">
        <v>-0.24199999999999999</v>
      </c>
      <c r="U70" s="15">
        <v>0.26500000000000001</v>
      </c>
      <c r="V70" s="15">
        <v>-9.6000000000000002E-2</v>
      </c>
      <c r="W70" s="15">
        <v>-0.20399999999999999</v>
      </c>
      <c r="X70" s="15">
        <v>-0.51</v>
      </c>
      <c r="Y70" s="15">
        <v>-0.221</v>
      </c>
      <c r="Z70" s="15">
        <v>2.7E-2</v>
      </c>
      <c r="AA70" s="15">
        <v>2.4E-2</v>
      </c>
      <c r="AB70" s="15">
        <v>0.82799999999999996</v>
      </c>
      <c r="AC70" s="15">
        <v>0.76500000000000001</v>
      </c>
      <c r="AD70" s="15">
        <v>0.57699999999999996</v>
      </c>
      <c r="AE70" s="15">
        <v>0.14399999999999999</v>
      </c>
      <c r="AF70" s="14">
        <v>0.40400000000000003</v>
      </c>
      <c r="AG70" s="15">
        <v>-3.4000000000000002E-2</v>
      </c>
      <c r="AH70" s="15">
        <v>-0.53</v>
      </c>
      <c r="AI70" s="15">
        <v>0.40400000000000003</v>
      </c>
      <c r="AJ70" s="15">
        <v>0.371</v>
      </c>
      <c r="AK70" s="16">
        <v>-0.112</v>
      </c>
      <c r="AL70" s="4">
        <v>-0.752</v>
      </c>
      <c r="AM70" s="4">
        <v>-0.73699999999999999</v>
      </c>
      <c r="AN70" s="4">
        <v>0.377</v>
      </c>
      <c r="AO70" s="4">
        <v>0.26700000000000002</v>
      </c>
      <c r="AP70" s="4">
        <v>0.214</v>
      </c>
      <c r="AQ70" s="4">
        <v>1</v>
      </c>
      <c r="AR70" s="4">
        <v>0.58499999999999996</v>
      </c>
      <c r="AS70" s="4">
        <v>0.29299999999999998</v>
      </c>
      <c r="AT70" s="4">
        <v>0.47199999999999998</v>
      </c>
      <c r="AU70" s="4">
        <v>-0.23499999999999999</v>
      </c>
      <c r="AV70" s="4">
        <v>0.70199999999999996</v>
      </c>
      <c r="AW70" s="4">
        <v>-0.30399999999999999</v>
      </c>
      <c r="AX70" s="4">
        <v>1.9E-2</v>
      </c>
      <c r="AY70" s="4">
        <v>-0.47599999999999998</v>
      </c>
      <c r="AZ70" s="4">
        <v>0.85199999999999998</v>
      </c>
      <c r="BA70" s="4">
        <v>0.51900000000000002</v>
      </c>
      <c r="BB70" s="4">
        <v>-0.496</v>
      </c>
      <c r="BC70" s="4">
        <v>-0.14199999999999999</v>
      </c>
      <c r="BD70" s="4">
        <v>0.47699999999999998</v>
      </c>
      <c r="BE70" s="4">
        <v>0.11</v>
      </c>
      <c r="BF70" s="4">
        <v>-0.52200000000000002</v>
      </c>
      <c r="BG70" s="4">
        <v>-0.433</v>
      </c>
      <c r="BH70" s="4">
        <v>-0.67</v>
      </c>
      <c r="BI70" s="4">
        <v>0.41799999999999998</v>
      </c>
      <c r="BJ70" s="4">
        <v>-0.72899999999999998</v>
      </c>
      <c r="BK70" s="4">
        <v>2.5000000000000001E-2</v>
      </c>
      <c r="BL70" s="4"/>
    </row>
    <row r="71" spans="1:64" x14ac:dyDescent="0.3">
      <c r="A71" t="s">
        <v>107</v>
      </c>
      <c r="B71" s="53">
        <f t="shared" si="9"/>
        <v>0</v>
      </c>
      <c r="C71" s="53">
        <f t="shared" si="4"/>
        <v>0</v>
      </c>
      <c r="D71" s="53">
        <f t="shared" si="5"/>
        <v>0</v>
      </c>
      <c r="E71" s="53">
        <f t="shared" si="6"/>
        <v>0</v>
      </c>
      <c r="F71" s="15">
        <v>1.3080000000000001</v>
      </c>
      <c r="G71">
        <v>1.6930000000000001</v>
      </c>
      <c r="H71" t="s">
        <v>53</v>
      </c>
      <c r="I71" t="str">
        <f>VLOOKUP(A71,Setores!$A$2:$C$215,2,0)</f>
        <v>float_financials</v>
      </c>
      <c r="J71" t="str">
        <f>VLOOKUP(A71,Setores!$A$2:$C$215,3,0)</f>
        <v>very_low_beta</v>
      </c>
      <c r="K71" s="100">
        <v>0</v>
      </c>
      <c r="L71" s="58">
        <v>0</v>
      </c>
      <c r="M71" s="7">
        <v>0</v>
      </c>
      <c r="N71" s="41">
        <f>VLOOKUP(A71,'Mandato ISEE'!$A$1:$C$215,2,0)</f>
        <v>0</v>
      </c>
      <c r="O71" s="58">
        <f t="shared" si="7"/>
        <v>0</v>
      </c>
      <c r="P71" s="41">
        <f>VLOOKUP(A71,'Mandato ISEE'!$A$1:$C$215,3,0)</f>
        <v>0</v>
      </c>
      <c r="Q71" s="42">
        <f t="shared" si="8"/>
        <v>0</v>
      </c>
      <c r="R71" s="42">
        <v>-0.64300000000000002</v>
      </c>
      <c r="S71" s="15">
        <v>-0.5</v>
      </c>
      <c r="T71" s="15">
        <v>-0.81799999999999995</v>
      </c>
      <c r="U71" s="15">
        <v>-0.16900000000000001</v>
      </c>
      <c r="V71" s="15">
        <v>-0.45900000000000002</v>
      </c>
      <c r="W71" s="15">
        <v>-7.4999999999999997E-2</v>
      </c>
      <c r="X71" s="15">
        <v>0.45</v>
      </c>
      <c r="Y71" s="15">
        <v>0.16500000000000001</v>
      </c>
      <c r="Z71" s="15">
        <v>0.39</v>
      </c>
      <c r="AA71" s="15">
        <v>0.39400000000000002</v>
      </c>
      <c r="AB71" s="15">
        <v>0.755</v>
      </c>
      <c r="AC71" s="15">
        <v>0.77500000000000002</v>
      </c>
      <c r="AD71" s="15">
        <v>0.66100000000000003</v>
      </c>
      <c r="AE71" s="15">
        <v>-0.246</v>
      </c>
      <c r="AF71" s="14">
        <v>-0.112</v>
      </c>
      <c r="AG71" s="15">
        <v>0.11600000000000001</v>
      </c>
      <c r="AH71" s="15">
        <v>-0.91600000000000004</v>
      </c>
      <c r="AI71" s="15">
        <v>-0.57499999999999996</v>
      </c>
      <c r="AJ71" s="15">
        <v>-0.57999999999999996</v>
      </c>
      <c r="AK71" s="16">
        <v>-0.23100000000000001</v>
      </c>
      <c r="AL71" s="4">
        <v>9.4E-2</v>
      </c>
      <c r="AM71" s="4">
        <v>-0.9</v>
      </c>
      <c r="AN71" s="4">
        <v>-0.16500000000000001</v>
      </c>
      <c r="AO71" s="4">
        <v>0.49</v>
      </c>
      <c r="AP71" s="4">
        <v>0.34300000000000003</v>
      </c>
      <c r="AQ71" s="4">
        <v>5.1999999999999998E-2</v>
      </c>
      <c r="AR71" s="4">
        <v>0.30499999999999999</v>
      </c>
      <c r="AS71" s="4">
        <v>9.9000000000000005E-2</v>
      </c>
      <c r="AT71" s="4">
        <v>0.21199999999999999</v>
      </c>
      <c r="AU71" s="4">
        <v>0.156</v>
      </c>
      <c r="AV71" s="4">
        <v>5.0999999999999997E-2</v>
      </c>
      <c r="AW71" s="4">
        <v>0.81699999999999995</v>
      </c>
      <c r="AX71" s="4">
        <v>-0.15</v>
      </c>
      <c r="AY71" s="4">
        <v>0.85699999999999998</v>
      </c>
      <c r="AZ71" s="4">
        <v>-0.66600000000000004</v>
      </c>
      <c r="BA71" s="4">
        <v>-0.157</v>
      </c>
      <c r="BB71" s="4">
        <v>-0.17799999999999999</v>
      </c>
      <c r="BC71" s="4">
        <v>-0.03</v>
      </c>
      <c r="BD71" s="4">
        <v>-0.89400000000000002</v>
      </c>
      <c r="BE71" s="4">
        <v>-0.27200000000000002</v>
      </c>
      <c r="BF71" s="4">
        <v>0.72599999999999998</v>
      </c>
      <c r="BG71" s="4">
        <v>0.84899999999999998</v>
      </c>
      <c r="BH71" s="4">
        <v>-0.63</v>
      </c>
      <c r="BI71" s="4">
        <v>-0.379</v>
      </c>
      <c r="BJ71" s="4">
        <v>0.22700000000000001</v>
      </c>
      <c r="BK71" s="4">
        <v>-0.496</v>
      </c>
      <c r="BL71" s="4"/>
    </row>
    <row r="72" spans="1:64" x14ac:dyDescent="0.3">
      <c r="A72" t="s">
        <v>123</v>
      </c>
      <c r="B72" s="53">
        <f t="shared" si="9"/>
        <v>3.7999999999999999E-2</v>
      </c>
      <c r="C72" s="53">
        <f t="shared" si="4"/>
        <v>8.0000000000000002E-3</v>
      </c>
      <c r="D72" s="53">
        <f t="shared" si="5"/>
        <v>0</v>
      </c>
      <c r="E72" s="53">
        <f t="shared" si="6"/>
        <v>0.03</v>
      </c>
      <c r="F72" s="15">
        <v>1.306</v>
      </c>
      <c r="G72">
        <v>2.649</v>
      </c>
      <c r="H72" t="s">
        <v>55</v>
      </c>
      <c r="I72" t="str">
        <f>VLOOKUP(A72,Setores!$A$2:$C$215,2,0)</f>
        <v>telecom</v>
      </c>
      <c r="J72" t="str">
        <f>VLOOKUP(A72,Setores!$A$2:$C$215,3,0)</f>
        <v>very_low_beta</v>
      </c>
      <c r="K72" s="100">
        <v>3.7999999999999999E-2</v>
      </c>
      <c r="L72" s="58">
        <v>8.0000000000000002E-3</v>
      </c>
      <c r="M72" s="7">
        <v>0.03</v>
      </c>
      <c r="N72" s="41">
        <f>VLOOKUP(A72,'Mandato ISEE'!$A$1:$C$215,2,0)</f>
        <v>7.4430184898375704E-2</v>
      </c>
      <c r="O72" s="58">
        <f t="shared" si="7"/>
        <v>-3.6430184898375705E-2</v>
      </c>
      <c r="P72" s="41">
        <f>VLOOKUP(A72,'Mandato ISEE'!$A$1:$C$215,3,0)</f>
        <v>4.9028047788409898E-2</v>
      </c>
      <c r="Q72" s="42">
        <f t="shared" si="8"/>
        <v>-1.1028047788409899E-2</v>
      </c>
      <c r="R72" s="42">
        <v>-0.36099999999999999</v>
      </c>
      <c r="S72" s="15">
        <v>-0.57299999999999995</v>
      </c>
      <c r="T72" s="15">
        <v>-0.79</v>
      </c>
      <c r="U72" s="15">
        <v>-5.5E-2</v>
      </c>
      <c r="V72" s="15">
        <v>-0.57699999999999996</v>
      </c>
      <c r="W72" s="15">
        <v>0.112</v>
      </c>
      <c r="X72" s="15">
        <v>0.38</v>
      </c>
      <c r="Y72" s="15">
        <v>-0.19400000000000001</v>
      </c>
      <c r="Z72" s="15">
        <v>0.60099999999999998</v>
      </c>
      <c r="AA72" s="15">
        <v>0.59699999999999998</v>
      </c>
      <c r="AB72" s="15">
        <v>0.77</v>
      </c>
      <c r="AC72" s="15">
        <v>0.83499999999999996</v>
      </c>
      <c r="AD72" s="15">
        <v>0.68700000000000006</v>
      </c>
      <c r="AE72" s="15">
        <v>6.0999999999999999E-2</v>
      </c>
      <c r="AF72" s="14">
        <v>-0.311</v>
      </c>
      <c r="AG72" s="15">
        <v>-0.376</v>
      </c>
      <c r="AH72" s="15">
        <v>-0.996</v>
      </c>
      <c r="AI72" s="15">
        <v>-0.84199999999999997</v>
      </c>
      <c r="AJ72" s="15">
        <v>-0.74399999999999999</v>
      </c>
      <c r="AK72" s="16">
        <v>-0.20799999999999999</v>
      </c>
      <c r="AL72" s="4">
        <v>-0.38400000000000001</v>
      </c>
      <c r="AM72" s="4">
        <v>-0.52500000000000002</v>
      </c>
      <c r="AN72" s="4">
        <v>-0.54</v>
      </c>
      <c r="AO72" s="4">
        <v>0.13400000000000001</v>
      </c>
      <c r="AP72" s="4">
        <v>-0.14699999999999999</v>
      </c>
      <c r="AQ72" s="4">
        <v>0.32900000000000001</v>
      </c>
      <c r="AR72" s="4">
        <v>0.34899999999999998</v>
      </c>
      <c r="AS72" s="4">
        <v>0.379</v>
      </c>
      <c r="AT72" s="4">
        <v>0.13500000000000001</v>
      </c>
      <c r="AU72" s="4">
        <v>0.03</v>
      </c>
      <c r="AV72" s="4">
        <v>0.77100000000000002</v>
      </c>
      <c r="AW72" s="4">
        <v>0.83699999999999997</v>
      </c>
      <c r="AX72" s="4">
        <v>-0.11</v>
      </c>
      <c r="AY72" s="4">
        <v>0.99399999999999999</v>
      </c>
      <c r="AZ72" s="4">
        <v>0.40600000000000003</v>
      </c>
      <c r="BA72" s="4">
        <v>0.72399999999999998</v>
      </c>
      <c r="BB72" s="4">
        <v>4.2000000000000003E-2</v>
      </c>
      <c r="BC72" s="4">
        <v>-3.5999999999999997E-2</v>
      </c>
      <c r="BD72" s="4">
        <v>0.54400000000000004</v>
      </c>
      <c r="BE72" s="4">
        <v>-3.5999999999999997E-2</v>
      </c>
      <c r="BF72" s="4">
        <v>0.59299999999999997</v>
      </c>
      <c r="BG72" s="4">
        <v>0.64300000000000002</v>
      </c>
      <c r="BH72" s="4">
        <v>-0.63800000000000001</v>
      </c>
      <c r="BI72" s="4">
        <v>-0.375</v>
      </c>
      <c r="BJ72" s="4">
        <v>6.9000000000000006E-2</v>
      </c>
      <c r="BK72" s="4">
        <v>-0.79800000000000004</v>
      </c>
      <c r="BL72" s="4"/>
    </row>
    <row r="73" spans="1:64" x14ac:dyDescent="0.3">
      <c r="A73" t="s">
        <v>63</v>
      </c>
      <c r="B73" s="53">
        <f t="shared" si="9"/>
        <v>0</v>
      </c>
      <c r="C73" s="53">
        <f t="shared" si="4"/>
        <v>0</v>
      </c>
      <c r="D73" s="53">
        <f t="shared" si="5"/>
        <v>0</v>
      </c>
      <c r="E73" s="53">
        <f t="shared" si="6"/>
        <v>0</v>
      </c>
      <c r="F73" s="15">
        <v>1.2529999999999999</v>
      </c>
      <c r="G73">
        <v>1.476</v>
      </c>
      <c r="H73" t="s">
        <v>57</v>
      </c>
      <c r="I73" t="str">
        <f>VLOOKUP(A73,Setores!$A$2:$C$215,2,0)</f>
        <v>apparel</v>
      </c>
      <c r="J73" t="str">
        <f>VLOOKUP(A73,Setores!$A$2:$C$215,3,0)</f>
        <v>low_beta</v>
      </c>
      <c r="K73" s="100">
        <v>0</v>
      </c>
      <c r="L73" s="58">
        <v>0</v>
      </c>
      <c r="M73" s="7">
        <v>0</v>
      </c>
      <c r="N73" s="41">
        <f>VLOOKUP(A73,'Mandato ISEE'!$A$1:$C$215,2,0)</f>
        <v>0</v>
      </c>
      <c r="O73" s="58">
        <f t="shared" si="7"/>
        <v>0</v>
      </c>
      <c r="P73" s="41">
        <f>VLOOKUP(A73,'Mandato ISEE'!$A$1:$C$215,3,0)</f>
        <v>0</v>
      </c>
      <c r="Q73" s="42">
        <f t="shared" si="8"/>
        <v>0</v>
      </c>
      <c r="R73" s="42">
        <v>-0.44600000000000001</v>
      </c>
      <c r="S73" s="15">
        <v>-0.81699999999999995</v>
      </c>
      <c r="T73" s="15">
        <v>-0.20100000000000001</v>
      </c>
      <c r="U73" s="15">
        <v>-0.23</v>
      </c>
      <c r="V73" s="15">
        <v>-0.438</v>
      </c>
      <c r="W73" s="15">
        <v>0.19800000000000001</v>
      </c>
      <c r="X73" s="15">
        <v>0.624</v>
      </c>
      <c r="Y73" s="15">
        <v>0.05</v>
      </c>
      <c r="Z73" s="15">
        <v>0.30499999999999999</v>
      </c>
      <c r="AA73" s="15">
        <v>0.308</v>
      </c>
      <c r="AB73" s="15">
        <v>0.63700000000000001</v>
      </c>
      <c r="AC73" s="15">
        <v>0.505</v>
      </c>
      <c r="AD73" s="15">
        <v>0.44</v>
      </c>
      <c r="AE73" s="15">
        <v>0.26800000000000002</v>
      </c>
      <c r="AF73" s="14">
        <v>7.0000000000000001E-3</v>
      </c>
      <c r="AG73" s="15">
        <v>-0.93300000000000005</v>
      </c>
      <c r="AH73" s="15">
        <v>-0.23100000000000001</v>
      </c>
      <c r="AI73" s="15">
        <v>-0.76600000000000001</v>
      </c>
      <c r="AJ73" s="15">
        <v>0.24299999999999999</v>
      </c>
      <c r="AK73" s="16">
        <v>-0.251</v>
      </c>
      <c r="AL73" s="4">
        <v>1</v>
      </c>
      <c r="AM73" s="4">
        <v>-0.74399999999999999</v>
      </c>
      <c r="AN73" s="4">
        <v>0.52700000000000002</v>
      </c>
      <c r="AO73" s="4">
        <v>-0.71099999999999997</v>
      </c>
      <c r="AP73" s="4">
        <v>-0.317</v>
      </c>
      <c r="AQ73" s="4">
        <v>0.151</v>
      </c>
      <c r="AR73" s="4">
        <v>-5.6000000000000001E-2</v>
      </c>
      <c r="AS73" s="4">
        <v>-0.5</v>
      </c>
      <c r="AT73" s="4">
        <v>0.67</v>
      </c>
      <c r="AU73" s="4">
        <v>0.114</v>
      </c>
      <c r="AV73" s="4">
        <v>-1.0999999999999999E-2</v>
      </c>
      <c r="AW73" s="4">
        <v>0.42199999999999999</v>
      </c>
      <c r="AX73" s="4">
        <v>3.1E-2</v>
      </c>
      <c r="AY73" s="4">
        <v>0.58299999999999996</v>
      </c>
      <c r="AZ73" s="4">
        <v>1</v>
      </c>
      <c r="BA73" s="4">
        <v>-0.193</v>
      </c>
      <c r="BB73" s="4">
        <v>-0.79900000000000004</v>
      </c>
      <c r="BC73" s="4">
        <v>-0.77700000000000002</v>
      </c>
      <c r="BD73" s="4">
        <v>-0.51900000000000002</v>
      </c>
      <c r="BE73" s="4">
        <v>6.4000000000000001E-2</v>
      </c>
      <c r="BF73" s="4">
        <v>0.23899999999999999</v>
      </c>
      <c r="BG73" s="4">
        <v>0.752</v>
      </c>
      <c r="BH73" s="4">
        <v>-0.60299999999999998</v>
      </c>
      <c r="BI73" s="4">
        <v>-0.17100000000000001</v>
      </c>
      <c r="BJ73" s="4">
        <v>0.20899999999999999</v>
      </c>
      <c r="BK73" s="4">
        <v>0.115</v>
      </c>
      <c r="BL73" s="4"/>
    </row>
    <row r="74" spans="1:64" x14ac:dyDescent="0.3">
      <c r="A74" t="s">
        <v>76</v>
      </c>
      <c r="B74" s="53">
        <f t="shared" ref="B74:B137" si="10">K74</f>
        <v>0</v>
      </c>
      <c r="C74" s="53">
        <f t="shared" ref="C74:C137" si="11">B74-E74</f>
        <v>0</v>
      </c>
      <c r="D74" s="53">
        <f t="shared" ref="D74:D137" si="12">B74-K74</f>
        <v>0</v>
      </c>
      <c r="E74" s="53">
        <f t="shared" ref="E74:E137" si="13">M74</f>
        <v>0</v>
      </c>
      <c r="F74" s="15">
        <v>1.2310000000000001</v>
      </c>
      <c r="G74">
        <v>0.89700000000000002</v>
      </c>
      <c r="H74" t="s">
        <v>57</v>
      </c>
      <c r="I74" t="str">
        <f>VLOOKUP(A74,Setores!$A$2:$C$215,2,0)</f>
        <v>homebuilders</v>
      </c>
      <c r="J74" t="str">
        <f>VLOOKUP(A74,Setores!$A$2:$C$215,3,0)</f>
        <v>very_high_beta</v>
      </c>
      <c r="K74" s="100">
        <v>0</v>
      </c>
      <c r="L74" s="58">
        <v>0</v>
      </c>
      <c r="M74" s="7">
        <v>0</v>
      </c>
      <c r="N74" s="41">
        <f>VLOOKUP(A74,'Mandato ISEE'!$A$1:$C$215,2,0)</f>
        <v>0</v>
      </c>
      <c r="O74" s="58">
        <f t="shared" ref="O74:O137" si="14">K74-N74</f>
        <v>0</v>
      </c>
      <c r="P74" s="41">
        <f>VLOOKUP(A74,'Mandato ISEE'!$A$1:$C$215,3,0)</f>
        <v>0</v>
      </c>
      <c r="Q74" s="42">
        <f t="shared" ref="Q74:Q137" si="15">K74-P74</f>
        <v>0</v>
      </c>
      <c r="R74" s="42">
        <v>5.5E-2</v>
      </c>
      <c r="S74" s="15">
        <v>-0.45700000000000002</v>
      </c>
      <c r="T74" s="15">
        <v>0.45700000000000002</v>
      </c>
      <c r="U74" s="15">
        <v>-0.217</v>
      </c>
      <c r="V74" s="15">
        <v>-6.5000000000000002E-2</v>
      </c>
      <c r="W74" s="15">
        <v>-6.4000000000000001E-2</v>
      </c>
      <c r="X74" s="15">
        <v>-3.1E-2</v>
      </c>
      <c r="Y74" s="15">
        <v>-0.34899999999999998</v>
      </c>
      <c r="Z74" s="15">
        <v>4.2999999999999997E-2</v>
      </c>
      <c r="AA74" s="15">
        <v>4.1000000000000002E-2</v>
      </c>
      <c r="AB74" s="15">
        <v>0.79600000000000004</v>
      </c>
      <c r="AC74" s="15">
        <v>0.58199999999999996</v>
      </c>
      <c r="AD74" s="15">
        <v>0.52400000000000002</v>
      </c>
      <c r="AE74" s="15">
        <v>-9.2999999999999999E-2</v>
      </c>
      <c r="AF74" s="14">
        <v>0.84799999999999998</v>
      </c>
      <c r="AG74" s="15">
        <v>-0.68799999999999994</v>
      </c>
      <c r="AH74" s="15">
        <v>0.66100000000000003</v>
      </c>
      <c r="AI74" s="15">
        <v>-0.27200000000000002</v>
      </c>
      <c r="AJ74" s="15">
        <v>0.29799999999999999</v>
      </c>
      <c r="AK74" s="16">
        <v>-2.8000000000000001E-2</v>
      </c>
      <c r="AL74" s="4">
        <v>0.30199999999999999</v>
      </c>
      <c r="AM74" s="4">
        <v>-0.20599999999999999</v>
      </c>
      <c r="AN74" s="4">
        <v>0.70399999999999996</v>
      </c>
      <c r="AO74" s="4">
        <v>-0.47099999999999997</v>
      </c>
      <c r="AP74" s="4">
        <v>-1</v>
      </c>
      <c r="AQ74" s="4">
        <v>0.42799999999999999</v>
      </c>
      <c r="AR74" s="4">
        <v>-1.7000000000000001E-2</v>
      </c>
      <c r="AS74" s="4">
        <v>-0.37</v>
      </c>
      <c r="AT74" s="4">
        <v>-1.2E-2</v>
      </c>
      <c r="AU74" s="4">
        <v>-9.8000000000000004E-2</v>
      </c>
      <c r="AV74" s="4">
        <v>-0.28199999999999997</v>
      </c>
      <c r="AW74" s="4">
        <v>-0.32500000000000001</v>
      </c>
      <c r="AX74" s="4">
        <v>5.2999999999999999E-2</v>
      </c>
      <c r="AY74" s="4">
        <v>0.63</v>
      </c>
      <c r="AZ74" s="4">
        <v>0.254</v>
      </c>
      <c r="BA74" s="4">
        <v>0.66600000000000004</v>
      </c>
      <c r="BB74" s="4">
        <v>4.7E-2</v>
      </c>
      <c r="BC74" s="4">
        <v>-0.106</v>
      </c>
      <c r="BD74" s="4">
        <v>0.245</v>
      </c>
      <c r="BE74" s="4">
        <v>1</v>
      </c>
      <c r="BF74" s="4">
        <v>0.47299999999999998</v>
      </c>
      <c r="BG74" s="4">
        <v>0.32300000000000001</v>
      </c>
      <c r="BH74" s="4">
        <v>-0.38200000000000001</v>
      </c>
      <c r="BI74" s="4">
        <v>0.71399999999999997</v>
      </c>
      <c r="BJ74" s="4">
        <v>0.79700000000000004</v>
      </c>
      <c r="BK74" s="4">
        <v>0.52500000000000002</v>
      </c>
      <c r="BL74" s="4"/>
    </row>
    <row r="75" spans="1:64" x14ac:dyDescent="0.3">
      <c r="A75" t="s">
        <v>166</v>
      </c>
      <c r="B75" s="53">
        <f t="shared" si="10"/>
        <v>0</v>
      </c>
      <c r="C75" s="53">
        <f t="shared" si="11"/>
        <v>0</v>
      </c>
      <c r="D75" s="53">
        <f t="shared" si="12"/>
        <v>0</v>
      </c>
      <c r="E75" s="53">
        <f t="shared" si="13"/>
        <v>0</v>
      </c>
      <c r="F75" s="15">
        <v>1.228</v>
      </c>
      <c r="G75">
        <v>1.272</v>
      </c>
      <c r="H75" t="s">
        <v>55</v>
      </c>
      <c r="I75" t="str">
        <f>VLOOKUP(A75,Setores!$A$2:$C$215,2,0)</f>
        <v>utilities</v>
      </c>
      <c r="J75" t="str">
        <f>VLOOKUP(A75,Setores!$A$2:$C$215,3,0)</f>
        <v>very_low_beta</v>
      </c>
      <c r="K75" s="100">
        <v>0</v>
      </c>
      <c r="L75" s="58">
        <v>0</v>
      </c>
      <c r="M75" s="7">
        <v>0</v>
      </c>
      <c r="N75" s="41">
        <f>VLOOKUP(A75,'Mandato ISEE'!$A$1:$C$215,2,0)</f>
        <v>0</v>
      </c>
      <c r="O75" s="58">
        <f t="shared" si="14"/>
        <v>0</v>
      </c>
      <c r="P75" s="41">
        <f>VLOOKUP(A75,'Mandato ISEE'!$A$1:$C$215,3,0)</f>
        <v>0</v>
      </c>
      <c r="Q75" s="42">
        <f t="shared" si="15"/>
        <v>0</v>
      </c>
      <c r="R75" s="42">
        <v>-0.68600000000000005</v>
      </c>
      <c r="S75" s="15">
        <v>-0.32100000000000001</v>
      </c>
      <c r="T75" s="15">
        <v>-0.82399999999999995</v>
      </c>
      <c r="U75" s="15">
        <v>-0.503</v>
      </c>
      <c r="V75" s="15">
        <v>-0.56200000000000006</v>
      </c>
      <c r="W75" s="15">
        <v>-0.26100000000000001</v>
      </c>
      <c r="X75" s="15">
        <v>-0.107</v>
      </c>
      <c r="Y75" s="15">
        <v>0.217</v>
      </c>
      <c r="Z75" s="15">
        <v>0.61</v>
      </c>
      <c r="AA75" s="15">
        <v>0.61399999999999999</v>
      </c>
      <c r="AB75" s="15">
        <v>0.65300000000000002</v>
      </c>
      <c r="AC75" s="15">
        <v>0.748</v>
      </c>
      <c r="AD75" s="15">
        <v>0.72099999999999997</v>
      </c>
      <c r="AE75" s="15">
        <v>-0.83</v>
      </c>
      <c r="AF75" s="14">
        <v>-0.77</v>
      </c>
      <c r="AG75" s="15">
        <v>0.54100000000000004</v>
      </c>
      <c r="AH75" s="15">
        <v>-0.91100000000000003</v>
      </c>
      <c r="AI75" s="15">
        <v>-0.38500000000000001</v>
      </c>
      <c r="AJ75" s="15">
        <v>-0.96199999999999997</v>
      </c>
      <c r="AK75" s="16">
        <v>-0.32400000000000001</v>
      </c>
      <c r="AL75" s="4">
        <v>0.185</v>
      </c>
      <c r="AM75" s="4">
        <v>-0.52200000000000002</v>
      </c>
      <c r="AN75" s="4">
        <v>-0.58899999999999997</v>
      </c>
      <c r="AO75" s="4">
        <v>0.52400000000000002</v>
      </c>
      <c r="AP75" s="4">
        <v>0.99199999999999999</v>
      </c>
      <c r="AQ75" s="4">
        <v>-0.23799999999999999</v>
      </c>
      <c r="AR75" s="4">
        <v>0.187</v>
      </c>
      <c r="AS75" s="4">
        <v>-0.246</v>
      </c>
      <c r="AT75" s="4">
        <v>0.2</v>
      </c>
      <c r="AU75" s="4">
        <v>-0.33100000000000002</v>
      </c>
      <c r="AV75" s="4">
        <v>-0.54600000000000004</v>
      </c>
      <c r="AW75" s="4">
        <v>0.58799999999999997</v>
      </c>
      <c r="AX75" s="4">
        <v>-0.59699999999999998</v>
      </c>
      <c r="AY75" s="4">
        <v>0.85299999999999998</v>
      </c>
      <c r="AZ75" s="4">
        <v>0.56599999999999995</v>
      </c>
      <c r="BA75" s="4">
        <v>0.10299999999999999</v>
      </c>
      <c r="BB75" s="4">
        <v>-0.432</v>
      </c>
      <c r="BC75" s="4">
        <v>-0.66500000000000004</v>
      </c>
      <c r="BD75" s="4">
        <v>0.23499999999999999</v>
      </c>
      <c r="BE75" s="4">
        <v>3.1E-2</v>
      </c>
      <c r="BF75" s="4">
        <v>-0.13400000000000001</v>
      </c>
      <c r="BG75" s="4">
        <v>0.54</v>
      </c>
      <c r="BH75" s="4">
        <v>-0.53200000000000003</v>
      </c>
      <c r="BI75" s="4">
        <v>-0.40899999999999997</v>
      </c>
      <c r="BJ75" s="4">
        <v>0.95199999999999996</v>
      </c>
      <c r="BK75" s="4">
        <v>-0.378</v>
      </c>
      <c r="BL75" s="4"/>
    </row>
    <row r="76" spans="1:64" x14ac:dyDescent="0.3">
      <c r="A76" t="s">
        <v>110</v>
      </c>
      <c r="B76" s="53">
        <f t="shared" si="10"/>
        <v>0</v>
      </c>
      <c r="C76" s="53">
        <f t="shared" si="11"/>
        <v>0</v>
      </c>
      <c r="D76" s="53">
        <f t="shared" si="12"/>
        <v>0</v>
      </c>
      <c r="E76" s="53">
        <f t="shared" si="13"/>
        <v>0</v>
      </c>
      <c r="F76" s="15">
        <v>1.1910000000000001</v>
      </c>
      <c r="G76">
        <v>1.5980000000000001</v>
      </c>
      <c r="H76" t="s">
        <v>57</v>
      </c>
      <c r="I76" t="str">
        <f>VLOOKUP(A76,Setores!$A$2:$C$215,2,0)</f>
        <v>banks</v>
      </c>
      <c r="J76" t="str">
        <f>VLOOKUP(A76,Setores!$A$2:$C$215,3,0)</f>
        <v>low_beta</v>
      </c>
      <c r="K76" s="100">
        <v>0</v>
      </c>
      <c r="L76" s="58">
        <v>0</v>
      </c>
      <c r="M76" s="7">
        <v>0</v>
      </c>
      <c r="N76" s="41">
        <f>VLOOKUP(A76,'Mandato ISEE'!$A$1:$C$215,2,0)</f>
        <v>0</v>
      </c>
      <c r="O76" s="58">
        <f t="shared" si="14"/>
        <v>0</v>
      </c>
      <c r="P76" s="41">
        <f>VLOOKUP(A76,'Mandato ISEE'!$A$1:$C$215,3,0)</f>
        <v>0</v>
      </c>
      <c r="Q76" s="42">
        <f t="shared" si="15"/>
        <v>0</v>
      </c>
      <c r="R76" s="42">
        <v>-0.748</v>
      </c>
      <c r="S76" s="15">
        <v>-0.55700000000000005</v>
      </c>
      <c r="T76" s="15">
        <v>-0.86899999999999999</v>
      </c>
      <c r="U76" s="15">
        <v>-0.34499999999999997</v>
      </c>
      <c r="V76" s="15">
        <v>-0.56499999999999995</v>
      </c>
      <c r="W76" s="15">
        <v>-0.28499999999999998</v>
      </c>
      <c r="X76" s="15">
        <v>-3.1E-2</v>
      </c>
      <c r="Y76" s="15">
        <v>0.20699999999999999</v>
      </c>
      <c r="Z76" s="15">
        <v>0.61599999999999999</v>
      </c>
      <c r="AA76" s="15">
        <v>0.61499999999999999</v>
      </c>
      <c r="AB76" s="15">
        <v>0.76300000000000001</v>
      </c>
      <c r="AC76" s="15">
        <v>0.78100000000000003</v>
      </c>
      <c r="AD76" s="15">
        <v>0.69499999999999995</v>
      </c>
      <c r="AE76" s="15">
        <v>-0.58399999999999996</v>
      </c>
      <c r="AF76" s="14">
        <v>9.6000000000000002E-2</v>
      </c>
      <c r="AG76" s="15">
        <v>0.36</v>
      </c>
      <c r="AH76" s="15">
        <v>-0.94799999999999995</v>
      </c>
      <c r="AI76" s="15">
        <v>-0.74399999999999999</v>
      </c>
      <c r="AJ76" s="15">
        <v>-0.96099999999999997</v>
      </c>
      <c r="AK76" s="16">
        <v>-0.247</v>
      </c>
      <c r="AL76" s="4">
        <v>0.13500000000000001</v>
      </c>
      <c r="AM76" s="4">
        <v>-0.55700000000000005</v>
      </c>
      <c r="AN76" s="4">
        <v>-0.193</v>
      </c>
      <c r="AO76" s="4">
        <v>0.56699999999999995</v>
      </c>
      <c r="AP76" s="4">
        <v>7.3999999999999996E-2</v>
      </c>
      <c r="AQ76" s="4">
        <v>0.23400000000000001</v>
      </c>
      <c r="AR76" s="4">
        <v>0.26900000000000002</v>
      </c>
      <c r="AS76" s="4">
        <v>-0.112</v>
      </c>
      <c r="AT76" s="4">
        <v>-8.1000000000000003E-2</v>
      </c>
      <c r="AU76" s="4">
        <v>-0.222</v>
      </c>
      <c r="AV76" s="4">
        <v>-0.20899999999999999</v>
      </c>
      <c r="AW76" s="4">
        <v>0.47399999999999998</v>
      </c>
      <c r="AX76" s="4">
        <v>-0.45300000000000001</v>
      </c>
      <c r="AY76" s="4">
        <v>0.16200000000000001</v>
      </c>
      <c r="AZ76" s="4">
        <v>0.61199999999999999</v>
      </c>
      <c r="BA76" s="4">
        <v>-0.46200000000000002</v>
      </c>
      <c r="BB76" s="4">
        <v>-0.34100000000000003</v>
      </c>
      <c r="BC76" s="4">
        <v>-0.317</v>
      </c>
      <c r="BD76" s="4">
        <v>-0.82699999999999996</v>
      </c>
      <c r="BE76" s="4">
        <v>-9.1999999999999998E-2</v>
      </c>
      <c r="BF76" s="4">
        <v>-3.5999999999999997E-2</v>
      </c>
      <c r="BG76" s="4">
        <v>0.82</v>
      </c>
      <c r="BH76" s="4">
        <v>-0.82899999999999996</v>
      </c>
      <c r="BI76" s="4">
        <v>-0.22900000000000001</v>
      </c>
      <c r="BJ76" s="4">
        <v>0.34300000000000003</v>
      </c>
      <c r="BK76" s="4">
        <v>-0.93899999999999995</v>
      </c>
      <c r="BL76" s="4"/>
    </row>
    <row r="77" spans="1:64" x14ac:dyDescent="0.3">
      <c r="A77" t="s">
        <v>598</v>
      </c>
      <c r="B77" s="53">
        <f t="shared" si="10"/>
        <v>2.1000000000000001E-2</v>
      </c>
      <c r="C77" s="53">
        <f t="shared" si="11"/>
        <v>1.4000000000000002E-2</v>
      </c>
      <c r="D77" s="53">
        <f t="shared" si="12"/>
        <v>0</v>
      </c>
      <c r="E77" s="53">
        <f t="shared" si="13"/>
        <v>7.0000000000000001E-3</v>
      </c>
      <c r="F77" s="15">
        <v>1.1519999999999999</v>
      </c>
      <c r="G77">
        <v>1.2490000000000001</v>
      </c>
      <c r="H77" t="s">
        <v>53</v>
      </c>
      <c r="I77" t="str">
        <f>VLOOKUP(A77,Setores!$A$2:$C$215,2,0)</f>
        <v>healthcare</v>
      </c>
      <c r="J77" t="str">
        <f>VLOOKUP(A77,Setores!$A$2:$C$215,3,0)</f>
        <v>low_beta</v>
      </c>
      <c r="K77" s="100">
        <v>2.1000000000000001E-2</v>
      </c>
      <c r="L77" s="58">
        <v>1.2999999999999999E-2</v>
      </c>
      <c r="M77" s="7">
        <v>7.0000000000000001E-3</v>
      </c>
      <c r="N77" s="41">
        <f>VLOOKUP(A77,'Mandato ISEE'!$A$1:$C$215,2,0)</f>
        <v>2.5382071222647601E-2</v>
      </c>
      <c r="O77" s="58">
        <f t="shared" si="14"/>
        <v>-4.3820712226475995E-3</v>
      </c>
      <c r="P77" s="41">
        <f>VLOOKUP(A77,'Mandato ISEE'!$A$1:$C$215,3,0)</f>
        <v>3.05244653829282E-2</v>
      </c>
      <c r="Q77" s="42">
        <f t="shared" si="15"/>
        <v>-9.5244653829281989E-3</v>
      </c>
      <c r="R77" s="42">
        <v>-0.45</v>
      </c>
      <c r="S77" s="15">
        <v>-0.51100000000000001</v>
      </c>
      <c r="T77" s="15">
        <v>-0.71599999999999997</v>
      </c>
      <c r="U77" s="15">
        <v>-0.20599999999999999</v>
      </c>
      <c r="V77" s="15">
        <v>-0.52700000000000002</v>
      </c>
      <c r="W77" s="15">
        <v>-0.13600000000000001</v>
      </c>
      <c r="X77" s="15">
        <v>6.5000000000000002E-2</v>
      </c>
      <c r="Y77" s="15">
        <v>3.7999999999999999E-2</v>
      </c>
      <c r="Z77" s="15">
        <v>0.29699999999999999</v>
      </c>
      <c r="AA77" s="15">
        <v>0.29799999999999999</v>
      </c>
      <c r="AB77" s="15">
        <v>0.59099999999999997</v>
      </c>
      <c r="AC77" s="15">
        <v>0.66100000000000003</v>
      </c>
      <c r="AD77" s="15">
        <v>0.626</v>
      </c>
      <c r="AE77" s="15">
        <v>-3.3000000000000002E-2</v>
      </c>
      <c r="AF77" s="14">
        <v>-0.84499999999999997</v>
      </c>
      <c r="AG77" s="15">
        <v>-0.31900000000000001</v>
      </c>
      <c r="AH77" s="15">
        <v>-0.98699999999999999</v>
      </c>
      <c r="AI77" s="15">
        <v>-0.49099999999999999</v>
      </c>
      <c r="AJ77" s="15">
        <v>-0.441</v>
      </c>
      <c r="AK77" s="16">
        <v>-0.50700000000000001</v>
      </c>
      <c r="AL77" s="4">
        <v>-0.122</v>
      </c>
      <c r="AM77" s="4">
        <v>-0.94599999999999995</v>
      </c>
      <c r="AN77" s="4">
        <v>-0.94799999999999995</v>
      </c>
      <c r="AO77" s="4">
        <v>0.35499999999999998</v>
      </c>
      <c r="AP77" s="4">
        <v>0.98599999999999999</v>
      </c>
      <c r="AQ77" s="4">
        <v>-9.6000000000000002E-2</v>
      </c>
      <c r="AR77" s="4">
        <v>0.187</v>
      </c>
      <c r="AS77" s="4">
        <v>-0.7</v>
      </c>
      <c r="AT77" s="4">
        <v>0.96</v>
      </c>
      <c r="AU77" s="4">
        <v>-3.9E-2</v>
      </c>
      <c r="AV77" s="4">
        <v>0.90800000000000003</v>
      </c>
      <c r="AW77" s="4">
        <v>0.73199999999999998</v>
      </c>
      <c r="AX77" s="4">
        <v>0.66600000000000004</v>
      </c>
      <c r="AY77" s="4">
        <v>0.64700000000000002</v>
      </c>
      <c r="AZ77" s="4">
        <v>0.41399999999999998</v>
      </c>
      <c r="BA77" s="4">
        <v>0.999</v>
      </c>
      <c r="BB77" s="4">
        <v>0.224</v>
      </c>
      <c r="BC77" s="4">
        <v>9.4E-2</v>
      </c>
      <c r="BD77" s="4">
        <v>-0.876</v>
      </c>
      <c r="BE77" s="4">
        <v>-4.7E-2</v>
      </c>
      <c r="BF77" s="4">
        <v>-0.38600000000000001</v>
      </c>
      <c r="BG77" s="4">
        <v>0.19400000000000001</v>
      </c>
      <c r="BH77" s="4">
        <v>-0.47499999999999998</v>
      </c>
      <c r="BI77" s="4">
        <v>-0.19900000000000001</v>
      </c>
      <c r="BJ77" s="4">
        <v>0.114</v>
      </c>
      <c r="BK77" s="4">
        <v>-0.73699999999999999</v>
      </c>
      <c r="BL77" s="4"/>
    </row>
    <row r="78" spans="1:64" x14ac:dyDescent="0.3">
      <c r="A78" t="s">
        <v>160</v>
      </c>
      <c r="B78" s="53">
        <f t="shared" si="10"/>
        <v>0</v>
      </c>
      <c r="C78" s="53">
        <f t="shared" si="11"/>
        <v>0</v>
      </c>
      <c r="D78" s="53">
        <f t="shared" si="12"/>
        <v>0</v>
      </c>
      <c r="E78" s="53">
        <f t="shared" si="13"/>
        <v>0</v>
      </c>
      <c r="F78" s="15">
        <v>1.151</v>
      </c>
      <c r="G78">
        <v>0.86099999999999999</v>
      </c>
      <c r="H78" t="s">
        <v>57</v>
      </c>
      <c r="I78" t="str">
        <f>VLOOKUP(A78,Setores!$A$2:$C$215,2,0)</f>
        <v>financial_services</v>
      </c>
      <c r="J78" t="str">
        <f>VLOOKUP(A78,Setores!$A$2:$C$215,3,0)</f>
        <v>neutral_beta</v>
      </c>
      <c r="K78" s="100">
        <v>0</v>
      </c>
      <c r="L78" s="58">
        <v>0</v>
      </c>
      <c r="M78" s="7">
        <v>0</v>
      </c>
      <c r="N78" s="41">
        <f>VLOOKUP(A78,'Mandato ISEE'!$A$1:$C$215,2,0)</f>
        <v>0</v>
      </c>
      <c r="O78" s="58">
        <f t="shared" si="14"/>
        <v>0</v>
      </c>
      <c r="P78" s="41">
        <f>VLOOKUP(A78,'Mandato ISEE'!$A$1:$C$215,3,0)</f>
        <v>0</v>
      </c>
      <c r="Q78" s="42">
        <f t="shared" si="15"/>
        <v>0</v>
      </c>
      <c r="R78" s="42">
        <v>-0.11700000000000001</v>
      </c>
      <c r="S78" s="15">
        <v>-0.14199999999999999</v>
      </c>
      <c r="T78" s="15">
        <v>-0.17599999999999999</v>
      </c>
      <c r="U78" s="15">
        <v>-0.16500000000000001</v>
      </c>
      <c r="V78" s="15">
        <v>-0.17799999999999999</v>
      </c>
      <c r="W78" s="15">
        <v>-0.34399999999999997</v>
      </c>
      <c r="X78" s="15">
        <v>-0.32</v>
      </c>
      <c r="Y78" s="15">
        <v>-0.502</v>
      </c>
      <c r="Z78" s="15">
        <v>0.45300000000000001</v>
      </c>
      <c r="AA78" s="15">
        <v>0.45</v>
      </c>
      <c r="AB78" s="15">
        <v>0.81599999999999995</v>
      </c>
      <c r="AC78" s="15">
        <v>1</v>
      </c>
      <c r="AD78" s="15">
        <v>0.67200000000000004</v>
      </c>
      <c r="AE78" s="15">
        <v>-0.156</v>
      </c>
      <c r="AF78" s="14">
        <v>0.70199999999999996</v>
      </c>
      <c r="AG78" s="15">
        <v>-0.19900000000000001</v>
      </c>
      <c r="AH78" s="15">
        <v>-0.47799999999999998</v>
      </c>
      <c r="AI78" s="15">
        <v>-0.82599999999999996</v>
      </c>
      <c r="AJ78" s="15">
        <v>-0.55000000000000004</v>
      </c>
      <c r="AK78" s="16">
        <v>0.42899999999999999</v>
      </c>
      <c r="AL78" s="4">
        <v>-0.48399999999999999</v>
      </c>
      <c r="AM78" s="4">
        <v>-3.4000000000000002E-2</v>
      </c>
      <c r="AN78" s="4">
        <v>0.95299999999999996</v>
      </c>
      <c r="AO78" s="4">
        <v>-0.218</v>
      </c>
      <c r="AP78" s="4">
        <v>-6.3E-2</v>
      </c>
      <c r="AQ78" s="4">
        <v>5.6000000000000001E-2</v>
      </c>
      <c r="AR78" s="4">
        <v>0.26300000000000001</v>
      </c>
      <c r="AS78" s="4">
        <v>-7.2999999999999995E-2</v>
      </c>
      <c r="AT78" s="4">
        <v>0.17799999999999999</v>
      </c>
      <c r="AU78" s="4">
        <v>0.40799999999999997</v>
      </c>
      <c r="AV78" s="4">
        <v>-0.39200000000000002</v>
      </c>
      <c r="AW78" s="4">
        <v>4.2000000000000003E-2</v>
      </c>
      <c r="AX78" s="4">
        <v>-0.16500000000000001</v>
      </c>
      <c r="AY78" s="4">
        <v>8.8999999999999996E-2</v>
      </c>
      <c r="AZ78" s="4">
        <v>-1.4E-2</v>
      </c>
      <c r="BA78" s="4">
        <v>-0.02</v>
      </c>
      <c r="BB78" s="4">
        <v>-5.3999999999999999E-2</v>
      </c>
      <c r="BC78" s="4">
        <v>0.24399999999999999</v>
      </c>
      <c r="BD78" s="4">
        <v>0.33600000000000002</v>
      </c>
      <c r="BE78" s="4">
        <v>8.9999999999999993E-3</v>
      </c>
      <c r="BF78" s="4">
        <v>0.437</v>
      </c>
      <c r="BG78" s="4">
        <v>-0.24</v>
      </c>
      <c r="BH78" s="4">
        <v>0.27400000000000002</v>
      </c>
      <c r="BI78" s="4">
        <v>-0.16500000000000001</v>
      </c>
      <c r="BJ78" s="4">
        <v>0.99199999999999999</v>
      </c>
      <c r="BK78" s="4">
        <v>-0.11899999999999999</v>
      </c>
      <c r="BL78" s="4"/>
    </row>
    <row r="79" spans="1:64" x14ac:dyDescent="0.3">
      <c r="A79" t="s">
        <v>150</v>
      </c>
      <c r="B79" s="53">
        <f t="shared" si="10"/>
        <v>0</v>
      </c>
      <c r="C79" s="53">
        <f t="shared" si="11"/>
        <v>0</v>
      </c>
      <c r="D79" s="53">
        <f t="shared" si="12"/>
        <v>0</v>
      </c>
      <c r="E79" s="53">
        <f t="shared" si="13"/>
        <v>0</v>
      </c>
      <c r="F79" s="15">
        <v>1.143</v>
      </c>
      <c r="G79">
        <v>0.97</v>
      </c>
      <c r="H79" t="s">
        <v>53</v>
      </c>
      <c r="I79" t="str">
        <f>VLOOKUP(A79,Setores!$A$2:$C$215,2,0)</f>
        <v>healthcare</v>
      </c>
      <c r="J79" t="str">
        <f>VLOOKUP(A79,Setores!$A$2:$C$215,3,0)</f>
        <v>low_beta</v>
      </c>
      <c r="K79" s="100">
        <v>0</v>
      </c>
      <c r="L79" s="58">
        <v>0</v>
      </c>
      <c r="M79" s="7">
        <v>0</v>
      </c>
      <c r="N79" s="41">
        <f>VLOOKUP(A79,'Mandato ISEE'!$A$1:$C$215,2,0)</f>
        <v>0</v>
      </c>
      <c r="O79" s="58">
        <f t="shared" si="14"/>
        <v>0</v>
      </c>
      <c r="P79" s="41">
        <f>VLOOKUP(A79,'Mandato ISEE'!$A$1:$C$215,3,0)</f>
        <v>0</v>
      </c>
      <c r="Q79" s="42">
        <f t="shared" si="15"/>
        <v>0</v>
      </c>
      <c r="R79" s="42">
        <v>-0.18099999999999999</v>
      </c>
      <c r="S79" s="15">
        <v>-3.6999999999999998E-2</v>
      </c>
      <c r="T79" s="15">
        <v>-0.18</v>
      </c>
      <c r="U79" s="15">
        <v>-0.503</v>
      </c>
      <c r="V79" s="15">
        <v>-0.35399999999999998</v>
      </c>
      <c r="W79" s="15">
        <v>-0.182</v>
      </c>
      <c r="X79" s="15">
        <v>-0.112</v>
      </c>
      <c r="Y79" s="15">
        <v>-0.28299999999999997</v>
      </c>
      <c r="Z79" s="15">
        <v>0.14499999999999999</v>
      </c>
      <c r="AA79" s="15">
        <v>0.14299999999999999</v>
      </c>
      <c r="AB79" s="15">
        <v>0.69799999999999995</v>
      </c>
      <c r="AC79" s="15">
        <v>0.59599999999999997</v>
      </c>
      <c r="AD79" s="15">
        <v>0.70099999999999996</v>
      </c>
      <c r="AE79" s="15">
        <v>-0.39900000000000002</v>
      </c>
      <c r="AF79" s="14">
        <v>-0.86699999999999999</v>
      </c>
      <c r="AG79" s="15">
        <v>-0.25700000000000001</v>
      </c>
      <c r="AH79" s="15">
        <v>-0.32700000000000001</v>
      </c>
      <c r="AI79" s="15">
        <v>0.317</v>
      </c>
      <c r="AJ79" s="15">
        <v>-0.17499999999999999</v>
      </c>
      <c r="AK79" s="16">
        <v>-0.218</v>
      </c>
      <c r="AL79" s="4">
        <v>-0.33</v>
      </c>
      <c r="AM79" s="4">
        <v>-0.46899999999999997</v>
      </c>
      <c r="AN79" s="4">
        <v>0.254</v>
      </c>
      <c r="AO79" s="4">
        <v>0.185</v>
      </c>
      <c r="AP79" s="4">
        <v>0.32900000000000001</v>
      </c>
      <c r="AQ79" s="4">
        <v>-0.26500000000000001</v>
      </c>
      <c r="AR79" s="4">
        <v>-0.32800000000000001</v>
      </c>
      <c r="AS79" s="4">
        <v>-0.30199999999999999</v>
      </c>
      <c r="AT79" s="4">
        <v>6.0999999999999999E-2</v>
      </c>
      <c r="AU79" s="4">
        <v>-0.14299999999999999</v>
      </c>
      <c r="AV79" s="4">
        <v>3.5000000000000003E-2</v>
      </c>
      <c r="AW79" s="4">
        <v>0.28799999999999998</v>
      </c>
      <c r="AX79" s="4">
        <v>0.254</v>
      </c>
      <c r="AY79" s="4">
        <v>0.81699999999999995</v>
      </c>
      <c r="AZ79" s="4">
        <v>0.78</v>
      </c>
      <c r="BA79" s="4">
        <v>0.60299999999999998</v>
      </c>
      <c r="BB79" s="4">
        <v>-7.3999999999999996E-2</v>
      </c>
      <c r="BC79" s="4">
        <v>-0.17100000000000001</v>
      </c>
      <c r="BD79" s="4">
        <v>0.21299999999999999</v>
      </c>
      <c r="BE79" s="4">
        <v>-0.33300000000000002</v>
      </c>
      <c r="BF79" s="4">
        <v>0.5</v>
      </c>
      <c r="BG79" s="4">
        <v>0.48599999999999999</v>
      </c>
      <c r="BH79" s="4">
        <v>0.26600000000000001</v>
      </c>
      <c r="BI79" s="4">
        <v>-0.153</v>
      </c>
      <c r="BJ79" s="4">
        <v>0.70699999999999996</v>
      </c>
      <c r="BK79" s="4">
        <v>0.35</v>
      </c>
      <c r="BL79" s="4"/>
    </row>
    <row r="80" spans="1:64" x14ac:dyDescent="0.3">
      <c r="A80" t="s">
        <v>165</v>
      </c>
      <c r="B80" s="53">
        <f t="shared" si="10"/>
        <v>0</v>
      </c>
      <c r="C80" s="53">
        <f t="shared" si="11"/>
        <v>0</v>
      </c>
      <c r="D80" s="53">
        <f t="shared" si="12"/>
        <v>0</v>
      </c>
      <c r="E80" s="53">
        <f t="shared" si="13"/>
        <v>0</v>
      </c>
      <c r="F80" s="15">
        <v>1.1279999999999999</v>
      </c>
      <c r="G80">
        <v>0.85099999999999998</v>
      </c>
      <c r="H80" t="s">
        <v>71</v>
      </c>
      <c r="I80" t="str">
        <f>VLOOKUP(A80,Setores!$A$2:$C$215,2,0)</f>
        <v>basic_materials</v>
      </c>
      <c r="J80" t="str">
        <f>VLOOKUP(A80,Setores!$A$2:$C$215,3,0)</f>
        <v>neutral_beta</v>
      </c>
      <c r="K80" s="100">
        <v>0</v>
      </c>
      <c r="L80" s="58">
        <v>0</v>
      </c>
      <c r="M80" s="7">
        <v>0</v>
      </c>
      <c r="N80" s="41">
        <f>VLOOKUP(A80,'Mandato ISEE'!$A$1:$C$215,2,0)</f>
        <v>0</v>
      </c>
      <c r="O80" s="58">
        <f t="shared" si="14"/>
        <v>0</v>
      </c>
      <c r="P80" s="41">
        <f>VLOOKUP(A80,'Mandato ISEE'!$A$1:$C$215,3,0)</f>
        <v>0</v>
      </c>
      <c r="Q80" s="42">
        <f t="shared" si="15"/>
        <v>0</v>
      </c>
      <c r="R80" s="42">
        <v>-0.36399999999999999</v>
      </c>
      <c r="S80" s="15">
        <v>0.245</v>
      </c>
      <c r="T80" s="15">
        <v>-0.63600000000000001</v>
      </c>
      <c r="U80" s="15">
        <v>-0.31</v>
      </c>
      <c r="V80" s="15">
        <v>-0.18099999999999999</v>
      </c>
      <c r="W80" s="15">
        <v>-0.64400000000000002</v>
      </c>
      <c r="X80" s="15">
        <v>-0.82399999999999995</v>
      </c>
      <c r="Y80" s="15">
        <v>-0.13800000000000001</v>
      </c>
      <c r="Z80" s="15">
        <v>0.48299999999999998</v>
      </c>
      <c r="AA80" s="15">
        <v>0.48399999999999999</v>
      </c>
      <c r="AB80" s="15">
        <v>0.61099999999999999</v>
      </c>
      <c r="AC80" s="15">
        <v>0.57199999999999995</v>
      </c>
      <c r="AD80" s="15">
        <v>0.879</v>
      </c>
      <c r="AE80" s="15">
        <v>-0.20499999999999999</v>
      </c>
      <c r="AF80" s="14">
        <v>-0.49099999999999999</v>
      </c>
      <c r="AG80" s="15">
        <v>0.98</v>
      </c>
      <c r="AH80" s="15">
        <v>-0.73099999999999998</v>
      </c>
      <c r="AI80" s="15">
        <v>-0.23</v>
      </c>
      <c r="AJ80" s="15">
        <v>-0.92100000000000004</v>
      </c>
      <c r="AK80" s="16">
        <v>-0.254</v>
      </c>
      <c r="AL80" s="4">
        <v>-0.67500000000000004</v>
      </c>
      <c r="AM80" s="4">
        <v>0.224</v>
      </c>
      <c r="AN80" s="4">
        <v>-0.46</v>
      </c>
      <c r="AO80" s="4">
        <v>0.66800000000000004</v>
      </c>
      <c r="AP80" s="4">
        <v>0.626</v>
      </c>
      <c r="AQ80" s="4">
        <v>-0.53500000000000003</v>
      </c>
      <c r="AR80" s="4">
        <v>1</v>
      </c>
      <c r="AS80" s="4">
        <v>0.155</v>
      </c>
      <c r="AT80" s="4">
        <v>-0.11799999999999999</v>
      </c>
      <c r="AU80" s="4">
        <v>-0.8</v>
      </c>
      <c r="AV80" s="4">
        <v>6.7000000000000004E-2</v>
      </c>
      <c r="AW80" s="4">
        <v>-0.13400000000000001</v>
      </c>
      <c r="AX80" s="4">
        <v>0.124</v>
      </c>
      <c r="AY80" s="4">
        <v>0.622</v>
      </c>
      <c r="AZ80" s="4">
        <v>-1</v>
      </c>
      <c r="BA80" s="4">
        <v>0.74299999999999999</v>
      </c>
      <c r="BB80" s="4">
        <v>0.50600000000000001</v>
      </c>
      <c r="BC80" s="4">
        <v>0.26600000000000001</v>
      </c>
      <c r="BD80" s="4">
        <v>0.77300000000000002</v>
      </c>
      <c r="BE80" s="4">
        <v>-1</v>
      </c>
      <c r="BF80" s="4">
        <v>0.62</v>
      </c>
      <c r="BG80" s="4">
        <v>-0.42599999999999999</v>
      </c>
      <c r="BH80" s="4">
        <v>3.0000000000000001E-3</v>
      </c>
      <c r="BI80" s="4">
        <v>-0.32400000000000001</v>
      </c>
      <c r="BJ80" s="4">
        <v>0.83499999999999996</v>
      </c>
      <c r="BK80" s="4">
        <v>-8.9999999999999993E-3</v>
      </c>
      <c r="BL80" s="4"/>
    </row>
    <row r="81" spans="1:64" x14ac:dyDescent="0.3">
      <c r="A81" t="s">
        <v>99</v>
      </c>
      <c r="B81" s="53">
        <f t="shared" si="10"/>
        <v>0</v>
      </c>
      <c r="C81" s="53">
        <f t="shared" si="11"/>
        <v>0</v>
      </c>
      <c r="D81" s="53">
        <f t="shared" si="12"/>
        <v>0</v>
      </c>
      <c r="E81" s="53">
        <f t="shared" si="13"/>
        <v>0</v>
      </c>
      <c r="F81" s="15">
        <v>1.111</v>
      </c>
      <c r="G81">
        <v>1.131</v>
      </c>
      <c r="H81" t="s">
        <v>57</v>
      </c>
      <c r="I81" t="str">
        <f>VLOOKUP(A81,Setores!$A$2:$C$215,2,0)</f>
        <v>homebuilders</v>
      </c>
      <c r="J81" t="str">
        <f>VLOOKUP(A81,Setores!$A$2:$C$215,3,0)</f>
        <v>neutral_beta</v>
      </c>
      <c r="K81" s="100">
        <v>0</v>
      </c>
      <c r="L81" s="58">
        <v>0</v>
      </c>
      <c r="M81" s="7">
        <v>0</v>
      </c>
      <c r="N81" s="41">
        <f>VLOOKUP(A81,'Mandato ISEE'!$A$1:$C$215,2,0)</f>
        <v>0</v>
      </c>
      <c r="O81" s="58">
        <f t="shared" si="14"/>
        <v>0</v>
      </c>
      <c r="P81" s="41">
        <f>VLOOKUP(A81,'Mandato ISEE'!$A$1:$C$215,3,0)</f>
        <v>0</v>
      </c>
      <c r="Q81" s="42">
        <f t="shared" si="15"/>
        <v>0</v>
      </c>
      <c r="R81" s="42">
        <v>-0.17100000000000001</v>
      </c>
      <c r="S81" s="15">
        <v>-0.58899999999999997</v>
      </c>
      <c r="T81" s="15">
        <v>0.26900000000000002</v>
      </c>
      <c r="U81" s="15">
        <v>-0.23899999999999999</v>
      </c>
      <c r="V81" s="15">
        <v>-0.151</v>
      </c>
      <c r="W81" s="15">
        <v>-3.1E-2</v>
      </c>
      <c r="X81" s="15">
        <v>7.1999999999999995E-2</v>
      </c>
      <c r="Y81" s="15">
        <v>-0.36799999999999999</v>
      </c>
      <c r="Z81" s="15">
        <v>0.17799999999999999</v>
      </c>
      <c r="AA81" s="15">
        <v>0.17699999999999999</v>
      </c>
      <c r="AB81" s="15">
        <v>0.53100000000000003</v>
      </c>
      <c r="AC81" s="15">
        <v>0.61699999999999999</v>
      </c>
      <c r="AD81" s="15">
        <v>0.55100000000000005</v>
      </c>
      <c r="AE81" s="15">
        <v>0.32600000000000001</v>
      </c>
      <c r="AF81" s="14">
        <v>0.53</v>
      </c>
      <c r="AG81" s="15">
        <v>-0.65800000000000003</v>
      </c>
      <c r="AH81" s="15">
        <v>0.60399999999999998</v>
      </c>
      <c r="AI81" s="15">
        <v>-0.376</v>
      </c>
      <c r="AJ81" s="15">
        <v>0.159</v>
      </c>
      <c r="AK81" s="16">
        <v>-0.223</v>
      </c>
      <c r="AL81" s="4">
        <v>0.378</v>
      </c>
      <c r="AM81" s="4">
        <v>9.0999999999999998E-2</v>
      </c>
      <c r="AN81" s="4">
        <v>0.157</v>
      </c>
      <c r="AO81" s="4">
        <v>-0.753</v>
      </c>
      <c r="AP81" s="4">
        <v>-0.84499999999999997</v>
      </c>
      <c r="AQ81" s="4">
        <v>0.38700000000000001</v>
      </c>
      <c r="AR81" s="4">
        <v>-6.3E-2</v>
      </c>
      <c r="AS81" s="4">
        <v>-0.158</v>
      </c>
      <c r="AT81" s="4">
        <v>-0.14399999999999999</v>
      </c>
      <c r="AU81" s="4">
        <v>-0.45800000000000002</v>
      </c>
      <c r="AV81" s="4">
        <v>5.6000000000000001E-2</v>
      </c>
      <c r="AW81" s="4">
        <v>6.6000000000000003E-2</v>
      </c>
      <c r="AX81" s="4">
        <v>-2E-3</v>
      </c>
      <c r="AY81" s="4">
        <v>0.64</v>
      </c>
      <c r="AZ81" s="4">
        <v>0.32500000000000001</v>
      </c>
      <c r="BA81" s="4">
        <v>0.1</v>
      </c>
      <c r="BB81" s="4">
        <v>-9.9000000000000005E-2</v>
      </c>
      <c r="BC81" s="4">
        <v>-0.442</v>
      </c>
      <c r="BD81" s="4">
        <v>7.2999999999999995E-2</v>
      </c>
      <c r="BE81" s="4">
        <v>0.60599999999999998</v>
      </c>
      <c r="BF81" s="4">
        <v>0.3</v>
      </c>
      <c r="BG81" s="4">
        <v>0.86099999999999999</v>
      </c>
      <c r="BH81" s="4">
        <v>-0.26700000000000002</v>
      </c>
      <c r="BI81" s="4">
        <v>0.187</v>
      </c>
      <c r="BJ81" s="4">
        <v>0.53400000000000003</v>
      </c>
      <c r="BK81" s="4">
        <v>0.49299999999999999</v>
      </c>
      <c r="BL81" s="4"/>
    </row>
    <row r="82" spans="1:64" x14ac:dyDescent="0.3">
      <c r="A82" t="s">
        <v>237</v>
      </c>
      <c r="B82" s="53">
        <f t="shared" si="10"/>
        <v>0</v>
      </c>
      <c r="C82" s="53">
        <f t="shared" si="11"/>
        <v>0</v>
      </c>
      <c r="D82" s="53">
        <f t="shared" si="12"/>
        <v>0</v>
      </c>
      <c r="E82" s="53">
        <f t="shared" si="13"/>
        <v>0</v>
      </c>
      <c r="F82" s="15">
        <v>1.097</v>
      </c>
      <c r="G82">
        <v>0.76900000000000002</v>
      </c>
      <c r="H82" t="s">
        <v>53</v>
      </c>
      <c r="I82" t="str">
        <f>VLOOKUP(A82,Setores!$A$2:$C$215,2,0)</f>
        <v>healthcare</v>
      </c>
      <c r="J82" t="str">
        <f>VLOOKUP(A82,Setores!$A$2:$C$215,3,0)</f>
        <v>very_high_beta</v>
      </c>
      <c r="K82" s="100">
        <v>0</v>
      </c>
      <c r="L82" s="58">
        <v>0</v>
      </c>
      <c r="M82" s="7">
        <v>0</v>
      </c>
      <c r="N82" s="41">
        <f>VLOOKUP(A82,'Mandato ISEE'!$A$1:$C$215,2,0)</f>
        <v>0</v>
      </c>
      <c r="O82" s="58">
        <f t="shared" si="14"/>
        <v>0</v>
      </c>
      <c r="P82" s="41">
        <f>VLOOKUP(A82,'Mandato ISEE'!$A$1:$C$215,3,0)</f>
        <v>0</v>
      </c>
      <c r="Q82" s="42">
        <f t="shared" si="15"/>
        <v>0</v>
      </c>
      <c r="R82" s="42">
        <v>0.38700000000000001</v>
      </c>
      <c r="S82" s="15">
        <v>0.82799999999999996</v>
      </c>
      <c r="T82" s="15">
        <v>0.56000000000000005</v>
      </c>
      <c r="U82" s="15">
        <v>9.0999999999999998E-2</v>
      </c>
      <c r="V82" s="15">
        <v>0.56499999999999995</v>
      </c>
      <c r="W82" s="15">
        <v>-0.57099999999999995</v>
      </c>
      <c r="X82" s="15">
        <v>-0.79</v>
      </c>
      <c r="Y82" s="15">
        <v>-0.503</v>
      </c>
      <c r="Z82" s="15">
        <v>-0.14899999999999999</v>
      </c>
      <c r="AA82" s="15">
        <v>-0.14799999999999999</v>
      </c>
      <c r="AB82" s="15">
        <v>0.32400000000000001</v>
      </c>
      <c r="AC82" s="15">
        <v>0.42499999999999999</v>
      </c>
      <c r="AD82" s="15">
        <v>0.312</v>
      </c>
      <c r="AE82" s="15">
        <v>0.437</v>
      </c>
      <c r="AF82" s="14">
        <v>0.64</v>
      </c>
      <c r="AG82" s="15">
        <v>0.76400000000000001</v>
      </c>
      <c r="AH82" s="15">
        <v>1</v>
      </c>
      <c r="AI82" s="15">
        <v>0.65800000000000003</v>
      </c>
      <c r="AJ82" s="15">
        <v>-0.52400000000000002</v>
      </c>
      <c r="AK82" s="16">
        <v>0.67400000000000004</v>
      </c>
      <c r="AL82" s="4">
        <v>-0.89100000000000001</v>
      </c>
      <c r="AM82" s="4">
        <v>0.80200000000000005</v>
      </c>
      <c r="AN82" s="4">
        <v>0.217</v>
      </c>
      <c r="AO82" s="4">
        <v>-0.22800000000000001</v>
      </c>
      <c r="AP82" s="4">
        <v>0.249</v>
      </c>
      <c r="AQ82" s="4">
        <v>-0.30399999999999999</v>
      </c>
      <c r="AR82" s="4">
        <v>0.26500000000000001</v>
      </c>
      <c r="AS82" s="4">
        <v>5.1999999999999998E-2</v>
      </c>
      <c r="AT82" s="4">
        <v>7.0000000000000001E-3</v>
      </c>
      <c r="AU82" s="4">
        <v>-0.62</v>
      </c>
      <c r="AV82" s="4">
        <v>-0.01</v>
      </c>
      <c r="AW82" s="4">
        <v>-0.55800000000000005</v>
      </c>
      <c r="AX82" s="4">
        <v>-0.61199999999999999</v>
      </c>
      <c r="AY82" s="4">
        <v>-0.33600000000000002</v>
      </c>
      <c r="AZ82" s="4">
        <v>-0.51300000000000001</v>
      </c>
      <c r="BA82" s="4">
        <v>0.98399999999999999</v>
      </c>
      <c r="BB82" s="4">
        <v>0.104</v>
      </c>
      <c r="BC82" s="4">
        <v>-3.0000000000000001E-3</v>
      </c>
      <c r="BD82" s="4">
        <v>0.32300000000000001</v>
      </c>
      <c r="BE82" s="4">
        <v>0.54700000000000004</v>
      </c>
      <c r="BF82" s="4">
        <v>0.51500000000000001</v>
      </c>
      <c r="BG82" s="4">
        <v>-0.63900000000000001</v>
      </c>
      <c r="BH82" s="4">
        <v>1</v>
      </c>
      <c r="BI82" s="4">
        <v>0.38600000000000001</v>
      </c>
      <c r="BJ82" s="4">
        <v>0.59499999999999997</v>
      </c>
      <c r="BK82" s="4">
        <v>0.99399999999999999</v>
      </c>
      <c r="BL82" s="4"/>
    </row>
    <row r="83" spans="1:64" x14ac:dyDescent="0.3">
      <c r="A83" t="s">
        <v>164</v>
      </c>
      <c r="B83" s="53">
        <f t="shared" si="10"/>
        <v>2.7E-2</v>
      </c>
      <c r="C83" s="53">
        <f t="shared" si="11"/>
        <v>2.4E-2</v>
      </c>
      <c r="D83" s="53">
        <f t="shared" si="12"/>
        <v>0</v>
      </c>
      <c r="E83" s="53">
        <f t="shared" si="13"/>
        <v>3.0000000000000001E-3</v>
      </c>
      <c r="F83" s="15">
        <v>1.093</v>
      </c>
      <c r="G83">
        <v>1.2490000000000001</v>
      </c>
      <c r="H83" t="s">
        <v>68</v>
      </c>
      <c r="I83" t="str">
        <f>VLOOKUP(A83,Setores!$A$2:$C$215,2,0)</f>
        <v>capital_goods</v>
      </c>
      <c r="J83" t="str">
        <f>VLOOKUP(A83,Setores!$A$2:$C$215,3,0)</f>
        <v>neutral_beta</v>
      </c>
      <c r="K83" s="100">
        <v>2.7E-2</v>
      </c>
      <c r="L83" s="58">
        <v>2.4E-2</v>
      </c>
      <c r="M83" s="7">
        <v>3.0000000000000001E-3</v>
      </c>
      <c r="N83" s="41">
        <f>VLOOKUP(A83,'Mandato ISEE'!$A$1:$C$215,2,0)</f>
        <v>0</v>
      </c>
      <c r="O83" s="58">
        <f t="shared" si="14"/>
        <v>2.7E-2</v>
      </c>
      <c r="P83" s="41">
        <f>VLOOKUP(A83,'Mandato ISEE'!$A$1:$C$215,3,0)</f>
        <v>0</v>
      </c>
      <c r="Q83" s="42">
        <f t="shared" si="15"/>
        <v>2.7E-2</v>
      </c>
      <c r="R83" s="42">
        <v>-7.0999999999999994E-2</v>
      </c>
      <c r="S83" s="15">
        <v>-2E-3</v>
      </c>
      <c r="T83" s="15">
        <v>-5.6000000000000001E-2</v>
      </c>
      <c r="U83" s="15">
        <v>-0.33</v>
      </c>
      <c r="V83" s="15">
        <v>-0.218</v>
      </c>
      <c r="W83" s="15">
        <v>-0.25900000000000001</v>
      </c>
      <c r="X83" s="15">
        <v>-0.40699999999999997</v>
      </c>
      <c r="Y83" s="15">
        <v>-0.60499999999999998</v>
      </c>
      <c r="Z83" s="15">
        <v>0.53200000000000003</v>
      </c>
      <c r="AA83" s="15">
        <v>0.52900000000000003</v>
      </c>
      <c r="AB83" s="15">
        <v>0.62</v>
      </c>
      <c r="AC83" s="15">
        <v>0.70899999999999996</v>
      </c>
      <c r="AD83" s="15">
        <v>0.70599999999999996</v>
      </c>
      <c r="AE83" s="15">
        <v>-0.22800000000000001</v>
      </c>
      <c r="AF83" s="14">
        <v>4.0000000000000001E-3</v>
      </c>
      <c r="AG83" s="15">
        <v>-0.16</v>
      </c>
      <c r="AH83" s="15">
        <v>0.54800000000000004</v>
      </c>
      <c r="AI83" s="15">
        <v>-0.37</v>
      </c>
      <c r="AJ83" s="15">
        <v>-0.53100000000000003</v>
      </c>
      <c r="AK83" s="16">
        <v>0.314</v>
      </c>
      <c r="AL83" s="4">
        <v>-0.46500000000000002</v>
      </c>
      <c r="AM83" s="4">
        <v>0.71699999999999997</v>
      </c>
      <c r="AN83" s="4">
        <v>-0.25700000000000001</v>
      </c>
      <c r="AO83" s="4">
        <v>-0.433</v>
      </c>
      <c r="AP83" s="4">
        <v>-0.17499999999999999</v>
      </c>
      <c r="AQ83" s="4">
        <v>5.8000000000000003E-2</v>
      </c>
      <c r="AR83" s="4">
        <v>0.314</v>
      </c>
      <c r="AS83" s="4">
        <v>6.9000000000000006E-2</v>
      </c>
      <c r="AT83" s="4">
        <v>8.9999999999999993E-3</v>
      </c>
      <c r="AU83" s="4">
        <v>-0.54300000000000004</v>
      </c>
      <c r="AV83" s="4">
        <v>-0.217</v>
      </c>
      <c r="AW83" s="4">
        <v>0.54</v>
      </c>
      <c r="AX83" s="4">
        <v>-0.21099999999999999</v>
      </c>
      <c r="AY83" s="4">
        <v>0.92800000000000005</v>
      </c>
      <c r="AZ83" s="4">
        <v>1</v>
      </c>
      <c r="BA83" s="4">
        <v>4.8000000000000001E-2</v>
      </c>
      <c r="BB83" s="4">
        <v>0.224</v>
      </c>
      <c r="BC83" s="4">
        <v>0.13800000000000001</v>
      </c>
      <c r="BD83" s="4">
        <v>0.29499999999999998</v>
      </c>
      <c r="BE83" s="4">
        <v>-0.28799999999999998</v>
      </c>
      <c r="BF83" s="4">
        <v>-0.224</v>
      </c>
      <c r="BG83" s="4">
        <v>0.38300000000000001</v>
      </c>
      <c r="BH83" s="4">
        <v>-4.2999999999999997E-2</v>
      </c>
      <c r="BI83" s="4">
        <v>0.24</v>
      </c>
      <c r="BJ83" s="4">
        <v>6.0999999999999999E-2</v>
      </c>
      <c r="BK83" s="4">
        <v>0.45400000000000001</v>
      </c>
      <c r="BL83" s="4"/>
    </row>
    <row r="84" spans="1:64" x14ac:dyDescent="0.3">
      <c r="A84" t="s">
        <v>143</v>
      </c>
      <c r="B84" s="53">
        <v>3.5000000000000003E-2</v>
      </c>
      <c r="C84" s="53">
        <f t="shared" si="11"/>
        <v>2.0000000000000004E-2</v>
      </c>
      <c r="D84" s="53">
        <f t="shared" si="12"/>
        <v>-6.9999999999999993E-3</v>
      </c>
      <c r="E84" s="53">
        <f t="shared" si="13"/>
        <v>1.4999999999999999E-2</v>
      </c>
      <c r="F84" s="15">
        <v>1.08</v>
      </c>
      <c r="G84">
        <v>1.734</v>
      </c>
      <c r="H84" t="s">
        <v>53</v>
      </c>
      <c r="I84" t="str">
        <f>VLOOKUP(A84,Setores!$A$2:$C$215,2,0)</f>
        <v>healthcare</v>
      </c>
      <c r="J84" t="str">
        <f>VLOOKUP(A84,Setores!$A$2:$C$215,3,0)</f>
        <v>low_beta</v>
      </c>
      <c r="K84" s="100">
        <v>4.2000000000000003E-2</v>
      </c>
      <c r="L84" s="58">
        <v>2.8000000000000001E-2</v>
      </c>
      <c r="M84" s="7">
        <v>1.4999999999999999E-2</v>
      </c>
      <c r="N84" s="41">
        <f>VLOOKUP(A84,'Mandato ISEE'!$A$1:$C$215,2,0)</f>
        <v>0</v>
      </c>
      <c r="O84" s="58">
        <f t="shared" si="14"/>
        <v>4.2000000000000003E-2</v>
      </c>
      <c r="P84" s="41">
        <f>VLOOKUP(A84,'Mandato ISEE'!$A$1:$C$215,3,0)</f>
        <v>0</v>
      </c>
      <c r="Q84" s="42">
        <f t="shared" si="15"/>
        <v>4.2000000000000003E-2</v>
      </c>
      <c r="R84" s="42">
        <v>-0.39500000000000002</v>
      </c>
      <c r="S84" s="15">
        <v>-0.47</v>
      </c>
      <c r="T84" s="15">
        <v>-0.7</v>
      </c>
      <c r="U84" s="15">
        <v>-0.315</v>
      </c>
      <c r="V84" s="15">
        <v>-0.57499999999999996</v>
      </c>
      <c r="W84" s="15">
        <v>-8.5999999999999993E-2</v>
      </c>
      <c r="X84" s="15">
        <v>0.13200000000000001</v>
      </c>
      <c r="Y84" s="15">
        <v>-0.22</v>
      </c>
      <c r="Z84" s="15">
        <v>0.32700000000000001</v>
      </c>
      <c r="AA84" s="15">
        <v>0.32500000000000001</v>
      </c>
      <c r="AB84" s="15">
        <v>0.81699999999999995</v>
      </c>
      <c r="AC84" s="15">
        <v>0.82499999999999996</v>
      </c>
      <c r="AD84" s="15">
        <v>0.622</v>
      </c>
      <c r="AE84" s="15">
        <v>-0.26400000000000001</v>
      </c>
      <c r="AF84" s="14">
        <v>-0.39200000000000002</v>
      </c>
      <c r="AG84" s="15">
        <v>-0.313</v>
      </c>
      <c r="AH84" s="15">
        <v>-0.65200000000000002</v>
      </c>
      <c r="AI84" s="15">
        <v>-0.32800000000000001</v>
      </c>
      <c r="AJ84" s="15">
        <v>-0.78800000000000003</v>
      </c>
      <c r="AK84" s="16">
        <v>1.6E-2</v>
      </c>
      <c r="AL84" s="4">
        <v>-8.4000000000000005E-2</v>
      </c>
      <c r="AM84" s="4">
        <v>-0.64</v>
      </c>
      <c r="AN84" s="4">
        <v>0.221</v>
      </c>
      <c r="AO84" s="4">
        <v>6.4000000000000001E-2</v>
      </c>
      <c r="AP84" s="4">
        <v>-0.10199999999999999</v>
      </c>
      <c r="AQ84" s="4">
        <v>5.8000000000000003E-2</v>
      </c>
      <c r="AR84" s="4">
        <v>0.33200000000000002</v>
      </c>
      <c r="AS84" s="4">
        <v>0.11899999999999999</v>
      </c>
      <c r="AT84" s="4">
        <v>0.217</v>
      </c>
      <c r="AU84" s="4">
        <v>-0.29199999999999998</v>
      </c>
      <c r="AV84" s="4">
        <v>7.0999999999999994E-2</v>
      </c>
      <c r="AW84" s="4">
        <v>0.45700000000000002</v>
      </c>
      <c r="AX84" s="4">
        <v>-0.158</v>
      </c>
      <c r="AY84" s="4">
        <v>0.92600000000000005</v>
      </c>
      <c r="AZ84" s="4">
        <v>0.50800000000000001</v>
      </c>
      <c r="BA84" s="4">
        <v>-8.9999999999999993E-3</v>
      </c>
      <c r="BB84" s="4">
        <v>-0.11799999999999999</v>
      </c>
      <c r="BC84" s="4">
        <v>-2.5999999999999999E-2</v>
      </c>
      <c r="BD84" s="4">
        <v>0.48799999999999999</v>
      </c>
      <c r="BE84" s="4">
        <v>-0.183</v>
      </c>
      <c r="BF84" s="4">
        <v>9.6000000000000002E-2</v>
      </c>
      <c r="BG84" s="4">
        <v>0.71</v>
      </c>
      <c r="BH84" s="4">
        <v>-0.123</v>
      </c>
      <c r="BI84" s="4">
        <v>-0.183</v>
      </c>
      <c r="BJ84" s="4">
        <v>4.5999999999999999E-2</v>
      </c>
      <c r="BK84" s="4">
        <v>-0.14499999999999999</v>
      </c>
      <c r="BL84" s="4"/>
    </row>
    <row r="85" spans="1:64" x14ac:dyDescent="0.3">
      <c r="A85" t="s">
        <v>132</v>
      </c>
      <c r="B85" s="53">
        <f t="shared" si="10"/>
        <v>0.02</v>
      </c>
      <c r="C85" s="53">
        <f t="shared" si="11"/>
        <v>1.7000000000000001E-2</v>
      </c>
      <c r="D85" s="53">
        <f t="shared" si="12"/>
        <v>0</v>
      </c>
      <c r="E85" s="53">
        <f t="shared" si="13"/>
        <v>3.0000000000000001E-3</v>
      </c>
      <c r="F85" s="15">
        <v>1.08</v>
      </c>
      <c r="G85">
        <v>0.91400000000000003</v>
      </c>
      <c r="H85" t="s">
        <v>53</v>
      </c>
      <c r="I85" t="str">
        <f>VLOOKUP(A85,Setores!$A$2:$C$215,2,0)</f>
        <v>healthcare</v>
      </c>
      <c r="J85" t="str">
        <f>VLOOKUP(A85,Setores!$A$2:$C$215,3,0)</f>
        <v>high_beta</v>
      </c>
      <c r="K85" s="100">
        <v>0.02</v>
      </c>
      <c r="L85" s="58">
        <v>1.7000000000000001E-2</v>
      </c>
      <c r="M85" s="7">
        <v>3.0000000000000001E-3</v>
      </c>
      <c r="N85" s="41">
        <f>VLOOKUP(A85,'Mandato ISEE'!$A$1:$C$215,2,0)</f>
        <v>0</v>
      </c>
      <c r="O85" s="58">
        <f t="shared" si="14"/>
        <v>0.02</v>
      </c>
      <c r="P85" s="41">
        <f>VLOOKUP(A85,'Mandato ISEE'!$A$1:$C$215,3,0)</f>
        <v>0</v>
      </c>
      <c r="Q85" s="42">
        <f t="shared" si="15"/>
        <v>0.02</v>
      </c>
      <c r="R85" s="42">
        <v>-0.27500000000000002</v>
      </c>
      <c r="S85" s="15">
        <v>-0.47799999999999998</v>
      </c>
      <c r="T85" s="15">
        <v>-0.47399999999999998</v>
      </c>
      <c r="U85" s="15">
        <v>-0.25900000000000001</v>
      </c>
      <c r="V85" s="15">
        <v>-0.46500000000000002</v>
      </c>
      <c r="W85" s="15">
        <v>-0.13400000000000001</v>
      </c>
      <c r="X85" s="15">
        <v>-0.01</v>
      </c>
      <c r="Y85" s="15">
        <v>-0.29899999999999999</v>
      </c>
      <c r="Z85" s="15">
        <v>0.30399999999999999</v>
      </c>
      <c r="AA85" s="15">
        <v>0.29799999999999999</v>
      </c>
      <c r="AB85" s="15">
        <v>0.748</v>
      </c>
      <c r="AC85" s="15">
        <v>0.77600000000000002</v>
      </c>
      <c r="AD85" s="15">
        <v>0.63400000000000001</v>
      </c>
      <c r="AE85" s="15">
        <v>-0.14799999999999999</v>
      </c>
      <c r="AF85" s="14">
        <v>-0.20699999999999999</v>
      </c>
      <c r="AG85" s="15">
        <v>-0.45800000000000002</v>
      </c>
      <c r="AH85" s="15">
        <v>-0.51900000000000002</v>
      </c>
      <c r="AI85" s="15">
        <v>4.5999999999999999E-2</v>
      </c>
      <c r="AJ85" s="15">
        <v>-0.39700000000000002</v>
      </c>
      <c r="AK85" s="16">
        <v>-0.187</v>
      </c>
      <c r="AL85" s="4">
        <v>-5.7000000000000002E-2</v>
      </c>
      <c r="AM85" s="4">
        <v>-0.41899999999999998</v>
      </c>
      <c r="AN85" s="4">
        <v>-0.113</v>
      </c>
      <c r="AO85" s="4">
        <v>-1.6E-2</v>
      </c>
      <c r="AP85" s="4">
        <v>-0.99099999999999999</v>
      </c>
      <c r="AQ85" s="4">
        <v>0.23899999999999999</v>
      </c>
      <c r="AR85" s="4">
        <v>1</v>
      </c>
      <c r="AS85" s="4">
        <v>0.38400000000000001</v>
      </c>
      <c r="AT85" s="4">
        <v>0.30399999999999999</v>
      </c>
      <c r="AU85" s="4">
        <v>-0.46</v>
      </c>
      <c r="AV85" s="4">
        <v>0.36399999999999999</v>
      </c>
      <c r="AW85" s="4">
        <v>-0.14000000000000001</v>
      </c>
      <c r="AX85" s="4">
        <v>-0.15</v>
      </c>
      <c r="AY85" s="4">
        <v>0.88</v>
      </c>
      <c r="AZ85" s="4">
        <v>0.442</v>
      </c>
      <c r="BA85" s="4">
        <v>0.73899999999999999</v>
      </c>
      <c r="BB85" s="4">
        <v>-0.38800000000000001</v>
      </c>
      <c r="BC85" s="4">
        <v>-0.435</v>
      </c>
      <c r="BD85" s="4">
        <v>0.50700000000000001</v>
      </c>
      <c r="BE85" s="4">
        <v>0.36699999999999999</v>
      </c>
      <c r="BF85" s="4">
        <v>0.19800000000000001</v>
      </c>
      <c r="BG85" s="4">
        <v>0.71699999999999997</v>
      </c>
      <c r="BH85" s="4">
        <v>-0.33400000000000002</v>
      </c>
      <c r="BI85" s="4">
        <v>0.14199999999999999</v>
      </c>
      <c r="BJ85" s="4">
        <v>-0.105</v>
      </c>
      <c r="BK85" s="4">
        <v>0.20599999999999999</v>
      </c>
      <c r="BL85" s="4"/>
    </row>
    <row r="86" spans="1:64" x14ac:dyDescent="0.3">
      <c r="A86" t="s">
        <v>228</v>
      </c>
      <c r="B86" s="53">
        <f t="shared" si="10"/>
        <v>0</v>
      </c>
      <c r="C86" s="53">
        <f t="shared" si="11"/>
        <v>0</v>
      </c>
      <c r="D86" s="53">
        <f t="shared" si="12"/>
        <v>0</v>
      </c>
      <c r="E86" s="53">
        <f t="shared" si="13"/>
        <v>0</v>
      </c>
      <c r="F86" s="15">
        <v>1.0720000000000001</v>
      </c>
      <c r="G86">
        <v>0.81200000000000006</v>
      </c>
      <c r="H86" t="s">
        <v>57</v>
      </c>
      <c r="I86" t="str">
        <f>VLOOKUP(A86,Setores!$A$2:$C$215,2,0)</f>
        <v>consumer_durables</v>
      </c>
      <c r="J86" t="str">
        <f>VLOOKUP(A86,Setores!$A$2:$C$215,3,0)</f>
        <v>high_beta</v>
      </c>
      <c r="K86" s="100">
        <v>0</v>
      </c>
      <c r="L86" s="58">
        <v>0</v>
      </c>
      <c r="M86" s="7">
        <v>0</v>
      </c>
      <c r="N86" s="41">
        <f>VLOOKUP(A86,'Mandato ISEE'!$A$1:$C$215,2,0)</f>
        <v>0</v>
      </c>
      <c r="O86" s="58">
        <f t="shared" si="14"/>
        <v>0</v>
      </c>
      <c r="P86" s="41">
        <f>VLOOKUP(A86,'Mandato ISEE'!$A$1:$C$215,3,0)</f>
        <v>0</v>
      </c>
      <c r="Q86" s="42">
        <f t="shared" si="15"/>
        <v>0</v>
      </c>
      <c r="R86" s="42">
        <v>3.2000000000000001E-2</v>
      </c>
      <c r="S86" s="15">
        <v>0.45</v>
      </c>
      <c r="T86" s="15">
        <v>-4.1000000000000002E-2</v>
      </c>
      <c r="U86" s="15">
        <v>-0.27</v>
      </c>
      <c r="V86" s="15">
        <v>-4.8000000000000001E-2</v>
      </c>
      <c r="W86" s="15">
        <v>-0.40300000000000002</v>
      </c>
      <c r="X86" s="15">
        <v>-0.60199999999999998</v>
      </c>
      <c r="Y86" s="15">
        <v>-0.501</v>
      </c>
      <c r="Z86" s="15">
        <v>-0.10299999999999999</v>
      </c>
      <c r="AA86" s="15">
        <v>-0.10199999999999999</v>
      </c>
      <c r="AB86" s="15">
        <v>0.73099999999999998</v>
      </c>
      <c r="AC86" s="15">
        <v>0.81</v>
      </c>
      <c r="AD86" s="15">
        <v>0.69899999999999995</v>
      </c>
      <c r="AE86" s="15">
        <v>-0.93100000000000005</v>
      </c>
      <c r="AF86" s="14">
        <v>0.2</v>
      </c>
      <c r="AG86" s="15">
        <v>0.84199999999999997</v>
      </c>
      <c r="AH86" s="15">
        <v>-0.48099999999999998</v>
      </c>
      <c r="AI86" s="15">
        <v>1</v>
      </c>
      <c r="AJ86" s="15">
        <v>0.38900000000000001</v>
      </c>
      <c r="AK86" s="16">
        <v>-0.17499999999999999</v>
      </c>
      <c r="AL86" s="4">
        <v>-0.85099999999999998</v>
      </c>
      <c r="AM86" s="4">
        <v>-0.46500000000000002</v>
      </c>
      <c r="AN86" s="4">
        <v>0.20100000000000001</v>
      </c>
      <c r="AO86" s="4">
        <v>-5.0000000000000001E-3</v>
      </c>
      <c r="AP86" s="4">
        <v>0.93200000000000005</v>
      </c>
      <c r="AQ86" s="4">
        <v>0.32600000000000001</v>
      </c>
      <c r="AR86" s="4">
        <v>0.44800000000000001</v>
      </c>
      <c r="AS86" s="4">
        <v>0.28599999999999998</v>
      </c>
      <c r="AT86" s="4">
        <v>0.27500000000000002</v>
      </c>
      <c r="AU86" s="4">
        <v>-0.308</v>
      </c>
      <c r="AV86" s="4">
        <v>-0.157</v>
      </c>
      <c r="AW86" s="4">
        <v>-0.39900000000000002</v>
      </c>
      <c r="AX86" s="4">
        <v>0.21</v>
      </c>
      <c r="AY86" s="4">
        <v>-0.34399999999999997</v>
      </c>
      <c r="AZ86" s="4">
        <v>4.4999999999999998E-2</v>
      </c>
      <c r="BA86" s="4">
        <v>-2.8000000000000001E-2</v>
      </c>
      <c r="BB86" s="4">
        <v>0.17100000000000001</v>
      </c>
      <c r="BC86" s="4">
        <v>0.51800000000000002</v>
      </c>
      <c r="BD86" s="4">
        <v>-0.88300000000000001</v>
      </c>
      <c r="BE86" s="4">
        <v>-0.246</v>
      </c>
      <c r="BF86" s="4">
        <v>0.29299999999999998</v>
      </c>
      <c r="BG86" s="4">
        <v>0.29299999999999998</v>
      </c>
      <c r="BH86" s="4">
        <v>0.28799999999999998</v>
      </c>
      <c r="BI86" s="4">
        <v>-2.5000000000000001E-2</v>
      </c>
      <c r="BJ86" s="4">
        <v>0.25</v>
      </c>
      <c r="BK86" s="4">
        <v>-5.3999999999999999E-2</v>
      </c>
      <c r="BL86" s="4"/>
    </row>
    <row r="87" spans="1:64" x14ac:dyDescent="0.3">
      <c r="A87" t="s">
        <v>125</v>
      </c>
      <c r="B87" s="53">
        <f t="shared" si="10"/>
        <v>0</v>
      </c>
      <c r="C87" s="53">
        <f t="shared" si="11"/>
        <v>0</v>
      </c>
      <c r="D87" s="53">
        <f t="shared" si="12"/>
        <v>0</v>
      </c>
      <c r="E87" s="53">
        <f t="shared" si="13"/>
        <v>0</v>
      </c>
      <c r="F87" s="15">
        <v>1.052</v>
      </c>
      <c r="G87">
        <v>1.401</v>
      </c>
      <c r="H87" t="s">
        <v>55</v>
      </c>
      <c r="I87" t="str">
        <f>VLOOKUP(A87,Setores!$A$2:$C$215,2,0)</f>
        <v>real_estate</v>
      </c>
      <c r="J87" t="str">
        <f>VLOOKUP(A87,Setores!$A$2:$C$215,3,0)</f>
        <v>high_beta</v>
      </c>
      <c r="K87" s="100">
        <v>0</v>
      </c>
      <c r="L87" s="58">
        <v>0</v>
      </c>
      <c r="M87" s="7">
        <v>0</v>
      </c>
      <c r="N87" s="41">
        <f>VLOOKUP(A87,'Mandato ISEE'!$A$1:$C$215,2,0)</f>
        <v>0</v>
      </c>
      <c r="O87" s="58">
        <f t="shared" si="14"/>
        <v>0</v>
      </c>
      <c r="P87" s="41">
        <f>VLOOKUP(A87,'Mandato ISEE'!$A$1:$C$215,3,0)</f>
        <v>0</v>
      </c>
      <c r="Q87" s="42">
        <f t="shared" si="15"/>
        <v>0</v>
      </c>
      <c r="R87" s="42">
        <v>-0.34599999999999997</v>
      </c>
      <c r="S87" s="15">
        <v>-0.48499999999999999</v>
      </c>
      <c r="T87" s="15">
        <v>-0.77400000000000002</v>
      </c>
      <c r="U87" s="15">
        <v>-0.29499999999999998</v>
      </c>
      <c r="V87" s="15">
        <v>-0.65600000000000003</v>
      </c>
      <c r="W87" s="15">
        <v>0.13300000000000001</v>
      </c>
      <c r="X87" s="15">
        <v>0.67600000000000005</v>
      </c>
      <c r="Y87" s="15">
        <v>-0.38800000000000001</v>
      </c>
      <c r="Z87" s="15">
        <v>0.29799999999999999</v>
      </c>
      <c r="AA87" s="15">
        <v>0.29899999999999999</v>
      </c>
      <c r="AB87" s="15">
        <v>0.7</v>
      </c>
      <c r="AC87" s="15">
        <v>0.72199999999999998</v>
      </c>
      <c r="AD87" s="15">
        <v>0.55100000000000005</v>
      </c>
      <c r="AE87" s="15">
        <v>-0.24099999999999999</v>
      </c>
      <c r="AF87" s="14">
        <v>-0.55900000000000005</v>
      </c>
      <c r="AG87" s="15">
        <v>-0.52300000000000002</v>
      </c>
      <c r="AH87" s="15">
        <v>-0.86299999999999999</v>
      </c>
      <c r="AI87" s="15">
        <v>-0.56399999999999995</v>
      </c>
      <c r="AJ87" s="15">
        <v>-0.58499999999999996</v>
      </c>
      <c r="AK87" s="16">
        <v>-0.28899999999999998</v>
      </c>
      <c r="AL87" s="4">
        <v>-0.39300000000000002</v>
      </c>
      <c r="AM87" s="4">
        <v>-0.77100000000000002</v>
      </c>
      <c r="AN87" s="4">
        <v>0.21299999999999999</v>
      </c>
      <c r="AO87" s="4">
        <v>-8.9999999999999993E-3</v>
      </c>
      <c r="AP87" s="4">
        <v>0.10100000000000001</v>
      </c>
      <c r="AQ87" s="4">
        <v>4.7E-2</v>
      </c>
      <c r="AR87" s="4">
        <v>0.39300000000000002</v>
      </c>
      <c r="AS87" s="4">
        <v>0.33300000000000002</v>
      </c>
      <c r="AT87" s="4">
        <v>0.43099999999999999</v>
      </c>
      <c r="AU87" s="4">
        <v>0.90100000000000002</v>
      </c>
      <c r="AV87" s="4">
        <v>0.35099999999999998</v>
      </c>
      <c r="AW87" s="4">
        <v>0.30399999999999999</v>
      </c>
      <c r="AX87" s="4">
        <v>-0.58399999999999996</v>
      </c>
      <c r="AY87" s="4">
        <v>0.80700000000000005</v>
      </c>
      <c r="AZ87" s="4">
        <v>0.29699999999999999</v>
      </c>
      <c r="BA87" s="4">
        <v>-9.9000000000000005E-2</v>
      </c>
      <c r="BB87" s="4">
        <v>-0.42</v>
      </c>
      <c r="BC87" s="4">
        <v>0.41</v>
      </c>
      <c r="BD87" s="4">
        <v>0.35199999999999998</v>
      </c>
      <c r="BE87" s="4">
        <v>-2.8000000000000001E-2</v>
      </c>
      <c r="BF87" s="4">
        <v>-3.1E-2</v>
      </c>
      <c r="BG87" s="4">
        <v>0.70399999999999996</v>
      </c>
      <c r="BH87" s="4">
        <v>-0.36</v>
      </c>
      <c r="BI87" s="4">
        <v>0.54700000000000004</v>
      </c>
      <c r="BJ87" s="4">
        <v>-0.26600000000000001</v>
      </c>
      <c r="BK87" s="4">
        <v>-0.42</v>
      </c>
      <c r="BL87" s="4"/>
    </row>
    <row r="88" spans="1:64" x14ac:dyDescent="0.3">
      <c r="A88" t="s">
        <v>196</v>
      </c>
      <c r="B88" s="53">
        <f t="shared" si="10"/>
        <v>0</v>
      </c>
      <c r="C88" s="53">
        <f t="shared" si="11"/>
        <v>0</v>
      </c>
      <c r="D88" s="53">
        <f t="shared" si="12"/>
        <v>0</v>
      </c>
      <c r="E88" s="53">
        <f t="shared" si="13"/>
        <v>0</v>
      </c>
      <c r="F88" s="15">
        <v>1.046</v>
      </c>
      <c r="G88">
        <v>0.76300000000000001</v>
      </c>
      <c r="H88" t="s">
        <v>57</v>
      </c>
      <c r="I88" t="str">
        <f>VLOOKUP(A88,Setores!$A$2:$C$215,2,0)</f>
        <v>education</v>
      </c>
      <c r="J88" t="str">
        <f>VLOOKUP(A88,Setores!$A$2:$C$215,3,0)</f>
        <v>very_high_beta</v>
      </c>
      <c r="K88" s="100">
        <v>0</v>
      </c>
      <c r="L88" s="58">
        <v>0</v>
      </c>
      <c r="M88" s="7">
        <v>0</v>
      </c>
      <c r="N88" s="41">
        <f>VLOOKUP(A88,'Mandato ISEE'!$A$1:$C$215,2,0)</f>
        <v>0</v>
      </c>
      <c r="O88" s="58">
        <f t="shared" si="14"/>
        <v>0</v>
      </c>
      <c r="P88" s="41">
        <f>VLOOKUP(A88,'Mandato ISEE'!$A$1:$C$215,3,0)</f>
        <v>0</v>
      </c>
      <c r="Q88" s="42">
        <f t="shared" si="15"/>
        <v>0</v>
      </c>
      <c r="R88" s="42">
        <v>8.3000000000000004E-2</v>
      </c>
      <c r="S88" s="15">
        <v>0.16200000000000001</v>
      </c>
      <c r="T88" s="15">
        <v>0.125</v>
      </c>
      <c r="U88" s="15">
        <v>2.5000000000000001E-2</v>
      </c>
      <c r="V88" s="15">
        <v>0.14499999999999999</v>
      </c>
      <c r="W88" s="15">
        <v>-0.27200000000000002</v>
      </c>
      <c r="X88" s="15">
        <v>-0.39</v>
      </c>
      <c r="Y88" s="15">
        <v>-0.55800000000000005</v>
      </c>
      <c r="Z88" s="15">
        <v>-5.3999999999999999E-2</v>
      </c>
      <c r="AA88" s="15">
        <v>-5.2999999999999999E-2</v>
      </c>
      <c r="AB88" s="15">
        <v>0.56899999999999995</v>
      </c>
      <c r="AC88" s="15">
        <v>0.55600000000000005</v>
      </c>
      <c r="AD88" s="15">
        <v>0.53900000000000003</v>
      </c>
      <c r="AE88" s="15">
        <v>0.183</v>
      </c>
      <c r="AF88" s="14">
        <v>0.93899999999999995</v>
      </c>
      <c r="AG88" s="15">
        <v>0.125</v>
      </c>
      <c r="AH88" s="15">
        <v>0.38900000000000001</v>
      </c>
      <c r="AI88" s="15">
        <v>-0.113</v>
      </c>
      <c r="AJ88" s="15">
        <v>0.67100000000000004</v>
      </c>
      <c r="AK88" s="16">
        <v>0.14299999999999999</v>
      </c>
      <c r="AL88" s="4">
        <v>-0.753</v>
      </c>
      <c r="AM88" s="4">
        <v>0.249</v>
      </c>
      <c r="AN88" s="4">
        <v>0.14699999999999999</v>
      </c>
      <c r="AO88" s="4">
        <v>-0.19800000000000001</v>
      </c>
      <c r="AP88" s="4">
        <v>-0.436</v>
      </c>
      <c r="AQ88" s="4">
        <v>0.56399999999999995</v>
      </c>
      <c r="AR88" s="4">
        <v>0.23100000000000001</v>
      </c>
      <c r="AS88" s="4">
        <v>0.188</v>
      </c>
      <c r="AT88" s="4">
        <v>7.8E-2</v>
      </c>
      <c r="AU88" s="4">
        <v>0.126</v>
      </c>
      <c r="AV88" s="4">
        <v>0.23400000000000001</v>
      </c>
      <c r="AW88" s="4">
        <v>-0.88500000000000001</v>
      </c>
      <c r="AX88" s="4">
        <v>-0.47399999999999998</v>
      </c>
      <c r="AY88" s="4">
        <v>0.64300000000000002</v>
      </c>
      <c r="AZ88" s="4">
        <v>0.17299999999999999</v>
      </c>
      <c r="BA88" s="4">
        <v>0.53300000000000003</v>
      </c>
      <c r="BB88" s="4">
        <v>0.159</v>
      </c>
      <c r="BC88" s="4">
        <v>-0.219</v>
      </c>
      <c r="BD88" s="4">
        <v>0.20399999999999999</v>
      </c>
      <c r="BE88" s="4">
        <v>0.46899999999999997</v>
      </c>
      <c r="BF88" s="4">
        <v>0.315</v>
      </c>
      <c r="BG88" s="4">
        <v>0.27600000000000002</v>
      </c>
      <c r="BH88" s="4">
        <v>-0.153</v>
      </c>
      <c r="BI88" s="4">
        <v>0.50700000000000001</v>
      </c>
      <c r="BJ88" s="4">
        <v>-0.59399999999999997</v>
      </c>
      <c r="BK88" s="4">
        <v>0.65300000000000002</v>
      </c>
      <c r="BL88" s="4"/>
    </row>
    <row r="89" spans="1:64" x14ac:dyDescent="0.3">
      <c r="A89" t="s">
        <v>104</v>
      </c>
      <c r="B89" s="53">
        <f t="shared" si="10"/>
        <v>0</v>
      </c>
      <c r="C89" s="53">
        <f t="shared" si="11"/>
        <v>0</v>
      </c>
      <c r="D89" s="53">
        <f t="shared" si="12"/>
        <v>0</v>
      </c>
      <c r="E89" s="53">
        <f t="shared" si="13"/>
        <v>0</v>
      </c>
      <c r="F89" s="15">
        <v>1.0429999999999999</v>
      </c>
      <c r="G89">
        <v>1.391</v>
      </c>
      <c r="H89" t="s">
        <v>55</v>
      </c>
      <c r="I89" t="str">
        <f>VLOOKUP(A89,Setores!$A$2:$C$215,2,0)</f>
        <v>utilities</v>
      </c>
      <c r="J89" t="str">
        <f>VLOOKUP(A89,Setores!$A$2:$C$215,3,0)</f>
        <v>low_beta</v>
      </c>
      <c r="K89" s="100">
        <v>0</v>
      </c>
      <c r="L89" s="58">
        <v>0</v>
      </c>
      <c r="M89" s="7">
        <v>0</v>
      </c>
      <c r="N89" s="41">
        <f>VLOOKUP(A89,'Mandato ISEE'!$A$1:$C$215,2,0)</f>
        <v>0</v>
      </c>
      <c r="O89" s="58">
        <f t="shared" si="14"/>
        <v>0</v>
      </c>
      <c r="P89" s="41">
        <f>VLOOKUP(A89,'Mandato ISEE'!$A$1:$C$215,3,0)</f>
        <v>0</v>
      </c>
      <c r="Q89" s="42">
        <f t="shared" si="15"/>
        <v>0</v>
      </c>
      <c r="R89" s="42">
        <v>-0.55000000000000004</v>
      </c>
      <c r="S89" s="15">
        <v>-0.73899999999999999</v>
      </c>
      <c r="T89" s="15">
        <v>-0.71599999999999997</v>
      </c>
      <c r="U89" s="15">
        <v>-0.42099999999999999</v>
      </c>
      <c r="V89" s="15">
        <v>-0.69199999999999995</v>
      </c>
      <c r="W89" s="15">
        <v>9.1999999999999998E-2</v>
      </c>
      <c r="X89" s="15">
        <v>0.71899999999999997</v>
      </c>
      <c r="Y89" s="15">
        <v>-0.28799999999999998</v>
      </c>
      <c r="Z89" s="15">
        <v>0.48399999999999999</v>
      </c>
      <c r="AA89" s="15">
        <v>0.48199999999999998</v>
      </c>
      <c r="AB89" s="15">
        <v>0.63400000000000001</v>
      </c>
      <c r="AC89" s="15">
        <v>0.72099999999999997</v>
      </c>
      <c r="AD89" s="15">
        <v>0.59199999999999997</v>
      </c>
      <c r="AE89" s="15">
        <v>-0.27</v>
      </c>
      <c r="AF89" s="14">
        <v>-0.53200000000000003</v>
      </c>
      <c r="AG89" s="15">
        <v>-0.66800000000000004</v>
      </c>
      <c r="AH89" s="15">
        <v>-0.76300000000000001</v>
      </c>
      <c r="AI89" s="15">
        <v>-0.67600000000000005</v>
      </c>
      <c r="AJ89" s="15">
        <v>-0.88100000000000001</v>
      </c>
      <c r="AK89" s="16">
        <v>-0.182</v>
      </c>
      <c r="AL89" s="4">
        <v>0.187</v>
      </c>
      <c r="AM89" s="4">
        <v>-0.59899999999999998</v>
      </c>
      <c r="AN89" s="4">
        <v>-0.217</v>
      </c>
      <c r="AO89" s="4">
        <v>-0.27</v>
      </c>
      <c r="AP89" s="4">
        <v>6.0000000000000001E-3</v>
      </c>
      <c r="AQ89" s="4">
        <v>-0.13600000000000001</v>
      </c>
      <c r="AR89" s="4">
        <v>0.17599999999999999</v>
      </c>
      <c r="AS89" s="4">
        <v>0.124</v>
      </c>
      <c r="AT89" s="4">
        <v>0.113</v>
      </c>
      <c r="AU89" s="4">
        <v>0.53700000000000003</v>
      </c>
      <c r="AV89" s="4">
        <v>2.1999999999999999E-2</v>
      </c>
      <c r="AW89" s="4">
        <v>0.89300000000000002</v>
      </c>
      <c r="AX89" s="4">
        <v>-0.84499999999999997</v>
      </c>
      <c r="AY89" s="4">
        <v>0.438</v>
      </c>
      <c r="AZ89" s="4">
        <v>-6.5000000000000002E-2</v>
      </c>
      <c r="BA89" s="4">
        <v>0.88500000000000001</v>
      </c>
      <c r="BB89" s="4">
        <v>-0.16400000000000001</v>
      </c>
      <c r="BC89" s="4">
        <v>-0.36799999999999999</v>
      </c>
      <c r="BD89" s="4">
        <v>0.36399999999999999</v>
      </c>
      <c r="BE89" s="4">
        <v>-0.16600000000000001</v>
      </c>
      <c r="BF89" s="4">
        <v>0.11600000000000001</v>
      </c>
      <c r="BG89" s="4">
        <v>0.83899999999999997</v>
      </c>
      <c r="BH89" s="4">
        <v>-0.379</v>
      </c>
      <c r="BI89" s="4">
        <v>-0.30099999999999999</v>
      </c>
      <c r="BJ89" s="4">
        <v>0.93100000000000005</v>
      </c>
      <c r="BK89" s="4">
        <v>5.3999999999999999E-2</v>
      </c>
      <c r="BL89" s="4"/>
    </row>
    <row r="90" spans="1:64" x14ac:dyDescent="0.3">
      <c r="A90" t="s">
        <v>78</v>
      </c>
      <c r="B90" s="53">
        <f t="shared" si="10"/>
        <v>1.7999999999999999E-2</v>
      </c>
      <c r="C90" s="53">
        <f t="shared" si="11"/>
        <v>1.6E-2</v>
      </c>
      <c r="D90" s="53">
        <f t="shared" si="12"/>
        <v>0</v>
      </c>
      <c r="E90" s="53">
        <f t="shared" si="13"/>
        <v>2E-3</v>
      </c>
      <c r="F90" s="15">
        <v>1.0409999999999999</v>
      </c>
      <c r="G90">
        <v>1.2</v>
      </c>
      <c r="H90" t="s">
        <v>57</v>
      </c>
      <c r="I90" t="str">
        <f>VLOOKUP(A90,Setores!$A$2:$C$215,2,0)</f>
        <v>transportation</v>
      </c>
      <c r="J90" t="str">
        <f>VLOOKUP(A90,Setores!$A$2:$C$215,3,0)</f>
        <v>neutral_beta</v>
      </c>
      <c r="K90" s="100">
        <v>1.7999999999999999E-2</v>
      </c>
      <c r="L90" s="58">
        <v>1.6E-2</v>
      </c>
      <c r="M90" s="7">
        <v>2E-3</v>
      </c>
      <c r="N90" s="41">
        <f>VLOOKUP(A90,'Mandato ISEE'!$A$1:$C$215,2,0)</f>
        <v>0</v>
      </c>
      <c r="O90" s="58">
        <f t="shared" si="14"/>
        <v>1.7999999999999999E-2</v>
      </c>
      <c r="P90" s="41">
        <f>VLOOKUP(A90,'Mandato ISEE'!$A$1:$C$215,3,0)</f>
        <v>0</v>
      </c>
      <c r="Q90" s="42">
        <f t="shared" si="15"/>
        <v>1.7999999999999999E-2</v>
      </c>
      <c r="R90" s="42">
        <v>-0.23899999999999999</v>
      </c>
      <c r="S90" s="15">
        <v>-0.78700000000000003</v>
      </c>
      <c r="T90" s="15">
        <v>-3.0000000000000001E-3</v>
      </c>
      <c r="U90" s="15">
        <v>-0.308</v>
      </c>
      <c r="V90" s="15">
        <v>-0.46400000000000002</v>
      </c>
      <c r="W90" s="15">
        <v>3.1E-2</v>
      </c>
      <c r="X90" s="15">
        <v>0.3</v>
      </c>
      <c r="Y90" s="15">
        <v>-0.35399999999999998</v>
      </c>
      <c r="Z90" s="15">
        <v>0.214</v>
      </c>
      <c r="AA90" s="15">
        <v>0.218</v>
      </c>
      <c r="AB90" s="15">
        <v>0.58199999999999996</v>
      </c>
      <c r="AC90" s="15">
        <v>0.54300000000000004</v>
      </c>
      <c r="AD90" s="15">
        <v>0.53400000000000003</v>
      </c>
      <c r="AE90" s="15">
        <v>2.9000000000000001E-2</v>
      </c>
      <c r="AF90" s="14">
        <v>-0.27800000000000002</v>
      </c>
      <c r="AG90" s="15">
        <v>-1</v>
      </c>
      <c r="AH90" s="15">
        <v>-0.113</v>
      </c>
      <c r="AI90" s="15">
        <v>-0.51700000000000002</v>
      </c>
      <c r="AJ90" s="15">
        <v>0.81599999999999995</v>
      </c>
      <c r="AK90" s="16">
        <v>-0.219</v>
      </c>
      <c r="AL90" s="4">
        <v>0.35099999999999998</v>
      </c>
      <c r="AM90" s="4">
        <v>-0.86199999999999999</v>
      </c>
      <c r="AN90" s="4">
        <v>0.24099999999999999</v>
      </c>
      <c r="AO90" s="4">
        <v>-0.55100000000000005</v>
      </c>
      <c r="AP90" s="4">
        <v>-0.67700000000000005</v>
      </c>
      <c r="AQ90" s="4">
        <v>0.104</v>
      </c>
      <c r="AR90" s="4">
        <v>0.19400000000000001</v>
      </c>
      <c r="AS90" s="4">
        <v>-0.318</v>
      </c>
      <c r="AT90" s="4">
        <v>0.81699999999999995</v>
      </c>
      <c r="AU90" s="4">
        <v>-0.28000000000000003</v>
      </c>
      <c r="AV90" s="4">
        <v>0.17599999999999999</v>
      </c>
      <c r="AW90" s="4">
        <v>0.378</v>
      </c>
      <c r="AX90" s="4">
        <v>0.214</v>
      </c>
      <c r="AY90" s="4">
        <v>0.85099999999999998</v>
      </c>
      <c r="AZ90" s="4">
        <v>0.318</v>
      </c>
      <c r="BA90" s="4">
        <v>0.42099999999999999</v>
      </c>
      <c r="BB90" s="4">
        <v>-0.13100000000000001</v>
      </c>
      <c r="BC90" s="4">
        <v>-0.36199999999999999</v>
      </c>
      <c r="BD90" s="4">
        <v>0.34699999999999998</v>
      </c>
      <c r="BE90" s="4">
        <v>-0.23899999999999999</v>
      </c>
      <c r="BF90" s="4">
        <v>-0.27400000000000002</v>
      </c>
      <c r="BG90" s="4">
        <v>0.75</v>
      </c>
      <c r="BH90" s="4">
        <v>-0.59599999999999997</v>
      </c>
      <c r="BI90" s="4">
        <v>0.24299999999999999</v>
      </c>
      <c r="BJ90" s="4">
        <v>0.36799999999999999</v>
      </c>
      <c r="BK90" s="4">
        <v>0.58799999999999997</v>
      </c>
      <c r="BL90" s="4"/>
    </row>
    <row r="91" spans="1:64" x14ac:dyDescent="0.3">
      <c r="A91" t="s">
        <v>142</v>
      </c>
      <c r="B91" s="53">
        <f t="shared" si="10"/>
        <v>1.9E-2</v>
      </c>
      <c r="C91" s="53">
        <f t="shared" si="11"/>
        <v>1.6E-2</v>
      </c>
      <c r="D91" s="53">
        <f t="shared" si="12"/>
        <v>0</v>
      </c>
      <c r="E91" s="53">
        <f t="shared" si="13"/>
        <v>3.0000000000000001E-3</v>
      </c>
      <c r="F91" s="15">
        <v>1</v>
      </c>
      <c r="G91">
        <v>0.84099999999999997</v>
      </c>
      <c r="H91" t="s">
        <v>53</v>
      </c>
      <c r="I91" t="str">
        <f>VLOOKUP(A91,Setores!$A$2:$C$215,2,0)</f>
        <v>consumer_staples</v>
      </c>
      <c r="J91" t="str">
        <f>VLOOKUP(A91,Setores!$A$2:$C$215,3,0)</f>
        <v>low_beta</v>
      </c>
      <c r="K91" s="100">
        <v>1.9E-2</v>
      </c>
      <c r="L91" s="58">
        <v>1.6E-2</v>
      </c>
      <c r="M91" s="7">
        <v>3.0000000000000001E-3</v>
      </c>
      <c r="N91" s="41">
        <f>VLOOKUP(A91,'Mandato ISEE'!$A$1:$C$215,2,0)</f>
        <v>0</v>
      </c>
      <c r="O91" s="58">
        <f t="shared" si="14"/>
        <v>1.9E-2</v>
      </c>
      <c r="P91" s="41">
        <f>VLOOKUP(A91,'Mandato ISEE'!$A$1:$C$215,3,0)</f>
        <v>0</v>
      </c>
      <c r="Q91" s="42">
        <f t="shared" si="15"/>
        <v>1.9E-2</v>
      </c>
      <c r="R91" s="42">
        <v>3.1E-2</v>
      </c>
      <c r="S91" s="15">
        <v>-0.48399999999999999</v>
      </c>
      <c r="T91" s="15">
        <v>-9.6000000000000002E-2</v>
      </c>
      <c r="U91" s="15">
        <v>-0.123</v>
      </c>
      <c r="V91" s="15">
        <v>-0.38400000000000001</v>
      </c>
      <c r="W91" s="15">
        <v>-4.5999999999999999E-2</v>
      </c>
      <c r="X91" s="15">
        <v>-0.115</v>
      </c>
      <c r="Y91" s="15">
        <v>-0.61699999999999999</v>
      </c>
      <c r="Z91" s="15">
        <v>0.20499999999999999</v>
      </c>
      <c r="AA91" s="15">
        <v>0.20300000000000001</v>
      </c>
      <c r="AB91" s="15">
        <v>0.65200000000000002</v>
      </c>
      <c r="AC91" s="15">
        <v>0.56100000000000005</v>
      </c>
      <c r="AD91" s="15">
        <v>0.59099999999999997</v>
      </c>
      <c r="AE91" s="15">
        <v>0.33100000000000002</v>
      </c>
      <c r="AF91" s="14">
        <v>0.04</v>
      </c>
      <c r="AG91" s="15">
        <v>-0.85499999999999998</v>
      </c>
      <c r="AH91" s="15">
        <v>-0.58399999999999996</v>
      </c>
      <c r="AI91" s="15">
        <v>-0.80300000000000005</v>
      </c>
      <c r="AJ91" s="15">
        <v>0.03</v>
      </c>
      <c r="AK91" s="16">
        <v>-5.8000000000000003E-2</v>
      </c>
      <c r="AL91" s="4">
        <v>-0.50800000000000001</v>
      </c>
      <c r="AM91" s="4">
        <v>-0.123</v>
      </c>
      <c r="AN91" s="4">
        <v>0.42</v>
      </c>
      <c r="AO91" s="4">
        <v>-0.53800000000000003</v>
      </c>
      <c r="AP91" s="4">
        <v>-0.3</v>
      </c>
      <c r="AQ91" s="4">
        <v>0.38500000000000001</v>
      </c>
      <c r="AR91" s="4">
        <v>0.51900000000000002</v>
      </c>
      <c r="AS91" s="4">
        <v>0.18099999999999999</v>
      </c>
      <c r="AT91" s="4">
        <v>0.13200000000000001</v>
      </c>
      <c r="AU91" s="4">
        <v>-0.35699999999999998</v>
      </c>
      <c r="AV91" s="4">
        <v>0.55700000000000005</v>
      </c>
      <c r="AW91" s="4">
        <v>0.54400000000000004</v>
      </c>
      <c r="AX91" s="4">
        <v>0.26200000000000001</v>
      </c>
      <c r="AY91" s="4">
        <v>0.877</v>
      </c>
      <c r="AZ91" s="4">
        <v>1</v>
      </c>
      <c r="BA91" s="4">
        <v>0.64400000000000002</v>
      </c>
      <c r="BB91" s="4">
        <v>9.0999999999999998E-2</v>
      </c>
      <c r="BC91" s="4">
        <v>-6.0000000000000001E-3</v>
      </c>
      <c r="BD91" s="4">
        <v>0.51500000000000001</v>
      </c>
      <c r="BE91" s="4">
        <v>7.9000000000000001E-2</v>
      </c>
      <c r="BF91" s="4">
        <v>1</v>
      </c>
      <c r="BG91" s="4">
        <v>0.111</v>
      </c>
      <c r="BH91" s="4">
        <v>-3.2000000000000001E-2</v>
      </c>
      <c r="BI91" s="4">
        <v>-0.247</v>
      </c>
      <c r="BJ91" s="4">
        <v>0.52600000000000002</v>
      </c>
      <c r="BK91" s="4">
        <v>7.2999999999999995E-2</v>
      </c>
      <c r="BL91" s="4"/>
    </row>
    <row r="92" spans="1:64" x14ac:dyDescent="0.3">
      <c r="A92" t="s">
        <v>108</v>
      </c>
      <c r="B92" s="53">
        <f t="shared" si="10"/>
        <v>0</v>
      </c>
      <c r="C92" s="53">
        <f t="shared" si="11"/>
        <v>0</v>
      </c>
      <c r="D92" s="53">
        <f t="shared" si="12"/>
        <v>0</v>
      </c>
      <c r="E92" s="53">
        <f t="shared" si="13"/>
        <v>0</v>
      </c>
      <c r="F92" s="15">
        <v>0.98599999999999999</v>
      </c>
      <c r="G92">
        <v>1.2969999999999999</v>
      </c>
      <c r="H92" t="s">
        <v>55</v>
      </c>
      <c r="I92" t="str">
        <f>VLOOKUP(A92,Setores!$A$2:$C$215,2,0)</f>
        <v>utilities</v>
      </c>
      <c r="J92" t="str">
        <f>VLOOKUP(A92,Setores!$A$2:$C$215,3,0)</f>
        <v>very_low_beta</v>
      </c>
      <c r="K92" s="100">
        <v>0</v>
      </c>
      <c r="L92" s="58">
        <v>0</v>
      </c>
      <c r="M92" s="7">
        <v>0</v>
      </c>
      <c r="N92" s="41">
        <f>VLOOKUP(A92,'Mandato ISEE'!$A$1:$C$215,2,0)</f>
        <v>0</v>
      </c>
      <c r="O92" s="58">
        <f t="shared" si="14"/>
        <v>0</v>
      </c>
      <c r="P92" s="41">
        <f>VLOOKUP(A92,'Mandato ISEE'!$A$1:$C$215,3,0)</f>
        <v>0</v>
      </c>
      <c r="Q92" s="42">
        <f t="shared" si="15"/>
        <v>0</v>
      </c>
      <c r="R92" s="42">
        <v>-0.621</v>
      </c>
      <c r="S92" s="15">
        <v>-0.76400000000000001</v>
      </c>
      <c r="T92" s="15">
        <v>-0.72499999999999998</v>
      </c>
      <c r="U92" s="15">
        <v>-0.45300000000000001</v>
      </c>
      <c r="V92" s="15">
        <v>-0.70699999999999996</v>
      </c>
      <c r="W92" s="15">
        <v>0.04</v>
      </c>
      <c r="X92" s="15">
        <v>0.67300000000000004</v>
      </c>
      <c r="Y92" s="15">
        <v>-0.308</v>
      </c>
      <c r="Z92" s="15">
        <v>0.57099999999999995</v>
      </c>
      <c r="AA92" s="15">
        <v>0.56899999999999995</v>
      </c>
      <c r="AB92" s="15">
        <v>0.61499999999999999</v>
      </c>
      <c r="AC92" s="15">
        <v>0.72</v>
      </c>
      <c r="AD92" s="15">
        <v>0.57899999999999996</v>
      </c>
      <c r="AE92" s="15">
        <v>-0.26500000000000001</v>
      </c>
      <c r="AF92" s="14">
        <v>-0.52800000000000002</v>
      </c>
      <c r="AG92" s="15">
        <v>-0.70599999999999996</v>
      </c>
      <c r="AH92" s="15">
        <v>-0.76100000000000001</v>
      </c>
      <c r="AI92" s="15">
        <v>-0.70899999999999996</v>
      </c>
      <c r="AJ92" s="15">
        <v>-0.88100000000000001</v>
      </c>
      <c r="AK92" s="16">
        <v>-0.182</v>
      </c>
      <c r="AL92" s="4">
        <v>0.19400000000000001</v>
      </c>
      <c r="AM92" s="4">
        <v>-0.59899999999999998</v>
      </c>
      <c r="AN92" s="4">
        <v>-0.21299999999999999</v>
      </c>
      <c r="AO92" s="4">
        <v>-0.28999999999999998</v>
      </c>
      <c r="AP92" s="4">
        <v>1.4E-2</v>
      </c>
      <c r="AQ92" s="4">
        <v>-0.13600000000000001</v>
      </c>
      <c r="AR92" s="4">
        <v>0.17599999999999999</v>
      </c>
      <c r="AS92" s="4">
        <v>0.124</v>
      </c>
      <c r="AT92" s="4">
        <v>0.113</v>
      </c>
      <c r="AU92" s="4">
        <v>0.53700000000000003</v>
      </c>
      <c r="AV92" s="4">
        <v>2.1999999999999999E-2</v>
      </c>
      <c r="AW92" s="4">
        <v>0.9</v>
      </c>
      <c r="AX92" s="4">
        <v>-0.84499999999999997</v>
      </c>
      <c r="AY92" s="4">
        <v>0.438</v>
      </c>
      <c r="AZ92" s="4">
        <v>3.7999999999999999E-2</v>
      </c>
      <c r="BA92" s="4">
        <v>0.22900000000000001</v>
      </c>
      <c r="BB92" s="4">
        <v>-0.16400000000000001</v>
      </c>
      <c r="BC92" s="4">
        <v>-0.36799999999999999</v>
      </c>
      <c r="BD92" s="4">
        <v>0.35899999999999999</v>
      </c>
      <c r="BE92" s="4">
        <v>-0.192</v>
      </c>
      <c r="BF92" s="4">
        <v>4.1000000000000002E-2</v>
      </c>
      <c r="BG92" s="4">
        <v>0.86599999999999999</v>
      </c>
      <c r="BH92" s="4">
        <v>-0.36399999999999999</v>
      </c>
      <c r="BI92" s="4">
        <v>-0.34599999999999997</v>
      </c>
      <c r="BJ92" s="4">
        <v>1</v>
      </c>
      <c r="BK92" s="4">
        <v>5.3999999999999999E-2</v>
      </c>
      <c r="BL92" s="4"/>
    </row>
    <row r="93" spans="1:64" x14ac:dyDescent="0.3">
      <c r="A93" t="s">
        <v>185</v>
      </c>
      <c r="B93" s="53">
        <v>4.4999999999999998E-2</v>
      </c>
      <c r="C93" s="53">
        <f t="shared" si="11"/>
        <v>1.6999999999999998E-2</v>
      </c>
      <c r="D93" s="53">
        <f t="shared" si="12"/>
        <v>-5.9999999999999984E-3</v>
      </c>
      <c r="E93" s="53">
        <f t="shared" si="13"/>
        <v>2.8000000000000001E-2</v>
      </c>
      <c r="F93" s="15">
        <v>0.97299999999999998</v>
      </c>
      <c r="G93">
        <v>2.1179999999999999</v>
      </c>
      <c r="H93" t="s">
        <v>55</v>
      </c>
      <c r="I93" t="str">
        <f>VLOOKUP(A93,Setores!$A$2:$C$215,2,0)</f>
        <v>utilities</v>
      </c>
      <c r="J93" t="str">
        <f>VLOOKUP(A93,Setores!$A$2:$C$215,3,0)</f>
        <v>neutral_beta</v>
      </c>
      <c r="K93" s="100">
        <v>5.0999999999999997E-2</v>
      </c>
      <c r="L93" s="58">
        <v>2.3E-2</v>
      </c>
      <c r="M93" s="7">
        <v>2.8000000000000001E-2</v>
      </c>
      <c r="N93" s="41">
        <f>VLOOKUP(A93,'Mandato ISEE'!$A$1:$C$215,2,0)</f>
        <v>0</v>
      </c>
      <c r="O93" s="58">
        <f t="shared" si="14"/>
        <v>5.0999999999999997E-2</v>
      </c>
      <c r="P93" s="41">
        <f>VLOOKUP(A93,'Mandato ISEE'!$A$1:$C$215,3,0)</f>
        <v>9.4957380248814394E-2</v>
      </c>
      <c r="Q93" s="42">
        <f t="shared" si="15"/>
        <v>-4.3957380248814397E-2</v>
      </c>
      <c r="R93" s="42">
        <v>-0.60599999999999998</v>
      </c>
      <c r="S93" s="15">
        <v>-0.51500000000000001</v>
      </c>
      <c r="T93" s="15">
        <v>-0.92200000000000004</v>
      </c>
      <c r="U93" s="15">
        <v>-0.45100000000000001</v>
      </c>
      <c r="V93" s="15">
        <v>-0.75900000000000001</v>
      </c>
      <c r="W93" s="15">
        <v>-7.0999999999999994E-2</v>
      </c>
      <c r="X93" s="15">
        <v>8.8999999999999996E-2</v>
      </c>
      <c r="Y93" s="15">
        <v>-0.13800000000000001</v>
      </c>
      <c r="Z93" s="15">
        <v>0.33500000000000002</v>
      </c>
      <c r="AA93" s="15">
        <v>0.33700000000000002</v>
      </c>
      <c r="AB93" s="15">
        <v>0.74099999999999999</v>
      </c>
      <c r="AC93" s="15">
        <v>0.79600000000000004</v>
      </c>
      <c r="AD93" s="15">
        <v>0.67200000000000004</v>
      </c>
      <c r="AE93" s="15">
        <v>-0.76600000000000001</v>
      </c>
      <c r="AF93" s="14">
        <v>-0.47</v>
      </c>
      <c r="AG93" s="15">
        <v>6.5000000000000002E-2</v>
      </c>
      <c r="AH93" s="15">
        <v>-0.94599999999999995</v>
      </c>
      <c r="AI93" s="15">
        <v>-0.435</v>
      </c>
      <c r="AJ93" s="15">
        <v>-0.93899999999999995</v>
      </c>
      <c r="AK93" s="16">
        <v>-0.34499999999999997</v>
      </c>
      <c r="AL93" s="4">
        <v>-0.23</v>
      </c>
      <c r="AM93" s="4">
        <v>-0.65900000000000003</v>
      </c>
      <c r="AN93" s="4">
        <v>-0.55400000000000005</v>
      </c>
      <c r="AO93" s="4">
        <v>0.40300000000000002</v>
      </c>
      <c r="AP93" s="4">
        <v>0.82399999999999995</v>
      </c>
      <c r="AQ93" s="4">
        <v>0.254</v>
      </c>
      <c r="AR93" s="4">
        <v>0.30099999999999999</v>
      </c>
      <c r="AS93" s="4">
        <v>0.45400000000000001</v>
      </c>
      <c r="AT93" s="4">
        <v>4.0000000000000001E-3</v>
      </c>
      <c r="AU93" s="4">
        <v>-0.29399999999999998</v>
      </c>
      <c r="AV93" s="4">
        <v>-0.27900000000000003</v>
      </c>
      <c r="AW93" s="4">
        <v>0.66200000000000003</v>
      </c>
      <c r="AX93" s="4">
        <v>-0.53800000000000003</v>
      </c>
      <c r="AY93" s="4">
        <v>0.94599999999999995</v>
      </c>
      <c r="AZ93" s="4">
        <v>1</v>
      </c>
      <c r="BA93" s="4">
        <v>0.56499999999999995</v>
      </c>
      <c r="BB93" s="4">
        <v>0.152</v>
      </c>
      <c r="BC93" s="4">
        <v>-0.38</v>
      </c>
      <c r="BD93" s="4">
        <v>0.38300000000000001</v>
      </c>
      <c r="BE93" s="4">
        <v>-0.23499999999999999</v>
      </c>
      <c r="BF93" s="4">
        <v>-0.18099999999999999</v>
      </c>
      <c r="BG93" s="4">
        <v>0.8</v>
      </c>
      <c r="BH93" s="4">
        <v>-0.89</v>
      </c>
      <c r="BI93" s="4">
        <v>-0.11700000000000001</v>
      </c>
      <c r="BJ93" s="4">
        <v>-0.37</v>
      </c>
      <c r="BK93" s="4">
        <v>-0.45100000000000001</v>
      </c>
      <c r="BL93" s="4"/>
    </row>
    <row r="94" spans="1:64" x14ac:dyDescent="0.3">
      <c r="A94" t="s">
        <v>154</v>
      </c>
      <c r="B94" s="53">
        <v>0.04</v>
      </c>
      <c r="C94" s="53">
        <f t="shared" si="11"/>
        <v>1.4000000000000002E-2</v>
      </c>
      <c r="D94" s="53">
        <f t="shared" si="12"/>
        <v>-3.9999999999999966E-3</v>
      </c>
      <c r="E94" s="53">
        <f t="shared" si="13"/>
        <v>2.5999999999999999E-2</v>
      </c>
      <c r="F94" s="15">
        <v>0.97</v>
      </c>
      <c r="G94">
        <v>2.0950000000000002</v>
      </c>
      <c r="H94" t="s">
        <v>55</v>
      </c>
      <c r="I94" t="str">
        <f>VLOOKUP(A94,Setores!$A$2:$C$215,2,0)</f>
        <v>utilities</v>
      </c>
      <c r="J94" t="str">
        <f>VLOOKUP(A94,Setores!$A$2:$C$215,3,0)</f>
        <v>low_beta</v>
      </c>
      <c r="K94" s="100">
        <v>4.3999999999999997E-2</v>
      </c>
      <c r="L94" s="58">
        <v>1.7999999999999999E-2</v>
      </c>
      <c r="M94" s="7">
        <v>2.5999999999999999E-2</v>
      </c>
      <c r="N94" s="41">
        <f>VLOOKUP(A94,'Mandato ISEE'!$A$1:$C$215,2,0)</f>
        <v>0</v>
      </c>
      <c r="O94" s="58">
        <f t="shared" si="14"/>
        <v>4.3999999999999997E-2</v>
      </c>
      <c r="P94" s="41">
        <f>VLOOKUP(A94,'Mandato ISEE'!$A$1:$C$215,3,0)</f>
        <v>0</v>
      </c>
      <c r="Q94" s="42">
        <f t="shared" si="15"/>
        <v>4.3999999999999997E-2</v>
      </c>
      <c r="R94" s="42">
        <v>-0.82</v>
      </c>
      <c r="S94" s="15">
        <v>-0.67300000000000004</v>
      </c>
      <c r="T94" s="15">
        <v>-0.93</v>
      </c>
      <c r="U94" s="15">
        <v>-0.627</v>
      </c>
      <c r="V94" s="15">
        <v>-0.75</v>
      </c>
      <c r="W94" s="15">
        <v>-0.24</v>
      </c>
      <c r="X94" s="15">
        <v>0.124</v>
      </c>
      <c r="Y94" s="15">
        <v>0.13200000000000001</v>
      </c>
      <c r="Z94" s="15">
        <v>0.54900000000000004</v>
      </c>
      <c r="AA94" s="15">
        <v>0.55200000000000005</v>
      </c>
      <c r="AB94" s="15">
        <v>0.64900000000000002</v>
      </c>
      <c r="AC94" s="15">
        <v>0.65500000000000003</v>
      </c>
      <c r="AD94" s="15">
        <v>0.58599999999999997</v>
      </c>
      <c r="AE94" s="15">
        <v>-0.77500000000000002</v>
      </c>
      <c r="AF94" s="14">
        <v>-0.68899999999999995</v>
      </c>
      <c r="AG94" s="15">
        <v>0.20200000000000001</v>
      </c>
      <c r="AH94" s="15">
        <v>-0.878</v>
      </c>
      <c r="AI94" s="15">
        <v>-0.496</v>
      </c>
      <c r="AJ94" s="15">
        <v>-0.96599999999999997</v>
      </c>
      <c r="AK94" s="16">
        <v>-0.32400000000000001</v>
      </c>
      <c r="AL94" s="4">
        <v>0.56499999999999995</v>
      </c>
      <c r="AM94" s="4">
        <v>-0.52200000000000002</v>
      </c>
      <c r="AN94" s="4">
        <v>-0.55000000000000004</v>
      </c>
      <c r="AO94" s="4">
        <v>0.27700000000000002</v>
      </c>
      <c r="AP94" s="4">
        <v>0.55900000000000005</v>
      </c>
      <c r="AQ94" s="4">
        <v>-0.23799999999999999</v>
      </c>
      <c r="AR94" s="4">
        <v>0.187</v>
      </c>
      <c r="AS94" s="4">
        <v>-0.246</v>
      </c>
      <c r="AT94" s="4">
        <v>0.2</v>
      </c>
      <c r="AU94" s="4">
        <v>-0.33100000000000002</v>
      </c>
      <c r="AV94" s="4">
        <v>-0.55800000000000005</v>
      </c>
      <c r="AW94" s="4">
        <v>0.55300000000000005</v>
      </c>
      <c r="AX94" s="4">
        <v>-0.59699999999999998</v>
      </c>
      <c r="AY94" s="4">
        <v>0.85299999999999998</v>
      </c>
      <c r="AZ94" s="4">
        <v>0.41</v>
      </c>
      <c r="BA94" s="4">
        <v>-0.40600000000000003</v>
      </c>
      <c r="BB94" s="4">
        <v>-0.432</v>
      </c>
      <c r="BC94" s="4">
        <v>-0.66500000000000004</v>
      </c>
      <c r="BD94" s="4">
        <v>0.222</v>
      </c>
      <c r="BE94" s="4">
        <v>8.5999999999999993E-2</v>
      </c>
      <c r="BF94" s="4">
        <v>0.25</v>
      </c>
      <c r="BG94" s="4">
        <v>0.98299999999999998</v>
      </c>
      <c r="BH94" s="4">
        <v>-0.65400000000000003</v>
      </c>
      <c r="BI94" s="4">
        <v>-0.29299999999999998</v>
      </c>
      <c r="BJ94" s="4">
        <v>-0.114</v>
      </c>
      <c r="BK94" s="4">
        <v>-0.378</v>
      </c>
      <c r="BL94" s="4"/>
    </row>
    <row r="95" spans="1:64" x14ac:dyDescent="0.3">
      <c r="A95" t="s">
        <v>61</v>
      </c>
      <c r="B95" s="53">
        <f t="shared" si="10"/>
        <v>0</v>
      </c>
      <c r="C95" s="53">
        <f t="shared" si="11"/>
        <v>0</v>
      </c>
      <c r="D95" s="53">
        <f t="shared" si="12"/>
        <v>0</v>
      </c>
      <c r="E95" s="53">
        <f t="shared" si="13"/>
        <v>0</v>
      </c>
      <c r="F95" s="15">
        <v>0.92800000000000005</v>
      </c>
      <c r="G95">
        <v>1.0469999999999999</v>
      </c>
      <c r="H95" t="s">
        <v>57</v>
      </c>
      <c r="I95" t="str">
        <f>VLOOKUP(A95,Setores!$A$2:$C$215,2,0)</f>
        <v>homebuilders</v>
      </c>
      <c r="J95" t="str">
        <f>VLOOKUP(A95,Setores!$A$2:$C$215,3,0)</f>
        <v>high_beta</v>
      </c>
      <c r="K95" s="100">
        <v>0</v>
      </c>
      <c r="L95" s="58">
        <v>0</v>
      </c>
      <c r="M95" s="7">
        <v>0</v>
      </c>
      <c r="N95" s="41">
        <f>VLOOKUP(A95,'Mandato ISEE'!$A$1:$C$215,2,0)</f>
        <v>0</v>
      </c>
      <c r="O95" s="58">
        <f t="shared" si="14"/>
        <v>0</v>
      </c>
      <c r="P95" s="41">
        <f>VLOOKUP(A95,'Mandato ISEE'!$A$1:$C$215,3,0)</f>
        <v>0</v>
      </c>
      <c r="Q95" s="42">
        <f t="shared" si="15"/>
        <v>0</v>
      </c>
      <c r="R95" s="42">
        <v>-0.434</v>
      </c>
      <c r="S95" s="15">
        <v>-0.75600000000000001</v>
      </c>
      <c r="T95" s="15">
        <v>-0.13900000000000001</v>
      </c>
      <c r="U95" s="15">
        <v>-0.52200000000000002</v>
      </c>
      <c r="V95" s="15">
        <v>-0.51700000000000002</v>
      </c>
      <c r="W95" s="15">
        <v>-0.113</v>
      </c>
      <c r="X95" s="15">
        <v>0.14799999999999999</v>
      </c>
      <c r="Y95" s="15">
        <v>-0.216</v>
      </c>
      <c r="Z95" s="15">
        <v>0.121</v>
      </c>
      <c r="AA95" s="15">
        <v>0.11799999999999999</v>
      </c>
      <c r="AB95" s="15">
        <v>0.434</v>
      </c>
      <c r="AC95" s="15">
        <v>0.66600000000000004</v>
      </c>
      <c r="AD95" s="15">
        <v>0.56100000000000005</v>
      </c>
      <c r="AE95" s="15">
        <v>-0.46</v>
      </c>
      <c r="AF95" s="14">
        <v>0.246</v>
      </c>
      <c r="AG95" s="15">
        <v>-0.54</v>
      </c>
      <c r="AH95" s="15">
        <v>8.9999999999999993E-3</v>
      </c>
      <c r="AI95" s="15">
        <v>0.20200000000000001</v>
      </c>
      <c r="AJ95" s="15">
        <v>-0.224</v>
      </c>
      <c r="AK95" s="16">
        <v>-0.246</v>
      </c>
      <c r="AL95" s="4">
        <v>0.64600000000000002</v>
      </c>
      <c r="AM95" s="4">
        <v>-0.56100000000000005</v>
      </c>
      <c r="AN95" s="4">
        <v>0.29499999999999998</v>
      </c>
      <c r="AO95" s="4">
        <v>-0.46500000000000002</v>
      </c>
      <c r="AP95" s="4">
        <v>-0.90600000000000003</v>
      </c>
      <c r="AQ95" s="4">
        <v>0.25600000000000001</v>
      </c>
      <c r="AR95" s="4">
        <v>9.7000000000000003E-2</v>
      </c>
      <c r="AS95" s="4">
        <v>-0.48199999999999998</v>
      </c>
      <c r="AT95" s="4">
        <v>8.8999999999999996E-2</v>
      </c>
      <c r="AU95" s="4">
        <v>-0.15</v>
      </c>
      <c r="AV95" s="4">
        <v>-0.54100000000000004</v>
      </c>
      <c r="AW95" s="4">
        <v>0.16700000000000001</v>
      </c>
      <c r="AX95" s="4">
        <v>0.188</v>
      </c>
      <c r="AY95" s="4">
        <v>0.434</v>
      </c>
      <c r="AZ95" s="4">
        <v>0.63900000000000001</v>
      </c>
      <c r="BA95" s="4">
        <v>0.41299999999999998</v>
      </c>
      <c r="BB95" s="4">
        <v>-0.42099999999999999</v>
      </c>
      <c r="BC95" s="4">
        <v>-0.34</v>
      </c>
      <c r="BD95" s="4">
        <v>-0.53100000000000003</v>
      </c>
      <c r="BE95" s="4">
        <v>0.76500000000000001</v>
      </c>
      <c r="BF95" s="4">
        <v>0.25900000000000001</v>
      </c>
      <c r="BG95" s="4">
        <v>0.73299999999999998</v>
      </c>
      <c r="BH95" s="4">
        <v>-0.81699999999999995</v>
      </c>
      <c r="BI95" s="4">
        <v>0.54400000000000004</v>
      </c>
      <c r="BJ95" s="4">
        <v>0.436</v>
      </c>
      <c r="BK95" s="4">
        <v>0.20799999999999999</v>
      </c>
      <c r="BL95" s="4"/>
    </row>
    <row r="96" spans="1:64" x14ac:dyDescent="0.3">
      <c r="A96" t="s">
        <v>203</v>
      </c>
      <c r="B96" s="53">
        <f t="shared" si="10"/>
        <v>0</v>
      </c>
      <c r="C96" s="53">
        <f t="shared" si="11"/>
        <v>0</v>
      </c>
      <c r="D96" s="53">
        <f t="shared" si="12"/>
        <v>0</v>
      </c>
      <c r="E96" s="53">
        <f t="shared" si="13"/>
        <v>0</v>
      </c>
      <c r="F96" s="15">
        <v>0.90800000000000003</v>
      </c>
      <c r="G96">
        <v>0.95099999999999996</v>
      </c>
      <c r="H96" t="s">
        <v>53</v>
      </c>
      <c r="I96" t="str">
        <f>VLOOKUP(A96,Setores!$A$2:$C$215,2,0)</f>
        <v>healthcare</v>
      </c>
      <c r="J96" t="str">
        <f>VLOOKUP(A96,Setores!$A$2:$C$215,3,0)</f>
        <v>very_low_beta</v>
      </c>
      <c r="K96" s="100">
        <v>0</v>
      </c>
      <c r="L96" s="58">
        <v>0</v>
      </c>
      <c r="M96" s="7">
        <v>0</v>
      </c>
      <c r="N96" s="41">
        <f>VLOOKUP(A96,'Mandato ISEE'!$A$1:$C$215,2,0)</f>
        <v>0</v>
      </c>
      <c r="O96" s="58">
        <f t="shared" si="14"/>
        <v>0</v>
      </c>
      <c r="P96" s="41">
        <f>VLOOKUP(A96,'Mandato ISEE'!$A$1:$C$215,3,0)</f>
        <v>0</v>
      </c>
      <c r="Q96" s="42">
        <f t="shared" si="15"/>
        <v>0</v>
      </c>
      <c r="R96" s="42">
        <v>-0.221</v>
      </c>
      <c r="S96" s="15">
        <v>-0.45300000000000001</v>
      </c>
      <c r="T96" s="15">
        <v>-0.72099999999999997</v>
      </c>
      <c r="U96" s="15">
        <v>-0.25</v>
      </c>
      <c r="V96" s="15">
        <v>-0.63500000000000001</v>
      </c>
      <c r="W96" s="15">
        <v>2E-3</v>
      </c>
      <c r="X96" s="15">
        <v>0.29899999999999999</v>
      </c>
      <c r="Y96" s="15">
        <v>-0.52200000000000002</v>
      </c>
      <c r="Z96" s="15">
        <v>0.13700000000000001</v>
      </c>
      <c r="AA96" s="15">
        <v>0.13800000000000001</v>
      </c>
      <c r="AB96" s="15">
        <v>0.626</v>
      </c>
      <c r="AC96" s="15">
        <v>0.72199999999999998</v>
      </c>
      <c r="AD96" s="15">
        <v>0.56399999999999995</v>
      </c>
      <c r="AE96" s="15">
        <v>2.3E-2</v>
      </c>
      <c r="AF96" s="14">
        <v>-0.38100000000000001</v>
      </c>
      <c r="AG96" s="15">
        <v>-0.64900000000000002</v>
      </c>
      <c r="AH96" s="15">
        <v>-0.83</v>
      </c>
      <c r="AI96" s="15">
        <v>-0.77</v>
      </c>
      <c r="AJ96" s="15">
        <v>-0.78400000000000003</v>
      </c>
      <c r="AK96" s="16">
        <v>-0.17699999999999999</v>
      </c>
      <c r="AL96" s="4">
        <v>-0.35099999999999998</v>
      </c>
      <c r="AM96" s="4">
        <v>-0.51400000000000001</v>
      </c>
      <c r="AN96" s="4">
        <v>0.28000000000000003</v>
      </c>
      <c r="AO96" s="4">
        <v>-0.379</v>
      </c>
      <c r="AP96" s="4">
        <v>0.23899999999999999</v>
      </c>
      <c r="AQ96" s="4">
        <v>-1E-3</v>
      </c>
      <c r="AR96" s="4">
        <v>1</v>
      </c>
      <c r="AS96" s="4">
        <v>0.755</v>
      </c>
      <c r="AT96" s="4">
        <v>9.5000000000000001E-2</v>
      </c>
      <c r="AU96" s="4">
        <v>0.26</v>
      </c>
      <c r="AV96" s="4">
        <v>0.46</v>
      </c>
      <c r="AW96" s="4">
        <v>0.441</v>
      </c>
      <c r="AX96" s="4">
        <v>-0.36699999999999999</v>
      </c>
      <c r="AY96" s="4">
        <v>0.81499999999999995</v>
      </c>
      <c r="AZ96" s="4">
        <v>0.53600000000000003</v>
      </c>
      <c r="BA96" s="4">
        <v>0.92500000000000004</v>
      </c>
      <c r="BB96" s="4">
        <v>-0.127</v>
      </c>
      <c r="BC96" s="4">
        <v>-0.29899999999999999</v>
      </c>
      <c r="BD96" s="4">
        <v>0.39700000000000002</v>
      </c>
      <c r="BE96" s="4">
        <v>-0.76100000000000001</v>
      </c>
      <c r="BF96" s="4">
        <v>-0.16700000000000001</v>
      </c>
      <c r="BG96" s="4">
        <v>0.45900000000000002</v>
      </c>
      <c r="BH96" s="4">
        <v>0.109</v>
      </c>
      <c r="BI96" s="4">
        <v>-0.377</v>
      </c>
      <c r="BJ96" s="4">
        <v>8.0000000000000002E-3</v>
      </c>
      <c r="BK96" s="4">
        <v>-0.39</v>
      </c>
      <c r="BL96" s="4"/>
    </row>
    <row r="97" spans="1:64" x14ac:dyDescent="0.3">
      <c r="A97" t="s">
        <v>210</v>
      </c>
      <c r="B97" s="53">
        <v>0.04</v>
      </c>
      <c r="C97" s="53">
        <f t="shared" si="11"/>
        <v>1.6E-2</v>
      </c>
      <c r="D97" s="53">
        <f t="shared" si="12"/>
        <v>-8.0000000000000002E-3</v>
      </c>
      <c r="E97" s="53">
        <f t="shared" si="13"/>
        <v>2.4E-2</v>
      </c>
      <c r="F97" s="15">
        <v>0.89200000000000002</v>
      </c>
      <c r="G97">
        <v>1.8089999999999999</v>
      </c>
      <c r="H97" t="s">
        <v>55</v>
      </c>
      <c r="I97" t="str">
        <f>VLOOKUP(A97,Setores!$A$2:$C$215,2,0)</f>
        <v>utilities</v>
      </c>
      <c r="J97" t="str">
        <f>VLOOKUP(A97,Setores!$A$2:$C$215,3,0)</f>
        <v>high_beta</v>
      </c>
      <c r="K97" s="100">
        <v>4.8000000000000001E-2</v>
      </c>
      <c r="L97" s="58">
        <v>2.4E-2</v>
      </c>
      <c r="M97" s="7">
        <v>2.4E-2</v>
      </c>
      <c r="N97" s="41">
        <f>VLOOKUP(A97,'Mandato ISEE'!$A$1:$C$215,2,0)</f>
        <v>0</v>
      </c>
      <c r="O97" s="58">
        <f t="shared" si="14"/>
        <v>4.8000000000000001E-2</v>
      </c>
      <c r="P97" s="41">
        <f>VLOOKUP(A97,'Mandato ISEE'!$A$1:$C$215,3,0)</f>
        <v>8.0758175128726906E-2</v>
      </c>
      <c r="Q97" s="42">
        <f t="shared" si="15"/>
        <v>-3.2758175128726905E-2</v>
      </c>
      <c r="R97" s="42">
        <v>-0.52300000000000002</v>
      </c>
      <c r="S97" s="15">
        <v>-0.47499999999999998</v>
      </c>
      <c r="T97" s="15">
        <v>-0.90600000000000003</v>
      </c>
      <c r="U97" s="15">
        <v>-0.34200000000000003</v>
      </c>
      <c r="V97" s="15">
        <v>-0.72199999999999998</v>
      </c>
      <c r="W97" s="15">
        <v>-0.11899999999999999</v>
      </c>
      <c r="X97" s="15">
        <v>0.109</v>
      </c>
      <c r="Y97" s="15">
        <v>-0.38100000000000001</v>
      </c>
      <c r="Z97" s="15">
        <v>0.33100000000000002</v>
      </c>
      <c r="AA97" s="15">
        <v>0.33300000000000002</v>
      </c>
      <c r="AB97" s="15">
        <v>0.78</v>
      </c>
      <c r="AC97" s="15">
        <v>0.92900000000000005</v>
      </c>
      <c r="AD97" s="15">
        <v>0.63600000000000001</v>
      </c>
      <c r="AE97" s="15">
        <v>-0.46</v>
      </c>
      <c r="AF97" s="14">
        <v>-0.252</v>
      </c>
      <c r="AG97" s="15">
        <v>1.4E-2</v>
      </c>
      <c r="AH97" s="15">
        <v>-1</v>
      </c>
      <c r="AI97" s="15">
        <v>-0.69199999999999995</v>
      </c>
      <c r="AJ97" s="15">
        <v>-0.86499999999999999</v>
      </c>
      <c r="AK97" s="16">
        <v>-0.378</v>
      </c>
      <c r="AL97" s="4">
        <v>-0.59699999999999998</v>
      </c>
      <c r="AM97" s="4">
        <v>-0.55300000000000005</v>
      </c>
      <c r="AN97" s="4">
        <v>-0.23400000000000001</v>
      </c>
      <c r="AO97" s="4">
        <v>0.28799999999999998</v>
      </c>
      <c r="AP97" s="4">
        <v>0.378</v>
      </c>
      <c r="AQ97" s="4">
        <v>0.46899999999999997</v>
      </c>
      <c r="AR97" s="4">
        <v>1</v>
      </c>
      <c r="AS97" s="4">
        <v>0.65</v>
      </c>
      <c r="AT97" s="4">
        <v>-0.216</v>
      </c>
      <c r="AU97" s="4">
        <v>2E-3</v>
      </c>
      <c r="AV97" s="4">
        <v>0.14499999999999999</v>
      </c>
      <c r="AW97" s="4">
        <v>0.252</v>
      </c>
      <c r="AX97" s="4">
        <v>-0.58199999999999996</v>
      </c>
      <c r="AY97" s="4">
        <v>0.63900000000000001</v>
      </c>
      <c r="AZ97" s="4">
        <v>0.32900000000000001</v>
      </c>
      <c r="BA97" s="4">
        <v>8.0000000000000002E-3</v>
      </c>
      <c r="BB97" s="4">
        <v>-7.3999999999999996E-2</v>
      </c>
      <c r="BC97" s="4">
        <v>-0.29499999999999998</v>
      </c>
      <c r="BD97" s="4">
        <v>0.71299999999999997</v>
      </c>
      <c r="BE97" s="4">
        <v>0.27300000000000002</v>
      </c>
      <c r="BF97" s="4">
        <v>0.71399999999999997</v>
      </c>
      <c r="BG97" s="4">
        <v>0.83499999999999996</v>
      </c>
      <c r="BH97" s="4">
        <v>-0.66600000000000004</v>
      </c>
      <c r="BI97" s="4">
        <v>7.0999999999999994E-2</v>
      </c>
      <c r="BJ97" s="4">
        <v>-0.26</v>
      </c>
      <c r="BK97" s="4">
        <v>-1</v>
      </c>
      <c r="BL97" s="4"/>
    </row>
    <row r="98" spans="1:64" x14ac:dyDescent="0.3">
      <c r="A98" t="s">
        <v>111</v>
      </c>
      <c r="B98" s="53">
        <f t="shared" si="10"/>
        <v>0</v>
      </c>
      <c r="C98" s="53">
        <f t="shared" si="11"/>
        <v>0</v>
      </c>
      <c r="D98" s="53">
        <f t="shared" si="12"/>
        <v>0</v>
      </c>
      <c r="E98" s="53">
        <f t="shared" si="13"/>
        <v>0</v>
      </c>
      <c r="F98" s="15">
        <v>0.88500000000000001</v>
      </c>
      <c r="G98">
        <v>0.79700000000000004</v>
      </c>
      <c r="H98" t="s">
        <v>53</v>
      </c>
      <c r="I98" t="str">
        <f>VLOOKUP(A98,Setores!$A$2:$C$215,2,0)</f>
        <v>consumer_staples</v>
      </c>
      <c r="J98" t="str">
        <f>VLOOKUP(A98,Setores!$A$2:$C$215,3,0)</f>
        <v>very_high_beta</v>
      </c>
      <c r="K98" s="100">
        <v>0</v>
      </c>
      <c r="L98" s="58">
        <v>0</v>
      </c>
      <c r="M98" s="7">
        <v>0</v>
      </c>
      <c r="N98" s="41">
        <f>VLOOKUP(A98,'Mandato ISEE'!$A$1:$C$215,2,0)</f>
        <v>0</v>
      </c>
      <c r="O98" s="58">
        <f t="shared" si="14"/>
        <v>0</v>
      </c>
      <c r="P98" s="41">
        <f>VLOOKUP(A98,'Mandato ISEE'!$A$1:$C$215,3,0)</f>
        <v>0</v>
      </c>
      <c r="Q98" s="42">
        <f t="shared" si="15"/>
        <v>0</v>
      </c>
      <c r="R98" s="42">
        <v>-0.41699999999999998</v>
      </c>
      <c r="S98" s="15">
        <v>-0.189</v>
      </c>
      <c r="T98" s="15">
        <v>-0.32700000000000001</v>
      </c>
      <c r="U98" s="15">
        <v>-0.58799999999999997</v>
      </c>
      <c r="V98" s="15">
        <v>-0.41099999999999998</v>
      </c>
      <c r="W98" s="15">
        <v>-0.49199999999999999</v>
      </c>
      <c r="X98" s="15">
        <v>-0.371</v>
      </c>
      <c r="Y98" s="15">
        <v>-0.49299999999999999</v>
      </c>
      <c r="Z98" s="15">
        <v>0.379</v>
      </c>
      <c r="AA98" s="15">
        <v>0.375</v>
      </c>
      <c r="AB98" s="15">
        <v>0.88200000000000001</v>
      </c>
      <c r="AC98" s="15">
        <v>0.78300000000000003</v>
      </c>
      <c r="AD98" s="15">
        <v>0.72699999999999998</v>
      </c>
      <c r="AE98" s="15">
        <v>-0.56499999999999995</v>
      </c>
      <c r="AF98" s="14">
        <v>-0.53100000000000003</v>
      </c>
      <c r="AG98" s="15">
        <v>6.5000000000000002E-2</v>
      </c>
      <c r="AH98" s="15">
        <v>-0.188</v>
      </c>
      <c r="AI98" s="15">
        <v>0.60199999999999998</v>
      </c>
      <c r="AJ98" s="15">
        <v>-0.60299999999999998</v>
      </c>
      <c r="AK98" s="16">
        <v>-0.14399999999999999</v>
      </c>
      <c r="AL98" s="4">
        <v>-0.35899999999999999</v>
      </c>
      <c r="AM98" s="4">
        <v>0.13600000000000001</v>
      </c>
      <c r="AN98" s="4">
        <v>-0.16900000000000001</v>
      </c>
      <c r="AO98" s="4">
        <v>2.3E-2</v>
      </c>
      <c r="AP98" s="4">
        <v>0.193</v>
      </c>
      <c r="AQ98" s="4">
        <v>-0.14699999999999999</v>
      </c>
      <c r="AR98" s="4">
        <v>-0.12</v>
      </c>
      <c r="AS98" s="4">
        <v>-0.45400000000000001</v>
      </c>
      <c r="AT98" s="4">
        <v>8.9999999999999993E-3</v>
      </c>
      <c r="AU98" s="4">
        <v>-0.26300000000000001</v>
      </c>
      <c r="AV98" s="4">
        <v>-0.22600000000000001</v>
      </c>
      <c r="AW98" s="4">
        <v>0.31</v>
      </c>
      <c r="AX98" s="4">
        <v>-0.20699999999999999</v>
      </c>
      <c r="AY98" s="4">
        <v>0.55700000000000005</v>
      </c>
      <c r="AZ98" s="4">
        <v>-0.122</v>
      </c>
      <c r="BA98" s="4">
        <v>-0.24099999999999999</v>
      </c>
      <c r="BB98" s="4">
        <v>0.20499999999999999</v>
      </c>
      <c r="BC98" s="4">
        <v>7.5999999999999998E-2</v>
      </c>
      <c r="BD98" s="4">
        <v>0.437</v>
      </c>
      <c r="BE98" s="4">
        <v>0.372</v>
      </c>
      <c r="BF98" s="4">
        <v>0.79500000000000004</v>
      </c>
      <c r="BG98" s="4">
        <v>0.439</v>
      </c>
      <c r="BH98" s="4">
        <v>-8.4000000000000005E-2</v>
      </c>
      <c r="BI98" s="4">
        <v>0.38200000000000001</v>
      </c>
      <c r="BJ98" s="4">
        <v>0.55900000000000005</v>
      </c>
      <c r="BK98" s="4">
        <v>0.53300000000000003</v>
      </c>
      <c r="BL98" s="4"/>
    </row>
    <row r="99" spans="1:64" x14ac:dyDescent="0.3">
      <c r="A99" t="s">
        <v>113</v>
      </c>
      <c r="B99" s="53">
        <f t="shared" si="10"/>
        <v>0</v>
      </c>
      <c r="C99" s="53">
        <f t="shared" si="11"/>
        <v>0</v>
      </c>
      <c r="D99" s="53">
        <f t="shared" si="12"/>
        <v>0</v>
      </c>
      <c r="E99" s="53">
        <f t="shared" si="13"/>
        <v>0</v>
      </c>
      <c r="F99" s="15">
        <v>0.88</v>
      </c>
      <c r="G99">
        <v>1.18</v>
      </c>
      <c r="H99" t="s">
        <v>57</v>
      </c>
      <c r="I99" t="str">
        <f>VLOOKUP(A99,Setores!$A$2:$C$215,2,0)</f>
        <v>banks</v>
      </c>
      <c r="J99" t="str">
        <f>VLOOKUP(A99,Setores!$A$2:$C$215,3,0)</f>
        <v>neutral_beta</v>
      </c>
      <c r="K99" s="100">
        <v>0</v>
      </c>
      <c r="L99" s="58">
        <v>0</v>
      </c>
      <c r="M99" s="7">
        <v>0</v>
      </c>
      <c r="N99" s="41">
        <f>VLOOKUP(A99,'Mandato ISEE'!$A$1:$C$215,2,0)</f>
        <v>0</v>
      </c>
      <c r="O99" s="58">
        <f t="shared" si="14"/>
        <v>0</v>
      </c>
      <c r="P99" s="41">
        <f>VLOOKUP(A99,'Mandato ISEE'!$A$1:$C$215,3,0)</f>
        <v>0</v>
      </c>
      <c r="Q99" s="42">
        <f t="shared" si="15"/>
        <v>0</v>
      </c>
      <c r="R99" s="42">
        <v>-0.60199999999999998</v>
      </c>
      <c r="S99" s="15">
        <v>-0.623</v>
      </c>
      <c r="T99" s="15">
        <v>-0.81899999999999995</v>
      </c>
      <c r="U99" s="15">
        <v>-0.55600000000000005</v>
      </c>
      <c r="V99" s="15">
        <v>-0.71599999999999997</v>
      </c>
      <c r="W99" s="15">
        <v>-0.20699999999999999</v>
      </c>
      <c r="X99" s="15">
        <v>2E-3</v>
      </c>
      <c r="Y99" s="15">
        <v>-0.29399999999999998</v>
      </c>
      <c r="Z99" s="15">
        <v>0.49199999999999999</v>
      </c>
      <c r="AA99" s="15">
        <v>0.49099999999999999</v>
      </c>
      <c r="AB99" s="15">
        <v>0.69699999999999995</v>
      </c>
      <c r="AC99" s="15">
        <v>0.79</v>
      </c>
      <c r="AD99" s="15">
        <v>0.66600000000000004</v>
      </c>
      <c r="AE99" s="15">
        <v>-0.61599999999999999</v>
      </c>
      <c r="AF99" s="14">
        <v>-0.24299999999999999</v>
      </c>
      <c r="AG99" s="15">
        <v>-8.3000000000000004E-2</v>
      </c>
      <c r="AH99" s="15">
        <v>-0.91</v>
      </c>
      <c r="AI99" s="15">
        <v>-0.90900000000000003</v>
      </c>
      <c r="AJ99" s="15">
        <v>-1</v>
      </c>
      <c r="AK99" s="16">
        <v>-0.19</v>
      </c>
      <c r="AL99" s="4">
        <v>0.19400000000000001</v>
      </c>
      <c r="AM99" s="4">
        <v>-4.1000000000000002E-2</v>
      </c>
      <c r="AN99" s="4">
        <v>0.115</v>
      </c>
      <c r="AO99" s="4">
        <v>-0.152</v>
      </c>
      <c r="AP99" s="4">
        <v>-0.20300000000000001</v>
      </c>
      <c r="AQ99" s="4">
        <v>3.9E-2</v>
      </c>
      <c r="AR99" s="4">
        <v>0.13500000000000001</v>
      </c>
      <c r="AS99" s="4">
        <v>0.41699999999999998</v>
      </c>
      <c r="AT99" s="4">
        <v>-0.156</v>
      </c>
      <c r="AU99" s="4">
        <v>-0.53</v>
      </c>
      <c r="AV99" s="4">
        <v>-0.39500000000000002</v>
      </c>
      <c r="AW99" s="4">
        <v>0.36699999999999999</v>
      </c>
      <c r="AX99" s="4">
        <v>-0.26600000000000001</v>
      </c>
      <c r="AY99" s="4">
        <v>5.8999999999999997E-2</v>
      </c>
      <c r="AZ99" s="4">
        <v>0.23599999999999999</v>
      </c>
      <c r="BA99" s="4">
        <v>0.73799999999999999</v>
      </c>
      <c r="BB99" s="4">
        <v>-0.28000000000000003</v>
      </c>
      <c r="BC99" s="4">
        <v>-0.154</v>
      </c>
      <c r="BD99" s="4">
        <v>0.42199999999999999</v>
      </c>
      <c r="BE99" s="4">
        <v>7.0000000000000001E-3</v>
      </c>
      <c r="BF99" s="4">
        <v>0.152</v>
      </c>
      <c r="BG99" s="4">
        <v>0.98399999999999999</v>
      </c>
      <c r="BH99" s="4">
        <v>-0.36499999999999999</v>
      </c>
      <c r="BI99" s="4">
        <v>-0.10199999999999999</v>
      </c>
      <c r="BJ99" s="4">
        <v>0.20599999999999999</v>
      </c>
      <c r="BK99" s="4">
        <v>-0.76500000000000001</v>
      </c>
      <c r="BL99" s="4"/>
    </row>
    <row r="100" spans="1:64" x14ac:dyDescent="0.3">
      <c r="A100" t="s">
        <v>199</v>
      </c>
      <c r="B100" s="53">
        <f t="shared" si="10"/>
        <v>0</v>
      </c>
      <c r="C100" s="53">
        <f t="shared" si="11"/>
        <v>0</v>
      </c>
      <c r="D100" s="53">
        <f t="shared" si="12"/>
        <v>0</v>
      </c>
      <c r="E100" s="53">
        <f t="shared" si="13"/>
        <v>0</v>
      </c>
      <c r="F100" s="15">
        <v>0.85699999999999998</v>
      </c>
      <c r="G100">
        <v>1.0249999999999999</v>
      </c>
      <c r="H100" t="s">
        <v>55</v>
      </c>
      <c r="I100" t="str">
        <f>VLOOKUP(A100,Setores!$A$2:$C$215,2,0)</f>
        <v>utilities</v>
      </c>
      <c r="J100" t="str">
        <f>VLOOKUP(A100,Setores!$A$2:$C$215,3,0)</f>
        <v>very_high_beta</v>
      </c>
      <c r="K100" s="100">
        <v>0</v>
      </c>
      <c r="L100" s="58">
        <v>0</v>
      </c>
      <c r="M100" s="7">
        <v>0</v>
      </c>
      <c r="N100" s="41">
        <f>VLOOKUP(A100,'Mandato ISEE'!$A$1:$C$215,2,0)</f>
        <v>0</v>
      </c>
      <c r="O100" s="58">
        <f t="shared" si="14"/>
        <v>0</v>
      </c>
      <c r="P100" s="41">
        <f>VLOOKUP(A100,'Mandato ISEE'!$A$1:$C$215,3,0)</f>
        <v>0</v>
      </c>
      <c r="Q100" s="42">
        <f t="shared" si="15"/>
        <v>0</v>
      </c>
      <c r="R100" s="42">
        <v>-0.32500000000000001</v>
      </c>
      <c r="S100" s="15">
        <v>-0.30199999999999999</v>
      </c>
      <c r="T100" s="15">
        <v>-0.8</v>
      </c>
      <c r="U100" s="15">
        <v>-0.252</v>
      </c>
      <c r="V100" s="15">
        <v>-0.63600000000000001</v>
      </c>
      <c r="W100" s="15">
        <v>-0.20499999999999999</v>
      </c>
      <c r="X100" s="15">
        <v>-9.6000000000000002E-2</v>
      </c>
      <c r="Y100" s="15">
        <v>-0.45300000000000001</v>
      </c>
      <c r="Z100" s="15">
        <v>0.38700000000000001</v>
      </c>
      <c r="AA100" s="15">
        <v>0.38100000000000001</v>
      </c>
      <c r="AB100" s="15">
        <v>0.52300000000000002</v>
      </c>
      <c r="AC100" s="15">
        <v>0.63200000000000001</v>
      </c>
      <c r="AD100" s="15">
        <v>0.55800000000000005</v>
      </c>
      <c r="AE100" s="15">
        <v>-0.51100000000000001</v>
      </c>
      <c r="AF100" s="14">
        <v>-0.35799999999999998</v>
      </c>
      <c r="AG100" s="15">
        <v>-0.14799999999999999</v>
      </c>
      <c r="AH100" s="15">
        <v>-0.86299999999999999</v>
      </c>
      <c r="AI100" s="15">
        <v>0.39600000000000002</v>
      </c>
      <c r="AJ100" s="15">
        <v>-0.55500000000000005</v>
      </c>
      <c r="AK100" s="16">
        <v>-0.48</v>
      </c>
      <c r="AL100" s="4">
        <v>-1</v>
      </c>
      <c r="AM100" s="4">
        <v>-0.88400000000000001</v>
      </c>
      <c r="AN100" s="4">
        <v>0.13300000000000001</v>
      </c>
      <c r="AO100" s="4">
        <v>0.56599999999999995</v>
      </c>
      <c r="AP100" s="4">
        <v>0.749</v>
      </c>
      <c r="AQ100" s="4">
        <v>0.64800000000000002</v>
      </c>
      <c r="AR100" s="4">
        <v>1</v>
      </c>
      <c r="AS100" s="4">
        <v>0.66300000000000003</v>
      </c>
      <c r="AT100" s="4">
        <v>-0.16600000000000001</v>
      </c>
      <c r="AU100" s="4">
        <v>5.8999999999999997E-2</v>
      </c>
      <c r="AV100" s="4">
        <v>0.41499999999999998</v>
      </c>
      <c r="AW100" s="4">
        <v>0.51100000000000001</v>
      </c>
      <c r="AX100" s="4">
        <v>-8.8999999999999996E-2</v>
      </c>
      <c r="AY100" s="4">
        <v>0.52</v>
      </c>
      <c r="AZ100" s="4">
        <v>0.17799999999999999</v>
      </c>
      <c r="BA100" s="4">
        <v>-0.23899999999999999</v>
      </c>
      <c r="BB100" s="4">
        <v>-0.71199999999999997</v>
      </c>
      <c r="BC100" s="4">
        <v>-0.83699999999999997</v>
      </c>
      <c r="BD100" s="4">
        <v>0.38700000000000001</v>
      </c>
      <c r="BE100" s="4">
        <v>-0.48</v>
      </c>
      <c r="BF100" s="4">
        <v>-0.51700000000000002</v>
      </c>
      <c r="BG100" s="4">
        <v>0.375</v>
      </c>
      <c r="BH100" s="4">
        <v>-0.70199999999999996</v>
      </c>
      <c r="BI100" s="4">
        <v>0.26300000000000001</v>
      </c>
      <c r="BJ100" s="4">
        <v>-9.1999999999999998E-2</v>
      </c>
      <c r="BK100" s="4">
        <v>0.29499999999999998</v>
      </c>
      <c r="BL100" s="4"/>
    </row>
    <row r="101" spans="1:64" x14ac:dyDescent="0.3">
      <c r="A101" t="s">
        <v>244</v>
      </c>
      <c r="B101" s="53">
        <f t="shared" si="10"/>
        <v>0</v>
      </c>
      <c r="C101" s="53">
        <f t="shared" si="11"/>
        <v>0</v>
      </c>
      <c r="D101" s="53">
        <f t="shared" si="12"/>
        <v>0</v>
      </c>
      <c r="E101" s="53">
        <f t="shared" si="13"/>
        <v>0</v>
      </c>
      <c r="F101" s="15">
        <v>0.85</v>
      </c>
      <c r="G101">
        <v>0.60299999999999998</v>
      </c>
      <c r="H101" t="s">
        <v>57</v>
      </c>
      <c r="I101" t="str">
        <f>VLOOKUP(A101,Setores!$A$2:$C$215,2,0)</f>
        <v>consumer_durables</v>
      </c>
      <c r="J101" t="str">
        <f>VLOOKUP(A101,Setores!$A$2:$C$215,3,0)</f>
        <v>high_beta</v>
      </c>
      <c r="K101" s="100">
        <v>0</v>
      </c>
      <c r="L101" s="58">
        <v>0</v>
      </c>
      <c r="M101" s="7">
        <v>0</v>
      </c>
      <c r="N101" s="41">
        <f>VLOOKUP(A101,'Mandato ISEE'!$A$1:$C$215,2,0)</f>
        <v>0</v>
      </c>
      <c r="O101" s="58">
        <f t="shared" si="14"/>
        <v>0</v>
      </c>
      <c r="P101" s="41">
        <f>VLOOKUP(A101,'Mandato ISEE'!$A$1:$C$215,3,0)</f>
        <v>0</v>
      </c>
      <c r="Q101" s="42">
        <f t="shared" si="15"/>
        <v>0</v>
      </c>
      <c r="R101" s="42">
        <v>-0.13600000000000001</v>
      </c>
      <c r="S101" s="15">
        <v>0.76300000000000001</v>
      </c>
      <c r="T101" s="15">
        <v>-0.14599999999999999</v>
      </c>
      <c r="U101" s="15">
        <v>-0.59399999999999997</v>
      </c>
      <c r="V101" s="15">
        <v>-1.6E-2</v>
      </c>
      <c r="W101" s="15">
        <v>-0.749</v>
      </c>
      <c r="X101" s="15">
        <v>-0.83499999999999996</v>
      </c>
      <c r="Y101" s="15">
        <v>-0.74199999999999999</v>
      </c>
      <c r="Z101" s="15">
        <v>0.161</v>
      </c>
      <c r="AA101" s="15">
        <v>0.159</v>
      </c>
      <c r="AB101" s="15">
        <v>0.29899999999999999</v>
      </c>
      <c r="AC101" s="15">
        <v>1</v>
      </c>
      <c r="AD101" s="15">
        <v>0.79300000000000004</v>
      </c>
      <c r="AE101" s="15">
        <v>-0.69299999999999995</v>
      </c>
      <c r="AF101" s="14">
        <v>-9.4E-2</v>
      </c>
      <c r="AG101" s="15">
        <v>0.90600000000000003</v>
      </c>
      <c r="AH101" s="15">
        <v>0.48599999999999999</v>
      </c>
      <c r="AI101" s="15">
        <v>1</v>
      </c>
      <c r="AJ101" s="15">
        <v>-0.66900000000000004</v>
      </c>
      <c r="AK101" s="16">
        <v>0.13800000000000001</v>
      </c>
      <c r="AL101" s="4">
        <v>-1</v>
      </c>
      <c r="AM101" s="4">
        <v>0.997</v>
      </c>
      <c r="AN101" s="4">
        <v>-7.0999999999999994E-2</v>
      </c>
      <c r="AO101" s="4">
        <v>-2.4E-2</v>
      </c>
      <c r="AP101" s="4">
        <v>0.63400000000000001</v>
      </c>
      <c r="AQ101" s="4">
        <v>-0.3</v>
      </c>
      <c r="AR101" s="4">
        <v>0.48699999999999999</v>
      </c>
      <c r="AS101" s="4">
        <v>0.27300000000000002</v>
      </c>
      <c r="AT101" s="4">
        <v>-0.26100000000000001</v>
      </c>
      <c r="AU101" s="4">
        <v>-0.65500000000000003</v>
      </c>
      <c r="AV101" s="4">
        <v>-0.63100000000000001</v>
      </c>
      <c r="AW101" s="4">
        <v>-0.56999999999999995</v>
      </c>
      <c r="AX101" s="4">
        <v>-0.20799999999999999</v>
      </c>
      <c r="AY101" s="4">
        <v>-0.93899999999999995</v>
      </c>
      <c r="AZ101" s="4">
        <v>-1</v>
      </c>
      <c r="BA101" s="4">
        <v>2.1999999999999999E-2</v>
      </c>
      <c r="BB101" s="4">
        <v>0.318</v>
      </c>
      <c r="BC101" s="4">
        <v>0.30199999999999999</v>
      </c>
      <c r="BD101" s="4">
        <v>0.40100000000000002</v>
      </c>
      <c r="BE101" s="4">
        <v>1</v>
      </c>
      <c r="BF101" s="4">
        <v>0.436</v>
      </c>
      <c r="BG101" s="4">
        <v>0.156</v>
      </c>
      <c r="BH101" s="4">
        <v>1</v>
      </c>
      <c r="BI101" s="4">
        <v>0.248</v>
      </c>
      <c r="BJ101" s="4">
        <v>-0.19900000000000001</v>
      </c>
      <c r="BK101" s="4">
        <v>0.5</v>
      </c>
      <c r="BL101" s="4"/>
    </row>
    <row r="102" spans="1:64" x14ac:dyDescent="0.3">
      <c r="A102" t="s">
        <v>151</v>
      </c>
      <c r="B102" s="53">
        <f t="shared" si="10"/>
        <v>0</v>
      </c>
      <c r="C102" s="53">
        <f t="shared" si="11"/>
        <v>0</v>
      </c>
      <c r="D102" s="53">
        <f t="shared" si="12"/>
        <v>0</v>
      </c>
      <c r="E102" s="53">
        <f t="shared" si="13"/>
        <v>0</v>
      </c>
      <c r="F102" s="15">
        <v>0.84799999999999998</v>
      </c>
      <c r="G102">
        <v>0.79200000000000004</v>
      </c>
      <c r="H102" t="s">
        <v>57</v>
      </c>
      <c r="I102" t="str">
        <f>VLOOKUP(A102,Setores!$A$2:$C$215,2,0)</f>
        <v>homebuilders</v>
      </c>
      <c r="J102" t="str">
        <f>VLOOKUP(A102,Setores!$A$2:$C$215,3,0)</f>
        <v>very_high_beta</v>
      </c>
      <c r="K102" s="100">
        <v>0</v>
      </c>
      <c r="L102" s="58">
        <v>0</v>
      </c>
      <c r="M102" s="7">
        <v>0</v>
      </c>
      <c r="N102" s="41">
        <f>VLOOKUP(A102,'Mandato ISEE'!$A$1:$C$215,2,0)</f>
        <v>0</v>
      </c>
      <c r="O102" s="58">
        <f t="shared" si="14"/>
        <v>0</v>
      </c>
      <c r="P102" s="41">
        <f>VLOOKUP(A102,'Mandato ISEE'!$A$1:$C$215,3,0)</f>
        <v>0</v>
      </c>
      <c r="Q102" s="42">
        <f t="shared" si="15"/>
        <v>0</v>
      </c>
      <c r="R102" s="42">
        <v>-0.39</v>
      </c>
      <c r="S102" s="15">
        <v>-0.84599999999999997</v>
      </c>
      <c r="T102" s="15">
        <v>-0.59099999999999997</v>
      </c>
      <c r="U102" s="15">
        <v>-0.152</v>
      </c>
      <c r="V102" s="15">
        <v>-0.628</v>
      </c>
      <c r="W102" s="15">
        <v>-7.0999999999999994E-2</v>
      </c>
      <c r="X102" s="15">
        <v>8.8999999999999996E-2</v>
      </c>
      <c r="Y102" s="15">
        <v>-0.183</v>
      </c>
      <c r="Z102" s="15">
        <v>-2.1999999999999999E-2</v>
      </c>
      <c r="AA102" s="15">
        <v>-2.3E-2</v>
      </c>
      <c r="AB102" s="15">
        <v>0.62</v>
      </c>
      <c r="AC102" s="15">
        <v>0.51400000000000001</v>
      </c>
      <c r="AD102" s="15">
        <v>0.434</v>
      </c>
      <c r="AE102" s="15">
        <v>0.32300000000000001</v>
      </c>
      <c r="AF102" s="14">
        <v>0.46300000000000002</v>
      </c>
      <c r="AG102" s="15">
        <v>-0.84799999999999998</v>
      </c>
      <c r="AH102" s="15">
        <v>-0.44900000000000001</v>
      </c>
      <c r="AI102" s="15">
        <v>-0.65500000000000003</v>
      </c>
      <c r="AJ102" s="15">
        <v>-0.50900000000000001</v>
      </c>
      <c r="AK102" s="16">
        <v>-0.1</v>
      </c>
      <c r="AL102" s="4">
        <v>0.58099999999999996</v>
      </c>
      <c r="AM102" s="4">
        <v>-0.73299999999999998</v>
      </c>
      <c r="AN102" s="4">
        <v>0.496</v>
      </c>
      <c r="AO102" s="4">
        <v>-0.59399999999999997</v>
      </c>
      <c r="AP102" s="4">
        <v>-0.39300000000000002</v>
      </c>
      <c r="AQ102" s="4">
        <v>0.42099999999999999</v>
      </c>
      <c r="AR102" s="4">
        <v>0.36</v>
      </c>
      <c r="AS102" s="4">
        <v>-6.0000000000000001E-3</v>
      </c>
      <c r="AT102" s="4">
        <v>0.26500000000000001</v>
      </c>
      <c r="AU102" s="4">
        <v>0</v>
      </c>
      <c r="AV102" s="4">
        <v>0.23699999999999999</v>
      </c>
      <c r="AW102" s="4">
        <v>6.0000000000000001E-3</v>
      </c>
      <c r="AX102" s="4">
        <v>-2.9000000000000001E-2</v>
      </c>
      <c r="AY102" s="4">
        <v>0.64700000000000002</v>
      </c>
      <c r="AZ102" s="4">
        <v>1</v>
      </c>
      <c r="BA102" s="4">
        <v>8.8999999999999996E-2</v>
      </c>
      <c r="BB102" s="4">
        <v>-0.38700000000000001</v>
      </c>
      <c r="BC102" s="4">
        <v>-0.10299999999999999</v>
      </c>
      <c r="BD102" s="4">
        <v>7.3999999999999996E-2</v>
      </c>
      <c r="BE102" s="4">
        <v>-0.183</v>
      </c>
      <c r="BF102" s="4">
        <v>-0.36699999999999999</v>
      </c>
      <c r="BG102" s="4">
        <v>0.108</v>
      </c>
      <c r="BH102" s="4">
        <v>-0.95499999999999996</v>
      </c>
      <c r="BI102" s="4">
        <v>0.66400000000000003</v>
      </c>
      <c r="BJ102" s="4">
        <v>-0.72699999999999998</v>
      </c>
      <c r="BK102" s="4">
        <v>-0.22900000000000001</v>
      </c>
      <c r="BL102" s="4"/>
    </row>
    <row r="103" spans="1:64" x14ac:dyDescent="0.3">
      <c r="A103" t="s">
        <v>138</v>
      </c>
      <c r="B103" s="53">
        <f t="shared" si="10"/>
        <v>0</v>
      </c>
      <c r="C103" s="53">
        <f t="shared" si="11"/>
        <v>0</v>
      </c>
      <c r="D103" s="53">
        <f t="shared" si="12"/>
        <v>0</v>
      </c>
      <c r="E103" s="53">
        <f t="shared" si="13"/>
        <v>0</v>
      </c>
      <c r="F103" s="15">
        <v>0.84499999999999997</v>
      </c>
      <c r="G103">
        <v>0.82299999999999995</v>
      </c>
      <c r="H103" t="s">
        <v>71</v>
      </c>
      <c r="I103" t="str">
        <f>VLOOKUP(A103,Setores!$A$2:$C$215,2,0)</f>
        <v>basic_materials</v>
      </c>
      <c r="J103" t="str">
        <f>VLOOKUP(A103,Setores!$A$2:$C$215,3,0)</f>
        <v>low_beta</v>
      </c>
      <c r="K103" s="100">
        <v>0</v>
      </c>
      <c r="L103" s="58">
        <v>0</v>
      </c>
      <c r="M103" s="7">
        <v>0</v>
      </c>
      <c r="N103" s="41">
        <f>VLOOKUP(A103,'Mandato ISEE'!$A$1:$C$215,2,0)</f>
        <v>0</v>
      </c>
      <c r="O103" s="58">
        <f t="shared" si="14"/>
        <v>0</v>
      </c>
      <c r="P103" s="41">
        <f>VLOOKUP(A103,'Mandato ISEE'!$A$1:$C$215,3,0)</f>
        <v>0</v>
      </c>
      <c r="Q103" s="42">
        <f t="shared" si="15"/>
        <v>0</v>
      </c>
      <c r="R103" s="42">
        <v>-0.54</v>
      </c>
      <c r="S103" s="15">
        <v>-0.4</v>
      </c>
      <c r="T103" s="15">
        <v>-0.36099999999999999</v>
      </c>
      <c r="U103" s="15">
        <v>-0.71299999999999997</v>
      </c>
      <c r="V103" s="15">
        <v>-0.55000000000000004</v>
      </c>
      <c r="W103" s="15">
        <v>-0.34899999999999998</v>
      </c>
      <c r="X103" s="15">
        <v>-0.501</v>
      </c>
      <c r="Y103" s="15">
        <v>-0.312</v>
      </c>
      <c r="Z103" s="15">
        <v>0.45200000000000001</v>
      </c>
      <c r="AA103" s="15">
        <v>0.44400000000000001</v>
      </c>
      <c r="AB103" s="15">
        <v>0.50800000000000001</v>
      </c>
      <c r="AC103" s="15">
        <v>0.66700000000000004</v>
      </c>
      <c r="AD103" s="15">
        <v>0.71599999999999997</v>
      </c>
      <c r="AE103" s="15">
        <v>-0.48699999999999999</v>
      </c>
      <c r="AF103" s="14">
        <v>-0.96</v>
      </c>
      <c r="AG103" s="15">
        <v>-0.45</v>
      </c>
      <c r="AH103" s="15">
        <v>-0.11</v>
      </c>
      <c r="AI103" s="15">
        <v>7.3999999999999996E-2</v>
      </c>
      <c r="AJ103" s="15">
        <v>-0.36499999999999999</v>
      </c>
      <c r="AK103" s="16">
        <v>-0.17100000000000001</v>
      </c>
      <c r="AL103" s="4">
        <v>0.25900000000000001</v>
      </c>
      <c r="AM103" s="4">
        <v>-8.5999999999999993E-2</v>
      </c>
      <c r="AN103" s="4">
        <v>-0.106</v>
      </c>
      <c r="AO103" s="4">
        <v>4.0000000000000001E-3</v>
      </c>
      <c r="AP103" s="4">
        <v>4.9000000000000002E-2</v>
      </c>
      <c r="AQ103" s="4">
        <v>-0.91300000000000003</v>
      </c>
      <c r="AR103" s="4">
        <v>-0.23100000000000001</v>
      </c>
      <c r="AS103" s="4">
        <v>-0.16400000000000001</v>
      </c>
      <c r="AT103" s="4">
        <v>-8.3000000000000004E-2</v>
      </c>
      <c r="AU103" s="4">
        <v>-0.501</v>
      </c>
      <c r="AV103" s="4">
        <v>-0.224</v>
      </c>
      <c r="AW103" s="4">
        <v>0.39300000000000002</v>
      </c>
      <c r="AX103" s="4">
        <v>0.498</v>
      </c>
      <c r="AY103" s="4">
        <v>0.82099999999999995</v>
      </c>
      <c r="AZ103" s="4">
        <v>-1.9E-2</v>
      </c>
      <c r="BA103" s="4">
        <v>0.83</v>
      </c>
      <c r="BB103" s="4">
        <v>0.186</v>
      </c>
      <c r="BC103" s="4">
        <v>0.17199999999999999</v>
      </c>
      <c r="BD103" s="4">
        <v>0.36199999999999999</v>
      </c>
      <c r="BE103" s="4">
        <v>0.48599999999999999</v>
      </c>
      <c r="BF103" s="4">
        <v>1</v>
      </c>
      <c r="BG103" s="4">
        <v>0.29799999999999999</v>
      </c>
      <c r="BH103" s="4">
        <v>-3.5000000000000003E-2</v>
      </c>
      <c r="BI103" s="4">
        <v>-0.69399999999999995</v>
      </c>
      <c r="BJ103" s="4">
        <v>0.65</v>
      </c>
      <c r="BK103" s="4">
        <v>0.63700000000000001</v>
      </c>
      <c r="BL103" s="4"/>
    </row>
    <row r="104" spans="1:64" x14ac:dyDescent="0.3">
      <c r="A104" t="s">
        <v>117</v>
      </c>
      <c r="B104" s="53">
        <v>0.04</v>
      </c>
      <c r="C104" s="53">
        <f t="shared" si="11"/>
        <v>2.2000000000000002E-2</v>
      </c>
      <c r="D104" s="53">
        <f t="shared" si="12"/>
        <v>-2.9999999999999957E-3</v>
      </c>
      <c r="E104" s="53">
        <f t="shared" si="13"/>
        <v>1.7999999999999999E-2</v>
      </c>
      <c r="F104" s="15">
        <v>0.84299999999999997</v>
      </c>
      <c r="G104">
        <v>1.5880000000000001</v>
      </c>
      <c r="H104" t="s">
        <v>55</v>
      </c>
      <c r="I104" t="str">
        <f>VLOOKUP(A104,Setores!$A$2:$C$215,2,0)</f>
        <v>utilities</v>
      </c>
      <c r="J104" t="str">
        <f>VLOOKUP(A104,Setores!$A$2:$C$215,3,0)</f>
        <v>neutral_beta</v>
      </c>
      <c r="K104" s="100">
        <v>4.2999999999999997E-2</v>
      </c>
      <c r="L104" s="58">
        <v>2.5999999999999999E-2</v>
      </c>
      <c r="M104" s="7">
        <v>1.7999999999999999E-2</v>
      </c>
      <c r="N104" s="41">
        <f>VLOOKUP(A104,'Mandato ISEE'!$A$1:$C$215,2,0)</f>
        <v>0</v>
      </c>
      <c r="O104" s="58">
        <f t="shared" si="14"/>
        <v>4.2999999999999997E-2</v>
      </c>
      <c r="P104" s="41">
        <f>VLOOKUP(A104,'Mandato ISEE'!$A$1:$C$215,3,0)</f>
        <v>0</v>
      </c>
      <c r="Q104" s="42">
        <f t="shared" si="15"/>
        <v>4.2999999999999997E-2</v>
      </c>
      <c r="R104" s="42">
        <v>-0.73899999999999999</v>
      </c>
      <c r="S104" s="15">
        <v>-0.73399999999999999</v>
      </c>
      <c r="T104" s="15">
        <v>-0.90100000000000002</v>
      </c>
      <c r="U104" s="15">
        <v>-0.495</v>
      </c>
      <c r="V104" s="15">
        <v>-0.75700000000000001</v>
      </c>
      <c r="W104" s="15">
        <v>-0.29199999999999998</v>
      </c>
      <c r="X104" s="15">
        <v>7.0999999999999994E-2</v>
      </c>
      <c r="Y104" s="15">
        <v>-0.18</v>
      </c>
      <c r="Z104" s="15">
        <v>0.50700000000000001</v>
      </c>
      <c r="AA104" s="15">
        <v>0.50800000000000001</v>
      </c>
      <c r="AB104" s="15">
        <v>0.70799999999999996</v>
      </c>
      <c r="AC104" s="15">
        <v>0.747</v>
      </c>
      <c r="AD104" s="15">
        <v>0.59699999999999998</v>
      </c>
      <c r="AE104" s="15">
        <v>-0.54100000000000004</v>
      </c>
      <c r="AF104" s="14">
        <v>-0.63400000000000001</v>
      </c>
      <c r="AG104" s="15">
        <v>-0.17899999999999999</v>
      </c>
      <c r="AH104" s="15">
        <v>-0.92500000000000004</v>
      </c>
      <c r="AI104" s="15">
        <v>-0.68700000000000006</v>
      </c>
      <c r="AJ104" s="15">
        <v>-0.95199999999999996</v>
      </c>
      <c r="AK104" s="16">
        <v>-0.26200000000000001</v>
      </c>
      <c r="AL104" s="4">
        <v>0.11899999999999999</v>
      </c>
      <c r="AM104" s="4">
        <v>-0.66700000000000004</v>
      </c>
      <c r="AN104" s="4">
        <v>-0.498</v>
      </c>
      <c r="AO104" s="4">
        <v>0.16</v>
      </c>
      <c r="AP104" s="4">
        <v>0.29399999999999998</v>
      </c>
      <c r="AQ104" s="4">
        <v>-0.128</v>
      </c>
      <c r="AR104" s="4">
        <v>0.315</v>
      </c>
      <c r="AS104" s="4">
        <v>0.28000000000000003</v>
      </c>
      <c r="AT104" s="4">
        <v>0.371</v>
      </c>
      <c r="AU104" s="4">
        <v>-0.113</v>
      </c>
      <c r="AV104" s="4">
        <v>-0.109</v>
      </c>
      <c r="AW104" s="4">
        <v>0.73199999999999998</v>
      </c>
      <c r="AX104" s="4">
        <v>-0.54500000000000004</v>
      </c>
      <c r="AY104" s="4">
        <v>0.94199999999999995</v>
      </c>
      <c r="AZ104" s="4">
        <v>-0.13700000000000001</v>
      </c>
      <c r="BA104" s="4">
        <v>0.126</v>
      </c>
      <c r="BB104" s="4">
        <v>-0.28399999999999997</v>
      </c>
      <c r="BC104" s="4">
        <v>-0.33900000000000002</v>
      </c>
      <c r="BD104" s="4">
        <v>0.376</v>
      </c>
      <c r="BE104" s="4">
        <v>-2.3E-2</v>
      </c>
      <c r="BF104" s="4">
        <v>-0.57599999999999996</v>
      </c>
      <c r="BG104" s="4">
        <v>0.54400000000000004</v>
      </c>
      <c r="BH104" s="4">
        <v>-0.624</v>
      </c>
      <c r="BI104" s="4">
        <v>3.0000000000000001E-3</v>
      </c>
      <c r="BJ104" s="4">
        <v>0.14599999999999999</v>
      </c>
      <c r="BK104" s="4">
        <v>-0.51300000000000001</v>
      </c>
      <c r="BL104" s="4"/>
    </row>
    <row r="105" spans="1:64" x14ac:dyDescent="0.3">
      <c r="A105" t="s">
        <v>135</v>
      </c>
      <c r="B105" s="53">
        <v>4.8000000000000001E-2</v>
      </c>
      <c r="C105" s="53">
        <f t="shared" si="11"/>
        <v>0.02</v>
      </c>
      <c r="D105" s="53">
        <f t="shared" si="12"/>
        <v>-4.9999999999999975E-3</v>
      </c>
      <c r="E105" s="53">
        <f t="shared" si="13"/>
        <v>2.8000000000000001E-2</v>
      </c>
      <c r="F105" s="15">
        <v>0.84099999999999997</v>
      </c>
      <c r="G105">
        <v>1.8320000000000001</v>
      </c>
      <c r="H105" t="s">
        <v>57</v>
      </c>
      <c r="I105" t="str">
        <f>VLOOKUP(A105,Setores!$A$2:$C$215,2,0)</f>
        <v>banks</v>
      </c>
      <c r="J105" t="str">
        <f>VLOOKUP(A105,Setores!$A$2:$C$215,3,0)</f>
        <v>neutral_beta</v>
      </c>
      <c r="K105" s="100">
        <v>5.2999999999999999E-2</v>
      </c>
      <c r="L105" s="58">
        <v>2.5000000000000001E-2</v>
      </c>
      <c r="M105" s="7">
        <v>2.8000000000000001E-2</v>
      </c>
      <c r="N105" s="41">
        <f>VLOOKUP(A105,'Mandato ISEE'!$A$1:$C$215,2,0)</f>
        <v>0</v>
      </c>
      <c r="O105" s="58">
        <f t="shared" si="14"/>
        <v>5.2999999999999999E-2</v>
      </c>
      <c r="P105" s="41">
        <f>VLOOKUP(A105,'Mandato ISEE'!$A$1:$C$215,3,0)</f>
        <v>0</v>
      </c>
      <c r="Q105" s="42">
        <f t="shared" si="15"/>
        <v>5.2999999999999999E-2</v>
      </c>
      <c r="R105" s="42">
        <v>-0.70299999999999996</v>
      </c>
      <c r="S105" s="15">
        <v>-0.749</v>
      </c>
      <c r="T105" s="15">
        <v>-0.9</v>
      </c>
      <c r="U105" s="15">
        <v>-0.48699999999999999</v>
      </c>
      <c r="V105" s="15">
        <v>-0.75800000000000001</v>
      </c>
      <c r="W105" s="15">
        <v>-0.23400000000000001</v>
      </c>
      <c r="X105" s="15">
        <v>8.2000000000000003E-2</v>
      </c>
      <c r="Y105" s="15">
        <v>-0.20200000000000001</v>
      </c>
      <c r="Z105" s="15">
        <v>0.38600000000000001</v>
      </c>
      <c r="AA105" s="15">
        <v>0.38400000000000001</v>
      </c>
      <c r="AB105" s="15">
        <v>0.73499999999999999</v>
      </c>
      <c r="AC105" s="15">
        <v>0.78200000000000003</v>
      </c>
      <c r="AD105" s="15">
        <v>0.61799999999999999</v>
      </c>
      <c r="AE105" s="15">
        <v>-0.60699999999999998</v>
      </c>
      <c r="AF105" s="14">
        <v>0.106</v>
      </c>
      <c r="AG105" s="15">
        <v>-0.156</v>
      </c>
      <c r="AH105" s="15">
        <v>-0.94699999999999995</v>
      </c>
      <c r="AI105" s="15">
        <v>-0.872</v>
      </c>
      <c r="AJ105" s="15">
        <v>-0.97299999999999998</v>
      </c>
      <c r="AK105" s="16">
        <v>-0.23100000000000001</v>
      </c>
      <c r="AL105" s="4">
        <v>7.3999999999999996E-2</v>
      </c>
      <c r="AM105" s="4">
        <v>-0.52700000000000002</v>
      </c>
      <c r="AN105" s="4">
        <v>-7.2999999999999995E-2</v>
      </c>
      <c r="AO105" s="4">
        <v>0.14799999999999999</v>
      </c>
      <c r="AP105" s="4">
        <v>-0.34399999999999997</v>
      </c>
      <c r="AQ105" s="4">
        <v>0.26</v>
      </c>
      <c r="AR105" s="4">
        <v>0.26900000000000002</v>
      </c>
      <c r="AS105" s="4">
        <v>-0.112</v>
      </c>
      <c r="AT105" s="4">
        <v>-7.3999999999999996E-2</v>
      </c>
      <c r="AU105" s="4">
        <v>-0.20399999999999999</v>
      </c>
      <c r="AV105" s="4">
        <v>-0.23599999999999999</v>
      </c>
      <c r="AW105" s="4">
        <v>0.44400000000000001</v>
      </c>
      <c r="AX105" s="4">
        <v>-0.437</v>
      </c>
      <c r="AY105" s="4">
        <v>0.83399999999999996</v>
      </c>
      <c r="AZ105" s="4">
        <v>0.44500000000000001</v>
      </c>
      <c r="BA105" s="4">
        <v>0.64800000000000002</v>
      </c>
      <c r="BB105" s="4">
        <v>-0.36799999999999999</v>
      </c>
      <c r="BC105" s="4">
        <v>-0.192</v>
      </c>
      <c r="BD105" s="4">
        <v>0.30299999999999999</v>
      </c>
      <c r="BE105" s="4">
        <v>5.0000000000000001E-3</v>
      </c>
      <c r="BF105" s="4">
        <v>-4.1000000000000002E-2</v>
      </c>
      <c r="BG105" s="4">
        <v>0.90900000000000003</v>
      </c>
      <c r="BH105" s="4">
        <v>-0.71199999999999997</v>
      </c>
      <c r="BI105" s="4">
        <v>-0.153</v>
      </c>
      <c r="BJ105" s="4">
        <v>-0.184</v>
      </c>
      <c r="BK105" s="4">
        <v>-0.93899999999999995</v>
      </c>
      <c r="BL105" s="4"/>
    </row>
    <row r="106" spans="1:64" x14ac:dyDescent="0.3">
      <c r="A106" t="s">
        <v>182</v>
      </c>
      <c r="B106" s="53">
        <f t="shared" si="10"/>
        <v>0</v>
      </c>
      <c r="C106" s="53">
        <f t="shared" si="11"/>
        <v>0</v>
      </c>
      <c r="D106" s="53">
        <f t="shared" si="12"/>
        <v>0</v>
      </c>
      <c r="E106" s="53">
        <f t="shared" si="13"/>
        <v>0</v>
      </c>
      <c r="F106" s="15">
        <v>0.83599999999999997</v>
      </c>
      <c r="G106">
        <v>0.98799999999999999</v>
      </c>
      <c r="H106" t="s">
        <v>71</v>
      </c>
      <c r="I106" t="str">
        <f>VLOOKUP(A106,Setores!$A$2:$C$215,2,0)</f>
        <v>basic_materials</v>
      </c>
      <c r="J106" t="str">
        <f>VLOOKUP(A106,Setores!$A$2:$C$215,3,0)</f>
        <v>low_beta</v>
      </c>
      <c r="K106" s="100">
        <v>0</v>
      </c>
      <c r="L106" s="58">
        <v>0</v>
      </c>
      <c r="M106" s="7">
        <v>0</v>
      </c>
      <c r="N106" s="41">
        <f>VLOOKUP(A106,'Mandato ISEE'!$A$1:$C$215,2,0)</f>
        <v>0</v>
      </c>
      <c r="O106" s="58">
        <f t="shared" si="14"/>
        <v>0</v>
      </c>
      <c r="P106" s="41">
        <f>VLOOKUP(A106,'Mandato ISEE'!$A$1:$C$215,3,0)</f>
        <v>0</v>
      </c>
      <c r="Q106" s="42">
        <f t="shared" si="15"/>
        <v>0</v>
      </c>
      <c r="R106" s="42">
        <v>-0.85599999999999998</v>
      </c>
      <c r="S106" s="15">
        <v>-0.55900000000000005</v>
      </c>
      <c r="T106" s="15">
        <v>-0.98399999999999999</v>
      </c>
      <c r="U106" s="15">
        <v>-0.65300000000000002</v>
      </c>
      <c r="V106" s="15">
        <v>-0.76100000000000001</v>
      </c>
      <c r="W106" s="15">
        <v>-0.56699999999999995</v>
      </c>
      <c r="X106" s="15">
        <v>-0.42899999999999999</v>
      </c>
      <c r="Y106" s="15">
        <v>-8.0000000000000002E-3</v>
      </c>
      <c r="Z106" s="15">
        <v>0.64400000000000002</v>
      </c>
      <c r="AA106" s="15">
        <v>0.64200000000000002</v>
      </c>
      <c r="AB106" s="15">
        <v>0.73799999999999999</v>
      </c>
      <c r="AC106" s="15">
        <v>0.72499999999999998</v>
      </c>
      <c r="AD106" s="15">
        <v>0.69299999999999995</v>
      </c>
      <c r="AE106" s="15">
        <v>-0.70199999999999996</v>
      </c>
      <c r="AF106" s="14">
        <v>-0.92900000000000005</v>
      </c>
      <c r="AG106" s="15">
        <v>0.157</v>
      </c>
      <c r="AH106" s="15">
        <v>-1</v>
      </c>
      <c r="AI106" s="15">
        <v>-0.69599999999999995</v>
      </c>
      <c r="AJ106" s="15">
        <v>-1</v>
      </c>
      <c r="AK106" s="16">
        <v>-0.26500000000000001</v>
      </c>
      <c r="AL106" s="4">
        <v>0.104</v>
      </c>
      <c r="AM106" s="4">
        <v>-0.6</v>
      </c>
      <c r="AN106" s="4">
        <v>-0.68500000000000005</v>
      </c>
      <c r="AO106" s="4">
        <v>0.81899999999999995</v>
      </c>
      <c r="AP106" s="4">
        <v>0.11700000000000001</v>
      </c>
      <c r="AQ106" s="4">
        <v>-0.83699999999999997</v>
      </c>
      <c r="AR106" s="4">
        <v>0.433</v>
      </c>
      <c r="AS106" s="4">
        <v>0.34899999999999998</v>
      </c>
      <c r="AT106" s="4">
        <v>9.0999999999999998E-2</v>
      </c>
      <c r="AU106" s="4">
        <v>-0.17499999999999999</v>
      </c>
      <c r="AV106" s="4">
        <v>-0.221</v>
      </c>
      <c r="AW106" s="4">
        <v>0.58299999999999996</v>
      </c>
      <c r="AX106" s="4">
        <v>-0.185</v>
      </c>
      <c r="AY106" s="4">
        <v>0.54400000000000004</v>
      </c>
      <c r="AZ106" s="4">
        <v>-0.95399999999999996</v>
      </c>
      <c r="BA106" s="4">
        <v>-0.17199999999999999</v>
      </c>
      <c r="BB106" s="4">
        <v>0.17100000000000001</v>
      </c>
      <c r="BC106" s="4">
        <v>0.123</v>
      </c>
      <c r="BD106" s="4">
        <v>0.59899999999999998</v>
      </c>
      <c r="BE106" s="4">
        <v>-0.57699999999999996</v>
      </c>
      <c r="BF106" s="4">
        <v>0.436</v>
      </c>
      <c r="BG106" s="4">
        <v>0.39</v>
      </c>
      <c r="BH106" s="4">
        <v>-0.36499999999999999</v>
      </c>
      <c r="BI106" s="4">
        <v>-0.46400000000000002</v>
      </c>
      <c r="BJ106" s="4">
        <v>-0.38600000000000001</v>
      </c>
      <c r="BK106" s="4">
        <v>-1</v>
      </c>
      <c r="BL106" s="4"/>
    </row>
    <row r="107" spans="1:64" x14ac:dyDescent="0.3">
      <c r="A107" t="s">
        <v>122</v>
      </c>
      <c r="B107" s="53">
        <f t="shared" si="10"/>
        <v>0</v>
      </c>
      <c r="C107" s="53">
        <f t="shared" si="11"/>
        <v>0</v>
      </c>
      <c r="D107" s="53">
        <f t="shared" si="12"/>
        <v>0</v>
      </c>
      <c r="E107" s="53">
        <f t="shared" si="13"/>
        <v>0</v>
      </c>
      <c r="F107" s="15">
        <v>0.83399999999999996</v>
      </c>
      <c r="G107">
        <v>0.77200000000000002</v>
      </c>
      <c r="H107" t="s">
        <v>57</v>
      </c>
      <c r="I107" t="str">
        <f>VLOOKUP(A107,Setores!$A$2:$C$215,2,0)</f>
        <v>banks</v>
      </c>
      <c r="J107" t="str">
        <f>VLOOKUP(A107,Setores!$A$2:$C$215,3,0)</f>
        <v>very_low_beta</v>
      </c>
      <c r="K107" s="100">
        <v>0</v>
      </c>
      <c r="L107" s="58">
        <v>0</v>
      </c>
      <c r="M107" s="7">
        <v>0</v>
      </c>
      <c r="N107" s="41">
        <f>VLOOKUP(A107,'Mandato ISEE'!$A$1:$C$215,2,0)</f>
        <v>0</v>
      </c>
      <c r="O107" s="58">
        <f t="shared" si="14"/>
        <v>0</v>
      </c>
      <c r="P107" s="41">
        <f>VLOOKUP(A107,'Mandato ISEE'!$A$1:$C$215,3,0)</f>
        <v>0</v>
      </c>
      <c r="Q107" s="42">
        <f t="shared" si="15"/>
        <v>0</v>
      </c>
      <c r="R107" s="42">
        <v>-0.34799999999999998</v>
      </c>
      <c r="S107" s="15">
        <v>-0.48799999999999999</v>
      </c>
      <c r="T107" s="15">
        <v>-0.10199999999999999</v>
      </c>
      <c r="U107" s="15">
        <v>-0.69499999999999995</v>
      </c>
      <c r="V107" s="15">
        <v>-0.6</v>
      </c>
      <c r="W107" s="15">
        <v>-0.253</v>
      </c>
      <c r="X107" s="15">
        <v>-0.126</v>
      </c>
      <c r="Y107" s="15">
        <v>-0.31</v>
      </c>
      <c r="Z107" s="15">
        <v>-7.0000000000000001E-3</v>
      </c>
      <c r="AA107" s="15">
        <v>-7.0000000000000001E-3</v>
      </c>
      <c r="AB107" s="15">
        <v>0.50600000000000001</v>
      </c>
      <c r="AC107" s="15">
        <v>0.44800000000000001</v>
      </c>
      <c r="AD107" s="15">
        <v>0.60199999999999998</v>
      </c>
      <c r="AE107" s="15">
        <v>-0.51200000000000001</v>
      </c>
      <c r="AF107" s="14">
        <v>-0.83</v>
      </c>
      <c r="AG107" s="15">
        <v>-0.755</v>
      </c>
      <c r="AH107" s="15">
        <v>-0.39800000000000002</v>
      </c>
      <c r="AI107" s="15">
        <v>0.28999999999999998</v>
      </c>
      <c r="AJ107" s="15">
        <v>0.63700000000000001</v>
      </c>
      <c r="AK107" s="16">
        <v>-0.72799999999999998</v>
      </c>
      <c r="AL107" s="4">
        <v>0.25700000000000001</v>
      </c>
      <c r="AM107" s="4">
        <v>-0.65600000000000003</v>
      </c>
      <c r="AN107" s="4">
        <v>-0.19400000000000001</v>
      </c>
      <c r="AO107" s="4">
        <v>-0.219</v>
      </c>
      <c r="AP107" s="4">
        <v>0.29399999999999998</v>
      </c>
      <c r="AQ107" s="4">
        <v>-0.29599999999999999</v>
      </c>
      <c r="AR107" s="4">
        <v>0.122</v>
      </c>
      <c r="AS107" s="4">
        <v>-0.156</v>
      </c>
      <c r="AT107" s="4">
        <v>-0.33500000000000002</v>
      </c>
      <c r="AU107" s="4">
        <v>0.188</v>
      </c>
      <c r="AV107" s="4">
        <v>-0.27300000000000002</v>
      </c>
      <c r="AW107" s="4">
        <v>0.53400000000000003</v>
      </c>
      <c r="AX107" s="4">
        <v>1</v>
      </c>
      <c r="AY107" s="4">
        <v>-0.14199999999999999</v>
      </c>
      <c r="AZ107" s="4">
        <v>1</v>
      </c>
      <c r="BA107" s="4">
        <v>0.501</v>
      </c>
      <c r="BB107" s="4">
        <v>-0.32</v>
      </c>
      <c r="BC107" s="4">
        <v>0.34200000000000003</v>
      </c>
      <c r="BD107" s="4">
        <v>-0.436</v>
      </c>
      <c r="BE107" s="4">
        <v>-3.3000000000000002E-2</v>
      </c>
      <c r="BF107" s="4">
        <v>-0.55000000000000004</v>
      </c>
      <c r="BG107" s="4">
        <v>0.372</v>
      </c>
      <c r="BH107" s="4">
        <v>-0.57399999999999995</v>
      </c>
      <c r="BI107" s="4">
        <v>-0.54600000000000004</v>
      </c>
      <c r="BJ107" s="4">
        <v>0.63200000000000001</v>
      </c>
      <c r="BK107" s="4">
        <v>0.76800000000000002</v>
      </c>
      <c r="BL107" s="4"/>
    </row>
    <row r="108" spans="1:64" x14ac:dyDescent="0.3">
      <c r="A108" t="s">
        <v>179</v>
      </c>
      <c r="B108" s="53">
        <f t="shared" si="10"/>
        <v>1.7000000000000001E-2</v>
      </c>
      <c r="C108" s="53">
        <f t="shared" si="11"/>
        <v>6.0000000000000019E-3</v>
      </c>
      <c r="D108" s="53">
        <f t="shared" si="12"/>
        <v>0</v>
      </c>
      <c r="E108" s="53">
        <f t="shared" si="13"/>
        <v>1.0999999999999999E-2</v>
      </c>
      <c r="F108" s="15">
        <v>0.80600000000000005</v>
      </c>
      <c r="G108">
        <v>0.69899999999999995</v>
      </c>
      <c r="H108" t="s">
        <v>71</v>
      </c>
      <c r="I108" t="str">
        <f>VLOOKUP(A108,Setores!$A$2:$C$215,2,0)</f>
        <v>basic_materials</v>
      </c>
      <c r="J108" t="str">
        <f>VLOOKUP(A108,Setores!$A$2:$C$215,3,0)</f>
        <v>neutral_beta</v>
      </c>
      <c r="K108" s="100">
        <v>1.7000000000000001E-2</v>
      </c>
      <c r="L108" s="58">
        <v>6.0000000000000001E-3</v>
      </c>
      <c r="M108" s="7">
        <v>1.0999999999999999E-2</v>
      </c>
      <c r="N108" s="41">
        <f>VLOOKUP(A108,'Mandato ISEE'!$A$1:$C$215,2,0)</f>
        <v>0</v>
      </c>
      <c r="O108" s="58">
        <f t="shared" si="14"/>
        <v>1.7000000000000001E-2</v>
      </c>
      <c r="P108" s="41">
        <f>VLOOKUP(A108,'Mandato ISEE'!$A$1:$C$215,3,0)</f>
        <v>0</v>
      </c>
      <c r="Q108" s="42">
        <f t="shared" si="15"/>
        <v>1.7000000000000001E-2</v>
      </c>
      <c r="R108" s="42">
        <v>-0.622</v>
      </c>
      <c r="S108" s="15">
        <v>0.11799999999999999</v>
      </c>
      <c r="T108" s="15">
        <v>-0.86799999999999999</v>
      </c>
      <c r="U108" s="15">
        <v>-0.41199999999999998</v>
      </c>
      <c r="V108" s="15">
        <v>-0.35899999999999999</v>
      </c>
      <c r="W108" s="15">
        <v>-0.751</v>
      </c>
      <c r="X108" s="15">
        <v>-0.871</v>
      </c>
      <c r="Y108" s="15">
        <v>-0.21</v>
      </c>
      <c r="Z108" s="15">
        <v>0.33400000000000002</v>
      </c>
      <c r="AA108" s="15">
        <v>0.33600000000000002</v>
      </c>
      <c r="AB108" s="15">
        <v>0.45900000000000002</v>
      </c>
      <c r="AC108" s="15">
        <v>0.66700000000000004</v>
      </c>
      <c r="AD108" s="15">
        <v>0.78300000000000003</v>
      </c>
      <c r="AE108" s="15">
        <v>-0.21</v>
      </c>
      <c r="AF108" s="14">
        <v>-0.49099999999999999</v>
      </c>
      <c r="AG108" s="15">
        <v>1</v>
      </c>
      <c r="AH108" s="15">
        <v>-0.73099999999999998</v>
      </c>
      <c r="AI108" s="15">
        <v>-0.19600000000000001</v>
      </c>
      <c r="AJ108" s="15">
        <v>-0.92600000000000005</v>
      </c>
      <c r="AK108" s="16">
        <v>-0.254</v>
      </c>
      <c r="AL108" s="4">
        <v>-0.64500000000000002</v>
      </c>
      <c r="AM108" s="4">
        <v>0.224</v>
      </c>
      <c r="AN108" s="4">
        <v>-0.46100000000000002</v>
      </c>
      <c r="AO108" s="4">
        <v>0.67300000000000004</v>
      </c>
      <c r="AP108" s="4">
        <v>0.70299999999999996</v>
      </c>
      <c r="AQ108" s="4">
        <v>-0.53500000000000003</v>
      </c>
      <c r="AR108" s="4">
        <v>1</v>
      </c>
      <c r="AS108" s="4">
        <v>0.155</v>
      </c>
      <c r="AT108" s="4">
        <v>-0.11799999999999999</v>
      </c>
      <c r="AU108" s="4">
        <v>-0.8</v>
      </c>
      <c r="AV108" s="4">
        <v>0.05</v>
      </c>
      <c r="AW108" s="4">
        <v>-0.114</v>
      </c>
      <c r="AX108" s="4">
        <v>0.124</v>
      </c>
      <c r="AY108" s="4">
        <v>0.622</v>
      </c>
      <c r="AZ108" s="4">
        <v>-1</v>
      </c>
      <c r="BA108" s="4">
        <v>0.13700000000000001</v>
      </c>
      <c r="BB108" s="4">
        <v>0.50600000000000001</v>
      </c>
      <c r="BC108" s="4">
        <v>0.26600000000000001</v>
      </c>
      <c r="BD108" s="4">
        <v>0.81599999999999995</v>
      </c>
      <c r="BE108" s="4">
        <v>-1</v>
      </c>
      <c r="BF108" s="4">
        <v>0.29599999999999999</v>
      </c>
      <c r="BG108" s="4">
        <v>-0.58199999999999996</v>
      </c>
      <c r="BH108" s="4">
        <v>-1.0999999999999999E-2</v>
      </c>
      <c r="BI108" s="4">
        <v>-0.28899999999999998</v>
      </c>
      <c r="BJ108" s="4">
        <v>-0.41699999999999998</v>
      </c>
      <c r="BK108" s="4">
        <v>-8.9999999999999993E-3</v>
      </c>
      <c r="BL108" s="4"/>
    </row>
    <row r="109" spans="1:64" x14ac:dyDescent="0.3">
      <c r="A109" t="s">
        <v>88</v>
      </c>
      <c r="B109" s="53">
        <v>0.03</v>
      </c>
      <c r="C109" s="53">
        <f t="shared" si="11"/>
        <v>2.7999999999999997E-2</v>
      </c>
      <c r="D109" s="53">
        <f t="shared" si="12"/>
        <v>-2.0000000000000018E-3</v>
      </c>
      <c r="E109" s="53">
        <f t="shared" si="13"/>
        <v>2E-3</v>
      </c>
      <c r="F109" s="15">
        <v>0.80300000000000005</v>
      </c>
      <c r="G109">
        <v>0.97499999999999998</v>
      </c>
      <c r="H109" t="s">
        <v>53</v>
      </c>
      <c r="I109" t="str">
        <f>VLOOKUP(A109,Setores!$A$2:$C$215,2,0)</f>
        <v>consumer_staples</v>
      </c>
      <c r="J109" t="str">
        <f>VLOOKUP(A109,Setores!$A$2:$C$215,3,0)</f>
        <v>very_low_beta</v>
      </c>
      <c r="K109" s="100">
        <v>3.2000000000000001E-2</v>
      </c>
      <c r="L109" s="58">
        <v>3.1E-2</v>
      </c>
      <c r="M109" s="7">
        <v>2E-3</v>
      </c>
      <c r="N109" s="41">
        <f>VLOOKUP(A109,'Mandato ISEE'!$A$1:$C$215,2,0)</f>
        <v>0</v>
      </c>
      <c r="O109" s="58">
        <f t="shared" si="14"/>
        <v>3.2000000000000001E-2</v>
      </c>
      <c r="P109" s="41">
        <f>VLOOKUP(A109,'Mandato ISEE'!$A$1:$C$215,3,0)</f>
        <v>0</v>
      </c>
      <c r="Q109" s="42">
        <f t="shared" si="15"/>
        <v>3.2000000000000001E-2</v>
      </c>
      <c r="R109" s="42">
        <v>-0.623</v>
      </c>
      <c r="S109" s="15">
        <v>-0.63400000000000001</v>
      </c>
      <c r="T109" s="15">
        <v>-0.54100000000000004</v>
      </c>
      <c r="U109" s="15">
        <v>-0.62</v>
      </c>
      <c r="V109" s="15">
        <v>-0.63600000000000001</v>
      </c>
      <c r="W109" s="15">
        <v>-0.35</v>
      </c>
      <c r="X109" s="15">
        <v>3.1E-2</v>
      </c>
      <c r="Y109" s="15">
        <v>-0.39300000000000002</v>
      </c>
      <c r="Z109" s="15">
        <v>0.36399999999999999</v>
      </c>
      <c r="AA109" s="15">
        <v>0.36</v>
      </c>
      <c r="AB109" s="15">
        <v>0.70699999999999996</v>
      </c>
      <c r="AC109" s="15">
        <v>0.69599999999999995</v>
      </c>
      <c r="AD109" s="15">
        <v>0.65500000000000003</v>
      </c>
      <c r="AE109" s="15">
        <v>-0.38300000000000001</v>
      </c>
      <c r="AF109" s="14">
        <v>-0.85799999999999998</v>
      </c>
      <c r="AG109" s="15">
        <v>-0.40500000000000003</v>
      </c>
      <c r="AH109" s="15">
        <v>-0.17299999999999999</v>
      </c>
      <c r="AI109" s="15">
        <v>0.31</v>
      </c>
      <c r="AJ109" s="15">
        <v>-0.58699999999999997</v>
      </c>
      <c r="AK109" s="16">
        <v>-0.08</v>
      </c>
      <c r="AL109" s="4">
        <v>3.1E-2</v>
      </c>
      <c r="AM109" s="4">
        <v>-0.48899999999999999</v>
      </c>
      <c r="AN109" s="4">
        <v>-0.10299999999999999</v>
      </c>
      <c r="AO109" s="4">
        <v>-9.6000000000000002E-2</v>
      </c>
      <c r="AP109" s="4">
        <v>-5.1999999999999998E-2</v>
      </c>
      <c r="AQ109" s="4">
        <v>-0.32900000000000001</v>
      </c>
      <c r="AR109" s="4">
        <v>-0.44</v>
      </c>
      <c r="AS109" s="4">
        <v>-0.374</v>
      </c>
      <c r="AT109" s="4">
        <v>7.8E-2</v>
      </c>
      <c r="AU109" s="4">
        <v>-7.6999999999999999E-2</v>
      </c>
      <c r="AV109" s="4">
        <v>-4.2000000000000003E-2</v>
      </c>
      <c r="AW109" s="4">
        <v>0.66600000000000004</v>
      </c>
      <c r="AX109" s="4">
        <v>0</v>
      </c>
      <c r="AY109" s="4">
        <v>0.49299999999999999</v>
      </c>
      <c r="AZ109" s="4">
        <v>-7.8E-2</v>
      </c>
      <c r="BA109" s="4">
        <v>6.7000000000000004E-2</v>
      </c>
      <c r="BB109" s="4">
        <v>-0.09</v>
      </c>
      <c r="BC109" s="4">
        <v>-0.158</v>
      </c>
      <c r="BD109" s="4">
        <v>0.379</v>
      </c>
      <c r="BE109" s="4">
        <v>8.6999999999999994E-2</v>
      </c>
      <c r="BF109" s="4">
        <v>0.26800000000000002</v>
      </c>
      <c r="BG109" s="4">
        <v>0.72899999999999998</v>
      </c>
      <c r="BH109" s="4">
        <v>-0.3</v>
      </c>
      <c r="BI109" s="4">
        <v>-0.41899999999999998</v>
      </c>
      <c r="BJ109" s="4">
        <v>0.54500000000000004</v>
      </c>
      <c r="BK109" s="4">
        <v>0.56799999999999995</v>
      </c>
      <c r="BL109" s="4"/>
    </row>
    <row r="110" spans="1:64" x14ac:dyDescent="0.3">
      <c r="A110" t="s">
        <v>102</v>
      </c>
      <c r="B110" s="53">
        <f t="shared" si="10"/>
        <v>1.9E-2</v>
      </c>
      <c r="C110" s="53">
        <f t="shared" si="11"/>
        <v>8.9999999999999993E-3</v>
      </c>
      <c r="D110" s="53">
        <f t="shared" si="12"/>
        <v>0</v>
      </c>
      <c r="E110" s="53">
        <f t="shared" si="13"/>
        <v>0.01</v>
      </c>
      <c r="F110" s="15">
        <v>0.8</v>
      </c>
      <c r="G110">
        <v>0.73499999999999999</v>
      </c>
      <c r="H110" t="s">
        <v>57</v>
      </c>
      <c r="I110" t="str">
        <f>VLOOKUP(A110,Setores!$A$2:$C$215,2,0)</f>
        <v>education</v>
      </c>
      <c r="J110" t="str">
        <f>VLOOKUP(A110,Setores!$A$2:$C$215,3,0)</f>
        <v>high_beta</v>
      </c>
      <c r="K110" s="100">
        <v>1.9E-2</v>
      </c>
      <c r="L110" s="58">
        <v>8.0000000000000002E-3</v>
      </c>
      <c r="M110" s="7">
        <v>0.01</v>
      </c>
      <c r="N110" s="41">
        <f>VLOOKUP(A110,'Mandato ISEE'!$A$1:$C$215,2,0)</f>
        <v>0</v>
      </c>
      <c r="O110" s="58">
        <f t="shared" si="14"/>
        <v>1.9E-2</v>
      </c>
      <c r="P110" s="41">
        <f>VLOOKUP(A110,'Mandato ISEE'!$A$1:$C$215,3,0)</f>
        <v>0</v>
      </c>
      <c r="Q110" s="42">
        <f t="shared" si="15"/>
        <v>1.9E-2</v>
      </c>
      <c r="R110" s="42">
        <v>-0.20699999999999999</v>
      </c>
      <c r="S110" s="15">
        <v>-0.34200000000000003</v>
      </c>
      <c r="T110" s="15">
        <v>-0.38300000000000001</v>
      </c>
      <c r="U110" s="15">
        <v>-8.6999999999999994E-2</v>
      </c>
      <c r="V110" s="15">
        <v>-0.22900000000000001</v>
      </c>
      <c r="W110" s="15">
        <v>-0.29199999999999998</v>
      </c>
      <c r="X110" s="15">
        <v>-0.20399999999999999</v>
      </c>
      <c r="Y110" s="15">
        <v>-0.69799999999999995</v>
      </c>
      <c r="Z110" s="15">
        <v>0.14099999999999999</v>
      </c>
      <c r="AA110" s="15">
        <v>0.14000000000000001</v>
      </c>
      <c r="AB110" s="15">
        <v>0.69799999999999995</v>
      </c>
      <c r="AC110" s="15">
        <v>0.55000000000000004</v>
      </c>
      <c r="AD110" s="15">
        <v>0.55000000000000004</v>
      </c>
      <c r="AE110" s="15">
        <v>0.48499999999999999</v>
      </c>
      <c r="AF110" s="14">
        <v>1</v>
      </c>
      <c r="AG110" s="15">
        <v>-0.26400000000000001</v>
      </c>
      <c r="AH110" s="15">
        <v>-0.252</v>
      </c>
      <c r="AI110" s="15">
        <v>-0.621</v>
      </c>
      <c r="AJ110" s="15">
        <v>4.8000000000000001E-2</v>
      </c>
      <c r="AK110" s="16">
        <v>-2.8000000000000001E-2</v>
      </c>
      <c r="AL110" s="4">
        <v>-0.72599999999999998</v>
      </c>
      <c r="AM110" s="4">
        <v>0.47</v>
      </c>
      <c r="AN110" s="4">
        <v>0.52300000000000002</v>
      </c>
      <c r="AO110" s="4">
        <v>-0.41699999999999998</v>
      </c>
      <c r="AP110" s="4">
        <v>-0.46100000000000002</v>
      </c>
      <c r="AQ110" s="4">
        <v>0.57699999999999996</v>
      </c>
      <c r="AR110" s="4">
        <v>0.51500000000000001</v>
      </c>
      <c r="AS110" s="4">
        <v>0.125</v>
      </c>
      <c r="AT110" s="4">
        <v>-6.5000000000000002E-2</v>
      </c>
      <c r="AU110" s="4">
        <v>5.8000000000000003E-2</v>
      </c>
      <c r="AV110" s="4">
        <v>0.29299999999999998</v>
      </c>
      <c r="AW110" s="4">
        <v>-0.38500000000000001</v>
      </c>
      <c r="AX110" s="4">
        <v>-0.48799999999999999</v>
      </c>
      <c r="AY110" s="4">
        <v>0.77500000000000002</v>
      </c>
      <c r="AZ110" s="4">
        <v>-0.48599999999999999</v>
      </c>
      <c r="BA110" s="4">
        <v>0.46700000000000003</v>
      </c>
      <c r="BB110" s="4">
        <v>7.6999999999999999E-2</v>
      </c>
      <c r="BC110" s="4">
        <v>-0.13900000000000001</v>
      </c>
      <c r="BD110" s="4">
        <v>0.38200000000000001</v>
      </c>
      <c r="BE110" s="4">
        <v>0.52800000000000002</v>
      </c>
      <c r="BF110" s="4">
        <v>0.56100000000000005</v>
      </c>
      <c r="BG110" s="4">
        <v>0.53900000000000003</v>
      </c>
      <c r="BH110" s="4">
        <v>-0.20899999999999999</v>
      </c>
      <c r="BI110" s="4">
        <v>5.0999999999999997E-2</v>
      </c>
      <c r="BJ110" s="4">
        <v>-0.79100000000000004</v>
      </c>
      <c r="BK110" s="4">
        <v>-0.4</v>
      </c>
      <c r="BL110" s="4"/>
    </row>
    <row r="111" spans="1:64" x14ac:dyDescent="0.3">
      <c r="A111" t="s">
        <v>112</v>
      </c>
      <c r="B111" s="53">
        <v>0.03</v>
      </c>
      <c r="C111" s="53">
        <f t="shared" si="11"/>
        <v>9.9999999999999985E-3</v>
      </c>
      <c r="D111" s="53">
        <f t="shared" si="12"/>
        <v>-1.0000000000000009E-3</v>
      </c>
      <c r="E111" s="53">
        <f t="shared" si="13"/>
        <v>0.02</v>
      </c>
      <c r="F111" s="15">
        <v>0.78600000000000003</v>
      </c>
      <c r="G111">
        <v>1.323</v>
      </c>
      <c r="H111" t="s">
        <v>55</v>
      </c>
      <c r="I111" t="str">
        <f>VLOOKUP(A111,Setores!$A$2:$C$215,2,0)</f>
        <v>utilities</v>
      </c>
      <c r="J111" t="str">
        <f>VLOOKUP(A111,Setores!$A$2:$C$215,3,0)</f>
        <v>low_beta</v>
      </c>
      <c r="K111" s="100">
        <v>3.1E-2</v>
      </c>
      <c r="L111" s="58">
        <v>0.01</v>
      </c>
      <c r="M111" s="7">
        <v>0.02</v>
      </c>
      <c r="N111" s="41">
        <f>VLOOKUP(A111,'Mandato ISEE'!$A$1:$C$215,2,0)</f>
        <v>0</v>
      </c>
      <c r="O111" s="58">
        <f t="shared" si="14"/>
        <v>3.1E-2</v>
      </c>
      <c r="P111" s="41">
        <f>VLOOKUP(A111,'Mandato ISEE'!$A$1:$C$215,3,0)</f>
        <v>5.8870500405884103E-2</v>
      </c>
      <c r="Q111" s="42">
        <f t="shared" si="15"/>
        <v>-2.7870500405884104E-2</v>
      </c>
      <c r="R111" s="42">
        <v>-0.89500000000000002</v>
      </c>
      <c r="S111" s="15">
        <v>-0.75800000000000001</v>
      </c>
      <c r="T111" s="15">
        <v>-0.98899999999999999</v>
      </c>
      <c r="U111" s="15">
        <v>-0.67300000000000004</v>
      </c>
      <c r="V111" s="15">
        <v>-0.81399999999999995</v>
      </c>
      <c r="W111" s="15">
        <v>-0.55000000000000004</v>
      </c>
      <c r="X111" s="15">
        <v>-7.2999999999999995E-2</v>
      </c>
      <c r="Y111" s="15">
        <v>-7.5999999999999998E-2</v>
      </c>
      <c r="Z111" s="15">
        <v>0.63500000000000001</v>
      </c>
      <c r="AA111" s="15">
        <v>0.63600000000000001</v>
      </c>
      <c r="AB111" s="15">
        <v>0.755</v>
      </c>
      <c r="AC111" s="15">
        <v>0.65500000000000003</v>
      </c>
      <c r="AD111" s="15">
        <v>0.60099999999999998</v>
      </c>
      <c r="AE111" s="15">
        <v>-0.85399999999999998</v>
      </c>
      <c r="AF111" s="14">
        <v>-0.74299999999999999</v>
      </c>
      <c r="AG111" s="15">
        <v>0.25</v>
      </c>
      <c r="AH111" s="15">
        <v>-0.91500000000000004</v>
      </c>
      <c r="AI111" s="15">
        <v>-0.218</v>
      </c>
      <c r="AJ111" s="15">
        <v>-0.90300000000000002</v>
      </c>
      <c r="AK111" s="16">
        <v>-0.37</v>
      </c>
      <c r="AL111" s="4">
        <v>-0.03</v>
      </c>
      <c r="AM111" s="4">
        <v>-0.72099999999999997</v>
      </c>
      <c r="AN111" s="4">
        <v>-0.78</v>
      </c>
      <c r="AO111" s="4">
        <v>0.69299999999999995</v>
      </c>
      <c r="AP111" s="4">
        <v>0.11799999999999999</v>
      </c>
      <c r="AQ111" s="4">
        <v>7.5999999999999998E-2</v>
      </c>
      <c r="AR111" s="4">
        <v>5.0999999999999997E-2</v>
      </c>
      <c r="AS111" s="4">
        <v>-0.67600000000000005</v>
      </c>
      <c r="AT111" s="4">
        <v>0.21099999999999999</v>
      </c>
      <c r="AU111" s="4">
        <v>5.5E-2</v>
      </c>
      <c r="AV111" s="4">
        <v>-0.317</v>
      </c>
      <c r="AW111" s="4">
        <v>0.59099999999999997</v>
      </c>
      <c r="AX111" s="4">
        <v>-0.47699999999999998</v>
      </c>
      <c r="AY111" s="4">
        <v>1</v>
      </c>
      <c r="AZ111" s="4">
        <v>-8.1000000000000003E-2</v>
      </c>
      <c r="BA111" s="4">
        <v>-0.75700000000000001</v>
      </c>
      <c r="BB111" s="4">
        <v>-0.33800000000000002</v>
      </c>
      <c r="BC111" s="4">
        <v>-0.621</v>
      </c>
      <c r="BD111" s="4">
        <v>0.40400000000000003</v>
      </c>
      <c r="BE111" s="4">
        <v>-0.26900000000000002</v>
      </c>
      <c r="BF111" s="4">
        <v>0.3</v>
      </c>
      <c r="BG111" s="4">
        <v>0.85599999999999998</v>
      </c>
      <c r="BH111" s="4">
        <v>-1</v>
      </c>
      <c r="BI111" s="4">
        <v>-0.28899999999999998</v>
      </c>
      <c r="BJ111" s="4">
        <v>-0.39600000000000002</v>
      </c>
      <c r="BK111" s="4">
        <v>-0.111</v>
      </c>
      <c r="BL111" s="4"/>
    </row>
    <row r="112" spans="1:64" x14ac:dyDescent="0.3">
      <c r="A112" t="s">
        <v>83</v>
      </c>
      <c r="B112" s="53">
        <f t="shared" si="10"/>
        <v>0</v>
      </c>
      <c r="C112" s="53">
        <f t="shared" si="11"/>
        <v>0</v>
      </c>
      <c r="D112" s="53">
        <f t="shared" si="12"/>
        <v>0</v>
      </c>
      <c r="E112" s="53">
        <f t="shared" si="13"/>
        <v>0</v>
      </c>
      <c r="F112" s="15">
        <v>0.77900000000000003</v>
      </c>
      <c r="G112">
        <v>0.86799999999999999</v>
      </c>
      <c r="H112" t="s">
        <v>53</v>
      </c>
      <c r="I112" t="str">
        <f>VLOOKUP(A112,Setores!$A$2:$C$215,2,0)</f>
        <v>consumer_staples</v>
      </c>
      <c r="J112" t="str">
        <f>VLOOKUP(A112,Setores!$A$2:$C$215,3,0)</f>
        <v>low_beta</v>
      </c>
      <c r="K112" s="100">
        <v>0</v>
      </c>
      <c r="L112" s="58">
        <v>0</v>
      </c>
      <c r="M112" s="7">
        <v>0</v>
      </c>
      <c r="N112" s="41">
        <f>VLOOKUP(A112,'Mandato ISEE'!$A$1:$C$215,2,0)</f>
        <v>0</v>
      </c>
      <c r="O112" s="58">
        <f t="shared" si="14"/>
        <v>0</v>
      </c>
      <c r="P112" s="41">
        <f>VLOOKUP(A112,'Mandato ISEE'!$A$1:$C$215,3,0)</f>
        <v>0</v>
      </c>
      <c r="Q112" s="42">
        <f t="shared" si="15"/>
        <v>0</v>
      </c>
      <c r="R112" s="42">
        <v>-0.63200000000000001</v>
      </c>
      <c r="S112" s="15">
        <v>-0.69099999999999995</v>
      </c>
      <c r="T112" s="15">
        <v>-0.85299999999999998</v>
      </c>
      <c r="U112" s="15">
        <v>-0.14199999999999999</v>
      </c>
      <c r="V112" s="15">
        <v>-0.60499999999999998</v>
      </c>
      <c r="W112" s="15">
        <v>-0.57499999999999996</v>
      </c>
      <c r="X112" s="15">
        <v>-0.38300000000000001</v>
      </c>
      <c r="Y112" s="15">
        <v>-0.157</v>
      </c>
      <c r="Z112" s="15">
        <v>0.28699999999999998</v>
      </c>
      <c r="AA112" s="15">
        <v>0.28699999999999998</v>
      </c>
      <c r="AB112" s="15">
        <v>0.69299999999999995</v>
      </c>
      <c r="AC112" s="15">
        <v>0.7</v>
      </c>
      <c r="AD112" s="15">
        <v>0.54900000000000004</v>
      </c>
      <c r="AE112" s="15">
        <v>0.26100000000000001</v>
      </c>
      <c r="AF112" s="14">
        <v>-0.61899999999999999</v>
      </c>
      <c r="AG112" s="15">
        <v>-0.42299999999999999</v>
      </c>
      <c r="AH112" s="15">
        <v>-1</v>
      </c>
      <c r="AI112" s="15">
        <v>-0.93300000000000005</v>
      </c>
      <c r="AJ112" s="15">
        <v>-0.64100000000000001</v>
      </c>
      <c r="AK112" s="16">
        <v>-0.28899999999999998</v>
      </c>
      <c r="AL112" s="4">
        <v>-0.19800000000000001</v>
      </c>
      <c r="AM112" s="4">
        <v>-0.94199999999999995</v>
      </c>
      <c r="AN112" s="4">
        <v>-0.16300000000000001</v>
      </c>
      <c r="AO112" s="4">
        <v>0.31900000000000001</v>
      </c>
      <c r="AP112" s="4">
        <v>4.2999999999999997E-2</v>
      </c>
      <c r="AQ112" s="4">
        <v>0.18099999999999999</v>
      </c>
      <c r="AR112" s="4">
        <v>0.29499999999999998</v>
      </c>
      <c r="AS112" s="4">
        <v>-3.6999999999999998E-2</v>
      </c>
      <c r="AT112" s="4">
        <v>0.435</v>
      </c>
      <c r="AU112" s="4">
        <v>0.09</v>
      </c>
      <c r="AV112" s="4">
        <v>0.90800000000000003</v>
      </c>
      <c r="AW112" s="4">
        <v>0.71399999999999997</v>
      </c>
      <c r="AX112" s="4">
        <v>0.53100000000000003</v>
      </c>
      <c r="AY112" s="4">
        <v>0.65100000000000002</v>
      </c>
      <c r="AZ112" s="4">
        <v>-0.55300000000000005</v>
      </c>
      <c r="BA112" s="4">
        <v>-0.26500000000000001</v>
      </c>
      <c r="BB112" s="4">
        <v>0.19</v>
      </c>
      <c r="BC112" s="4">
        <v>0.13900000000000001</v>
      </c>
      <c r="BD112" s="4">
        <v>0.51</v>
      </c>
      <c r="BE112" s="4">
        <v>-0.82299999999999995</v>
      </c>
      <c r="BF112" s="4">
        <v>-1</v>
      </c>
      <c r="BG112" s="4">
        <v>-0.54100000000000004</v>
      </c>
      <c r="BH112" s="4">
        <v>-0.21299999999999999</v>
      </c>
      <c r="BI112" s="4">
        <v>-0.21099999999999999</v>
      </c>
      <c r="BJ112" s="4">
        <v>-0.11899999999999999</v>
      </c>
      <c r="BK112" s="4">
        <v>-1</v>
      </c>
      <c r="BL112" s="4"/>
    </row>
    <row r="113" spans="1:64" x14ac:dyDescent="0.3">
      <c r="A113" t="s">
        <v>147</v>
      </c>
      <c r="B113" s="53">
        <v>3.4000000000000002E-2</v>
      </c>
      <c r="C113" s="53">
        <f t="shared" si="11"/>
        <v>6.0000000000000019E-3</v>
      </c>
      <c r="D113" s="53">
        <f t="shared" si="12"/>
        <v>-1.9999999999999948E-3</v>
      </c>
      <c r="E113" s="53">
        <f t="shared" si="13"/>
        <v>2.8000000000000001E-2</v>
      </c>
      <c r="F113" s="15">
        <v>0.76900000000000002</v>
      </c>
      <c r="G113">
        <v>1.236</v>
      </c>
      <c r="H113" t="s">
        <v>57</v>
      </c>
      <c r="I113" t="str">
        <f>VLOOKUP(A113,Setores!$A$2:$C$215,2,0)</f>
        <v>apparel</v>
      </c>
      <c r="J113" t="str">
        <f>VLOOKUP(A113,Setores!$A$2:$C$215,3,0)</f>
        <v>neutral_beta</v>
      </c>
      <c r="K113" s="100">
        <v>3.5999999999999997E-2</v>
      </c>
      <c r="L113" s="58">
        <v>8.0000000000000002E-3</v>
      </c>
      <c r="M113" s="7">
        <v>2.8000000000000001E-2</v>
      </c>
      <c r="N113" s="41">
        <f>VLOOKUP(A113,'Mandato ISEE'!$A$1:$C$215,2,0)</f>
        <v>0</v>
      </c>
      <c r="O113" s="58">
        <f t="shared" si="14"/>
        <v>3.5999999999999997E-2</v>
      </c>
      <c r="P113" s="41">
        <f>VLOOKUP(A113,'Mandato ISEE'!$A$1:$C$215,3,0)</f>
        <v>0</v>
      </c>
      <c r="Q113" s="42">
        <f t="shared" si="15"/>
        <v>3.5999999999999997E-2</v>
      </c>
      <c r="R113" s="42">
        <v>-0.30099999999999999</v>
      </c>
      <c r="S113" s="15">
        <v>-0.60699999999999998</v>
      </c>
      <c r="T113" s="15">
        <v>-0.65500000000000003</v>
      </c>
      <c r="U113" s="15">
        <v>-9.5000000000000001E-2</v>
      </c>
      <c r="V113" s="15">
        <v>-0.496</v>
      </c>
      <c r="W113" s="15">
        <v>-0.27400000000000002</v>
      </c>
      <c r="X113" s="15">
        <v>-0.24399999999999999</v>
      </c>
      <c r="Y113" s="15">
        <v>-0.45300000000000001</v>
      </c>
      <c r="Z113" s="15">
        <v>3.5000000000000003E-2</v>
      </c>
      <c r="AA113" s="15">
        <v>3.3000000000000002E-2</v>
      </c>
      <c r="AB113" s="15">
        <v>0.64300000000000002</v>
      </c>
      <c r="AC113" s="15">
        <v>0.60199999999999998</v>
      </c>
      <c r="AD113" s="15">
        <v>0.497</v>
      </c>
      <c r="AE113" s="15">
        <v>0.67600000000000005</v>
      </c>
      <c r="AF113" s="14">
        <v>-8.2000000000000003E-2</v>
      </c>
      <c r="AG113" s="15">
        <v>-0.72399999999999998</v>
      </c>
      <c r="AH113" s="15">
        <v>-0.76500000000000001</v>
      </c>
      <c r="AI113" s="15">
        <v>-0.83</v>
      </c>
      <c r="AJ113" s="15">
        <v>-0.121</v>
      </c>
      <c r="AK113" s="16">
        <v>0.10100000000000001</v>
      </c>
      <c r="AL113" s="4">
        <v>-0.222</v>
      </c>
      <c r="AM113" s="4">
        <v>-0.56899999999999995</v>
      </c>
      <c r="AN113" s="4">
        <v>0.54800000000000004</v>
      </c>
      <c r="AO113" s="4">
        <v>-0.32700000000000001</v>
      </c>
      <c r="AP113" s="4">
        <v>7.1999999999999995E-2</v>
      </c>
      <c r="AQ113" s="4">
        <v>0.219</v>
      </c>
      <c r="AR113" s="4">
        <v>0.34200000000000003</v>
      </c>
      <c r="AS113" s="4">
        <v>0.104</v>
      </c>
      <c r="AT113" s="4">
        <v>0.34100000000000003</v>
      </c>
      <c r="AU113" s="4">
        <v>-2.8000000000000001E-2</v>
      </c>
      <c r="AV113" s="4">
        <v>0.90800000000000003</v>
      </c>
      <c r="AW113" s="4">
        <v>-0.217</v>
      </c>
      <c r="AX113" s="4">
        <v>0.46500000000000002</v>
      </c>
      <c r="AY113" s="4">
        <v>0.88100000000000001</v>
      </c>
      <c r="AZ113" s="4">
        <v>6.2E-2</v>
      </c>
      <c r="BA113" s="4">
        <v>1.7000000000000001E-2</v>
      </c>
      <c r="BB113" s="4">
        <v>0.127</v>
      </c>
      <c r="BC113" s="4">
        <v>0.12</v>
      </c>
      <c r="BD113" s="4">
        <v>0.40799999999999997</v>
      </c>
      <c r="BE113" s="4">
        <v>-6.8000000000000005E-2</v>
      </c>
      <c r="BF113" s="4">
        <v>-0.24</v>
      </c>
      <c r="BG113" s="4">
        <v>8.5999999999999993E-2</v>
      </c>
      <c r="BH113" s="4">
        <v>0.04</v>
      </c>
      <c r="BI113" s="4">
        <v>-9.9000000000000005E-2</v>
      </c>
      <c r="BJ113" s="4">
        <v>-0.94799999999999995</v>
      </c>
      <c r="BK113" s="4">
        <v>-0.56699999999999995</v>
      </c>
      <c r="BL113" s="4"/>
    </row>
    <row r="114" spans="1:64" x14ac:dyDescent="0.3">
      <c r="A114" t="s">
        <v>186</v>
      </c>
      <c r="B114" s="53">
        <f t="shared" si="10"/>
        <v>0</v>
      </c>
      <c r="C114" s="53">
        <f t="shared" si="11"/>
        <v>0</v>
      </c>
      <c r="D114" s="53">
        <f t="shared" si="12"/>
        <v>0</v>
      </c>
      <c r="E114" s="53">
        <f t="shared" si="13"/>
        <v>0</v>
      </c>
      <c r="F114" s="15">
        <v>0.749</v>
      </c>
      <c r="G114">
        <v>0.84399999999999997</v>
      </c>
      <c r="H114" t="s">
        <v>71</v>
      </c>
      <c r="I114" t="str">
        <f>VLOOKUP(A114,Setores!$A$2:$C$215,2,0)</f>
        <v>basic_materials</v>
      </c>
      <c r="J114" t="str">
        <f>VLOOKUP(A114,Setores!$A$2:$C$215,3,0)</f>
        <v>low_beta</v>
      </c>
      <c r="K114" s="100">
        <v>0</v>
      </c>
      <c r="L114" s="58">
        <v>0</v>
      </c>
      <c r="M114" s="7">
        <v>0</v>
      </c>
      <c r="N114" s="41">
        <f>VLOOKUP(A114,'Mandato ISEE'!$A$1:$C$215,2,0)</f>
        <v>0</v>
      </c>
      <c r="O114" s="58">
        <f t="shared" si="14"/>
        <v>0</v>
      </c>
      <c r="P114" s="41">
        <f>VLOOKUP(A114,'Mandato ISEE'!$A$1:$C$215,3,0)</f>
        <v>0</v>
      </c>
      <c r="Q114" s="42">
        <f t="shared" si="15"/>
        <v>0</v>
      </c>
      <c r="R114" s="42">
        <v>-0.754</v>
      </c>
      <c r="S114" s="15">
        <v>-0.32100000000000001</v>
      </c>
      <c r="T114" s="15">
        <v>-0.94199999999999995</v>
      </c>
      <c r="U114" s="15">
        <v>-0.63900000000000001</v>
      </c>
      <c r="V114" s="15">
        <v>-0.71899999999999997</v>
      </c>
      <c r="W114" s="15">
        <v>-0.55000000000000004</v>
      </c>
      <c r="X114" s="15">
        <v>-0.61899999999999999</v>
      </c>
      <c r="Y114" s="15">
        <v>-0.29399999999999998</v>
      </c>
      <c r="Z114" s="15">
        <v>0.51200000000000001</v>
      </c>
      <c r="AA114" s="15">
        <v>0.51200000000000001</v>
      </c>
      <c r="AB114" s="15">
        <v>0.628</v>
      </c>
      <c r="AC114" s="15">
        <v>0.78200000000000003</v>
      </c>
      <c r="AD114" s="15">
        <v>0.745</v>
      </c>
      <c r="AE114" s="15">
        <v>-0.65500000000000003</v>
      </c>
      <c r="AF114" s="14">
        <v>-0.89300000000000002</v>
      </c>
      <c r="AG114" s="15">
        <v>0.44800000000000001</v>
      </c>
      <c r="AH114" s="15">
        <v>-0.93600000000000005</v>
      </c>
      <c r="AI114" s="15">
        <v>-0.57499999999999996</v>
      </c>
      <c r="AJ114" s="15">
        <v>-0.96</v>
      </c>
      <c r="AK114" s="16">
        <v>-0.15</v>
      </c>
      <c r="AL114" s="4">
        <v>-0.437</v>
      </c>
      <c r="AM114" s="4">
        <v>-0.26</v>
      </c>
      <c r="AN114" s="4">
        <v>-0.64400000000000002</v>
      </c>
      <c r="AO114" s="4">
        <v>0.52900000000000003</v>
      </c>
      <c r="AP114" s="4">
        <v>0.41599999999999998</v>
      </c>
      <c r="AQ114" s="4">
        <v>-0.86699999999999999</v>
      </c>
      <c r="AR114" s="4">
        <v>0.47899999999999998</v>
      </c>
      <c r="AS114" s="4">
        <v>0.40300000000000002</v>
      </c>
      <c r="AT114" s="4">
        <v>9.7000000000000003E-2</v>
      </c>
      <c r="AU114" s="4">
        <v>-0.53400000000000003</v>
      </c>
      <c r="AV114" s="4">
        <v>-0.15</v>
      </c>
      <c r="AW114" s="4">
        <v>0.46200000000000002</v>
      </c>
      <c r="AX114" s="4">
        <v>-6.2E-2</v>
      </c>
      <c r="AY114" s="4">
        <v>0.81399999999999995</v>
      </c>
      <c r="AZ114" s="4">
        <v>-0.376</v>
      </c>
      <c r="BA114" s="4">
        <v>0.56799999999999995</v>
      </c>
      <c r="BB114" s="4">
        <v>0.19400000000000001</v>
      </c>
      <c r="BC114" s="4">
        <v>7.2999999999999995E-2</v>
      </c>
      <c r="BD114" s="4">
        <v>0.64600000000000002</v>
      </c>
      <c r="BE114" s="4">
        <v>-1</v>
      </c>
      <c r="BF114" s="4">
        <v>-0.83399999999999996</v>
      </c>
      <c r="BG114" s="4">
        <v>0.34399999999999997</v>
      </c>
      <c r="BH114" s="4">
        <v>-0.25700000000000001</v>
      </c>
      <c r="BI114" s="4">
        <v>-0.504</v>
      </c>
      <c r="BJ114" s="4">
        <v>-0.28100000000000003</v>
      </c>
      <c r="BK114" s="4">
        <v>-0.57899999999999996</v>
      </c>
      <c r="BL114" s="4"/>
    </row>
    <row r="115" spans="1:64" x14ac:dyDescent="0.3">
      <c r="A115" t="s">
        <v>155</v>
      </c>
      <c r="B115" s="53">
        <f t="shared" si="10"/>
        <v>0</v>
      </c>
      <c r="C115" s="53">
        <f t="shared" si="11"/>
        <v>0</v>
      </c>
      <c r="D115" s="53">
        <f t="shared" si="12"/>
        <v>0</v>
      </c>
      <c r="E115" s="53">
        <f t="shared" si="13"/>
        <v>0</v>
      </c>
      <c r="F115" s="15">
        <v>0.74199999999999999</v>
      </c>
      <c r="G115">
        <v>0.53800000000000003</v>
      </c>
      <c r="H115" t="s">
        <v>55</v>
      </c>
      <c r="I115" t="str">
        <f>VLOOKUP(A115,Setores!$A$2:$C$215,2,0)</f>
        <v>utilities</v>
      </c>
      <c r="J115" t="str">
        <f>VLOOKUP(A115,Setores!$A$2:$C$215,3,0)</f>
        <v>low_beta</v>
      </c>
      <c r="K115" s="100">
        <v>0</v>
      </c>
      <c r="L115" s="58">
        <v>0</v>
      </c>
      <c r="M115" s="7">
        <v>0</v>
      </c>
      <c r="N115" s="41">
        <f>VLOOKUP(A115,'Mandato ISEE'!$A$1:$C$215,2,0)</f>
        <v>0</v>
      </c>
      <c r="O115" s="58">
        <f t="shared" si="14"/>
        <v>0</v>
      </c>
      <c r="P115" s="41">
        <f>VLOOKUP(A115,'Mandato ISEE'!$A$1:$C$215,3,0)</f>
        <v>0</v>
      </c>
      <c r="Q115" s="42">
        <f t="shared" si="15"/>
        <v>0</v>
      </c>
      <c r="R115" s="42">
        <v>-0.28199999999999997</v>
      </c>
      <c r="S115" s="15">
        <v>-0.125</v>
      </c>
      <c r="T115" s="15">
        <v>-0.10299999999999999</v>
      </c>
      <c r="U115" s="15">
        <v>-0.52700000000000002</v>
      </c>
      <c r="V115" s="15">
        <v>-0.28799999999999998</v>
      </c>
      <c r="W115" s="15">
        <v>-0.55400000000000005</v>
      </c>
      <c r="X115" s="15">
        <v>-0.66900000000000004</v>
      </c>
      <c r="Y115" s="15">
        <v>-0.86599999999999999</v>
      </c>
      <c r="Z115" s="15">
        <v>0.59899999999999998</v>
      </c>
      <c r="AA115" s="15">
        <v>0.59599999999999997</v>
      </c>
      <c r="AB115" s="15">
        <v>0.47099999999999997</v>
      </c>
      <c r="AC115" s="15">
        <v>0.68</v>
      </c>
      <c r="AD115" s="15">
        <v>0.65</v>
      </c>
      <c r="AE115" s="15">
        <v>-0.46100000000000002</v>
      </c>
      <c r="AF115" s="14">
        <v>0.72299999999999998</v>
      </c>
      <c r="AG115" s="15">
        <v>-0.22900000000000001</v>
      </c>
      <c r="AH115" s="15">
        <v>0.65300000000000002</v>
      </c>
      <c r="AI115" s="15">
        <v>-0.18099999999999999</v>
      </c>
      <c r="AJ115" s="15">
        <v>-0.59</v>
      </c>
      <c r="AK115" s="16">
        <v>0.31900000000000001</v>
      </c>
      <c r="AL115" s="4">
        <v>-1</v>
      </c>
      <c r="AM115" s="4">
        <v>0.92800000000000005</v>
      </c>
      <c r="AN115" s="4">
        <v>-0.32700000000000001</v>
      </c>
      <c r="AO115" s="4">
        <v>-0.58399999999999996</v>
      </c>
      <c r="AP115" s="4">
        <v>0.16500000000000001</v>
      </c>
      <c r="AQ115" s="4">
        <v>0.13700000000000001</v>
      </c>
      <c r="AR115" s="4">
        <v>1</v>
      </c>
      <c r="AS115" s="4">
        <v>0.44400000000000001</v>
      </c>
      <c r="AT115" s="4">
        <v>0.38700000000000001</v>
      </c>
      <c r="AU115" s="4">
        <v>-0.48799999999999999</v>
      </c>
      <c r="AV115" s="4">
        <v>-0.63700000000000001</v>
      </c>
      <c r="AW115" s="4">
        <v>-0.28699999999999998</v>
      </c>
      <c r="AX115" s="4">
        <v>-0.83799999999999997</v>
      </c>
      <c r="AY115" s="4">
        <v>-0.126</v>
      </c>
      <c r="AZ115" s="4">
        <v>0.16600000000000001</v>
      </c>
      <c r="BA115" s="4">
        <v>3.3000000000000002E-2</v>
      </c>
      <c r="BB115" s="4">
        <v>-0.376</v>
      </c>
      <c r="BC115" s="4">
        <v>-0.60399999999999998</v>
      </c>
      <c r="BD115" s="4">
        <v>0.24099999999999999</v>
      </c>
      <c r="BE115" s="4">
        <v>0.999</v>
      </c>
      <c r="BF115" s="4">
        <v>0.26800000000000002</v>
      </c>
      <c r="BG115" s="4">
        <v>0.436</v>
      </c>
      <c r="BH115" s="4">
        <v>6.6000000000000003E-2</v>
      </c>
      <c r="BI115" s="4">
        <v>-0.29099999999999998</v>
      </c>
      <c r="BJ115" s="4">
        <v>0.52500000000000002</v>
      </c>
      <c r="BK115" s="4">
        <v>0.80900000000000005</v>
      </c>
      <c r="BL115" s="4"/>
    </row>
    <row r="116" spans="1:64" x14ac:dyDescent="0.3">
      <c r="A116" t="s">
        <v>98</v>
      </c>
      <c r="B116" s="53">
        <f t="shared" si="10"/>
        <v>0</v>
      </c>
      <c r="C116" s="53">
        <f t="shared" si="11"/>
        <v>0</v>
      </c>
      <c r="D116" s="53">
        <f t="shared" si="12"/>
        <v>0</v>
      </c>
      <c r="E116" s="53">
        <f t="shared" si="13"/>
        <v>0</v>
      </c>
      <c r="F116" s="15">
        <v>0.72399999999999998</v>
      </c>
      <c r="G116">
        <v>0.65700000000000003</v>
      </c>
      <c r="H116" t="s">
        <v>68</v>
      </c>
      <c r="I116" t="str">
        <f>VLOOKUP(A116,Setores!$A$2:$C$215,2,0)</f>
        <v>chemicals</v>
      </c>
      <c r="J116" t="str">
        <f>VLOOKUP(A116,Setores!$A$2:$C$215,3,0)</f>
        <v>low_beta</v>
      </c>
      <c r="K116" s="100">
        <v>0</v>
      </c>
      <c r="L116" s="58">
        <v>0</v>
      </c>
      <c r="M116" s="7">
        <v>0</v>
      </c>
      <c r="N116" s="41">
        <f>VLOOKUP(A116,'Mandato ISEE'!$A$1:$C$215,2,0)</f>
        <v>0</v>
      </c>
      <c r="O116" s="58">
        <f t="shared" si="14"/>
        <v>0</v>
      </c>
      <c r="P116" s="41">
        <f>VLOOKUP(A116,'Mandato ISEE'!$A$1:$C$215,3,0)</f>
        <v>0</v>
      </c>
      <c r="Q116" s="42">
        <f t="shared" si="15"/>
        <v>0</v>
      </c>
      <c r="R116" s="42">
        <v>-0.86199999999999999</v>
      </c>
      <c r="S116" s="15">
        <v>-0.79500000000000004</v>
      </c>
      <c r="T116" s="15">
        <v>-0.83399999999999996</v>
      </c>
      <c r="U116" s="15">
        <v>-0.76800000000000002</v>
      </c>
      <c r="V116" s="15">
        <v>-0.78600000000000003</v>
      </c>
      <c r="W116" s="15">
        <v>-0.63500000000000001</v>
      </c>
      <c r="X116" s="15">
        <v>-0.378</v>
      </c>
      <c r="Y116" s="15">
        <v>-0.09</v>
      </c>
      <c r="Z116" s="15">
        <v>0.58799999999999997</v>
      </c>
      <c r="AA116" s="15">
        <v>0.58199999999999996</v>
      </c>
      <c r="AB116" s="15">
        <v>0.60499999999999998</v>
      </c>
      <c r="AC116" s="15">
        <v>0.54600000000000004</v>
      </c>
      <c r="AD116" s="15">
        <v>0.57299999999999995</v>
      </c>
      <c r="AE116" s="15">
        <v>-0.66700000000000004</v>
      </c>
      <c r="AF116" s="14">
        <v>-0.88400000000000001</v>
      </c>
      <c r="AG116" s="15">
        <v>-0.54700000000000004</v>
      </c>
      <c r="AH116" s="15">
        <v>-0.50700000000000001</v>
      </c>
      <c r="AI116" s="15">
        <v>-0.32700000000000001</v>
      </c>
      <c r="AJ116" s="15">
        <v>-0.872</v>
      </c>
      <c r="AK116" s="16">
        <v>-6.6000000000000003E-2</v>
      </c>
      <c r="AL116" s="4">
        <v>0.68200000000000005</v>
      </c>
      <c r="AM116" s="4">
        <v>-0.60799999999999998</v>
      </c>
      <c r="AN116" s="4">
        <v>-0.23799999999999999</v>
      </c>
      <c r="AO116" s="4">
        <v>0.191</v>
      </c>
      <c r="AP116" s="4">
        <v>-5.0000000000000001E-3</v>
      </c>
      <c r="AQ116" s="4">
        <v>-0.73599999999999999</v>
      </c>
      <c r="AR116" s="4">
        <v>-0.48699999999999999</v>
      </c>
      <c r="AS116" s="4">
        <v>-0.36799999999999999</v>
      </c>
      <c r="AT116" s="4">
        <v>0.17</v>
      </c>
      <c r="AU116" s="4">
        <v>-0.23100000000000001</v>
      </c>
      <c r="AV116" s="4">
        <v>-0.51</v>
      </c>
      <c r="AW116" s="4">
        <v>0.47899999999999998</v>
      </c>
      <c r="AX116" s="4">
        <v>-0.186</v>
      </c>
      <c r="AY116" s="4">
        <v>0.64600000000000002</v>
      </c>
      <c r="AZ116" s="4">
        <v>0.70399999999999996</v>
      </c>
      <c r="BA116" s="4">
        <v>-1</v>
      </c>
      <c r="BB116" s="4">
        <v>3.9E-2</v>
      </c>
      <c r="BC116" s="4">
        <v>-0.36399999999999999</v>
      </c>
      <c r="BD116" s="4">
        <v>0.14899999999999999</v>
      </c>
      <c r="BE116" s="4">
        <v>-0.64300000000000002</v>
      </c>
      <c r="BF116" s="4">
        <v>-1.4E-2</v>
      </c>
      <c r="BG116" s="4">
        <v>0.53300000000000003</v>
      </c>
      <c r="BH116" s="4">
        <v>-0.35499999999999998</v>
      </c>
      <c r="BI116" s="4">
        <v>-0.32800000000000001</v>
      </c>
      <c r="BJ116" s="4">
        <v>0.36099999999999999</v>
      </c>
      <c r="BK116" s="4">
        <v>2.5000000000000001E-2</v>
      </c>
      <c r="BL116" s="4"/>
    </row>
    <row r="117" spans="1:64" x14ac:dyDescent="0.3">
      <c r="A117" t="s">
        <v>226</v>
      </c>
      <c r="B117" s="53">
        <f t="shared" si="10"/>
        <v>0</v>
      </c>
      <c r="C117" s="53">
        <f t="shared" si="11"/>
        <v>-2.5000000000000001E-2</v>
      </c>
      <c r="D117" s="53">
        <f t="shared" si="12"/>
        <v>0</v>
      </c>
      <c r="E117" s="53">
        <f t="shared" si="13"/>
        <v>2.5000000000000001E-2</v>
      </c>
      <c r="F117" s="15">
        <v>0.71499999999999997</v>
      </c>
      <c r="G117">
        <v>1.133</v>
      </c>
      <c r="H117" t="s">
        <v>55</v>
      </c>
      <c r="I117" t="str">
        <f>VLOOKUP(A117,Setores!$A$2:$C$215,2,0)</f>
        <v>utilities</v>
      </c>
      <c r="J117" t="str">
        <f>VLOOKUP(A117,Setores!$A$2:$C$215,3,0)</f>
        <v>high_beta</v>
      </c>
      <c r="K117" s="100">
        <v>0</v>
      </c>
      <c r="L117" s="58">
        <v>-2.5000000000000001E-2</v>
      </c>
      <c r="M117" s="7">
        <v>2.5000000000000001E-2</v>
      </c>
      <c r="N117" s="41">
        <f>VLOOKUP(A117,'Mandato ISEE'!$A$1:$C$215,2,0)</f>
        <v>0</v>
      </c>
      <c r="O117" s="58">
        <f t="shared" si="14"/>
        <v>0</v>
      </c>
      <c r="P117" s="41">
        <f>VLOOKUP(A117,'Mandato ISEE'!$A$1:$C$215,3,0)</f>
        <v>9.2898533903836303E-2</v>
      </c>
      <c r="Q117" s="42">
        <f t="shared" si="15"/>
        <v>-9.2898533903836303E-2</v>
      </c>
      <c r="R117" s="42">
        <v>-0.58399999999999996</v>
      </c>
      <c r="S117" s="15">
        <v>-0.46899999999999997</v>
      </c>
      <c r="T117" s="15">
        <v>-0.93100000000000005</v>
      </c>
      <c r="U117" s="15">
        <v>-0.53400000000000003</v>
      </c>
      <c r="V117" s="15">
        <v>-0.79</v>
      </c>
      <c r="W117" s="15">
        <v>-0.2</v>
      </c>
      <c r="X117" s="15">
        <v>-9.6000000000000002E-2</v>
      </c>
      <c r="Y117" s="15">
        <v>-0.498</v>
      </c>
      <c r="Z117" s="15">
        <v>0.11</v>
      </c>
      <c r="AA117" s="15">
        <v>0.111</v>
      </c>
      <c r="AB117" s="15">
        <v>0.67500000000000004</v>
      </c>
      <c r="AC117" s="15">
        <v>0.67400000000000004</v>
      </c>
      <c r="AD117" s="15">
        <v>0.63400000000000001</v>
      </c>
      <c r="AE117" s="15">
        <v>-0.56999999999999995</v>
      </c>
      <c r="AF117" s="14">
        <v>-0.65900000000000003</v>
      </c>
      <c r="AG117" s="15">
        <v>5.1999999999999998E-2</v>
      </c>
      <c r="AH117" s="15">
        <v>-0.996</v>
      </c>
      <c r="AI117" s="15">
        <v>-0.43099999999999999</v>
      </c>
      <c r="AJ117" s="15">
        <v>-0.85099999999999998</v>
      </c>
      <c r="AK117" s="16">
        <v>-0.36</v>
      </c>
      <c r="AL117" s="4">
        <v>-1</v>
      </c>
      <c r="AM117" s="4">
        <v>-0.72099999999999997</v>
      </c>
      <c r="AN117" s="4">
        <v>-0.20399999999999999</v>
      </c>
      <c r="AO117" s="4">
        <v>0.52100000000000002</v>
      </c>
      <c r="AP117" s="4">
        <v>1</v>
      </c>
      <c r="AQ117" s="4">
        <v>0.38600000000000001</v>
      </c>
      <c r="AR117" s="4">
        <v>-0.315</v>
      </c>
      <c r="AS117" s="4">
        <v>-1.0999999999999999E-2</v>
      </c>
      <c r="AT117" s="4">
        <v>-0.1</v>
      </c>
      <c r="AU117" s="4">
        <v>-0.153</v>
      </c>
      <c r="AV117" s="4">
        <v>0.23300000000000001</v>
      </c>
      <c r="AW117" s="4">
        <v>0.26300000000000001</v>
      </c>
      <c r="AX117" s="4">
        <v>-0.33600000000000002</v>
      </c>
      <c r="AY117" s="4">
        <v>0.69699999999999995</v>
      </c>
      <c r="AZ117" s="4">
        <v>1</v>
      </c>
      <c r="BA117" s="4">
        <v>0.78400000000000003</v>
      </c>
      <c r="BB117" s="4">
        <v>-0.11799999999999999</v>
      </c>
      <c r="BC117" s="4">
        <v>-0.47599999999999998</v>
      </c>
      <c r="BD117" s="4">
        <v>0.72599999999999998</v>
      </c>
      <c r="BE117" s="4">
        <v>-0.441</v>
      </c>
      <c r="BF117" s="4">
        <v>0.32600000000000001</v>
      </c>
      <c r="BG117" s="4">
        <v>0.871</v>
      </c>
      <c r="BH117" s="4">
        <v>-0.56999999999999995</v>
      </c>
      <c r="BI117" s="4">
        <v>5.8999999999999997E-2</v>
      </c>
      <c r="BJ117" s="4">
        <v>-0.46800000000000003</v>
      </c>
      <c r="BK117" s="4">
        <v>-0.49</v>
      </c>
      <c r="BL117" s="4"/>
    </row>
    <row r="118" spans="1:64" x14ac:dyDescent="0.3">
      <c r="A118" t="s">
        <v>134</v>
      </c>
      <c r="B118" s="53">
        <f t="shared" si="10"/>
        <v>0</v>
      </c>
      <c r="C118" s="53">
        <f t="shared" si="11"/>
        <v>-2.8000000000000001E-2</v>
      </c>
      <c r="D118" s="53">
        <f t="shared" si="12"/>
        <v>0</v>
      </c>
      <c r="E118" s="53">
        <f t="shared" si="13"/>
        <v>2.8000000000000001E-2</v>
      </c>
      <c r="F118" s="15">
        <v>0.70799999999999996</v>
      </c>
      <c r="G118">
        <v>1.5409999999999999</v>
      </c>
      <c r="H118" t="s">
        <v>57</v>
      </c>
      <c r="I118" t="str">
        <f>VLOOKUP(A118,Setores!$A$2:$C$215,2,0)</f>
        <v>banks</v>
      </c>
      <c r="J118" t="str">
        <f>VLOOKUP(A118,Setores!$A$2:$C$215,3,0)</f>
        <v>neutral_beta</v>
      </c>
      <c r="K118" s="100">
        <v>0</v>
      </c>
      <c r="L118" s="58">
        <v>-2.8000000000000001E-2</v>
      </c>
      <c r="M118" s="7">
        <v>2.8000000000000001E-2</v>
      </c>
      <c r="N118" s="41">
        <f>VLOOKUP(A118,'Mandato ISEE'!$A$1:$C$215,2,0)</f>
        <v>0</v>
      </c>
      <c r="O118" s="58">
        <f t="shared" si="14"/>
        <v>0</v>
      </c>
      <c r="P118" s="41">
        <f>VLOOKUP(A118,'Mandato ISEE'!$A$1:$C$215,3,0)</f>
        <v>0</v>
      </c>
      <c r="Q118" s="42">
        <f t="shared" si="15"/>
        <v>0</v>
      </c>
      <c r="R118" s="42">
        <v>-0.746</v>
      </c>
      <c r="S118" s="15">
        <v>-0.71599999999999997</v>
      </c>
      <c r="T118" s="15">
        <v>-0.9</v>
      </c>
      <c r="U118" s="15">
        <v>-0.65700000000000003</v>
      </c>
      <c r="V118" s="15">
        <v>-0.79200000000000004</v>
      </c>
      <c r="W118" s="15">
        <v>-0.40400000000000003</v>
      </c>
      <c r="X118" s="15">
        <v>-9.5000000000000001E-2</v>
      </c>
      <c r="Y118" s="15">
        <v>-0.44800000000000001</v>
      </c>
      <c r="Z118" s="15">
        <v>0.45300000000000001</v>
      </c>
      <c r="AA118" s="15">
        <v>0.45200000000000001</v>
      </c>
      <c r="AB118" s="15">
        <v>0.74199999999999999</v>
      </c>
      <c r="AC118" s="15">
        <v>0.81200000000000006</v>
      </c>
      <c r="AD118" s="15">
        <v>0.59499999999999997</v>
      </c>
      <c r="AE118" s="15">
        <v>-0.63900000000000001</v>
      </c>
      <c r="AF118" s="14">
        <v>-0.26500000000000001</v>
      </c>
      <c r="AG118" s="15">
        <v>-0.189</v>
      </c>
      <c r="AH118" s="15">
        <v>-0.91500000000000004</v>
      </c>
      <c r="AI118" s="15">
        <v>-0.93799999999999994</v>
      </c>
      <c r="AJ118" s="15">
        <v>-1</v>
      </c>
      <c r="AK118" s="16">
        <v>-0.219</v>
      </c>
      <c r="AL118" s="4">
        <v>0.13700000000000001</v>
      </c>
      <c r="AM118" s="4">
        <v>-3.3000000000000002E-2</v>
      </c>
      <c r="AN118" s="4">
        <v>0.10299999999999999</v>
      </c>
      <c r="AO118" s="4">
        <v>-0.19800000000000001</v>
      </c>
      <c r="AP118" s="4">
        <v>-0.18099999999999999</v>
      </c>
      <c r="AQ118" s="4">
        <v>-1E-3</v>
      </c>
      <c r="AR118" s="4">
        <v>0.13500000000000001</v>
      </c>
      <c r="AS118" s="4">
        <v>0.41699999999999998</v>
      </c>
      <c r="AT118" s="4">
        <v>-0.16400000000000001</v>
      </c>
      <c r="AU118" s="4">
        <v>-0.254</v>
      </c>
      <c r="AV118" s="4">
        <v>-0.41799999999999998</v>
      </c>
      <c r="AW118" s="4">
        <v>0.30299999999999999</v>
      </c>
      <c r="AX118" s="4">
        <v>-0.36199999999999999</v>
      </c>
      <c r="AY118" s="4">
        <v>7.6999999999999999E-2</v>
      </c>
      <c r="AZ118" s="4">
        <v>0.10299999999999999</v>
      </c>
      <c r="BA118" s="4">
        <v>0.11799999999999999</v>
      </c>
      <c r="BB118" s="4">
        <v>-0.17</v>
      </c>
      <c r="BC118" s="4">
        <v>-0.157</v>
      </c>
      <c r="BD118" s="4">
        <v>0.4</v>
      </c>
      <c r="BE118" s="4">
        <v>1.4999999999999999E-2</v>
      </c>
      <c r="BF118" s="4">
        <v>0.193</v>
      </c>
      <c r="BG118" s="4">
        <v>0.89600000000000002</v>
      </c>
      <c r="BH118" s="4">
        <v>-0.36499999999999999</v>
      </c>
      <c r="BI118" s="4">
        <v>-4.1000000000000002E-2</v>
      </c>
      <c r="BJ118" s="4">
        <v>-0.23799999999999999</v>
      </c>
      <c r="BK118" s="4">
        <v>-0.76500000000000001</v>
      </c>
      <c r="BL118" s="4"/>
    </row>
    <row r="119" spans="1:64" x14ac:dyDescent="0.3">
      <c r="A119" t="s">
        <v>114</v>
      </c>
      <c r="B119" s="53">
        <f t="shared" si="10"/>
        <v>0</v>
      </c>
      <c r="C119" s="53">
        <f t="shared" si="11"/>
        <v>0</v>
      </c>
      <c r="D119" s="53">
        <f t="shared" si="12"/>
        <v>0</v>
      </c>
      <c r="E119" s="53">
        <f t="shared" si="13"/>
        <v>0</v>
      </c>
      <c r="F119" s="15">
        <v>0.69899999999999995</v>
      </c>
      <c r="G119">
        <v>0.93799999999999994</v>
      </c>
      <c r="H119" t="s">
        <v>55</v>
      </c>
      <c r="I119" t="str">
        <f>VLOOKUP(A119,Setores!$A$2:$C$215,2,0)</f>
        <v>utilities</v>
      </c>
      <c r="J119" t="str">
        <f>VLOOKUP(A119,Setores!$A$2:$C$215,3,0)</f>
        <v>low_beta</v>
      </c>
      <c r="K119" s="100">
        <v>0</v>
      </c>
      <c r="L119" s="58">
        <v>0</v>
      </c>
      <c r="M119" s="7">
        <v>0</v>
      </c>
      <c r="N119" s="41">
        <f>VLOOKUP(A119,'Mandato ISEE'!$A$1:$C$215,2,0)</f>
        <v>0</v>
      </c>
      <c r="O119" s="58">
        <f t="shared" si="14"/>
        <v>0</v>
      </c>
      <c r="P119" s="41">
        <f>VLOOKUP(A119,'Mandato ISEE'!$A$1:$C$215,3,0)</f>
        <v>0</v>
      </c>
      <c r="Q119" s="42">
        <f t="shared" si="15"/>
        <v>0</v>
      </c>
      <c r="R119" s="42">
        <v>-0.72099999999999997</v>
      </c>
      <c r="S119" s="15">
        <v>-0.65900000000000003</v>
      </c>
      <c r="T119" s="15">
        <v>-0.85399999999999998</v>
      </c>
      <c r="U119" s="15">
        <v>-0.70399999999999996</v>
      </c>
      <c r="V119" s="15">
        <v>-0.80500000000000005</v>
      </c>
      <c r="W119" s="15">
        <v>-0.24299999999999999</v>
      </c>
      <c r="X119" s="15">
        <v>0.33500000000000002</v>
      </c>
      <c r="Y119" s="15">
        <v>-0.64200000000000002</v>
      </c>
      <c r="Z119" s="15">
        <v>0.45400000000000001</v>
      </c>
      <c r="AA119" s="15">
        <v>0.45400000000000001</v>
      </c>
      <c r="AB119" s="15">
        <v>0.66800000000000004</v>
      </c>
      <c r="AC119" s="15">
        <v>0.67700000000000005</v>
      </c>
      <c r="AD119" s="15">
        <v>0.58499999999999996</v>
      </c>
      <c r="AE119" s="15">
        <v>-0.71</v>
      </c>
      <c r="AF119" s="14">
        <v>-0.72299999999999998</v>
      </c>
      <c r="AG119" s="15">
        <v>-0.40300000000000002</v>
      </c>
      <c r="AH119" s="15">
        <v>-0.752</v>
      </c>
      <c r="AI119" s="15">
        <v>-0.628</v>
      </c>
      <c r="AJ119" s="15">
        <v>-0.82099999999999995</v>
      </c>
      <c r="AK119" s="16">
        <v>-0.223</v>
      </c>
      <c r="AL119" s="4">
        <v>-0.45300000000000001</v>
      </c>
      <c r="AM119" s="4">
        <v>-0.28899999999999998</v>
      </c>
      <c r="AN119" s="4">
        <v>-0.36399999999999999</v>
      </c>
      <c r="AO119" s="4">
        <v>-0.13500000000000001</v>
      </c>
      <c r="AP119" s="4">
        <v>-0.124</v>
      </c>
      <c r="AQ119" s="4">
        <v>-0.13300000000000001</v>
      </c>
      <c r="AR119" s="4">
        <v>-1.6E-2</v>
      </c>
      <c r="AS119" s="4">
        <v>-4.0000000000000001E-3</v>
      </c>
      <c r="AT119" s="4">
        <v>-0.111</v>
      </c>
      <c r="AU119" s="4">
        <v>0.76300000000000001</v>
      </c>
      <c r="AV119" s="4">
        <v>-0.28899999999999998</v>
      </c>
      <c r="AW119" s="4">
        <v>0.77300000000000002</v>
      </c>
      <c r="AX119" s="4">
        <v>-0.39400000000000002</v>
      </c>
      <c r="AY119" s="4">
        <v>0.72599999999999998</v>
      </c>
      <c r="AZ119" s="4">
        <v>0.34499999999999997</v>
      </c>
      <c r="BA119" s="4">
        <v>0.44</v>
      </c>
      <c r="BB119" s="4">
        <v>-0.17100000000000001</v>
      </c>
      <c r="BC119" s="4">
        <v>-0.20100000000000001</v>
      </c>
      <c r="BD119" s="4">
        <v>0.31900000000000001</v>
      </c>
      <c r="BE119" s="4">
        <v>-0.14399999999999999</v>
      </c>
      <c r="BF119" s="4">
        <v>0.38</v>
      </c>
      <c r="BG119" s="4">
        <v>0.85099999999999998</v>
      </c>
      <c r="BH119" s="4">
        <v>-0.39400000000000002</v>
      </c>
      <c r="BI119" s="4">
        <v>-0.28100000000000003</v>
      </c>
      <c r="BJ119" s="4">
        <v>0.31900000000000001</v>
      </c>
      <c r="BK119" s="4">
        <v>0.13500000000000001</v>
      </c>
      <c r="BL119" s="4"/>
    </row>
    <row r="120" spans="1:64" x14ac:dyDescent="0.3">
      <c r="A120" t="s">
        <v>211</v>
      </c>
      <c r="B120" s="53">
        <f t="shared" si="10"/>
        <v>0</v>
      </c>
      <c r="C120" s="53">
        <f t="shared" si="11"/>
        <v>-2.5000000000000001E-2</v>
      </c>
      <c r="D120" s="53">
        <f t="shared" si="12"/>
        <v>0</v>
      </c>
      <c r="E120" s="53">
        <f t="shared" si="13"/>
        <v>2.5000000000000001E-2</v>
      </c>
      <c r="F120" s="15">
        <v>0.69799999999999995</v>
      </c>
      <c r="G120">
        <v>1.3740000000000001</v>
      </c>
      <c r="H120" t="s">
        <v>57</v>
      </c>
      <c r="I120" t="str">
        <f>VLOOKUP(A120,Setores!$A$2:$C$215,2,0)</f>
        <v>banks</v>
      </c>
      <c r="J120" t="str">
        <f>VLOOKUP(A120,Setores!$A$2:$C$215,3,0)</f>
        <v>high_beta</v>
      </c>
      <c r="K120" s="100">
        <v>0</v>
      </c>
      <c r="L120" s="58">
        <v>-2.5000000000000001E-2</v>
      </c>
      <c r="M120" s="7">
        <v>2.5000000000000001E-2</v>
      </c>
      <c r="N120" s="41">
        <f>VLOOKUP(A120,'Mandato ISEE'!$A$1:$C$215,2,0)</f>
        <v>0</v>
      </c>
      <c r="O120" s="58">
        <f t="shared" si="14"/>
        <v>0</v>
      </c>
      <c r="P120" s="41">
        <f>VLOOKUP(A120,'Mandato ISEE'!$A$1:$C$215,3,0)</f>
        <v>0</v>
      </c>
      <c r="Q120" s="42">
        <f t="shared" si="15"/>
        <v>0</v>
      </c>
      <c r="R120" s="42">
        <v>-0.48899999999999999</v>
      </c>
      <c r="S120" s="15">
        <v>-0.7</v>
      </c>
      <c r="T120" s="15">
        <v>-0.85799999999999998</v>
      </c>
      <c r="U120" s="15">
        <v>-0.43</v>
      </c>
      <c r="V120" s="15">
        <v>-0.78400000000000003</v>
      </c>
      <c r="W120" s="15">
        <v>-0.17599999999999999</v>
      </c>
      <c r="X120" s="15">
        <v>7.5999999999999998E-2</v>
      </c>
      <c r="Y120" s="15">
        <v>-0.58799999999999997</v>
      </c>
      <c r="Z120" s="15">
        <v>0.16200000000000001</v>
      </c>
      <c r="AA120" s="15">
        <v>0.16200000000000001</v>
      </c>
      <c r="AB120" s="15">
        <v>0.74099999999999999</v>
      </c>
      <c r="AC120" s="15">
        <v>0.74099999999999999</v>
      </c>
      <c r="AD120" s="15">
        <v>0.45100000000000001</v>
      </c>
      <c r="AE120" s="15">
        <v>-0.432</v>
      </c>
      <c r="AF120" s="14">
        <v>-0.14099999999999999</v>
      </c>
      <c r="AG120" s="15">
        <v>-0.39200000000000002</v>
      </c>
      <c r="AH120" s="15">
        <v>-1</v>
      </c>
      <c r="AI120" s="15">
        <v>-0.877</v>
      </c>
      <c r="AJ120" s="15">
        <v>-0.69799999999999995</v>
      </c>
      <c r="AK120" s="16">
        <v>-0.27700000000000002</v>
      </c>
      <c r="AL120" s="4">
        <v>-0.68</v>
      </c>
      <c r="AM120" s="4">
        <v>-0.77</v>
      </c>
      <c r="AN120" s="4">
        <v>9.1999999999999998E-2</v>
      </c>
      <c r="AO120" s="4">
        <v>2.7E-2</v>
      </c>
      <c r="AP120" s="4">
        <v>0.156</v>
      </c>
      <c r="AQ120" s="4">
        <v>0.55400000000000005</v>
      </c>
      <c r="AR120" s="4">
        <v>0.254</v>
      </c>
      <c r="AS120" s="4">
        <v>0.251</v>
      </c>
      <c r="AT120" s="4">
        <v>-1.4E-2</v>
      </c>
      <c r="AU120" s="4">
        <v>0.26</v>
      </c>
      <c r="AV120" s="4">
        <v>0.25600000000000001</v>
      </c>
      <c r="AW120" s="4">
        <v>2.5999999999999999E-2</v>
      </c>
      <c r="AX120" s="4">
        <v>-0.46899999999999997</v>
      </c>
      <c r="AY120" s="4">
        <v>-6.9000000000000006E-2</v>
      </c>
      <c r="AZ120" s="4">
        <v>1</v>
      </c>
      <c r="BA120" s="4">
        <v>0.38500000000000001</v>
      </c>
      <c r="BB120" s="4">
        <v>-0.61799999999999999</v>
      </c>
      <c r="BC120" s="4">
        <v>2.7E-2</v>
      </c>
      <c r="BD120" s="4">
        <v>0.55200000000000005</v>
      </c>
      <c r="BE120" s="4">
        <v>-4.8000000000000001E-2</v>
      </c>
      <c r="BF120" s="4">
        <v>8.5999999999999993E-2</v>
      </c>
      <c r="BG120" s="4">
        <v>0.77900000000000003</v>
      </c>
      <c r="BH120" s="4">
        <v>-0.72099999999999997</v>
      </c>
      <c r="BI120" s="4">
        <v>0.30399999999999999</v>
      </c>
      <c r="BJ120" s="4">
        <v>-0.122</v>
      </c>
      <c r="BK120" s="4">
        <v>-0.82899999999999996</v>
      </c>
      <c r="BL120" s="4"/>
    </row>
    <row r="121" spans="1:64" x14ac:dyDescent="0.3">
      <c r="A121" t="s">
        <v>216</v>
      </c>
      <c r="B121" s="53">
        <f t="shared" si="10"/>
        <v>0</v>
      </c>
      <c r="C121" s="53">
        <f t="shared" si="11"/>
        <v>-4.0000000000000001E-3</v>
      </c>
      <c r="D121" s="53">
        <f t="shared" si="12"/>
        <v>0</v>
      </c>
      <c r="E121" s="53">
        <f t="shared" si="13"/>
        <v>4.0000000000000001E-3</v>
      </c>
      <c r="F121" s="15">
        <v>0.69699999999999995</v>
      </c>
      <c r="G121">
        <v>0.52600000000000002</v>
      </c>
      <c r="H121" t="s">
        <v>71</v>
      </c>
      <c r="I121" t="str">
        <f>VLOOKUP(A121,Setores!$A$2:$C$215,2,0)</f>
        <v>basic_materials</v>
      </c>
      <c r="J121" t="str">
        <f>VLOOKUP(A121,Setores!$A$2:$C$215,3,0)</f>
        <v>very_low_beta</v>
      </c>
      <c r="K121" s="100">
        <v>0</v>
      </c>
      <c r="L121" s="58">
        <v>-4.0000000000000001E-3</v>
      </c>
      <c r="M121" s="7">
        <v>4.0000000000000001E-3</v>
      </c>
      <c r="N121" s="41">
        <f>VLOOKUP(A121,'Mandato ISEE'!$A$1:$C$215,2,0)</f>
        <v>0</v>
      </c>
      <c r="O121" s="58">
        <f t="shared" si="14"/>
        <v>0</v>
      </c>
      <c r="P121" s="41">
        <f>VLOOKUP(A121,'Mandato ISEE'!$A$1:$C$215,3,0)</f>
        <v>1.8320873108107E-2</v>
      </c>
      <c r="Q121" s="42">
        <f t="shared" si="15"/>
        <v>-1.8320873108107E-2</v>
      </c>
      <c r="R121" s="42">
        <v>-0.753</v>
      </c>
      <c r="S121" s="15">
        <v>-0.224</v>
      </c>
      <c r="T121" s="15">
        <v>-0.92900000000000005</v>
      </c>
      <c r="U121" s="15">
        <v>-0.70499999999999996</v>
      </c>
      <c r="V121" s="15">
        <v>-0.70899999999999996</v>
      </c>
      <c r="W121" s="15">
        <v>-0.58699999999999997</v>
      </c>
      <c r="X121" s="15">
        <v>-0.63600000000000001</v>
      </c>
      <c r="Y121" s="15">
        <v>-0.47199999999999998</v>
      </c>
      <c r="Z121" s="15">
        <v>0.497</v>
      </c>
      <c r="AA121" s="15">
        <v>0.49199999999999999</v>
      </c>
      <c r="AB121" s="15">
        <v>0.34699999999999998</v>
      </c>
      <c r="AC121" s="15">
        <v>0.60099999999999998</v>
      </c>
      <c r="AD121" s="15">
        <v>0.84399999999999997</v>
      </c>
      <c r="AE121" s="15">
        <v>-0.81200000000000006</v>
      </c>
      <c r="AF121" s="14">
        <v>-0.82099999999999995</v>
      </c>
      <c r="AG121" s="15">
        <v>0.51100000000000001</v>
      </c>
      <c r="AH121" s="15">
        <v>-0.77300000000000002</v>
      </c>
      <c r="AI121" s="15">
        <v>0.83699999999999997</v>
      </c>
      <c r="AJ121" s="15">
        <v>-0.89400000000000002</v>
      </c>
      <c r="AK121" s="16">
        <v>-0.214</v>
      </c>
      <c r="AL121" s="4">
        <v>-0.95099999999999996</v>
      </c>
      <c r="AM121" s="4">
        <v>-0.48699999999999999</v>
      </c>
      <c r="AN121" s="4">
        <v>-0.16600000000000001</v>
      </c>
      <c r="AO121" s="4">
        <v>1</v>
      </c>
      <c r="AP121" s="4">
        <v>0.55100000000000005</v>
      </c>
      <c r="AQ121" s="4">
        <v>-0.27</v>
      </c>
      <c r="AR121" s="4">
        <v>0.22700000000000001</v>
      </c>
      <c r="AS121" s="4">
        <v>-3.3000000000000002E-2</v>
      </c>
      <c r="AT121" s="4">
        <v>7.9000000000000001E-2</v>
      </c>
      <c r="AU121" s="4">
        <v>-0.57599999999999996</v>
      </c>
      <c r="AV121" s="4">
        <v>-0.38800000000000001</v>
      </c>
      <c r="AW121" s="4">
        <v>-0.2</v>
      </c>
      <c r="AX121" s="4">
        <v>-0.222</v>
      </c>
      <c r="AY121" s="4">
        <v>0.49099999999999999</v>
      </c>
      <c r="AZ121" s="4">
        <v>-0.93100000000000005</v>
      </c>
      <c r="BA121" s="4">
        <v>0.61099999999999999</v>
      </c>
      <c r="BB121" s="4">
        <v>-8.7999999999999995E-2</v>
      </c>
      <c r="BC121" s="4">
        <v>-0.23300000000000001</v>
      </c>
      <c r="BD121" s="4">
        <v>0.67400000000000004</v>
      </c>
      <c r="BE121" s="4">
        <v>-0.90600000000000003</v>
      </c>
      <c r="BF121" s="4">
        <v>-0.29199999999999998</v>
      </c>
      <c r="BG121" s="4">
        <v>1</v>
      </c>
      <c r="BH121" s="4">
        <v>-0.41499999999999998</v>
      </c>
      <c r="BI121" s="4">
        <v>-0.99099999999999999</v>
      </c>
      <c r="BJ121" s="4">
        <v>-0.17</v>
      </c>
      <c r="BK121" s="4">
        <v>0.187</v>
      </c>
      <c r="BL121" s="4"/>
    </row>
    <row r="122" spans="1:64" x14ac:dyDescent="0.3">
      <c r="A122" t="s">
        <v>215</v>
      </c>
      <c r="B122" s="53">
        <f t="shared" si="10"/>
        <v>0</v>
      </c>
      <c r="C122" s="53">
        <f t="shared" si="11"/>
        <v>0</v>
      </c>
      <c r="D122" s="53">
        <f t="shared" si="12"/>
        <v>0</v>
      </c>
      <c r="E122" s="53">
        <f t="shared" si="13"/>
        <v>0</v>
      </c>
      <c r="F122" s="15">
        <v>0.69599999999999995</v>
      </c>
      <c r="G122">
        <v>0.49299999999999999</v>
      </c>
      <c r="H122" t="s">
        <v>55</v>
      </c>
      <c r="I122" t="str">
        <f>VLOOKUP(A122,Setores!$A$2:$C$215,2,0)</f>
        <v>telecom</v>
      </c>
      <c r="J122" t="str">
        <f>VLOOKUP(A122,Setores!$A$2:$C$215,3,0)</f>
        <v>low_beta</v>
      </c>
      <c r="K122" s="100">
        <v>0</v>
      </c>
      <c r="L122" s="58">
        <v>0</v>
      </c>
      <c r="M122" s="7">
        <v>0</v>
      </c>
      <c r="N122" s="41">
        <f>VLOOKUP(A122,'Mandato ISEE'!$A$1:$C$215,2,0)</f>
        <v>0</v>
      </c>
      <c r="O122" s="58">
        <f t="shared" si="14"/>
        <v>0</v>
      </c>
      <c r="P122" s="41">
        <f>VLOOKUP(A122,'Mandato ISEE'!$A$1:$C$215,3,0)</f>
        <v>0</v>
      </c>
      <c r="Q122" s="42">
        <f t="shared" si="15"/>
        <v>0</v>
      </c>
      <c r="R122" s="42">
        <v>-0.52500000000000002</v>
      </c>
      <c r="S122" s="15">
        <v>-0.26100000000000001</v>
      </c>
      <c r="T122" s="15">
        <v>-0.68799999999999994</v>
      </c>
      <c r="U122" s="15">
        <v>-0.69499999999999995</v>
      </c>
      <c r="V122" s="15">
        <v>-0.65800000000000003</v>
      </c>
      <c r="W122" s="15">
        <v>-0.39600000000000002</v>
      </c>
      <c r="X122" s="15">
        <v>-0.23300000000000001</v>
      </c>
      <c r="Y122" s="15">
        <v>-0.69699999999999995</v>
      </c>
      <c r="Z122" s="15">
        <v>0.27</v>
      </c>
      <c r="AA122" s="15">
        <v>0.26</v>
      </c>
      <c r="AB122" s="15">
        <v>0.61199999999999999</v>
      </c>
      <c r="AC122" s="15">
        <v>0.51200000000000001</v>
      </c>
      <c r="AD122" s="15">
        <v>0.71299999999999997</v>
      </c>
      <c r="AE122" s="15">
        <v>-0.71899999999999997</v>
      </c>
      <c r="AF122" s="14">
        <v>-0.504</v>
      </c>
      <c r="AG122" s="15">
        <v>-0.17399999999999999</v>
      </c>
      <c r="AH122" s="15">
        <v>-0.47599999999999998</v>
      </c>
      <c r="AI122" s="15">
        <v>0.96899999999999997</v>
      </c>
      <c r="AJ122" s="15">
        <v>-0.39300000000000002</v>
      </c>
      <c r="AK122" s="16">
        <v>-0.19900000000000001</v>
      </c>
      <c r="AL122" s="4">
        <v>-0.92900000000000005</v>
      </c>
      <c r="AM122" s="4">
        <v>-0.29599999999999999</v>
      </c>
      <c r="AN122" s="4">
        <v>4.3999999999999997E-2</v>
      </c>
      <c r="AO122" s="4">
        <v>0.36499999999999999</v>
      </c>
      <c r="AP122" s="4">
        <v>0.60799999999999998</v>
      </c>
      <c r="AQ122" s="4">
        <v>6.3E-2</v>
      </c>
      <c r="AR122" s="4">
        <v>-0.14000000000000001</v>
      </c>
      <c r="AS122" s="4">
        <v>-0.42799999999999999</v>
      </c>
      <c r="AT122" s="4">
        <v>-0.129</v>
      </c>
      <c r="AU122" s="4">
        <v>0.189</v>
      </c>
      <c r="AV122" s="4">
        <v>-6.8000000000000005E-2</v>
      </c>
      <c r="AW122" s="4">
        <v>-0.43</v>
      </c>
      <c r="AX122" s="4">
        <v>-0.224</v>
      </c>
      <c r="AY122" s="4">
        <v>0.71699999999999997</v>
      </c>
      <c r="AZ122" s="4">
        <v>5.1999999999999998E-2</v>
      </c>
      <c r="BA122" s="4">
        <v>0.54100000000000004</v>
      </c>
      <c r="BB122" s="4">
        <v>-0.13</v>
      </c>
      <c r="BC122" s="4">
        <v>-0.495</v>
      </c>
      <c r="BD122" s="4">
        <v>0.56899999999999995</v>
      </c>
      <c r="BE122" s="4">
        <v>-0.64500000000000002</v>
      </c>
      <c r="BF122" s="4">
        <v>0.90600000000000003</v>
      </c>
      <c r="BG122" s="4">
        <v>1</v>
      </c>
      <c r="BH122" s="4">
        <v>-0.32800000000000001</v>
      </c>
      <c r="BI122" s="4">
        <v>-0.311</v>
      </c>
      <c r="BJ122" s="4">
        <v>-6.4000000000000001E-2</v>
      </c>
      <c r="BK122" s="4">
        <v>0.56999999999999995</v>
      </c>
      <c r="BL122" s="4"/>
    </row>
    <row r="123" spans="1:64" x14ac:dyDescent="0.3">
      <c r="A123" t="s">
        <v>124</v>
      </c>
      <c r="B123" s="53">
        <f t="shared" si="10"/>
        <v>0</v>
      </c>
      <c r="C123" s="53">
        <f t="shared" si="11"/>
        <v>0</v>
      </c>
      <c r="D123" s="53">
        <f t="shared" si="12"/>
        <v>0</v>
      </c>
      <c r="E123" s="53">
        <f t="shared" si="13"/>
        <v>0</v>
      </c>
      <c r="F123" s="15">
        <v>0.68400000000000005</v>
      </c>
      <c r="G123">
        <v>0.90400000000000003</v>
      </c>
      <c r="H123" t="s">
        <v>55</v>
      </c>
      <c r="I123" t="str">
        <f>VLOOKUP(A123,Setores!$A$2:$C$215,2,0)</f>
        <v>utilities</v>
      </c>
      <c r="J123" t="str">
        <f>VLOOKUP(A123,Setores!$A$2:$C$215,3,0)</f>
        <v>low_beta</v>
      </c>
      <c r="K123" s="100">
        <v>0</v>
      </c>
      <c r="L123" s="58">
        <v>0</v>
      </c>
      <c r="M123" s="7">
        <v>0</v>
      </c>
      <c r="N123" s="41">
        <f>VLOOKUP(A123,'Mandato ISEE'!$A$1:$C$215,2,0)</f>
        <v>0</v>
      </c>
      <c r="O123" s="58">
        <f t="shared" si="14"/>
        <v>0</v>
      </c>
      <c r="P123" s="41">
        <f>VLOOKUP(A123,'Mandato ISEE'!$A$1:$C$215,3,0)</f>
        <v>0</v>
      </c>
      <c r="Q123" s="42">
        <f t="shared" si="15"/>
        <v>0</v>
      </c>
      <c r="R123" s="42">
        <v>-0.79600000000000004</v>
      </c>
      <c r="S123" s="15">
        <v>-0.81499999999999995</v>
      </c>
      <c r="T123" s="15">
        <v>-0.90200000000000002</v>
      </c>
      <c r="U123" s="15">
        <v>-0.55400000000000005</v>
      </c>
      <c r="V123" s="15">
        <v>-0.78700000000000003</v>
      </c>
      <c r="W123" s="15">
        <v>-0.42599999999999999</v>
      </c>
      <c r="X123" s="15">
        <v>0.112</v>
      </c>
      <c r="Y123" s="15">
        <v>-0.38900000000000001</v>
      </c>
      <c r="Z123" s="15">
        <v>0.35</v>
      </c>
      <c r="AA123" s="15">
        <v>0.34899999999999998</v>
      </c>
      <c r="AB123" s="15">
        <v>0.623</v>
      </c>
      <c r="AC123" s="15">
        <v>0.69899999999999995</v>
      </c>
      <c r="AD123" s="15">
        <v>0.47499999999999998</v>
      </c>
      <c r="AE123" s="15">
        <v>-0.26500000000000001</v>
      </c>
      <c r="AF123" s="14">
        <v>-0.52900000000000003</v>
      </c>
      <c r="AG123" s="15">
        <v>-0.57099999999999995</v>
      </c>
      <c r="AH123" s="15">
        <v>-0.76100000000000001</v>
      </c>
      <c r="AI123" s="15">
        <v>-0.60699999999999998</v>
      </c>
      <c r="AJ123" s="15">
        <v>-0.88100000000000001</v>
      </c>
      <c r="AK123" s="16">
        <v>-0.182</v>
      </c>
      <c r="AL123" s="4">
        <v>0.19400000000000001</v>
      </c>
      <c r="AM123" s="4">
        <v>-0.59899999999999998</v>
      </c>
      <c r="AN123" s="4">
        <v>-0.21299999999999999</v>
      </c>
      <c r="AO123" s="4">
        <v>-0.246</v>
      </c>
      <c r="AP123" s="4">
        <v>0.154</v>
      </c>
      <c r="AQ123" s="4">
        <v>-0.13600000000000001</v>
      </c>
      <c r="AR123" s="4">
        <v>0.17599999999999999</v>
      </c>
      <c r="AS123" s="4">
        <v>0.124</v>
      </c>
      <c r="AT123" s="4">
        <v>0.113</v>
      </c>
      <c r="AU123" s="4">
        <v>0.53700000000000003</v>
      </c>
      <c r="AV123" s="4">
        <v>2.1999999999999999E-2</v>
      </c>
      <c r="AW123" s="4">
        <v>0.83299999999999996</v>
      </c>
      <c r="AX123" s="4">
        <v>-0.84499999999999997</v>
      </c>
      <c r="AY123" s="4">
        <v>0.438</v>
      </c>
      <c r="AZ123" s="4">
        <v>-8.5000000000000006E-2</v>
      </c>
      <c r="BA123" s="4">
        <v>-0.437</v>
      </c>
      <c r="BB123" s="4">
        <v>-0.16400000000000001</v>
      </c>
      <c r="BC123" s="4">
        <v>-0.36799999999999999</v>
      </c>
      <c r="BD123" s="4">
        <v>0.38400000000000001</v>
      </c>
      <c r="BE123" s="4">
        <v>-0.38400000000000001</v>
      </c>
      <c r="BF123" s="4">
        <v>-1</v>
      </c>
      <c r="BG123" s="4">
        <v>0.19900000000000001</v>
      </c>
      <c r="BH123" s="4">
        <v>-0.373</v>
      </c>
      <c r="BI123" s="4">
        <v>-0.22700000000000001</v>
      </c>
      <c r="BJ123" s="4">
        <v>-0.12</v>
      </c>
      <c r="BK123" s="4">
        <v>5.3999999999999999E-2</v>
      </c>
      <c r="BL123" s="4"/>
    </row>
    <row r="124" spans="1:64" x14ac:dyDescent="0.3">
      <c r="A124" t="s">
        <v>250</v>
      </c>
      <c r="B124" s="53">
        <f t="shared" si="10"/>
        <v>0</v>
      </c>
      <c r="C124" s="53">
        <f t="shared" si="11"/>
        <v>0</v>
      </c>
      <c r="D124" s="53">
        <f t="shared" si="12"/>
        <v>0</v>
      </c>
      <c r="E124" s="53">
        <f t="shared" si="13"/>
        <v>0</v>
      </c>
      <c r="F124" s="15">
        <v>0.67600000000000005</v>
      </c>
      <c r="G124">
        <v>0.52400000000000002</v>
      </c>
      <c r="H124" t="s">
        <v>57</v>
      </c>
      <c r="I124" t="str">
        <f>VLOOKUP(A124,Setores!$A$2:$C$215,2,0)</f>
        <v>tech</v>
      </c>
      <c r="J124" t="str">
        <f>VLOOKUP(A124,Setores!$A$2:$C$215,3,0)</f>
        <v>high_beta</v>
      </c>
      <c r="K124" s="100">
        <v>0</v>
      </c>
      <c r="L124" s="58">
        <v>0</v>
      </c>
      <c r="M124" s="7">
        <v>0</v>
      </c>
      <c r="N124" s="41">
        <f>VLOOKUP(A124,'Mandato ISEE'!$A$1:$C$215,2,0)</f>
        <v>0</v>
      </c>
      <c r="O124" s="58">
        <f t="shared" si="14"/>
        <v>0</v>
      </c>
      <c r="P124" s="41">
        <f>VLOOKUP(A124,'Mandato ISEE'!$A$1:$C$215,3,0)</f>
        <v>0</v>
      </c>
      <c r="Q124" s="42">
        <f t="shared" si="15"/>
        <v>0</v>
      </c>
      <c r="R124" s="42">
        <v>-0.06</v>
      </c>
      <c r="S124" s="15">
        <v>-0.16900000000000001</v>
      </c>
      <c r="T124" s="15">
        <v>-1.7000000000000001E-2</v>
      </c>
      <c r="U124" s="15">
        <v>-0.52500000000000002</v>
      </c>
      <c r="V124" s="15">
        <v>-0.36499999999999999</v>
      </c>
      <c r="W124" s="15">
        <v>-0.47499999999999998</v>
      </c>
      <c r="X124" s="15">
        <v>-0.64500000000000002</v>
      </c>
      <c r="Y124" s="15">
        <v>-0.627</v>
      </c>
      <c r="Z124" s="15">
        <v>-0.34</v>
      </c>
      <c r="AA124" s="15">
        <v>-0.34399999999999997</v>
      </c>
      <c r="AB124" s="15">
        <v>0.63500000000000001</v>
      </c>
      <c r="AC124" s="15">
        <v>0.61299999999999999</v>
      </c>
      <c r="AD124" s="15">
        <v>0.28899999999999998</v>
      </c>
      <c r="AE124" s="15">
        <v>-3.9E-2</v>
      </c>
      <c r="AF124" s="14">
        <v>-0.25</v>
      </c>
      <c r="AG124" s="15">
        <v>-0.61299999999999999</v>
      </c>
      <c r="AH124" s="15">
        <v>-0.31900000000000001</v>
      </c>
      <c r="AI124" s="15">
        <v>0.246</v>
      </c>
      <c r="AJ124" s="15">
        <v>0.46700000000000003</v>
      </c>
      <c r="AK124" s="16">
        <v>-0.379</v>
      </c>
      <c r="AL124" s="4">
        <v>-0.42299999999999999</v>
      </c>
      <c r="AM124" s="4">
        <v>-0.36799999999999999</v>
      </c>
      <c r="AN124" s="4">
        <v>0.42</v>
      </c>
      <c r="AO124" s="4">
        <v>-0.22600000000000001</v>
      </c>
      <c r="AP124" s="4">
        <v>0.40799999999999997</v>
      </c>
      <c r="AQ124" s="4">
        <v>-0.23</v>
      </c>
      <c r="AR124" s="4">
        <v>0.59</v>
      </c>
      <c r="AS124" s="4">
        <v>-0.14299999999999999</v>
      </c>
      <c r="AT124" s="4">
        <v>-0.314</v>
      </c>
      <c r="AU124" s="4">
        <v>-0.41699999999999998</v>
      </c>
      <c r="AV124" s="4">
        <v>0.435</v>
      </c>
      <c r="AW124" s="4">
        <v>-0.35899999999999999</v>
      </c>
      <c r="AX124" s="4">
        <v>0.16300000000000001</v>
      </c>
      <c r="AY124" s="4">
        <v>0.64700000000000002</v>
      </c>
      <c r="AZ124" s="4">
        <v>0.63600000000000001</v>
      </c>
      <c r="BA124" s="4">
        <v>0.29899999999999999</v>
      </c>
      <c r="BB124" s="4">
        <v>0.48</v>
      </c>
      <c r="BC124" s="4">
        <v>0.26</v>
      </c>
      <c r="BD124" s="4">
        <v>0.47</v>
      </c>
      <c r="BE124" s="4">
        <v>-0.59799999999999998</v>
      </c>
      <c r="BF124" s="4">
        <v>0.44700000000000001</v>
      </c>
      <c r="BG124" s="4">
        <v>6.7000000000000004E-2</v>
      </c>
      <c r="BH124" s="4">
        <v>0.503</v>
      </c>
      <c r="BI124" s="4">
        <v>0.253</v>
      </c>
      <c r="BJ124" s="4">
        <v>4.4999999999999998E-2</v>
      </c>
      <c r="BK124" s="4">
        <v>0.22600000000000001</v>
      </c>
      <c r="BL124" s="4"/>
    </row>
    <row r="125" spans="1:64" x14ac:dyDescent="0.3">
      <c r="A125" t="s">
        <v>144</v>
      </c>
      <c r="B125" s="53">
        <f t="shared" si="10"/>
        <v>0</v>
      </c>
      <c r="C125" s="53">
        <f t="shared" si="11"/>
        <v>-2.5000000000000001E-2</v>
      </c>
      <c r="D125" s="53">
        <f t="shared" si="12"/>
        <v>0</v>
      </c>
      <c r="E125" s="53">
        <f t="shared" si="13"/>
        <v>2.5000000000000001E-2</v>
      </c>
      <c r="F125" s="15">
        <v>0.67400000000000004</v>
      </c>
      <c r="G125">
        <v>1.4670000000000001</v>
      </c>
      <c r="H125" t="s">
        <v>55</v>
      </c>
      <c r="I125" t="str">
        <f>VLOOKUP(A125,Setores!$A$2:$C$215,2,0)</f>
        <v>utilities</v>
      </c>
      <c r="J125" t="str">
        <f>VLOOKUP(A125,Setores!$A$2:$C$215,3,0)</f>
        <v>low_beta</v>
      </c>
      <c r="K125" s="100">
        <v>0</v>
      </c>
      <c r="L125" s="58">
        <v>-2.5000000000000001E-2</v>
      </c>
      <c r="M125" s="7">
        <v>2.5000000000000001E-2</v>
      </c>
      <c r="N125" s="41">
        <f>VLOOKUP(A125,'Mandato ISEE'!$A$1:$C$215,2,0)</f>
        <v>0</v>
      </c>
      <c r="O125" s="58">
        <f t="shared" si="14"/>
        <v>0</v>
      </c>
      <c r="P125" s="41">
        <f>VLOOKUP(A125,'Mandato ISEE'!$A$1:$C$215,3,0)</f>
        <v>0</v>
      </c>
      <c r="Q125" s="42">
        <f t="shared" si="15"/>
        <v>0</v>
      </c>
      <c r="R125" s="42">
        <v>-0.875</v>
      </c>
      <c r="S125" s="15">
        <v>-0.73499999999999999</v>
      </c>
      <c r="T125" s="15">
        <v>-0.95199999999999996</v>
      </c>
      <c r="U125" s="15">
        <v>-0.74399999999999999</v>
      </c>
      <c r="V125" s="15">
        <v>-0.80600000000000005</v>
      </c>
      <c r="W125" s="15">
        <v>-0.63800000000000001</v>
      </c>
      <c r="X125" s="15">
        <v>-0.216</v>
      </c>
      <c r="Y125" s="15">
        <v>-0.30599999999999999</v>
      </c>
      <c r="Z125" s="15">
        <v>0.36399999999999999</v>
      </c>
      <c r="AA125" s="15">
        <v>0.36699999999999999</v>
      </c>
      <c r="AB125" s="15">
        <v>0.67800000000000005</v>
      </c>
      <c r="AC125" s="15">
        <v>0.73799999999999999</v>
      </c>
      <c r="AD125" s="15">
        <v>0.58899999999999997</v>
      </c>
      <c r="AE125" s="15">
        <v>-0.745</v>
      </c>
      <c r="AF125" s="14">
        <v>-0.84799999999999998</v>
      </c>
      <c r="AG125" s="15">
        <v>0.129</v>
      </c>
      <c r="AH125" s="15">
        <v>-0.84799999999999998</v>
      </c>
      <c r="AI125" s="15">
        <v>-0.41599999999999998</v>
      </c>
      <c r="AJ125" s="15">
        <v>-0.94799999999999995</v>
      </c>
      <c r="AK125" s="16">
        <v>-0.32700000000000001</v>
      </c>
      <c r="AL125" s="4">
        <v>0.08</v>
      </c>
      <c r="AM125" s="4">
        <v>-0.35399999999999998</v>
      </c>
      <c r="AN125" s="4">
        <v>-0.69599999999999995</v>
      </c>
      <c r="AO125" s="4">
        <v>0.249</v>
      </c>
      <c r="AP125" s="4">
        <v>0.33800000000000002</v>
      </c>
      <c r="AQ125" s="4">
        <v>-0.48299999999999998</v>
      </c>
      <c r="AR125" s="4">
        <v>0.12</v>
      </c>
      <c r="AS125" s="4">
        <v>-0.245</v>
      </c>
      <c r="AT125" s="4">
        <v>-0.152</v>
      </c>
      <c r="AU125" s="4">
        <v>-2.5999999999999999E-2</v>
      </c>
      <c r="AV125" s="4">
        <v>-0.42399999999999999</v>
      </c>
      <c r="AW125" s="4">
        <v>0.84799999999999998</v>
      </c>
      <c r="AX125" s="4">
        <v>-0.80300000000000005</v>
      </c>
      <c r="AY125" s="4">
        <v>0.75900000000000001</v>
      </c>
      <c r="AZ125" s="4">
        <v>-0.78</v>
      </c>
      <c r="BA125" s="4">
        <v>0.153</v>
      </c>
      <c r="BB125" s="4">
        <v>-0.151</v>
      </c>
      <c r="BC125" s="4">
        <v>-0.53700000000000003</v>
      </c>
      <c r="BD125" s="4">
        <v>0.35899999999999999</v>
      </c>
      <c r="BE125" s="4">
        <v>-0.35399999999999998</v>
      </c>
      <c r="BF125" s="4">
        <v>-0.875</v>
      </c>
      <c r="BG125" s="4">
        <v>0.58599999999999997</v>
      </c>
      <c r="BH125" s="4">
        <v>-0.41099999999999998</v>
      </c>
      <c r="BI125" s="4">
        <v>-0.23300000000000001</v>
      </c>
      <c r="BJ125" s="4">
        <v>9.8000000000000004E-2</v>
      </c>
      <c r="BK125" s="4">
        <v>-0.122</v>
      </c>
      <c r="BL125" s="4"/>
    </row>
    <row r="126" spans="1:64" x14ac:dyDescent="0.3">
      <c r="A126" t="s">
        <v>214</v>
      </c>
      <c r="B126" s="53">
        <f t="shared" si="10"/>
        <v>0</v>
      </c>
      <c r="C126" s="53">
        <f t="shared" si="11"/>
        <v>0</v>
      </c>
      <c r="D126" s="53">
        <f t="shared" si="12"/>
        <v>0</v>
      </c>
      <c r="E126" s="53">
        <f t="shared" si="13"/>
        <v>0</v>
      </c>
      <c r="F126" s="15">
        <v>0.66400000000000003</v>
      </c>
      <c r="G126">
        <v>0.69599999999999995</v>
      </c>
      <c r="H126" t="s">
        <v>53</v>
      </c>
      <c r="I126" t="str">
        <f>VLOOKUP(A126,Setores!$A$2:$C$215,2,0)</f>
        <v>float_financials</v>
      </c>
      <c r="J126" t="str">
        <f>VLOOKUP(A126,Setores!$A$2:$C$215,3,0)</f>
        <v>low_beta</v>
      </c>
      <c r="K126" s="100">
        <v>0</v>
      </c>
      <c r="L126" s="58">
        <v>0</v>
      </c>
      <c r="M126" s="7">
        <v>0</v>
      </c>
      <c r="N126" s="41">
        <f>VLOOKUP(A126,'Mandato ISEE'!$A$1:$C$215,2,0)</f>
        <v>0</v>
      </c>
      <c r="O126" s="58">
        <f t="shared" si="14"/>
        <v>0</v>
      </c>
      <c r="P126" s="41">
        <f>VLOOKUP(A126,'Mandato ISEE'!$A$1:$C$215,3,0)</f>
        <v>0</v>
      </c>
      <c r="Q126" s="42">
        <f t="shared" si="15"/>
        <v>0</v>
      </c>
      <c r="R126" s="42">
        <v>-0.40600000000000003</v>
      </c>
      <c r="S126" s="15">
        <v>-0.36</v>
      </c>
      <c r="T126" s="15">
        <v>-0.66600000000000004</v>
      </c>
      <c r="U126" s="15">
        <v>-0.56399999999999995</v>
      </c>
      <c r="V126" s="15">
        <v>-0.63100000000000001</v>
      </c>
      <c r="W126" s="15">
        <v>-0.46400000000000002</v>
      </c>
      <c r="X126" s="15">
        <v>-0.33900000000000002</v>
      </c>
      <c r="Y126" s="15">
        <v>-0.73299999999999998</v>
      </c>
      <c r="Z126" s="15">
        <v>4.8000000000000001E-2</v>
      </c>
      <c r="AA126" s="15">
        <v>5.0999999999999997E-2</v>
      </c>
      <c r="AB126" s="15">
        <v>0.61899999999999999</v>
      </c>
      <c r="AC126" s="15">
        <v>0.69299999999999995</v>
      </c>
      <c r="AD126" s="15">
        <v>0.57099999999999995</v>
      </c>
      <c r="AE126" s="15">
        <v>-0.54</v>
      </c>
      <c r="AF126" s="14">
        <v>-0.28299999999999997</v>
      </c>
      <c r="AG126" s="15">
        <v>-0.23400000000000001</v>
      </c>
      <c r="AH126" s="15">
        <v>-0.49399999999999999</v>
      </c>
      <c r="AI126" s="15">
        <v>-0.29499999999999998</v>
      </c>
      <c r="AJ126" s="15">
        <v>-0.11899999999999999</v>
      </c>
      <c r="AK126" s="16">
        <v>-0.16800000000000001</v>
      </c>
      <c r="AL126" s="4">
        <v>-0.89200000000000002</v>
      </c>
      <c r="AM126" s="4">
        <v>-0.29299999999999998</v>
      </c>
      <c r="AN126" s="4">
        <v>0.45200000000000001</v>
      </c>
      <c r="AO126" s="4">
        <v>9.4E-2</v>
      </c>
      <c r="AP126" s="4">
        <v>-7.6999999999999999E-2</v>
      </c>
      <c r="AQ126" s="4">
        <v>0.42599999999999999</v>
      </c>
      <c r="AR126" s="4">
        <v>2.8000000000000001E-2</v>
      </c>
      <c r="AS126" s="4">
        <v>-3.1E-2</v>
      </c>
      <c r="AT126" s="4">
        <v>7.0999999999999994E-2</v>
      </c>
      <c r="AU126" s="4">
        <v>-0.245</v>
      </c>
      <c r="AV126" s="4">
        <v>-0.21</v>
      </c>
      <c r="AW126" s="4">
        <v>0.308</v>
      </c>
      <c r="AX126" s="4">
        <v>0.3</v>
      </c>
      <c r="AY126" s="4">
        <v>0.751</v>
      </c>
      <c r="AZ126" s="4">
        <v>-0.378</v>
      </c>
      <c r="BA126" s="4">
        <v>0.74199999999999999</v>
      </c>
      <c r="BB126" s="4">
        <v>8.8999999999999996E-2</v>
      </c>
      <c r="BC126" s="4">
        <v>-2.5000000000000001E-2</v>
      </c>
      <c r="BD126" s="4">
        <v>0.64500000000000002</v>
      </c>
      <c r="BE126" s="4">
        <v>-0.41799999999999998</v>
      </c>
      <c r="BF126" s="4">
        <v>0.33500000000000002</v>
      </c>
      <c r="BG126" s="4">
        <v>0.53800000000000003</v>
      </c>
      <c r="BH126" s="4">
        <v>3.1E-2</v>
      </c>
      <c r="BI126" s="4">
        <v>-0.25700000000000001</v>
      </c>
      <c r="BJ126" s="4">
        <v>-0.21299999999999999</v>
      </c>
      <c r="BK126" s="4">
        <v>0.621</v>
      </c>
      <c r="BL126" s="4"/>
    </row>
    <row r="127" spans="1:64" x14ac:dyDescent="0.3">
      <c r="A127" t="s">
        <v>173</v>
      </c>
      <c r="B127" s="53">
        <f t="shared" si="10"/>
        <v>0</v>
      </c>
      <c r="C127" s="53">
        <f t="shared" si="11"/>
        <v>-2.4E-2</v>
      </c>
      <c r="D127" s="53">
        <f t="shared" si="12"/>
        <v>0</v>
      </c>
      <c r="E127" s="53">
        <f t="shared" si="13"/>
        <v>2.4E-2</v>
      </c>
      <c r="F127" s="15">
        <v>0.66300000000000003</v>
      </c>
      <c r="G127">
        <v>1.282</v>
      </c>
      <c r="H127" t="s">
        <v>55</v>
      </c>
      <c r="I127" t="str">
        <f>VLOOKUP(A127,Setores!$A$2:$C$215,2,0)</f>
        <v>utilities</v>
      </c>
      <c r="J127" t="str">
        <f>VLOOKUP(A127,Setores!$A$2:$C$215,3,0)</f>
        <v>low_beta</v>
      </c>
      <c r="K127" s="100">
        <v>0</v>
      </c>
      <c r="L127" s="58">
        <v>-2.4E-2</v>
      </c>
      <c r="M127" s="7">
        <v>2.4E-2</v>
      </c>
      <c r="N127" s="41">
        <f>VLOOKUP(A127,'Mandato ISEE'!$A$1:$C$215,2,0)</f>
        <v>0</v>
      </c>
      <c r="O127" s="58">
        <f t="shared" si="14"/>
        <v>0</v>
      </c>
      <c r="P127" s="41">
        <f>VLOOKUP(A127,'Mandato ISEE'!$A$1:$C$215,3,0)</f>
        <v>0</v>
      </c>
      <c r="Q127" s="42">
        <f t="shared" si="15"/>
        <v>0</v>
      </c>
      <c r="R127" s="42">
        <v>-0.84799999999999998</v>
      </c>
      <c r="S127" s="15">
        <v>-0.75600000000000001</v>
      </c>
      <c r="T127" s="15">
        <v>-0.95299999999999996</v>
      </c>
      <c r="U127" s="15">
        <v>-0.74199999999999999</v>
      </c>
      <c r="V127" s="15">
        <v>-0.85099999999999998</v>
      </c>
      <c r="W127" s="15">
        <v>-0.46400000000000002</v>
      </c>
      <c r="X127" s="15">
        <v>0.12</v>
      </c>
      <c r="Y127" s="15">
        <v>-0.505</v>
      </c>
      <c r="Z127" s="15">
        <v>0.46500000000000002</v>
      </c>
      <c r="AA127" s="15">
        <v>0.46600000000000003</v>
      </c>
      <c r="AB127" s="15">
        <v>0.624</v>
      </c>
      <c r="AC127" s="15">
        <v>0.64800000000000002</v>
      </c>
      <c r="AD127" s="15">
        <v>0.54600000000000004</v>
      </c>
      <c r="AE127" s="15">
        <v>-0.78100000000000003</v>
      </c>
      <c r="AF127" s="14">
        <v>-0.88300000000000001</v>
      </c>
      <c r="AG127" s="15">
        <v>-0.27200000000000002</v>
      </c>
      <c r="AH127" s="15">
        <v>-0.96</v>
      </c>
      <c r="AI127" s="15">
        <v>-0.61299999999999999</v>
      </c>
      <c r="AJ127" s="15">
        <v>-1</v>
      </c>
      <c r="AK127" s="16">
        <v>-0.316</v>
      </c>
      <c r="AL127" s="4">
        <v>-0.27600000000000002</v>
      </c>
      <c r="AM127" s="4">
        <v>-0.70499999999999996</v>
      </c>
      <c r="AN127" s="4">
        <v>-0.35399999999999998</v>
      </c>
      <c r="AO127" s="4">
        <v>0.217</v>
      </c>
      <c r="AP127" s="4">
        <v>0.40500000000000003</v>
      </c>
      <c r="AQ127" s="4">
        <v>-0.22500000000000001</v>
      </c>
      <c r="AR127" s="4">
        <v>0.158</v>
      </c>
      <c r="AS127" s="4">
        <v>-5.7000000000000002E-2</v>
      </c>
      <c r="AT127" s="4">
        <v>6.9000000000000006E-2</v>
      </c>
      <c r="AU127" s="4">
        <v>0.40899999999999997</v>
      </c>
      <c r="AV127" s="4">
        <v>-0.33600000000000002</v>
      </c>
      <c r="AW127" s="4">
        <v>0.748</v>
      </c>
      <c r="AX127" s="4">
        <v>-0.52700000000000002</v>
      </c>
      <c r="AY127" s="4">
        <v>0.75600000000000001</v>
      </c>
      <c r="AZ127" s="4">
        <v>-0.249</v>
      </c>
      <c r="BA127" s="4">
        <v>-0.40500000000000003</v>
      </c>
      <c r="BB127" s="4">
        <v>-0.44700000000000001</v>
      </c>
      <c r="BC127" s="4">
        <v>-0.58199999999999996</v>
      </c>
      <c r="BD127" s="4">
        <v>0.253</v>
      </c>
      <c r="BE127" s="4">
        <v>-0.105</v>
      </c>
      <c r="BF127" s="4">
        <v>-0.22</v>
      </c>
      <c r="BG127" s="4">
        <v>0.88800000000000001</v>
      </c>
      <c r="BH127" s="4">
        <v>-0.33300000000000002</v>
      </c>
      <c r="BI127" s="4">
        <v>-0.191</v>
      </c>
      <c r="BJ127" s="4">
        <v>0.224</v>
      </c>
      <c r="BK127" s="4">
        <v>-0.378</v>
      </c>
      <c r="BL127" s="4"/>
    </row>
    <row r="128" spans="1:64" x14ac:dyDescent="0.3">
      <c r="A128" t="s">
        <v>229</v>
      </c>
      <c r="B128" s="53">
        <f t="shared" si="10"/>
        <v>0</v>
      </c>
      <c r="C128" s="53">
        <f t="shared" si="11"/>
        <v>0</v>
      </c>
      <c r="D128" s="53">
        <f t="shared" si="12"/>
        <v>0</v>
      </c>
      <c r="E128" s="53">
        <f t="shared" si="13"/>
        <v>0</v>
      </c>
      <c r="F128" s="15">
        <v>0.65</v>
      </c>
      <c r="G128">
        <v>0.499</v>
      </c>
      <c r="H128" t="s">
        <v>71</v>
      </c>
      <c r="I128" t="str">
        <f>VLOOKUP(A128,Setores!$A$2:$C$215,2,0)</f>
        <v>food</v>
      </c>
      <c r="J128" t="str">
        <f>VLOOKUP(A128,Setores!$A$2:$C$215,3,0)</f>
        <v>very_low_beta</v>
      </c>
      <c r="K128" s="100">
        <v>0</v>
      </c>
      <c r="L128" s="58">
        <v>0</v>
      </c>
      <c r="M128" s="7">
        <v>0</v>
      </c>
      <c r="N128" s="41">
        <f>VLOOKUP(A128,'Mandato ISEE'!$A$1:$C$215,2,0)</f>
        <v>0</v>
      </c>
      <c r="O128" s="58">
        <f t="shared" si="14"/>
        <v>0</v>
      </c>
      <c r="P128" s="41">
        <f>VLOOKUP(A128,'Mandato ISEE'!$A$1:$C$215,3,0)</f>
        <v>0</v>
      </c>
      <c r="Q128" s="42">
        <f t="shared" si="15"/>
        <v>0</v>
      </c>
      <c r="R128" s="42">
        <v>-0.753</v>
      </c>
      <c r="S128" s="15">
        <v>-0.14099999999999999</v>
      </c>
      <c r="T128" s="15">
        <v>-0.90100000000000002</v>
      </c>
      <c r="U128" s="15">
        <v>-0.70899999999999996</v>
      </c>
      <c r="V128" s="15">
        <v>-0.67</v>
      </c>
      <c r="W128" s="15">
        <v>-0.68</v>
      </c>
      <c r="X128" s="15">
        <v>-0.71599999999999997</v>
      </c>
      <c r="Y128" s="15">
        <v>-0.50700000000000001</v>
      </c>
      <c r="Z128" s="15">
        <v>0.24399999999999999</v>
      </c>
      <c r="AA128" s="15">
        <v>0.246</v>
      </c>
      <c r="AB128" s="15">
        <v>0.65700000000000003</v>
      </c>
      <c r="AC128" s="15">
        <v>0.69399999999999995</v>
      </c>
      <c r="AD128" s="15">
        <v>0.65600000000000003</v>
      </c>
      <c r="AE128" s="15">
        <v>-0.85499999999999998</v>
      </c>
      <c r="AF128" s="14">
        <v>-0.65800000000000003</v>
      </c>
      <c r="AG128" s="15">
        <v>0.48399999999999999</v>
      </c>
      <c r="AH128" s="15">
        <v>-0.6</v>
      </c>
      <c r="AI128" s="15">
        <v>-7.1999999999999995E-2</v>
      </c>
      <c r="AJ128" s="15">
        <v>-0.86599999999999999</v>
      </c>
      <c r="AK128" s="16">
        <v>-0.32200000000000001</v>
      </c>
      <c r="AL128" s="4">
        <v>-0.49199999999999999</v>
      </c>
      <c r="AM128" s="4">
        <v>-0.20699999999999999</v>
      </c>
      <c r="AN128" s="4">
        <v>-0.27400000000000002</v>
      </c>
      <c r="AO128" s="4">
        <v>0.29799999999999999</v>
      </c>
      <c r="AP128" s="4">
        <v>0.86099999999999999</v>
      </c>
      <c r="AQ128" s="4">
        <v>-0.40899999999999997</v>
      </c>
      <c r="AR128" s="4">
        <v>0.85799999999999998</v>
      </c>
      <c r="AS128" s="4">
        <v>0.30599999999999999</v>
      </c>
      <c r="AT128" s="4">
        <v>-9.0999999999999998E-2</v>
      </c>
      <c r="AU128" s="4">
        <v>-0.17699999999999999</v>
      </c>
      <c r="AV128" s="4">
        <v>-0.54200000000000004</v>
      </c>
      <c r="AW128" s="4">
        <v>0.19700000000000001</v>
      </c>
      <c r="AX128" s="4">
        <v>-0.25700000000000001</v>
      </c>
      <c r="AY128" s="4">
        <v>0.376</v>
      </c>
      <c r="AZ128" s="4">
        <v>-0.54600000000000004</v>
      </c>
      <c r="BA128" s="4">
        <v>-1.2E-2</v>
      </c>
      <c r="BB128" s="4">
        <v>-9.8000000000000004E-2</v>
      </c>
      <c r="BC128" s="4">
        <v>-0.41199999999999998</v>
      </c>
      <c r="BD128" s="4">
        <v>0.29199999999999998</v>
      </c>
      <c r="BE128" s="4">
        <v>-0.86399999999999999</v>
      </c>
      <c r="BF128" s="4">
        <v>0.249</v>
      </c>
      <c r="BG128" s="4">
        <v>2.9000000000000001E-2</v>
      </c>
      <c r="BH128" s="4">
        <v>0.26500000000000001</v>
      </c>
      <c r="BI128" s="4">
        <v>-0.63200000000000001</v>
      </c>
      <c r="BJ128" s="4">
        <v>-0.219</v>
      </c>
      <c r="BK128" s="4">
        <v>5.2999999999999999E-2</v>
      </c>
      <c r="BL128" s="4"/>
    </row>
    <row r="129" spans="1:64" x14ac:dyDescent="0.3">
      <c r="A129" t="s">
        <v>80</v>
      </c>
      <c r="B129" s="53">
        <f t="shared" si="10"/>
        <v>0</v>
      </c>
      <c r="C129" s="53">
        <f t="shared" si="11"/>
        <v>0</v>
      </c>
      <c r="D129" s="53">
        <f t="shared" si="12"/>
        <v>0</v>
      </c>
      <c r="E129" s="53">
        <f t="shared" si="13"/>
        <v>0</v>
      </c>
      <c r="F129" s="15">
        <v>0.63200000000000001</v>
      </c>
      <c r="G129">
        <v>0.60599999999999998</v>
      </c>
      <c r="H129" t="s">
        <v>57</v>
      </c>
      <c r="I129" t="str">
        <f>VLOOKUP(A129,Setores!$A$2:$C$215,2,0)</f>
        <v>tech</v>
      </c>
      <c r="J129" t="str">
        <f>VLOOKUP(A129,Setores!$A$2:$C$215,3,0)</f>
        <v>very_low_beta</v>
      </c>
      <c r="K129" s="100">
        <v>0</v>
      </c>
      <c r="L129" s="58">
        <v>0</v>
      </c>
      <c r="M129" s="7">
        <v>0</v>
      </c>
      <c r="N129" s="41">
        <f>VLOOKUP(A129,'Mandato ISEE'!$A$1:$C$215,2,0)</f>
        <v>0</v>
      </c>
      <c r="O129" s="58">
        <f t="shared" si="14"/>
        <v>0</v>
      </c>
      <c r="P129" s="41">
        <f>VLOOKUP(A129,'Mandato ISEE'!$A$1:$C$215,3,0)</f>
        <v>0</v>
      </c>
      <c r="Q129" s="42">
        <f t="shared" si="15"/>
        <v>0</v>
      </c>
      <c r="R129" s="42">
        <v>-0.57899999999999996</v>
      </c>
      <c r="S129" s="15">
        <v>-0.77600000000000002</v>
      </c>
      <c r="T129" s="15">
        <v>-0.245</v>
      </c>
      <c r="U129" s="15">
        <v>-0.627</v>
      </c>
      <c r="V129" s="15">
        <v>-0.59699999999999998</v>
      </c>
      <c r="W129" s="15">
        <v>-0.65800000000000003</v>
      </c>
      <c r="X129" s="15">
        <v>-0.629</v>
      </c>
      <c r="Y129" s="15">
        <v>-0.57899999999999996</v>
      </c>
      <c r="Z129" s="15">
        <v>0.154</v>
      </c>
      <c r="AA129" s="15">
        <v>0.156</v>
      </c>
      <c r="AB129" s="15">
        <v>0.54</v>
      </c>
      <c r="AC129" s="15">
        <v>0.52100000000000002</v>
      </c>
      <c r="AD129" s="15">
        <v>0.47599999999999998</v>
      </c>
      <c r="AE129" s="15">
        <v>-0.36099999999999999</v>
      </c>
      <c r="AF129" s="14">
        <v>-0.222</v>
      </c>
      <c r="AG129" s="15">
        <v>-0.755</v>
      </c>
      <c r="AH129" s="15">
        <v>0.16800000000000001</v>
      </c>
      <c r="AI129" s="15">
        <v>-0.40699999999999997</v>
      </c>
      <c r="AJ129" s="15">
        <v>0.28799999999999998</v>
      </c>
      <c r="AK129" s="16">
        <v>4.1000000000000002E-2</v>
      </c>
      <c r="AL129" s="4">
        <v>0.20399999999999999</v>
      </c>
      <c r="AM129" s="4">
        <v>-0.29499999999999998</v>
      </c>
      <c r="AN129" s="4">
        <v>-8.5000000000000006E-2</v>
      </c>
      <c r="AO129" s="4">
        <v>-0.42199999999999999</v>
      </c>
      <c r="AP129" s="4">
        <v>-0.377</v>
      </c>
      <c r="AQ129" s="4">
        <v>0.13600000000000001</v>
      </c>
      <c r="AR129" s="4">
        <v>7.6999999999999999E-2</v>
      </c>
      <c r="AS129" s="4">
        <v>-0.54200000000000004</v>
      </c>
      <c r="AT129" s="4">
        <v>0.24199999999999999</v>
      </c>
      <c r="AU129" s="4">
        <v>-0.22600000000000001</v>
      </c>
      <c r="AV129" s="4">
        <v>-0.42699999999999999</v>
      </c>
      <c r="AW129" s="4">
        <v>0.38800000000000001</v>
      </c>
      <c r="AX129" s="4">
        <v>0.17799999999999999</v>
      </c>
      <c r="AY129" s="4">
        <v>0.747</v>
      </c>
      <c r="AZ129" s="4">
        <v>0.27400000000000002</v>
      </c>
      <c r="BA129" s="4">
        <v>0.72299999999999998</v>
      </c>
      <c r="BB129" s="4">
        <v>2E-3</v>
      </c>
      <c r="BC129" s="4">
        <v>-0.191</v>
      </c>
      <c r="BD129" s="4">
        <v>0.155</v>
      </c>
      <c r="BE129" s="4">
        <v>0.104</v>
      </c>
      <c r="BF129" s="4">
        <v>0.33900000000000002</v>
      </c>
      <c r="BG129" s="4">
        <v>-0.312</v>
      </c>
      <c r="BH129" s="4">
        <v>-0.64600000000000002</v>
      </c>
      <c r="BI129" s="4">
        <v>-0.39500000000000002</v>
      </c>
      <c r="BJ129" s="4">
        <v>0.498</v>
      </c>
      <c r="BK129" s="4">
        <v>0.40799999999999997</v>
      </c>
      <c r="BL129" s="4"/>
    </row>
    <row r="130" spans="1:64" x14ac:dyDescent="0.3">
      <c r="A130" t="s">
        <v>180</v>
      </c>
      <c r="B130" s="53">
        <f t="shared" si="10"/>
        <v>0</v>
      </c>
      <c r="C130" s="53">
        <f t="shared" si="11"/>
        <v>0</v>
      </c>
      <c r="D130" s="53">
        <f t="shared" si="12"/>
        <v>0</v>
      </c>
      <c r="E130" s="53">
        <f t="shared" si="13"/>
        <v>0</v>
      </c>
      <c r="F130" s="15">
        <v>0.628</v>
      </c>
      <c r="G130">
        <v>0.69499999999999995</v>
      </c>
      <c r="H130" t="s">
        <v>57</v>
      </c>
      <c r="I130" t="str">
        <f>VLOOKUP(A130,Setores!$A$2:$C$215,2,0)</f>
        <v>apparel</v>
      </c>
      <c r="J130" t="str">
        <f>VLOOKUP(A130,Setores!$A$2:$C$215,3,0)</f>
        <v>high_beta</v>
      </c>
      <c r="K130" s="100">
        <v>0</v>
      </c>
      <c r="L130" s="58">
        <v>0</v>
      </c>
      <c r="M130" s="7">
        <v>0</v>
      </c>
      <c r="N130" s="41">
        <f>VLOOKUP(A130,'Mandato ISEE'!$A$1:$C$215,2,0)</f>
        <v>0</v>
      </c>
      <c r="O130" s="58">
        <f t="shared" si="14"/>
        <v>0</v>
      </c>
      <c r="P130" s="41">
        <f>VLOOKUP(A130,'Mandato ISEE'!$A$1:$C$215,3,0)</f>
        <v>0</v>
      </c>
      <c r="Q130" s="42">
        <f t="shared" si="15"/>
        <v>0</v>
      </c>
      <c r="R130" s="42">
        <v>-0.35799999999999998</v>
      </c>
      <c r="S130" s="15">
        <v>-0.73499999999999999</v>
      </c>
      <c r="T130" s="15">
        <v>-0.22700000000000001</v>
      </c>
      <c r="U130" s="15">
        <v>-0.53800000000000003</v>
      </c>
      <c r="V130" s="15">
        <v>-0.65600000000000003</v>
      </c>
      <c r="W130" s="15">
        <v>-0.39200000000000002</v>
      </c>
      <c r="X130" s="15">
        <v>-0.248</v>
      </c>
      <c r="Y130" s="15">
        <v>-0.74199999999999999</v>
      </c>
      <c r="Z130" s="15">
        <v>5.0999999999999997E-2</v>
      </c>
      <c r="AA130" s="15">
        <v>5.1999999999999998E-2</v>
      </c>
      <c r="AB130" s="15">
        <v>0.55400000000000005</v>
      </c>
      <c r="AC130" s="15">
        <v>0.46700000000000003</v>
      </c>
      <c r="AD130" s="15">
        <v>0.253</v>
      </c>
      <c r="AE130" s="15">
        <v>-0.20799999999999999</v>
      </c>
      <c r="AF130" s="14">
        <v>-0.68100000000000005</v>
      </c>
      <c r="AG130" s="15">
        <v>-0.84099999999999997</v>
      </c>
      <c r="AH130" s="15">
        <v>-0.57099999999999995</v>
      </c>
      <c r="AI130" s="15">
        <v>-1.0999999999999999E-2</v>
      </c>
      <c r="AJ130" s="15">
        <v>0.93</v>
      </c>
      <c r="AK130" s="16">
        <v>-0.46899999999999997</v>
      </c>
      <c r="AL130" s="4">
        <v>-0.76300000000000001</v>
      </c>
      <c r="AM130" s="4">
        <v>-0.97299999999999998</v>
      </c>
      <c r="AN130" s="4">
        <v>0.23699999999999999</v>
      </c>
      <c r="AO130" s="4">
        <v>-0.38100000000000001</v>
      </c>
      <c r="AP130" s="4">
        <v>-0.12</v>
      </c>
      <c r="AQ130" s="4">
        <v>5.2999999999999999E-2</v>
      </c>
      <c r="AR130" s="4">
        <v>0.125</v>
      </c>
      <c r="AS130" s="4">
        <v>-0.53900000000000003</v>
      </c>
      <c r="AT130" s="4">
        <v>0.78100000000000003</v>
      </c>
      <c r="AU130" s="4">
        <v>6.2E-2</v>
      </c>
      <c r="AV130" s="4">
        <v>0.623</v>
      </c>
      <c r="AW130" s="4">
        <v>0.38600000000000001</v>
      </c>
      <c r="AX130" s="4">
        <v>8.5000000000000006E-2</v>
      </c>
      <c r="AY130" s="4">
        <v>0.89800000000000002</v>
      </c>
      <c r="AZ130" s="4">
        <v>0.97699999999999998</v>
      </c>
      <c r="BA130" s="4">
        <v>0.42199999999999999</v>
      </c>
      <c r="BB130" s="4">
        <v>-0.60399999999999998</v>
      </c>
      <c r="BC130" s="4">
        <v>-0.57199999999999995</v>
      </c>
      <c r="BD130" s="4">
        <v>0.23499999999999999</v>
      </c>
      <c r="BE130" s="4">
        <v>-0.71099999999999997</v>
      </c>
      <c r="BF130" s="4">
        <v>-0.18</v>
      </c>
      <c r="BG130" s="4">
        <v>0.29199999999999998</v>
      </c>
      <c r="BH130" s="4">
        <v>-0.33600000000000002</v>
      </c>
      <c r="BI130" s="4">
        <v>0.104</v>
      </c>
      <c r="BJ130" s="4">
        <v>0.35099999999999998</v>
      </c>
      <c r="BK130" s="4">
        <v>0.71599999999999997</v>
      </c>
      <c r="BL130" s="4"/>
    </row>
    <row r="131" spans="1:64" x14ac:dyDescent="0.3">
      <c r="A131" t="s">
        <v>233</v>
      </c>
      <c r="B131" s="53">
        <f t="shared" si="10"/>
        <v>0</v>
      </c>
      <c r="C131" s="53">
        <f t="shared" si="11"/>
        <v>0</v>
      </c>
      <c r="D131" s="53">
        <f t="shared" si="12"/>
        <v>0</v>
      </c>
      <c r="E131" s="53">
        <f t="shared" si="13"/>
        <v>0</v>
      </c>
      <c r="F131" s="15">
        <v>0.627</v>
      </c>
      <c r="G131">
        <v>0.499</v>
      </c>
      <c r="H131" t="s">
        <v>71</v>
      </c>
      <c r="I131" t="str">
        <f>VLOOKUP(A131,Setores!$A$2:$C$215,2,0)</f>
        <v>crude_oil</v>
      </c>
      <c r="J131" t="str">
        <f>VLOOKUP(A131,Setores!$A$2:$C$215,3,0)</f>
        <v>very_low_beta</v>
      </c>
      <c r="K131" s="100">
        <v>0</v>
      </c>
      <c r="L131" s="58">
        <v>0</v>
      </c>
      <c r="M131" s="7">
        <v>0</v>
      </c>
      <c r="N131" s="41">
        <f>VLOOKUP(A131,'Mandato ISEE'!$A$1:$C$215,2,0)</f>
        <v>0</v>
      </c>
      <c r="O131" s="58">
        <f t="shared" si="14"/>
        <v>0</v>
      </c>
      <c r="P131" s="41">
        <f>VLOOKUP(A131,'Mandato ISEE'!$A$1:$C$215,3,0)</f>
        <v>0</v>
      </c>
      <c r="Q131" s="42">
        <f t="shared" si="15"/>
        <v>0</v>
      </c>
      <c r="R131" s="42">
        <v>-0.83399999999999996</v>
      </c>
      <c r="S131" s="15">
        <v>-8.6999999999999994E-2</v>
      </c>
      <c r="T131" s="15">
        <v>-0.97</v>
      </c>
      <c r="U131" s="15">
        <v>-0.72099999999999997</v>
      </c>
      <c r="V131" s="15">
        <v>-0.66100000000000003</v>
      </c>
      <c r="W131" s="15">
        <v>-0.73799999999999999</v>
      </c>
      <c r="X131" s="15">
        <v>-0.755</v>
      </c>
      <c r="Y131" s="15">
        <v>-0.57399999999999995</v>
      </c>
      <c r="Z131" s="15">
        <v>0.17299999999999999</v>
      </c>
      <c r="AA131" s="15">
        <v>0.17399999999999999</v>
      </c>
      <c r="AB131" s="15">
        <v>0.76800000000000002</v>
      </c>
      <c r="AC131" s="15">
        <v>0.79800000000000004</v>
      </c>
      <c r="AD131" s="15">
        <v>0.64700000000000002</v>
      </c>
      <c r="AE131" s="15">
        <v>-0.749</v>
      </c>
      <c r="AF131" s="14">
        <v>-0.437</v>
      </c>
      <c r="AG131" s="15">
        <v>0.97399999999999998</v>
      </c>
      <c r="AH131" s="15">
        <v>-0.64900000000000002</v>
      </c>
      <c r="AI131" s="15">
        <v>-0.158</v>
      </c>
      <c r="AJ131" s="15">
        <v>-0.90700000000000003</v>
      </c>
      <c r="AK131" s="16">
        <v>0.105</v>
      </c>
      <c r="AL131" s="4">
        <v>-0.96099999999999997</v>
      </c>
      <c r="AM131" s="4">
        <v>4.2000000000000003E-2</v>
      </c>
      <c r="AN131" s="4">
        <v>0.41099999999999998</v>
      </c>
      <c r="AO131" s="4">
        <v>0.56100000000000005</v>
      </c>
      <c r="AP131" s="4">
        <v>0.72</v>
      </c>
      <c r="AQ131" s="4">
        <v>-0.45</v>
      </c>
      <c r="AR131" s="4">
        <v>-0.32700000000000001</v>
      </c>
      <c r="AS131" s="4">
        <v>-0.46899999999999997</v>
      </c>
      <c r="AT131" s="4">
        <v>-0.316</v>
      </c>
      <c r="AU131" s="4">
        <v>-0.17100000000000001</v>
      </c>
      <c r="AV131" s="4">
        <v>-0.33600000000000002</v>
      </c>
      <c r="AW131" s="4">
        <v>0.106</v>
      </c>
      <c r="AX131" s="4">
        <v>-0.31</v>
      </c>
      <c r="AY131" s="4">
        <v>0.32800000000000001</v>
      </c>
      <c r="AZ131" s="4">
        <v>-0.72199999999999998</v>
      </c>
      <c r="BA131" s="4">
        <v>-0.19</v>
      </c>
      <c r="BB131" s="4">
        <v>-0.36199999999999999</v>
      </c>
      <c r="BC131" s="4">
        <v>0.32300000000000001</v>
      </c>
      <c r="BD131" s="4">
        <v>-0.14599999999999999</v>
      </c>
      <c r="BE131" s="4">
        <v>-0.22600000000000001</v>
      </c>
      <c r="BF131" s="4">
        <v>0.56999999999999995</v>
      </c>
      <c r="BG131" s="4">
        <v>0.27900000000000003</v>
      </c>
      <c r="BH131" s="4">
        <v>0.26500000000000001</v>
      </c>
      <c r="BI131" s="4">
        <v>-0.98299999999999998</v>
      </c>
      <c r="BJ131" s="4">
        <v>-0.91900000000000004</v>
      </c>
      <c r="BK131" s="4">
        <v>0.19</v>
      </c>
      <c r="BL131" s="4"/>
    </row>
    <row r="132" spans="1:64" x14ac:dyDescent="0.3">
      <c r="A132" t="s">
        <v>168</v>
      </c>
      <c r="B132" s="53">
        <f t="shared" si="10"/>
        <v>0</v>
      </c>
      <c r="C132" s="53">
        <f t="shared" si="11"/>
        <v>-2.5000000000000001E-2</v>
      </c>
      <c r="D132" s="53">
        <f t="shared" si="12"/>
        <v>0</v>
      </c>
      <c r="E132" s="53">
        <f t="shared" si="13"/>
        <v>2.5000000000000001E-2</v>
      </c>
      <c r="F132" s="15">
        <v>0.626</v>
      </c>
      <c r="G132">
        <v>1.056</v>
      </c>
      <c r="H132" t="s">
        <v>68</v>
      </c>
      <c r="I132" t="str">
        <f>VLOOKUP(A132,Setores!$A$2:$C$215,2,0)</f>
        <v>capital_goods</v>
      </c>
      <c r="J132" t="str">
        <f>VLOOKUP(A132,Setores!$A$2:$C$215,3,0)</f>
        <v>very_low_beta</v>
      </c>
      <c r="K132" s="100">
        <v>0</v>
      </c>
      <c r="L132" s="58">
        <v>-2.5000000000000001E-2</v>
      </c>
      <c r="M132" s="7">
        <v>2.5000000000000001E-2</v>
      </c>
      <c r="N132" s="41">
        <f>VLOOKUP(A132,'Mandato ISEE'!$A$1:$C$215,2,0)</f>
        <v>0</v>
      </c>
      <c r="O132" s="58">
        <f t="shared" si="14"/>
        <v>0</v>
      </c>
      <c r="P132" s="41">
        <f>VLOOKUP(A132,'Mandato ISEE'!$A$1:$C$215,3,0)</f>
        <v>0</v>
      </c>
      <c r="Q132" s="42">
        <f t="shared" si="15"/>
        <v>0</v>
      </c>
      <c r="R132" s="42">
        <v>-0.67200000000000004</v>
      </c>
      <c r="S132" s="15">
        <v>-0.83</v>
      </c>
      <c r="T132" s="15">
        <v>-0.86799999999999999</v>
      </c>
      <c r="U132" s="15">
        <v>-0.63500000000000001</v>
      </c>
      <c r="V132" s="15">
        <v>-0.84899999999999998</v>
      </c>
      <c r="W132" s="15">
        <v>-0.443</v>
      </c>
      <c r="X132" s="15">
        <v>-0.18</v>
      </c>
      <c r="Y132" s="15">
        <v>-0.64900000000000002</v>
      </c>
      <c r="Z132" s="15">
        <v>0.29099999999999998</v>
      </c>
      <c r="AA132" s="15">
        <v>0.29199999999999998</v>
      </c>
      <c r="AB132" s="15">
        <v>0.63600000000000001</v>
      </c>
      <c r="AC132" s="15">
        <v>0.57199999999999995</v>
      </c>
      <c r="AD132" s="15">
        <v>0.46400000000000002</v>
      </c>
      <c r="AE132" s="15">
        <v>-0.40300000000000002</v>
      </c>
      <c r="AF132" s="14">
        <v>-0.66200000000000003</v>
      </c>
      <c r="AG132" s="15">
        <v>-0.79400000000000004</v>
      </c>
      <c r="AH132" s="15">
        <v>-1</v>
      </c>
      <c r="AI132" s="15">
        <v>-0.97499999999999998</v>
      </c>
      <c r="AJ132" s="15">
        <v>-0.64100000000000001</v>
      </c>
      <c r="AK132" s="16">
        <v>-0.39100000000000001</v>
      </c>
      <c r="AL132" s="4">
        <v>-0.55900000000000005</v>
      </c>
      <c r="AM132" s="4">
        <v>-0.96899999999999997</v>
      </c>
      <c r="AN132" s="4">
        <v>0.56699999999999995</v>
      </c>
      <c r="AO132" s="4">
        <v>5.6000000000000001E-2</v>
      </c>
      <c r="AP132" s="4">
        <v>-0.41799999999999998</v>
      </c>
      <c r="AQ132" s="4">
        <v>0.17899999999999999</v>
      </c>
      <c r="AR132" s="4">
        <v>0.252</v>
      </c>
      <c r="AS132" s="4">
        <v>-0.52500000000000002</v>
      </c>
      <c r="AT132" s="4">
        <v>0.72799999999999998</v>
      </c>
      <c r="AU132" s="4">
        <v>-0.11</v>
      </c>
      <c r="AV132" s="4">
        <v>0.17</v>
      </c>
      <c r="AW132" s="4">
        <v>0.61399999999999999</v>
      </c>
      <c r="AX132" s="4">
        <v>0.53700000000000003</v>
      </c>
      <c r="AY132" s="4">
        <v>0.94099999999999995</v>
      </c>
      <c r="AZ132" s="4">
        <v>0.51800000000000002</v>
      </c>
      <c r="BA132" s="4">
        <v>0.218</v>
      </c>
      <c r="BB132" s="4">
        <v>0.189</v>
      </c>
      <c r="BC132" s="4">
        <v>0.26200000000000001</v>
      </c>
      <c r="BD132" s="4">
        <v>0.22700000000000001</v>
      </c>
      <c r="BE132" s="4">
        <v>0.157</v>
      </c>
      <c r="BF132" s="4">
        <v>0.38200000000000001</v>
      </c>
      <c r="BG132" s="4">
        <v>0.48599999999999999</v>
      </c>
      <c r="BH132" s="4">
        <v>-0.34699999999999998</v>
      </c>
      <c r="BI132" s="4">
        <v>-1.7000000000000001E-2</v>
      </c>
      <c r="BJ132" s="4">
        <v>-9.5000000000000001E-2</v>
      </c>
      <c r="BK132" s="4">
        <v>-1</v>
      </c>
      <c r="BL132" s="4"/>
    </row>
    <row r="133" spans="1:64" x14ac:dyDescent="0.3">
      <c r="A133" t="s">
        <v>209</v>
      </c>
      <c r="B133" s="53">
        <f t="shared" si="10"/>
        <v>0</v>
      </c>
      <c r="C133" s="53">
        <f t="shared" si="11"/>
        <v>0</v>
      </c>
      <c r="D133" s="53">
        <f t="shared" si="12"/>
        <v>0</v>
      </c>
      <c r="E133" s="53">
        <f t="shared" si="13"/>
        <v>0</v>
      </c>
      <c r="F133" s="15">
        <v>0.61899999999999999</v>
      </c>
      <c r="G133">
        <v>0.81299999999999994</v>
      </c>
      <c r="H133" t="s">
        <v>55</v>
      </c>
      <c r="I133" t="str">
        <f>VLOOKUP(A133,Setores!$A$2:$C$215,2,0)</f>
        <v>utilities</v>
      </c>
      <c r="J133" t="str">
        <f>VLOOKUP(A133,Setores!$A$2:$C$215,3,0)</f>
        <v>high_beta</v>
      </c>
      <c r="K133" s="100">
        <v>0</v>
      </c>
      <c r="L133" s="58">
        <v>0</v>
      </c>
      <c r="M133" s="7">
        <v>0</v>
      </c>
      <c r="N133" s="41">
        <f>VLOOKUP(A133,'Mandato ISEE'!$A$1:$C$215,2,0)</f>
        <v>0</v>
      </c>
      <c r="O133" s="58">
        <f t="shared" si="14"/>
        <v>0</v>
      </c>
      <c r="P133" s="41">
        <f>VLOOKUP(A133,'Mandato ISEE'!$A$1:$C$215,3,0)</f>
        <v>0</v>
      </c>
      <c r="Q133" s="42">
        <f t="shared" si="15"/>
        <v>0</v>
      </c>
      <c r="R133" s="42">
        <v>-0.69599999999999995</v>
      </c>
      <c r="S133" s="15">
        <v>-0.72499999999999998</v>
      </c>
      <c r="T133" s="15">
        <v>-0.92600000000000005</v>
      </c>
      <c r="U133" s="15">
        <v>-0.754</v>
      </c>
      <c r="V133" s="15">
        <v>-0.88400000000000001</v>
      </c>
      <c r="W133" s="15">
        <v>-0.42699999999999999</v>
      </c>
      <c r="X133" s="15">
        <v>-0.20499999999999999</v>
      </c>
      <c r="Y133" s="15">
        <v>-0.73599999999999999</v>
      </c>
      <c r="Z133" s="15">
        <v>9.4E-2</v>
      </c>
      <c r="AA133" s="15">
        <v>9.9000000000000005E-2</v>
      </c>
      <c r="AB133" s="15">
        <v>0.77900000000000003</v>
      </c>
      <c r="AC133" s="15">
        <v>0.81399999999999995</v>
      </c>
      <c r="AD133" s="15">
        <v>0.56499999999999995</v>
      </c>
      <c r="AE133" s="15">
        <v>-1</v>
      </c>
      <c r="AF133" s="14">
        <v>-0.48799999999999999</v>
      </c>
      <c r="AG133" s="15">
        <v>-0.42599999999999999</v>
      </c>
      <c r="AH133" s="15">
        <v>-1</v>
      </c>
      <c r="AI133" s="15">
        <v>-0.89400000000000002</v>
      </c>
      <c r="AJ133" s="15">
        <v>-0.89600000000000002</v>
      </c>
      <c r="AK133" s="16">
        <v>-0.378</v>
      </c>
      <c r="AL133" s="4">
        <v>-0.746</v>
      </c>
      <c r="AM133" s="4">
        <v>-0.55300000000000005</v>
      </c>
      <c r="AN133" s="4">
        <v>-0.34100000000000003</v>
      </c>
      <c r="AO133" s="4">
        <v>0.161</v>
      </c>
      <c r="AP133" s="4">
        <v>0.39800000000000002</v>
      </c>
      <c r="AQ133" s="4">
        <v>0.24</v>
      </c>
      <c r="AR133" s="4">
        <v>0.82699999999999996</v>
      </c>
      <c r="AS133" s="4">
        <v>0.40500000000000003</v>
      </c>
      <c r="AT133" s="4">
        <v>-0.214</v>
      </c>
      <c r="AU133" s="4">
        <v>2E-3</v>
      </c>
      <c r="AV133" s="4">
        <v>-0.59099999999999997</v>
      </c>
      <c r="AW133" s="4">
        <v>0.52</v>
      </c>
      <c r="AX133" s="4">
        <v>-0.58199999999999996</v>
      </c>
      <c r="AY133" s="4">
        <v>0.77900000000000003</v>
      </c>
      <c r="AZ133" s="4">
        <v>0.502</v>
      </c>
      <c r="BA133" s="4">
        <v>0.79100000000000004</v>
      </c>
      <c r="BB133" s="4">
        <v>1.4999999999999999E-2</v>
      </c>
      <c r="BC133" s="4">
        <v>3.9E-2</v>
      </c>
      <c r="BD133" s="4">
        <v>0.49299999999999999</v>
      </c>
      <c r="BE133" s="4">
        <v>0.27300000000000002</v>
      </c>
      <c r="BF133" s="4">
        <v>0.14199999999999999</v>
      </c>
      <c r="BG133" s="4">
        <v>0.68300000000000005</v>
      </c>
      <c r="BH133" s="4">
        <v>-0.625</v>
      </c>
      <c r="BI133" s="4">
        <v>0.154</v>
      </c>
      <c r="BJ133" s="4">
        <v>0.17</v>
      </c>
      <c r="BK133" s="4">
        <v>-1</v>
      </c>
      <c r="BL133" s="4"/>
    </row>
    <row r="134" spans="1:64" x14ac:dyDescent="0.3">
      <c r="A134" t="s">
        <v>190</v>
      </c>
      <c r="B134" s="53">
        <f t="shared" si="10"/>
        <v>0</v>
      </c>
      <c r="C134" s="53">
        <f t="shared" si="11"/>
        <v>0</v>
      </c>
      <c r="D134" s="53">
        <f t="shared" si="12"/>
        <v>0</v>
      </c>
      <c r="E134" s="53">
        <f t="shared" si="13"/>
        <v>0</v>
      </c>
      <c r="F134" s="15">
        <v>0.61899999999999999</v>
      </c>
      <c r="G134">
        <v>0.443</v>
      </c>
      <c r="H134" t="s">
        <v>68</v>
      </c>
      <c r="I134" t="str">
        <f>VLOOKUP(A134,Setores!$A$2:$C$215,2,0)</f>
        <v>capital_goods</v>
      </c>
      <c r="J134" t="str">
        <f>VLOOKUP(A134,Setores!$A$2:$C$215,3,0)</f>
        <v>very_high_beta</v>
      </c>
      <c r="K134" s="100">
        <v>0</v>
      </c>
      <c r="L134" s="58">
        <v>0</v>
      </c>
      <c r="M134" s="7">
        <v>0</v>
      </c>
      <c r="N134" s="41">
        <f>VLOOKUP(A134,'Mandato ISEE'!$A$1:$C$215,2,0)</f>
        <v>0</v>
      </c>
      <c r="O134" s="58">
        <f t="shared" si="14"/>
        <v>0</v>
      </c>
      <c r="P134" s="41">
        <f>VLOOKUP(A134,'Mandato ISEE'!$A$1:$C$215,3,0)</f>
        <v>0</v>
      </c>
      <c r="Q134" s="42">
        <f t="shared" si="15"/>
        <v>0</v>
      </c>
      <c r="R134" s="42">
        <v>-0.55100000000000005</v>
      </c>
      <c r="S134" s="15">
        <v>-0.372</v>
      </c>
      <c r="T134" s="15">
        <v>-0.21099999999999999</v>
      </c>
      <c r="U134" s="15">
        <v>-0.77200000000000002</v>
      </c>
      <c r="V134" s="15">
        <v>-0.50900000000000001</v>
      </c>
      <c r="W134" s="15">
        <v>-0.67200000000000004</v>
      </c>
      <c r="X134" s="15">
        <v>-0.61599999999999999</v>
      </c>
      <c r="Y134" s="15">
        <v>-0.53</v>
      </c>
      <c r="Z134" s="15">
        <v>-9.4E-2</v>
      </c>
      <c r="AA134" s="15">
        <v>-0.1</v>
      </c>
      <c r="AB134" s="15">
        <v>0.35</v>
      </c>
      <c r="AC134" s="15">
        <v>-7.2999999999999995E-2</v>
      </c>
      <c r="AD134" s="15">
        <v>0.499</v>
      </c>
      <c r="AE134" s="15">
        <v>-0.69499999999999995</v>
      </c>
      <c r="AF134" s="14">
        <v>-0.29299999999999998</v>
      </c>
      <c r="AG134" s="15">
        <v>-0.42699999999999999</v>
      </c>
      <c r="AH134" s="15">
        <v>0.19500000000000001</v>
      </c>
      <c r="AI134" s="15">
        <v>0.60599999999999998</v>
      </c>
      <c r="AJ134" s="15">
        <v>-0.69299999999999995</v>
      </c>
      <c r="AK134" s="16">
        <v>-0.44</v>
      </c>
      <c r="AL134" s="4">
        <v>0.252</v>
      </c>
      <c r="AM134" s="4">
        <v>-0.24199999999999999</v>
      </c>
      <c r="AN134" s="4">
        <v>0.58299999999999996</v>
      </c>
      <c r="AO134" s="4">
        <v>-0.107</v>
      </c>
      <c r="AP134" s="4">
        <v>-0.13</v>
      </c>
      <c r="AQ134" s="4">
        <v>-0.23200000000000001</v>
      </c>
      <c r="AR134" s="4">
        <v>0.21</v>
      </c>
      <c r="AS134" s="4">
        <v>-0.2</v>
      </c>
      <c r="AT134" s="4">
        <v>-0.23799999999999999</v>
      </c>
      <c r="AU134" s="4">
        <v>-0.215</v>
      </c>
      <c r="AV134" s="4">
        <v>-0.63100000000000001</v>
      </c>
      <c r="AW134" s="4">
        <v>-0.70699999999999996</v>
      </c>
      <c r="AX134" s="4">
        <v>-0.193</v>
      </c>
      <c r="AY134" s="4">
        <v>0.37</v>
      </c>
      <c r="AZ134" s="4">
        <v>-7.6999999999999999E-2</v>
      </c>
      <c r="BA134" s="4">
        <v>-0.2</v>
      </c>
      <c r="BB134" s="4">
        <v>-0.47399999999999998</v>
      </c>
      <c r="BC134" s="4">
        <v>-0.76800000000000002</v>
      </c>
      <c r="BD134" s="4">
        <v>0.104</v>
      </c>
      <c r="BE134" s="4">
        <v>1</v>
      </c>
      <c r="BF134" s="4">
        <v>0.53400000000000003</v>
      </c>
      <c r="BG134" s="4">
        <v>0.33600000000000002</v>
      </c>
      <c r="BH134" s="4">
        <v>0.501</v>
      </c>
      <c r="BI134" s="4">
        <v>1</v>
      </c>
      <c r="BJ134" s="4">
        <v>0.61799999999999999</v>
      </c>
      <c r="BK134" s="4">
        <v>0.51</v>
      </c>
      <c r="BL134" s="4"/>
    </row>
    <row r="135" spans="1:64" x14ac:dyDescent="0.3">
      <c r="A135" t="s">
        <v>232</v>
      </c>
      <c r="B135" s="53">
        <f t="shared" si="10"/>
        <v>0</v>
      </c>
      <c r="C135" s="53">
        <f t="shared" si="11"/>
        <v>-4.0000000000000001E-3</v>
      </c>
      <c r="D135" s="53">
        <f t="shared" si="12"/>
        <v>0</v>
      </c>
      <c r="E135" s="53">
        <f t="shared" si="13"/>
        <v>4.0000000000000001E-3</v>
      </c>
      <c r="F135" s="15">
        <v>0.61799999999999999</v>
      </c>
      <c r="G135">
        <v>0.51100000000000001</v>
      </c>
      <c r="H135" t="s">
        <v>57</v>
      </c>
      <c r="I135" t="str">
        <f>VLOOKUP(A135,Setores!$A$2:$C$215,2,0)</f>
        <v>apparel</v>
      </c>
      <c r="J135" t="str">
        <f>VLOOKUP(A135,Setores!$A$2:$C$215,3,0)</f>
        <v>low_beta</v>
      </c>
      <c r="K135" s="100">
        <v>0</v>
      </c>
      <c r="L135" s="58">
        <v>-4.0000000000000001E-3</v>
      </c>
      <c r="M135" s="7">
        <v>4.0000000000000001E-3</v>
      </c>
      <c r="N135" s="41">
        <f>VLOOKUP(A135,'Mandato ISEE'!$A$1:$C$215,2,0)</f>
        <v>0</v>
      </c>
      <c r="O135" s="58">
        <f t="shared" si="14"/>
        <v>0</v>
      </c>
      <c r="P135" s="41">
        <f>VLOOKUP(A135,'Mandato ISEE'!$A$1:$C$215,3,0)</f>
        <v>0</v>
      </c>
      <c r="Q135" s="42">
        <f t="shared" si="15"/>
        <v>0</v>
      </c>
      <c r="R135" s="42">
        <v>-0.54</v>
      </c>
      <c r="S135" s="15">
        <v>-0.64500000000000002</v>
      </c>
      <c r="T135" s="15">
        <v>-0.313</v>
      </c>
      <c r="U135" s="15">
        <v>-0.37</v>
      </c>
      <c r="V135" s="15">
        <v>-0.34200000000000003</v>
      </c>
      <c r="W135" s="15">
        <v>-0.51200000000000001</v>
      </c>
      <c r="X135" s="15">
        <v>-0.503</v>
      </c>
      <c r="Y135" s="15">
        <v>-0.61899999999999999</v>
      </c>
      <c r="Z135" s="15">
        <v>-5.3999999999999999E-2</v>
      </c>
      <c r="AA135" s="15">
        <v>-5.5E-2</v>
      </c>
      <c r="AB135" s="15">
        <v>0.64200000000000002</v>
      </c>
      <c r="AC135" s="15">
        <v>0.55700000000000005</v>
      </c>
      <c r="AD135" s="15">
        <v>0.219</v>
      </c>
      <c r="AE135" s="15">
        <v>0.94599999999999995</v>
      </c>
      <c r="AF135" s="14">
        <v>0.30599999999999999</v>
      </c>
      <c r="AG135" s="15">
        <v>-0.68100000000000005</v>
      </c>
      <c r="AH135" s="15">
        <v>0.13200000000000001</v>
      </c>
      <c r="AI135" s="15">
        <v>-0.78400000000000003</v>
      </c>
      <c r="AJ135" s="15">
        <v>-0.191</v>
      </c>
      <c r="AK135" s="16">
        <v>0.34599999999999997</v>
      </c>
      <c r="AL135" s="4">
        <v>3.3000000000000002E-2</v>
      </c>
      <c r="AM135" s="4">
        <v>0.378</v>
      </c>
      <c r="AN135" s="4">
        <v>1</v>
      </c>
      <c r="AO135" s="4">
        <v>-0.88500000000000001</v>
      </c>
      <c r="AP135" s="4">
        <v>-0.41799999999999998</v>
      </c>
      <c r="AQ135" s="4">
        <v>1.7999999999999999E-2</v>
      </c>
      <c r="AR135" s="4">
        <v>-0.42599999999999999</v>
      </c>
      <c r="AS135" s="4">
        <v>-0.75900000000000001</v>
      </c>
      <c r="AT135" s="4">
        <v>5.7000000000000002E-2</v>
      </c>
      <c r="AU135" s="4">
        <v>-0.26100000000000001</v>
      </c>
      <c r="AV135" s="4">
        <v>0.29199999999999998</v>
      </c>
      <c r="AW135" s="4">
        <v>-0.20699999999999999</v>
      </c>
      <c r="AX135" s="4">
        <v>-0.2</v>
      </c>
      <c r="AY135" s="4">
        <v>0.79200000000000004</v>
      </c>
      <c r="AZ135" s="4">
        <v>0.499</v>
      </c>
      <c r="BA135" s="4">
        <v>-0.60099999999999998</v>
      </c>
      <c r="BB135" s="4">
        <v>-0.51700000000000002</v>
      </c>
      <c r="BC135" s="4">
        <v>-0.17699999999999999</v>
      </c>
      <c r="BD135" s="4">
        <v>-0.10299999999999999</v>
      </c>
      <c r="BE135" s="4">
        <v>-0.04</v>
      </c>
      <c r="BF135" s="4">
        <v>0.749</v>
      </c>
      <c r="BG135" s="4">
        <v>0.19800000000000001</v>
      </c>
      <c r="BH135" s="4">
        <v>0.57099999999999995</v>
      </c>
      <c r="BI135" s="4">
        <v>-0.32800000000000001</v>
      </c>
      <c r="BJ135" s="4">
        <v>-0.76800000000000002</v>
      </c>
      <c r="BK135" s="4">
        <v>0.27100000000000002</v>
      </c>
      <c r="BL135" s="4"/>
    </row>
    <row r="136" spans="1:64" x14ac:dyDescent="0.3">
      <c r="A136" t="s">
        <v>177</v>
      </c>
      <c r="B136" s="53">
        <f t="shared" si="10"/>
        <v>0</v>
      </c>
      <c r="C136" s="53">
        <f t="shared" si="11"/>
        <v>0</v>
      </c>
      <c r="D136" s="53">
        <f t="shared" si="12"/>
        <v>0</v>
      </c>
      <c r="E136" s="53">
        <f t="shared" si="13"/>
        <v>0</v>
      </c>
      <c r="F136" s="15">
        <v>0.61699999999999999</v>
      </c>
      <c r="G136">
        <v>0.75900000000000001</v>
      </c>
      <c r="H136" t="s">
        <v>71</v>
      </c>
      <c r="I136" t="str">
        <f>VLOOKUP(A136,Setores!$A$2:$C$215,2,0)</f>
        <v>basic_materials</v>
      </c>
      <c r="J136" t="str">
        <f>VLOOKUP(A136,Setores!$A$2:$C$215,3,0)</f>
        <v>low_beta</v>
      </c>
      <c r="K136" s="100">
        <v>0</v>
      </c>
      <c r="L136" s="58">
        <v>0</v>
      </c>
      <c r="M136" s="7">
        <v>0</v>
      </c>
      <c r="N136" s="41">
        <f>VLOOKUP(A136,'Mandato ISEE'!$A$1:$C$215,2,0)</f>
        <v>0</v>
      </c>
      <c r="O136" s="58">
        <f t="shared" si="14"/>
        <v>0</v>
      </c>
      <c r="P136" s="41">
        <f>VLOOKUP(A136,'Mandato ISEE'!$A$1:$C$215,3,0)</f>
        <v>0</v>
      </c>
      <c r="Q136" s="42">
        <f t="shared" si="15"/>
        <v>0</v>
      </c>
      <c r="R136" s="42">
        <v>-0.90200000000000002</v>
      </c>
      <c r="S136" s="15">
        <v>-0.88700000000000001</v>
      </c>
      <c r="T136" s="15">
        <v>-0.91</v>
      </c>
      <c r="U136" s="15">
        <v>-0.85799999999999998</v>
      </c>
      <c r="V136" s="15">
        <v>-0.89400000000000002</v>
      </c>
      <c r="W136" s="15">
        <v>-0.56299999999999994</v>
      </c>
      <c r="X136" s="15">
        <v>-0.223</v>
      </c>
      <c r="Y136" s="15">
        <v>-0.66300000000000003</v>
      </c>
      <c r="Z136" s="15">
        <v>0.58599999999999997</v>
      </c>
      <c r="AA136" s="15">
        <v>0.58099999999999996</v>
      </c>
      <c r="AB136" s="15">
        <v>0.58199999999999996</v>
      </c>
      <c r="AC136" s="15">
        <v>0.69799999999999995</v>
      </c>
      <c r="AD136" s="15">
        <v>0.56000000000000005</v>
      </c>
      <c r="AE136" s="15">
        <v>-0.78400000000000003</v>
      </c>
      <c r="AF136" s="14">
        <v>-0.97599999999999998</v>
      </c>
      <c r="AG136" s="15">
        <v>-0.68899999999999995</v>
      </c>
      <c r="AH136" s="15">
        <v>-0.80400000000000005</v>
      </c>
      <c r="AI136" s="15">
        <v>-0.84099999999999997</v>
      </c>
      <c r="AJ136" s="15">
        <v>-0.98599999999999999</v>
      </c>
      <c r="AK136" s="16">
        <v>5.8999999999999997E-2</v>
      </c>
      <c r="AL136" s="4">
        <v>-1.6E-2</v>
      </c>
      <c r="AM136" s="4">
        <v>-0.41799999999999998</v>
      </c>
      <c r="AN136" s="4">
        <v>-0.185</v>
      </c>
      <c r="AO136" s="4">
        <v>2.9000000000000001E-2</v>
      </c>
      <c r="AP136" s="4">
        <v>-0.63400000000000001</v>
      </c>
      <c r="AQ136" s="4">
        <v>-0.82299999999999995</v>
      </c>
      <c r="AR136" s="4">
        <v>-0.45500000000000002</v>
      </c>
      <c r="AS136" s="4">
        <v>-0.40300000000000002</v>
      </c>
      <c r="AT136" s="4">
        <v>-0.108</v>
      </c>
      <c r="AU136" s="4">
        <v>-0.187</v>
      </c>
      <c r="AV136" s="4">
        <v>-0.56799999999999995</v>
      </c>
      <c r="AW136" s="4">
        <v>0.99199999999999999</v>
      </c>
      <c r="AX136" s="4">
        <v>-0.373</v>
      </c>
      <c r="AY136" s="4">
        <v>0.627</v>
      </c>
      <c r="AZ136" s="4">
        <v>-0.50900000000000001</v>
      </c>
      <c r="BA136" s="4">
        <v>0.16200000000000001</v>
      </c>
      <c r="BB136" s="4">
        <v>6.0999999999999999E-2</v>
      </c>
      <c r="BC136" s="4">
        <v>6.9000000000000006E-2</v>
      </c>
      <c r="BD136" s="4">
        <v>0.31900000000000001</v>
      </c>
      <c r="BE136" s="4">
        <v>8.9999999999999993E-3</v>
      </c>
      <c r="BF136" s="4">
        <v>0.251</v>
      </c>
      <c r="BG136" s="4">
        <v>1</v>
      </c>
      <c r="BH136" s="4">
        <v>-0.161</v>
      </c>
      <c r="BI136" s="4">
        <v>-0.60299999999999998</v>
      </c>
      <c r="BJ136" s="4">
        <v>0.85899999999999999</v>
      </c>
      <c r="BK136" s="4">
        <v>-0.26700000000000002</v>
      </c>
      <c r="BL136" s="4"/>
    </row>
    <row r="137" spans="1:64" x14ac:dyDescent="0.3">
      <c r="A137" t="s">
        <v>159</v>
      </c>
      <c r="B137" s="53">
        <f t="shared" si="10"/>
        <v>0</v>
      </c>
      <c r="C137" s="53">
        <f t="shared" si="11"/>
        <v>0</v>
      </c>
      <c r="D137" s="53">
        <f t="shared" si="12"/>
        <v>0</v>
      </c>
      <c r="E137" s="53">
        <f t="shared" si="13"/>
        <v>0</v>
      </c>
      <c r="F137" s="15">
        <v>0.61699999999999999</v>
      </c>
      <c r="G137">
        <v>0.76900000000000002</v>
      </c>
      <c r="H137" t="s">
        <v>71</v>
      </c>
      <c r="I137" t="str">
        <f>VLOOKUP(A137,Setores!$A$2:$C$215,2,0)</f>
        <v>basic_materials</v>
      </c>
      <c r="J137" t="str">
        <f>VLOOKUP(A137,Setores!$A$2:$C$215,3,0)</f>
        <v>low_beta</v>
      </c>
      <c r="K137" s="100">
        <v>0</v>
      </c>
      <c r="L137" s="58">
        <v>0</v>
      </c>
      <c r="M137" s="7">
        <v>0</v>
      </c>
      <c r="N137" s="41">
        <f>VLOOKUP(A137,'Mandato ISEE'!$A$1:$C$215,2,0)</f>
        <v>0</v>
      </c>
      <c r="O137" s="58">
        <f t="shared" si="14"/>
        <v>0</v>
      </c>
      <c r="P137" s="41">
        <f>VLOOKUP(A137,'Mandato ISEE'!$A$1:$C$215,3,0)</f>
        <v>0</v>
      </c>
      <c r="Q137" s="42">
        <f t="shared" si="15"/>
        <v>0</v>
      </c>
      <c r="R137" s="42">
        <v>-0.88900000000000001</v>
      </c>
      <c r="S137" s="15">
        <v>-0.873</v>
      </c>
      <c r="T137" s="15">
        <v>-0.92200000000000004</v>
      </c>
      <c r="U137" s="15">
        <v>-0.85</v>
      </c>
      <c r="V137" s="15">
        <v>-0.89300000000000002</v>
      </c>
      <c r="W137" s="15">
        <v>-0.53400000000000003</v>
      </c>
      <c r="X137" s="15">
        <v>-0.21099999999999999</v>
      </c>
      <c r="Y137" s="15">
        <v>-0.63500000000000001</v>
      </c>
      <c r="Z137" s="15">
        <v>0.48499999999999999</v>
      </c>
      <c r="AA137" s="15">
        <v>0.48</v>
      </c>
      <c r="AB137" s="15">
        <v>0.56399999999999995</v>
      </c>
      <c r="AC137" s="15">
        <v>0.69499999999999995</v>
      </c>
      <c r="AD137" s="15">
        <v>0.55800000000000005</v>
      </c>
      <c r="AE137" s="15">
        <v>-0.78300000000000003</v>
      </c>
      <c r="AF137" s="14">
        <v>-0.97599999999999998</v>
      </c>
      <c r="AG137" s="15">
        <v>-0.64200000000000002</v>
      </c>
      <c r="AH137" s="15">
        <v>-0.80400000000000005</v>
      </c>
      <c r="AI137" s="15">
        <v>-0.80800000000000005</v>
      </c>
      <c r="AJ137" s="15">
        <v>-0.98599999999999999</v>
      </c>
      <c r="AK137" s="16">
        <v>5.8999999999999997E-2</v>
      </c>
      <c r="AL137" s="4">
        <v>3.0000000000000001E-3</v>
      </c>
      <c r="AM137" s="4">
        <v>-0.41799999999999998</v>
      </c>
      <c r="AN137" s="4">
        <v>-0.187</v>
      </c>
      <c r="AO137" s="4">
        <v>5.7000000000000002E-2</v>
      </c>
      <c r="AP137" s="4">
        <v>-0.59299999999999997</v>
      </c>
      <c r="AQ137" s="4">
        <v>-0.82299999999999995</v>
      </c>
      <c r="AR137" s="4">
        <v>-0.45500000000000002</v>
      </c>
      <c r="AS137" s="4">
        <v>-0.40300000000000002</v>
      </c>
      <c r="AT137" s="4">
        <v>-0.108</v>
      </c>
      <c r="AU137" s="4">
        <v>-0.187</v>
      </c>
      <c r="AV137" s="4">
        <v>-0.56799999999999995</v>
      </c>
      <c r="AW137" s="4">
        <v>0.97199999999999998</v>
      </c>
      <c r="AX137" s="4">
        <v>-0.373</v>
      </c>
      <c r="AY137" s="4">
        <v>0.627</v>
      </c>
      <c r="AZ137" s="4">
        <v>-0.437</v>
      </c>
      <c r="BA137" s="4">
        <v>0.65200000000000002</v>
      </c>
      <c r="BB137" s="4">
        <v>6.0999999999999999E-2</v>
      </c>
      <c r="BC137" s="4">
        <v>6.9000000000000006E-2</v>
      </c>
      <c r="BD137" s="4">
        <v>0.33</v>
      </c>
      <c r="BE137" s="4">
        <v>0.04</v>
      </c>
      <c r="BF137" s="4">
        <v>0.47199999999999998</v>
      </c>
      <c r="BG137" s="4">
        <v>0.93100000000000005</v>
      </c>
      <c r="BH137" s="4">
        <v>-0.19600000000000001</v>
      </c>
      <c r="BI137" s="4">
        <v>-0.57599999999999996</v>
      </c>
      <c r="BJ137" s="4">
        <v>0.56499999999999995</v>
      </c>
      <c r="BK137" s="4">
        <v>-0.26700000000000002</v>
      </c>
      <c r="BL137" s="4"/>
    </row>
    <row r="138" spans="1:64" x14ac:dyDescent="0.3">
      <c r="A138" t="s">
        <v>158</v>
      </c>
      <c r="B138" s="53">
        <f t="shared" ref="B138:B201" si="16">K138</f>
        <v>0</v>
      </c>
      <c r="C138" s="53">
        <f t="shared" ref="C138:C201" si="17">B138-E138</f>
        <v>-8.0000000000000002E-3</v>
      </c>
      <c r="D138" s="53">
        <f t="shared" ref="D138:D201" si="18">B138-K138</f>
        <v>0</v>
      </c>
      <c r="E138" s="53">
        <f t="shared" ref="E138:E201" si="19">M138</f>
        <v>8.0000000000000002E-3</v>
      </c>
      <c r="F138" s="15">
        <v>0.61699999999999999</v>
      </c>
      <c r="G138">
        <v>0.93400000000000005</v>
      </c>
      <c r="H138" t="s">
        <v>71</v>
      </c>
      <c r="I138" t="str">
        <f>VLOOKUP(A138,Setores!$A$2:$C$215,2,0)</f>
        <v>food</v>
      </c>
      <c r="J138" t="str">
        <f>VLOOKUP(A138,Setores!$A$2:$C$215,3,0)</f>
        <v>very_low_beta</v>
      </c>
      <c r="K138" s="100">
        <v>0</v>
      </c>
      <c r="L138" s="58">
        <v>-8.0000000000000002E-3</v>
      </c>
      <c r="M138" s="7">
        <v>8.0000000000000002E-3</v>
      </c>
      <c r="N138" s="41">
        <f>VLOOKUP(A138,'Mandato ISEE'!$A$1:$C$215,2,0)</f>
        <v>0</v>
      </c>
      <c r="O138" s="58">
        <f t="shared" ref="O138:O201" si="20">K138-N138</f>
        <v>0</v>
      </c>
      <c r="P138" s="41">
        <f>VLOOKUP(A138,'Mandato ISEE'!$A$1:$C$215,3,0)</f>
        <v>0</v>
      </c>
      <c r="Q138" s="42">
        <f t="shared" ref="Q138:Q201" si="21">K138-P138</f>
        <v>0</v>
      </c>
      <c r="R138" s="42">
        <v>-0.89900000000000002</v>
      </c>
      <c r="S138" s="15">
        <v>-0.75800000000000001</v>
      </c>
      <c r="T138" s="15">
        <v>-0.96199999999999997</v>
      </c>
      <c r="U138" s="15">
        <v>-0.81299999999999994</v>
      </c>
      <c r="V138" s="15">
        <v>-0.85399999999999998</v>
      </c>
      <c r="W138" s="15">
        <v>-0.65400000000000003</v>
      </c>
      <c r="X138" s="15">
        <v>-0.52300000000000002</v>
      </c>
      <c r="Y138" s="15">
        <v>-0.54500000000000004</v>
      </c>
      <c r="Z138" s="15">
        <v>0.45200000000000001</v>
      </c>
      <c r="AA138" s="15">
        <v>0.44900000000000001</v>
      </c>
      <c r="AB138" s="15">
        <v>0.51700000000000002</v>
      </c>
      <c r="AC138" s="15">
        <v>0.61099999999999999</v>
      </c>
      <c r="AD138" s="15">
        <v>0.63</v>
      </c>
      <c r="AE138" s="15">
        <v>-0.90300000000000002</v>
      </c>
      <c r="AF138" s="14">
        <v>-1</v>
      </c>
      <c r="AG138" s="15">
        <v>2.4E-2</v>
      </c>
      <c r="AH138" s="15">
        <v>-0.80100000000000005</v>
      </c>
      <c r="AI138" s="15">
        <v>9.5000000000000001E-2</v>
      </c>
      <c r="AJ138" s="15">
        <v>-0.88700000000000001</v>
      </c>
      <c r="AK138" s="16">
        <v>-0.3</v>
      </c>
      <c r="AL138" s="4">
        <v>-0.30299999999999999</v>
      </c>
      <c r="AM138" s="4">
        <v>-0.57099999999999995</v>
      </c>
      <c r="AN138" s="4">
        <v>-0.38500000000000001</v>
      </c>
      <c r="AO138" s="4">
        <v>0.41</v>
      </c>
      <c r="AP138" s="4">
        <v>0.872</v>
      </c>
      <c r="AQ138" s="4">
        <v>-0.39600000000000002</v>
      </c>
      <c r="AR138" s="4">
        <v>-0.30299999999999999</v>
      </c>
      <c r="AS138" s="4">
        <v>-0.42899999999999999</v>
      </c>
      <c r="AT138" s="4">
        <v>-5.8000000000000003E-2</v>
      </c>
      <c r="AU138" s="4">
        <v>-0.50800000000000001</v>
      </c>
      <c r="AV138" s="4">
        <v>-0.47199999999999998</v>
      </c>
      <c r="AW138" s="4">
        <v>1</v>
      </c>
      <c r="AX138" s="4">
        <v>-0.36</v>
      </c>
      <c r="AY138" s="4">
        <v>0.36</v>
      </c>
      <c r="AZ138" s="4">
        <v>-0.92</v>
      </c>
      <c r="BA138" s="4">
        <v>-0.38400000000000001</v>
      </c>
      <c r="BB138" s="4">
        <v>-0.32400000000000001</v>
      </c>
      <c r="BC138" s="4">
        <v>-0.70299999999999996</v>
      </c>
      <c r="BD138" s="4">
        <v>0.222</v>
      </c>
      <c r="BE138" s="4">
        <v>-0.23</v>
      </c>
      <c r="BF138" s="4">
        <v>0.96699999999999997</v>
      </c>
      <c r="BG138" s="4">
        <v>0.81699999999999995</v>
      </c>
      <c r="BH138" s="4">
        <v>-0.19600000000000001</v>
      </c>
      <c r="BI138" s="4">
        <v>-0.57299999999999995</v>
      </c>
      <c r="BJ138" s="4">
        <v>4.5999999999999999E-2</v>
      </c>
      <c r="BK138" s="4">
        <v>-8.7999999999999995E-2</v>
      </c>
      <c r="BL138" s="4"/>
    </row>
    <row r="139" spans="1:64" x14ac:dyDescent="0.3">
      <c r="A139" t="s">
        <v>162</v>
      </c>
      <c r="B139" s="53">
        <f t="shared" si="16"/>
        <v>0</v>
      </c>
      <c r="C139" s="53">
        <f t="shared" si="17"/>
        <v>0</v>
      </c>
      <c r="D139" s="53">
        <f t="shared" si="18"/>
        <v>0</v>
      </c>
      <c r="E139" s="53">
        <f t="shared" si="19"/>
        <v>0</v>
      </c>
      <c r="F139" s="15">
        <v>0.61599999999999999</v>
      </c>
      <c r="G139">
        <v>0.749</v>
      </c>
      <c r="H139" t="s">
        <v>57</v>
      </c>
      <c r="I139" t="str">
        <f>VLOOKUP(A139,Setores!$A$2:$C$215,2,0)</f>
        <v>banks</v>
      </c>
      <c r="J139" t="str">
        <f>VLOOKUP(A139,Setores!$A$2:$C$215,3,0)</f>
        <v>neutral_beta</v>
      </c>
      <c r="K139" s="100">
        <v>0</v>
      </c>
      <c r="L139" s="58">
        <v>0</v>
      </c>
      <c r="M139" s="7">
        <v>0</v>
      </c>
      <c r="N139" s="41">
        <f>VLOOKUP(A139,'Mandato ISEE'!$A$1:$C$215,2,0)</f>
        <v>0</v>
      </c>
      <c r="O139" s="58">
        <f t="shared" si="20"/>
        <v>0</v>
      </c>
      <c r="P139" s="41">
        <f>VLOOKUP(A139,'Mandato ISEE'!$A$1:$C$215,3,0)</f>
        <v>0</v>
      </c>
      <c r="Q139" s="42">
        <f t="shared" si="21"/>
        <v>0</v>
      </c>
      <c r="R139" s="42">
        <v>-0.78</v>
      </c>
      <c r="S139" s="15">
        <v>-0.86799999999999999</v>
      </c>
      <c r="T139" s="15">
        <v>-0.77900000000000003</v>
      </c>
      <c r="U139" s="15">
        <v>-0.77100000000000002</v>
      </c>
      <c r="V139" s="15">
        <v>-0.83599999999999997</v>
      </c>
      <c r="W139" s="15">
        <v>-0.56799999999999995</v>
      </c>
      <c r="X139" s="15">
        <v>-0.23499999999999999</v>
      </c>
      <c r="Y139" s="15">
        <v>-0.77300000000000002</v>
      </c>
      <c r="Z139" s="15">
        <v>0.5</v>
      </c>
      <c r="AA139" s="15">
        <v>0.495</v>
      </c>
      <c r="AB139" s="15">
        <v>0.66200000000000003</v>
      </c>
      <c r="AC139" s="15">
        <v>0.60699999999999998</v>
      </c>
      <c r="AD139" s="15">
        <v>0.56699999999999995</v>
      </c>
      <c r="AE139" s="15">
        <v>-0.71599999999999997</v>
      </c>
      <c r="AF139" s="14">
        <v>0.186</v>
      </c>
      <c r="AG139" s="15">
        <v>-0.75700000000000001</v>
      </c>
      <c r="AH139" s="15">
        <v>-0.86799999999999999</v>
      </c>
      <c r="AI139" s="15">
        <v>-1</v>
      </c>
      <c r="AJ139" s="15">
        <v>-0.998</v>
      </c>
      <c r="AK139" s="16">
        <v>-0.247</v>
      </c>
      <c r="AL139" s="4">
        <v>-2E-3</v>
      </c>
      <c r="AM139" s="4">
        <v>8.1000000000000003E-2</v>
      </c>
      <c r="AN139" s="4">
        <v>0.22600000000000001</v>
      </c>
      <c r="AO139" s="4">
        <v>-0.53400000000000003</v>
      </c>
      <c r="AP139" s="4">
        <v>-0.46600000000000003</v>
      </c>
      <c r="AQ139" s="4">
        <v>9.6000000000000002E-2</v>
      </c>
      <c r="AR139" s="4">
        <v>0.255</v>
      </c>
      <c r="AS139" s="4">
        <v>0.245</v>
      </c>
      <c r="AT139" s="4">
        <v>-0.17899999999999999</v>
      </c>
      <c r="AU139" s="4">
        <v>-0.35499999999999998</v>
      </c>
      <c r="AV139" s="4">
        <v>-0.72399999999999998</v>
      </c>
      <c r="AW139" s="4">
        <v>0.434</v>
      </c>
      <c r="AX139" s="4">
        <v>-0.438</v>
      </c>
      <c r="AY139" s="4">
        <v>5.7000000000000002E-2</v>
      </c>
      <c r="AZ139" s="4">
        <v>-0.6</v>
      </c>
      <c r="BA139" s="4">
        <v>0.27600000000000002</v>
      </c>
      <c r="BB139" s="4">
        <v>-0.108</v>
      </c>
      <c r="BC139" s="4">
        <v>-0.26900000000000002</v>
      </c>
      <c r="BD139" s="4">
        <v>0.23699999999999999</v>
      </c>
      <c r="BE139" s="4">
        <v>-0.11</v>
      </c>
      <c r="BF139" s="4">
        <v>0.29699999999999999</v>
      </c>
      <c r="BG139" s="4">
        <v>0.97299999999999998</v>
      </c>
      <c r="BH139" s="4">
        <v>-0.16800000000000001</v>
      </c>
      <c r="BI139" s="4">
        <v>-0.14599999999999999</v>
      </c>
      <c r="BJ139" s="4">
        <v>1</v>
      </c>
      <c r="BK139" s="4">
        <v>-0.57699999999999996</v>
      </c>
      <c r="BL139" s="4"/>
    </row>
    <row r="140" spans="1:64" x14ac:dyDescent="0.3">
      <c r="A140" t="s">
        <v>253</v>
      </c>
      <c r="B140" s="53">
        <f t="shared" si="16"/>
        <v>0</v>
      </c>
      <c r="C140" s="53">
        <f t="shared" si="17"/>
        <v>0</v>
      </c>
      <c r="D140" s="53">
        <f t="shared" si="18"/>
        <v>0</v>
      </c>
      <c r="E140" s="53">
        <f t="shared" si="19"/>
        <v>0</v>
      </c>
      <c r="F140" s="15">
        <v>0.61099999999999999</v>
      </c>
      <c r="G140">
        <v>0.499</v>
      </c>
      <c r="H140" t="s">
        <v>68</v>
      </c>
      <c r="I140" t="str">
        <f>VLOOKUP(A140,Setores!$A$2:$C$215,2,0)</f>
        <v>capital_goods</v>
      </c>
      <c r="J140" t="str">
        <f>VLOOKUP(A140,Setores!$A$2:$C$215,3,0)</f>
        <v>very_high_beta</v>
      </c>
      <c r="K140" s="100">
        <v>0</v>
      </c>
      <c r="L140" s="58">
        <v>0</v>
      </c>
      <c r="M140" s="7">
        <v>0</v>
      </c>
      <c r="N140" s="41">
        <f>VLOOKUP(A140,'Mandato ISEE'!$A$1:$C$215,2,0)</f>
        <v>0</v>
      </c>
      <c r="O140" s="58">
        <f t="shared" si="20"/>
        <v>0</v>
      </c>
      <c r="P140" s="41">
        <f>VLOOKUP(A140,'Mandato ISEE'!$A$1:$C$215,3,0)</f>
        <v>0</v>
      </c>
      <c r="Q140" s="42">
        <f t="shared" si="21"/>
        <v>0</v>
      </c>
      <c r="R140" s="42">
        <v>-0.52400000000000002</v>
      </c>
      <c r="S140" s="15">
        <v>-0.433</v>
      </c>
      <c r="T140" s="15">
        <v>-8.6999999999999994E-2</v>
      </c>
      <c r="U140" s="15">
        <v>-0.72899999999999998</v>
      </c>
      <c r="V140" s="15">
        <v>-0.47599999999999998</v>
      </c>
      <c r="W140" s="15">
        <v>-0.69099999999999995</v>
      </c>
      <c r="X140" s="15">
        <v>-0.68400000000000005</v>
      </c>
      <c r="Y140" s="15">
        <v>-0.86899999999999999</v>
      </c>
      <c r="Z140" s="15">
        <v>0.26400000000000001</v>
      </c>
      <c r="AA140" s="15">
        <v>0.26300000000000001</v>
      </c>
      <c r="AB140" s="15">
        <v>0.53900000000000003</v>
      </c>
      <c r="AC140" s="15">
        <v>0.54</v>
      </c>
      <c r="AD140" s="15">
        <v>0.42099999999999999</v>
      </c>
      <c r="AE140" s="15">
        <v>-0.41599999999999998</v>
      </c>
      <c r="AF140" s="14">
        <v>-2.9000000000000001E-2</v>
      </c>
      <c r="AG140" s="15">
        <v>-0.34</v>
      </c>
      <c r="AH140" s="15">
        <v>1</v>
      </c>
      <c r="AI140" s="15">
        <v>-0.60099999999999998</v>
      </c>
      <c r="AJ140" s="15">
        <v>-0.66300000000000003</v>
      </c>
      <c r="AK140" s="16">
        <v>0.85099999999999998</v>
      </c>
      <c r="AL140" s="4">
        <v>-0.63500000000000001</v>
      </c>
      <c r="AM140" s="4">
        <v>0.63</v>
      </c>
      <c r="AN140" s="4">
        <v>-0.309</v>
      </c>
      <c r="AO140" s="4">
        <v>-0.71899999999999997</v>
      </c>
      <c r="AP140" s="4">
        <v>-0.53400000000000003</v>
      </c>
      <c r="AQ140" s="4">
        <v>-0.187</v>
      </c>
      <c r="AR140" s="4">
        <v>-0.23499999999999999</v>
      </c>
      <c r="AS140" s="4">
        <v>-0.436</v>
      </c>
      <c r="AT140" s="4">
        <v>3.2000000000000001E-2</v>
      </c>
      <c r="AU140" s="4">
        <v>-0.47099999999999997</v>
      </c>
      <c r="AV140" s="4">
        <v>-0.51100000000000001</v>
      </c>
      <c r="AW140" s="4">
        <v>-1.9E-2</v>
      </c>
      <c r="AX140" s="4">
        <v>-0.20100000000000001</v>
      </c>
      <c r="AY140" s="4">
        <v>0.56899999999999995</v>
      </c>
      <c r="AZ140" s="4">
        <v>6.5000000000000002E-2</v>
      </c>
      <c r="BA140" s="4">
        <v>-0.52600000000000002</v>
      </c>
      <c r="BB140" s="4">
        <v>8.1000000000000003E-2</v>
      </c>
      <c r="BC140" s="4">
        <v>0.27800000000000002</v>
      </c>
      <c r="BD140" s="4">
        <v>0.01</v>
      </c>
      <c r="BE140" s="4">
        <v>-0.13100000000000001</v>
      </c>
      <c r="BF140" s="4">
        <v>-7.0000000000000001E-3</v>
      </c>
      <c r="BG140" s="4">
        <v>0.57699999999999996</v>
      </c>
      <c r="BH140" s="4">
        <v>0.31</v>
      </c>
      <c r="BI140" s="4">
        <v>0.67600000000000005</v>
      </c>
      <c r="BJ140" s="4">
        <v>0.496</v>
      </c>
      <c r="BK140" s="4">
        <v>0.38400000000000001</v>
      </c>
      <c r="BL140" s="4"/>
    </row>
    <row r="141" spans="1:64" x14ac:dyDescent="0.3">
      <c r="A141" t="s">
        <v>161</v>
      </c>
      <c r="B141" s="53">
        <f t="shared" si="16"/>
        <v>0</v>
      </c>
      <c r="C141" s="53">
        <f t="shared" si="17"/>
        <v>0</v>
      </c>
      <c r="D141" s="53">
        <f t="shared" si="18"/>
        <v>0</v>
      </c>
      <c r="E141" s="53">
        <f t="shared" si="19"/>
        <v>0</v>
      </c>
      <c r="F141" s="15">
        <v>0.60799999999999998</v>
      </c>
      <c r="G141">
        <v>0.71299999999999997</v>
      </c>
      <c r="H141" t="s">
        <v>57</v>
      </c>
      <c r="I141" t="str">
        <f>VLOOKUP(A141,Setores!$A$2:$C$215,2,0)</f>
        <v>banks</v>
      </c>
      <c r="J141" t="str">
        <f>VLOOKUP(A141,Setores!$A$2:$C$215,3,0)</f>
        <v>neutral_beta</v>
      </c>
      <c r="K141" s="100">
        <v>0</v>
      </c>
      <c r="L141" s="58">
        <v>0</v>
      </c>
      <c r="M141" s="7">
        <v>0</v>
      </c>
      <c r="N141" s="41">
        <f>VLOOKUP(A141,'Mandato ISEE'!$A$1:$C$215,2,0)</f>
        <v>0</v>
      </c>
      <c r="O141" s="58">
        <f t="shared" si="20"/>
        <v>0</v>
      </c>
      <c r="P141" s="41">
        <f>VLOOKUP(A141,'Mandato ISEE'!$A$1:$C$215,3,0)</f>
        <v>0</v>
      </c>
      <c r="Q141" s="42">
        <f t="shared" si="21"/>
        <v>0</v>
      </c>
      <c r="R141" s="42">
        <v>-0.78700000000000003</v>
      </c>
      <c r="S141" s="15">
        <v>-0.87</v>
      </c>
      <c r="T141" s="15">
        <v>-0.78</v>
      </c>
      <c r="U141" s="15">
        <v>-0.78</v>
      </c>
      <c r="V141" s="15">
        <v>-0.84</v>
      </c>
      <c r="W141" s="15">
        <v>-0.61</v>
      </c>
      <c r="X141" s="15">
        <v>-0.38100000000000001</v>
      </c>
      <c r="Y141" s="15">
        <v>-0.76800000000000002</v>
      </c>
      <c r="Z141" s="15">
        <v>0.46800000000000003</v>
      </c>
      <c r="AA141" s="15">
        <v>0.46400000000000002</v>
      </c>
      <c r="AB141" s="15">
        <v>0.63400000000000001</v>
      </c>
      <c r="AC141" s="15">
        <v>0.67100000000000004</v>
      </c>
      <c r="AD141" s="15">
        <v>0.56699999999999995</v>
      </c>
      <c r="AE141" s="15">
        <v>-0.73399999999999999</v>
      </c>
      <c r="AF141" s="14">
        <v>0.16800000000000001</v>
      </c>
      <c r="AG141" s="15">
        <v>-0.7</v>
      </c>
      <c r="AH141" s="15">
        <v>-0.871</v>
      </c>
      <c r="AI141" s="15">
        <v>-1</v>
      </c>
      <c r="AJ141" s="15">
        <v>-1</v>
      </c>
      <c r="AK141" s="16">
        <v>-0.22600000000000001</v>
      </c>
      <c r="AL141" s="4">
        <v>-1.4999999999999999E-2</v>
      </c>
      <c r="AM141" s="4">
        <v>7.9000000000000001E-2</v>
      </c>
      <c r="AN141" s="4">
        <v>0.20100000000000001</v>
      </c>
      <c r="AO141" s="4">
        <v>-0.47799999999999998</v>
      </c>
      <c r="AP141" s="4">
        <v>-0.499</v>
      </c>
      <c r="AQ141" s="4">
        <v>9.6000000000000002E-2</v>
      </c>
      <c r="AR141" s="4">
        <v>0.255</v>
      </c>
      <c r="AS141" s="4">
        <v>0.245</v>
      </c>
      <c r="AT141" s="4">
        <v>-0.19900000000000001</v>
      </c>
      <c r="AU141" s="4">
        <v>-0.52400000000000002</v>
      </c>
      <c r="AV141" s="4">
        <v>-0.74299999999999999</v>
      </c>
      <c r="AW141" s="4">
        <v>0.34100000000000003</v>
      </c>
      <c r="AX141" s="4">
        <v>-0.42099999999999999</v>
      </c>
      <c r="AY141" s="4">
        <v>5.7000000000000002E-2</v>
      </c>
      <c r="AZ141" s="4">
        <v>-0.437</v>
      </c>
      <c r="BA141" s="4">
        <v>0.19700000000000001</v>
      </c>
      <c r="BB141" s="4">
        <v>-0.158</v>
      </c>
      <c r="BC141" s="4">
        <v>-0.23</v>
      </c>
      <c r="BD141" s="4">
        <v>0.26</v>
      </c>
      <c r="BE141" s="4">
        <v>7.4999999999999997E-2</v>
      </c>
      <c r="BF141" s="4">
        <v>-0.124</v>
      </c>
      <c r="BG141" s="4">
        <v>0.92</v>
      </c>
      <c r="BH141" s="4">
        <v>-0.23</v>
      </c>
      <c r="BI141" s="4">
        <v>-1.7999999999999999E-2</v>
      </c>
      <c r="BJ141" s="4">
        <v>1</v>
      </c>
      <c r="BK141" s="4">
        <v>-0.57699999999999996</v>
      </c>
      <c r="BL141" s="4"/>
    </row>
    <row r="142" spans="1:64" x14ac:dyDescent="0.3">
      <c r="A142" t="s">
        <v>236</v>
      </c>
      <c r="B142" s="53">
        <f t="shared" si="16"/>
        <v>0</v>
      </c>
      <c r="C142" s="53">
        <f t="shared" si="17"/>
        <v>-4.0000000000000001E-3</v>
      </c>
      <c r="D142" s="53">
        <f t="shared" si="18"/>
        <v>0</v>
      </c>
      <c r="E142" s="53">
        <f t="shared" si="19"/>
        <v>4.0000000000000001E-3</v>
      </c>
      <c r="F142" s="15">
        <v>0.60699999999999998</v>
      </c>
      <c r="G142">
        <v>0.65700000000000003</v>
      </c>
      <c r="H142" t="s">
        <v>68</v>
      </c>
      <c r="I142" t="str">
        <f>VLOOKUP(A142,Setores!$A$2:$C$215,2,0)</f>
        <v>building_materials</v>
      </c>
      <c r="J142" t="str">
        <f>VLOOKUP(A142,Setores!$A$2:$C$215,3,0)</f>
        <v>very_high_beta</v>
      </c>
      <c r="K142" s="100">
        <v>0</v>
      </c>
      <c r="L142" s="58">
        <v>-4.0000000000000001E-3</v>
      </c>
      <c r="M142" s="7">
        <v>4.0000000000000001E-3</v>
      </c>
      <c r="N142" s="41">
        <f>VLOOKUP(A142,'Mandato ISEE'!$A$1:$C$215,2,0)</f>
        <v>0</v>
      </c>
      <c r="O142" s="58">
        <f t="shared" si="20"/>
        <v>0</v>
      </c>
      <c r="P142" s="41">
        <f>VLOOKUP(A142,'Mandato ISEE'!$A$1:$C$215,3,0)</f>
        <v>0</v>
      </c>
      <c r="Q142" s="42">
        <f t="shared" si="21"/>
        <v>0</v>
      </c>
      <c r="R142" s="42">
        <v>-0.63400000000000001</v>
      </c>
      <c r="S142" s="15">
        <v>-0.41499999999999998</v>
      </c>
      <c r="T142" s="15">
        <v>-0.66300000000000003</v>
      </c>
      <c r="U142" s="15">
        <v>-0.76200000000000001</v>
      </c>
      <c r="V142" s="15">
        <v>-0.71299999999999997</v>
      </c>
      <c r="W142" s="15">
        <v>-0.77300000000000002</v>
      </c>
      <c r="X142" s="15">
        <v>-0.77300000000000002</v>
      </c>
      <c r="Y142" s="15">
        <v>-0.77</v>
      </c>
      <c r="Z142" s="15">
        <v>0.107</v>
      </c>
      <c r="AA142" s="15">
        <v>0.104</v>
      </c>
      <c r="AB142" s="15">
        <v>0.64500000000000002</v>
      </c>
      <c r="AC142" s="15">
        <v>0.69799999999999995</v>
      </c>
      <c r="AD142" s="15">
        <v>0.63400000000000001</v>
      </c>
      <c r="AE142" s="15">
        <v>-0.46300000000000002</v>
      </c>
      <c r="AF142" s="14">
        <v>-0.74399999999999999</v>
      </c>
      <c r="AG142" s="15">
        <v>-0.248</v>
      </c>
      <c r="AH142" s="15">
        <v>-0.48499999999999999</v>
      </c>
      <c r="AI142" s="15">
        <v>-0.312</v>
      </c>
      <c r="AJ142" s="15">
        <v>-0.84199999999999997</v>
      </c>
      <c r="AK142" s="16">
        <v>6.8000000000000005E-2</v>
      </c>
      <c r="AL142" s="4">
        <v>-0.77900000000000003</v>
      </c>
      <c r="AM142" s="4">
        <v>6.9000000000000006E-2</v>
      </c>
      <c r="AN142" s="4">
        <v>-0.24</v>
      </c>
      <c r="AO142" s="4">
        <v>1.4999999999999999E-2</v>
      </c>
      <c r="AP142" s="4">
        <v>-0.02</v>
      </c>
      <c r="AQ142" s="4">
        <v>-0.71299999999999997</v>
      </c>
      <c r="AR142" s="4">
        <v>0.34599999999999997</v>
      </c>
      <c r="AS142" s="4">
        <v>0.30199999999999999</v>
      </c>
      <c r="AT142" s="4">
        <v>-0.129</v>
      </c>
      <c r="AU142" s="4">
        <v>-0.34399999999999997</v>
      </c>
      <c r="AV142" s="4">
        <v>-0.216</v>
      </c>
      <c r="AW142" s="4">
        <v>2.4E-2</v>
      </c>
      <c r="AX142" s="4">
        <v>-0.23899999999999999</v>
      </c>
      <c r="AY142" s="4">
        <v>0.85299999999999998</v>
      </c>
      <c r="AZ142" s="4">
        <v>0.14899999999999999</v>
      </c>
      <c r="BA142" s="4">
        <v>0.45100000000000001</v>
      </c>
      <c r="BB142" s="4">
        <v>-5.0000000000000001E-3</v>
      </c>
      <c r="BC142" s="4">
        <v>1.2999999999999999E-2</v>
      </c>
      <c r="BD142" s="4">
        <v>0.214</v>
      </c>
      <c r="BE142" s="4">
        <v>-0.11899999999999999</v>
      </c>
      <c r="BF142" s="4">
        <v>-0.155</v>
      </c>
      <c r="BG142" s="4">
        <v>1.4999999999999999E-2</v>
      </c>
      <c r="BH142" s="4">
        <v>0.17399999999999999</v>
      </c>
      <c r="BI142" s="4">
        <v>0.76900000000000002</v>
      </c>
      <c r="BJ142" s="4">
        <v>0.43</v>
      </c>
      <c r="BK142" s="4">
        <v>-0.14199999999999999</v>
      </c>
      <c r="BL142" s="4"/>
    </row>
    <row r="143" spans="1:64" x14ac:dyDescent="0.3">
      <c r="A143" t="s">
        <v>149</v>
      </c>
      <c r="B143" s="53">
        <f t="shared" si="16"/>
        <v>0</v>
      </c>
      <c r="C143" s="53">
        <f t="shared" si="17"/>
        <v>0</v>
      </c>
      <c r="D143" s="53">
        <f t="shared" si="18"/>
        <v>0</v>
      </c>
      <c r="E143" s="53">
        <f t="shared" si="19"/>
        <v>0</v>
      </c>
      <c r="F143" s="15">
        <v>0.60299999999999998</v>
      </c>
      <c r="G143">
        <v>0.44700000000000001</v>
      </c>
      <c r="H143" t="s">
        <v>53</v>
      </c>
      <c r="I143" t="str">
        <f>VLOOKUP(A143,Setores!$A$2:$C$215,2,0)</f>
        <v>healthcare</v>
      </c>
      <c r="J143" t="str">
        <f>VLOOKUP(A143,Setores!$A$2:$C$215,3,0)</f>
        <v>very_high_beta</v>
      </c>
      <c r="K143" s="100">
        <v>0</v>
      </c>
      <c r="L143" s="58">
        <v>0</v>
      </c>
      <c r="M143" s="7">
        <v>0</v>
      </c>
      <c r="N143" s="41">
        <f>VLOOKUP(A143,'Mandato ISEE'!$A$1:$C$215,2,0)</f>
        <v>0</v>
      </c>
      <c r="O143" s="58">
        <f t="shared" si="20"/>
        <v>0</v>
      </c>
      <c r="P143" s="41">
        <f>VLOOKUP(A143,'Mandato ISEE'!$A$1:$C$215,3,0)</f>
        <v>0</v>
      </c>
      <c r="Q143" s="42">
        <f t="shared" si="21"/>
        <v>0</v>
      </c>
      <c r="R143" s="42">
        <v>-0.27500000000000002</v>
      </c>
      <c r="S143" s="15">
        <v>0.13600000000000001</v>
      </c>
      <c r="T143" s="15">
        <v>-0.14000000000000001</v>
      </c>
      <c r="U143" s="15">
        <v>-0.66300000000000003</v>
      </c>
      <c r="V143" s="15">
        <v>-0.3</v>
      </c>
      <c r="W143" s="15">
        <v>-0.72199999999999998</v>
      </c>
      <c r="X143" s="15">
        <v>-0.66700000000000004</v>
      </c>
      <c r="Y143" s="15">
        <v>-0.876</v>
      </c>
      <c r="Z143" s="15">
        <v>-0.26100000000000001</v>
      </c>
      <c r="AA143" s="15">
        <v>-0.25800000000000001</v>
      </c>
      <c r="AB143" s="15">
        <v>0.26700000000000002</v>
      </c>
      <c r="AC143" s="15">
        <v>0.129</v>
      </c>
      <c r="AD143" s="15">
        <v>0.38800000000000001</v>
      </c>
      <c r="AE143" s="15">
        <v>-0.39300000000000002</v>
      </c>
      <c r="AF143" s="14">
        <v>-0.28899999999999998</v>
      </c>
      <c r="AG143" s="15">
        <v>-0.154</v>
      </c>
      <c r="AH143" s="15">
        <v>0.70799999999999996</v>
      </c>
      <c r="AI143" s="15">
        <v>0.186</v>
      </c>
      <c r="AJ143" s="15">
        <v>-0.23899999999999999</v>
      </c>
      <c r="AK143" s="16">
        <v>0.11600000000000001</v>
      </c>
      <c r="AL143" s="4">
        <v>-0.96199999999999997</v>
      </c>
      <c r="AM143" s="4">
        <v>0.34899999999999998</v>
      </c>
      <c r="AN143" s="4">
        <v>-0.23100000000000001</v>
      </c>
      <c r="AO143" s="4">
        <v>-0.46400000000000002</v>
      </c>
      <c r="AP143" s="4">
        <v>-0.17799999999999999</v>
      </c>
      <c r="AQ143" s="4">
        <v>-0.15</v>
      </c>
      <c r="AR143" s="4">
        <v>0.47399999999999998</v>
      </c>
      <c r="AS143" s="4">
        <v>0.438</v>
      </c>
      <c r="AT143" s="4">
        <v>-1E-3</v>
      </c>
      <c r="AU143" s="4">
        <v>0.32700000000000001</v>
      </c>
      <c r="AV143" s="4">
        <v>-0.152</v>
      </c>
      <c r="AW143" s="4">
        <v>-0.70399999999999996</v>
      </c>
      <c r="AX143" s="4">
        <v>-0.128</v>
      </c>
      <c r="AY143" s="4">
        <v>0.49</v>
      </c>
      <c r="AZ143" s="4">
        <v>-1</v>
      </c>
      <c r="BA143" s="4">
        <v>0.20899999999999999</v>
      </c>
      <c r="BB143" s="4">
        <v>0.22</v>
      </c>
      <c r="BC143" s="4">
        <v>0.248</v>
      </c>
      <c r="BD143" s="4">
        <v>0.34799999999999998</v>
      </c>
      <c r="BE143" s="4">
        <v>0.16800000000000001</v>
      </c>
      <c r="BF143" s="4">
        <v>-4.2999999999999997E-2</v>
      </c>
      <c r="BG143" s="4">
        <v>9.6000000000000002E-2</v>
      </c>
      <c r="BH143" s="4">
        <v>0.91200000000000003</v>
      </c>
      <c r="BI143" s="4">
        <v>0.57899999999999996</v>
      </c>
      <c r="BJ143" s="4">
        <v>-0.192</v>
      </c>
      <c r="BK143" s="4">
        <v>0.93</v>
      </c>
      <c r="BL143" s="4"/>
    </row>
    <row r="144" spans="1:64" x14ac:dyDescent="0.3">
      <c r="A144" t="s">
        <v>172</v>
      </c>
      <c r="B144" s="53">
        <f t="shared" si="16"/>
        <v>0</v>
      </c>
      <c r="C144" s="53">
        <f t="shared" si="17"/>
        <v>-2.8000000000000001E-2</v>
      </c>
      <c r="D144" s="53">
        <f t="shared" si="18"/>
        <v>0</v>
      </c>
      <c r="E144" s="53">
        <f t="shared" si="19"/>
        <v>2.8000000000000001E-2</v>
      </c>
      <c r="F144" s="15">
        <v>0.59299999999999997</v>
      </c>
      <c r="G144">
        <v>1.2070000000000001</v>
      </c>
      <c r="H144" t="s">
        <v>71</v>
      </c>
      <c r="I144" t="str">
        <f>VLOOKUP(A144,Setores!$A$2:$C$215,2,0)</f>
        <v>basic_materials</v>
      </c>
      <c r="J144" t="str">
        <f>VLOOKUP(A144,Setores!$A$2:$C$215,3,0)</f>
        <v>low_beta</v>
      </c>
      <c r="K144" s="100">
        <v>0</v>
      </c>
      <c r="L144" s="58">
        <v>-2.8000000000000001E-2</v>
      </c>
      <c r="M144" s="7">
        <v>2.8000000000000001E-2</v>
      </c>
      <c r="N144" s="41">
        <f>VLOOKUP(A144,'Mandato ISEE'!$A$1:$C$215,2,0)</f>
        <v>0</v>
      </c>
      <c r="O144" s="58">
        <f t="shared" si="20"/>
        <v>0</v>
      </c>
      <c r="P144" s="41">
        <f>VLOOKUP(A144,'Mandato ISEE'!$A$1:$C$215,3,0)</f>
        <v>0</v>
      </c>
      <c r="Q144" s="42">
        <f t="shared" si="21"/>
        <v>0</v>
      </c>
      <c r="R144" s="42">
        <v>-0.94799999999999995</v>
      </c>
      <c r="S144" s="15">
        <v>-0.90500000000000003</v>
      </c>
      <c r="T144" s="15">
        <v>-0.98199999999999998</v>
      </c>
      <c r="U144" s="15">
        <v>-0.874</v>
      </c>
      <c r="V144" s="15">
        <v>-0.92100000000000004</v>
      </c>
      <c r="W144" s="15">
        <v>-0.67100000000000004</v>
      </c>
      <c r="X144" s="15">
        <v>-0.36199999999999999</v>
      </c>
      <c r="Y144" s="15">
        <v>-0.67200000000000004</v>
      </c>
      <c r="Z144" s="15">
        <v>0.54400000000000004</v>
      </c>
      <c r="AA144" s="15">
        <v>0.53800000000000003</v>
      </c>
      <c r="AB144" s="15">
        <v>0.59299999999999997</v>
      </c>
      <c r="AC144" s="15">
        <v>0.65400000000000003</v>
      </c>
      <c r="AD144" s="15">
        <v>0.503</v>
      </c>
      <c r="AE144" s="15">
        <v>-0.78300000000000003</v>
      </c>
      <c r="AF144" s="14">
        <v>-0.97499999999999998</v>
      </c>
      <c r="AG144" s="15">
        <v>-0.56899999999999995</v>
      </c>
      <c r="AH144" s="15">
        <v>-0.80400000000000005</v>
      </c>
      <c r="AI144" s="15">
        <v>-0.75600000000000001</v>
      </c>
      <c r="AJ144" s="15">
        <v>-0.98599999999999999</v>
      </c>
      <c r="AK144" s="16">
        <v>5.8999999999999997E-2</v>
      </c>
      <c r="AL144" s="4">
        <v>0</v>
      </c>
      <c r="AM144" s="4">
        <v>-0.41799999999999998</v>
      </c>
      <c r="AN144" s="4">
        <v>-0.185</v>
      </c>
      <c r="AO144" s="4">
        <v>0.08</v>
      </c>
      <c r="AP144" s="4">
        <v>-0.623</v>
      </c>
      <c r="AQ144" s="4">
        <v>-0.82299999999999995</v>
      </c>
      <c r="AR144" s="4">
        <v>-0.45500000000000002</v>
      </c>
      <c r="AS144" s="4">
        <v>-0.40300000000000002</v>
      </c>
      <c r="AT144" s="4">
        <v>-0.108</v>
      </c>
      <c r="AU144" s="4">
        <v>-0.187</v>
      </c>
      <c r="AV144" s="4">
        <v>-0.56799999999999995</v>
      </c>
      <c r="AW144" s="4">
        <v>0.95699999999999996</v>
      </c>
      <c r="AX144" s="4">
        <v>-0.373</v>
      </c>
      <c r="AY144" s="4">
        <v>0.627</v>
      </c>
      <c r="AZ144" s="4">
        <v>-0.58399999999999996</v>
      </c>
      <c r="BA144" s="4">
        <v>-0.60799999999999998</v>
      </c>
      <c r="BB144" s="4">
        <v>6.0999999999999999E-2</v>
      </c>
      <c r="BC144" s="4">
        <v>6.9000000000000006E-2</v>
      </c>
      <c r="BD144" s="4">
        <v>0.32400000000000001</v>
      </c>
      <c r="BE144" s="4">
        <v>8.7999999999999995E-2</v>
      </c>
      <c r="BF144" s="4">
        <v>0.42899999999999999</v>
      </c>
      <c r="BG144" s="4">
        <v>0.98399999999999999</v>
      </c>
      <c r="BH144" s="4">
        <v>-0.219</v>
      </c>
      <c r="BI144" s="4">
        <v>-0.60099999999999998</v>
      </c>
      <c r="BJ144" s="4">
        <v>-4.2999999999999997E-2</v>
      </c>
      <c r="BK144" s="4">
        <v>-0.26700000000000002</v>
      </c>
      <c r="BL144" s="4"/>
    </row>
    <row r="145" spans="1:64" x14ac:dyDescent="0.3">
      <c r="A145" t="s">
        <v>200</v>
      </c>
      <c r="B145" s="53">
        <f t="shared" si="16"/>
        <v>0</v>
      </c>
      <c r="C145" s="53">
        <f t="shared" si="17"/>
        <v>-2.5999999999999999E-2</v>
      </c>
      <c r="D145" s="53">
        <f t="shared" si="18"/>
        <v>0</v>
      </c>
      <c r="E145" s="53">
        <f t="shared" si="19"/>
        <v>2.5999999999999999E-2</v>
      </c>
      <c r="F145" s="15">
        <v>0.59099999999999997</v>
      </c>
      <c r="G145">
        <v>1.26</v>
      </c>
      <c r="H145" t="s">
        <v>55</v>
      </c>
      <c r="I145" t="str">
        <f>VLOOKUP(A145,Setores!$A$2:$C$215,2,0)</f>
        <v>transportation</v>
      </c>
      <c r="J145" t="str">
        <f>VLOOKUP(A145,Setores!$A$2:$C$215,3,0)</f>
        <v>high_beta</v>
      </c>
      <c r="K145" s="100">
        <v>0</v>
      </c>
      <c r="L145" s="58">
        <v>-2.5999999999999999E-2</v>
      </c>
      <c r="M145" s="7">
        <v>2.5999999999999999E-2</v>
      </c>
      <c r="N145" s="41">
        <f>VLOOKUP(A145,'Mandato ISEE'!$A$1:$C$215,2,0)</f>
        <v>0</v>
      </c>
      <c r="O145" s="58">
        <f t="shared" si="20"/>
        <v>0</v>
      </c>
      <c r="P145" s="41">
        <f>VLOOKUP(A145,'Mandato ISEE'!$A$1:$C$215,3,0)</f>
        <v>0</v>
      </c>
      <c r="Q145" s="42">
        <f t="shared" si="21"/>
        <v>0</v>
      </c>
      <c r="R145" s="42">
        <v>-0.73099999999999998</v>
      </c>
      <c r="S145" s="15">
        <v>-0.82099999999999995</v>
      </c>
      <c r="T145" s="15">
        <v>-0.91400000000000003</v>
      </c>
      <c r="U145" s="15">
        <v>-0.70899999999999996</v>
      </c>
      <c r="V145" s="15">
        <v>-0.874</v>
      </c>
      <c r="W145" s="15">
        <v>-0.40799999999999997</v>
      </c>
      <c r="X145" s="15">
        <v>5.0000000000000001E-3</v>
      </c>
      <c r="Y145" s="15">
        <v>-0.78400000000000003</v>
      </c>
      <c r="Z145" s="15">
        <v>-2.1999999999999999E-2</v>
      </c>
      <c r="AA145" s="15">
        <v>-1.9E-2</v>
      </c>
      <c r="AB145" s="15">
        <v>0.59699999999999998</v>
      </c>
      <c r="AC145" s="15">
        <v>0.58099999999999996</v>
      </c>
      <c r="AD145" s="15">
        <v>0.432</v>
      </c>
      <c r="AE145" s="15">
        <v>-0.497</v>
      </c>
      <c r="AF145" s="14">
        <v>-0.59599999999999997</v>
      </c>
      <c r="AG145" s="15">
        <v>-0.57599999999999996</v>
      </c>
      <c r="AH145" s="15">
        <v>-0.91300000000000003</v>
      </c>
      <c r="AI145" s="15">
        <v>-0.81399999999999995</v>
      </c>
      <c r="AJ145" s="15">
        <v>-0.95</v>
      </c>
      <c r="AK145" s="16">
        <v>-0.223</v>
      </c>
      <c r="AL145" s="4">
        <v>-0.60199999999999998</v>
      </c>
      <c r="AM145" s="4">
        <v>-0.55500000000000005</v>
      </c>
      <c r="AN145" s="4">
        <v>-0.14699999999999999</v>
      </c>
      <c r="AO145" s="4">
        <v>-0.30599999999999999</v>
      </c>
      <c r="AP145" s="4">
        <v>0.12</v>
      </c>
      <c r="AQ145" s="4">
        <v>0.20799999999999999</v>
      </c>
      <c r="AR145" s="4">
        <v>0.26</v>
      </c>
      <c r="AS145" s="4">
        <v>0.1</v>
      </c>
      <c r="AT145" s="4">
        <v>0.122</v>
      </c>
      <c r="AU145" s="4">
        <v>0.251</v>
      </c>
      <c r="AV145" s="4">
        <v>7.0000000000000001E-3</v>
      </c>
      <c r="AW145" s="4">
        <v>0.33200000000000002</v>
      </c>
      <c r="AX145" s="4">
        <v>-0.69199999999999995</v>
      </c>
      <c r="AY145" s="4">
        <v>0.74399999999999999</v>
      </c>
      <c r="AZ145" s="4">
        <v>3.3000000000000002E-2</v>
      </c>
      <c r="BA145" s="4">
        <v>0.79300000000000004</v>
      </c>
      <c r="BB145" s="4">
        <v>-0.309</v>
      </c>
      <c r="BC145" s="4">
        <v>-0.255</v>
      </c>
      <c r="BD145" s="4">
        <v>0.33600000000000002</v>
      </c>
      <c r="BE145" s="4">
        <v>8.2000000000000003E-2</v>
      </c>
      <c r="BF145" s="4">
        <v>-0.28299999999999997</v>
      </c>
      <c r="BG145" s="4">
        <v>0.7</v>
      </c>
      <c r="BH145" s="4">
        <v>-0.28899999999999998</v>
      </c>
      <c r="BI145" s="4">
        <v>0.53500000000000003</v>
      </c>
      <c r="BJ145" s="4">
        <v>-0.14099999999999999</v>
      </c>
      <c r="BK145" s="4">
        <v>-0.68799999999999994</v>
      </c>
      <c r="BL145" s="4"/>
    </row>
    <row r="146" spans="1:64" x14ac:dyDescent="0.3">
      <c r="A146" t="s">
        <v>148</v>
      </c>
      <c r="B146" s="53">
        <f t="shared" si="16"/>
        <v>0</v>
      </c>
      <c r="C146" s="53">
        <f t="shared" si="17"/>
        <v>0</v>
      </c>
      <c r="D146" s="53">
        <f t="shared" si="18"/>
        <v>0</v>
      </c>
      <c r="E146" s="53">
        <f t="shared" si="19"/>
        <v>0</v>
      </c>
      <c r="F146" s="15">
        <v>0.59099999999999997</v>
      </c>
      <c r="G146">
        <v>0.52600000000000002</v>
      </c>
      <c r="H146" t="s">
        <v>68</v>
      </c>
      <c r="I146" t="str">
        <f>VLOOKUP(A146,Setores!$A$2:$C$215,2,0)</f>
        <v>capital_goods</v>
      </c>
      <c r="J146" t="str">
        <f>VLOOKUP(A146,Setores!$A$2:$C$215,3,0)</f>
        <v>high_beta</v>
      </c>
      <c r="K146" s="100">
        <v>0</v>
      </c>
      <c r="L146" s="58">
        <v>0</v>
      </c>
      <c r="M146" s="7">
        <v>0</v>
      </c>
      <c r="N146" s="41">
        <f>VLOOKUP(A146,'Mandato ISEE'!$A$1:$C$215,2,0)</f>
        <v>0</v>
      </c>
      <c r="O146" s="58">
        <f t="shared" si="20"/>
        <v>0</v>
      </c>
      <c r="P146" s="41">
        <f>VLOOKUP(A146,'Mandato ISEE'!$A$1:$C$215,3,0)</f>
        <v>0</v>
      </c>
      <c r="Q146" s="42">
        <f t="shared" si="21"/>
        <v>0</v>
      </c>
      <c r="R146" s="42">
        <v>-0.73499999999999999</v>
      </c>
      <c r="S146" s="15">
        <v>-0.85699999999999998</v>
      </c>
      <c r="T146" s="15">
        <v>-0.60599999999999998</v>
      </c>
      <c r="U146" s="15">
        <v>-0.78500000000000003</v>
      </c>
      <c r="V146" s="15">
        <v>-0.83199999999999996</v>
      </c>
      <c r="W146" s="15">
        <v>-0.50900000000000001</v>
      </c>
      <c r="X146" s="15">
        <v>-0.17699999999999999</v>
      </c>
      <c r="Y146" s="15">
        <v>-0.74399999999999999</v>
      </c>
      <c r="Z146" s="15">
        <v>8.6999999999999994E-2</v>
      </c>
      <c r="AA146" s="15">
        <v>8.6999999999999994E-2</v>
      </c>
      <c r="AB146" s="15">
        <v>0.41899999999999998</v>
      </c>
      <c r="AC146" s="15">
        <v>0.46700000000000003</v>
      </c>
      <c r="AD146" s="15">
        <v>0.441</v>
      </c>
      <c r="AE146" s="15">
        <v>-0.39300000000000002</v>
      </c>
      <c r="AF146" s="14">
        <v>-0.97499999999999998</v>
      </c>
      <c r="AG146" s="15">
        <v>-0.97199999999999998</v>
      </c>
      <c r="AH146" s="15">
        <v>-0.153</v>
      </c>
      <c r="AI146" s="15">
        <v>-0.35899999999999999</v>
      </c>
      <c r="AJ146" s="15">
        <v>0.129</v>
      </c>
      <c r="AK146" s="16">
        <v>-5.7000000000000002E-2</v>
      </c>
      <c r="AL146" s="4">
        <v>0.104</v>
      </c>
      <c r="AM146" s="4">
        <v>-0.67200000000000004</v>
      </c>
      <c r="AN146" s="4">
        <v>-0.16700000000000001</v>
      </c>
      <c r="AO146" s="4">
        <v>-0.68799999999999994</v>
      </c>
      <c r="AP146" s="4">
        <v>-0.4</v>
      </c>
      <c r="AQ146" s="4">
        <v>-0.69599999999999995</v>
      </c>
      <c r="AR146" s="4">
        <v>-2.5999999999999999E-2</v>
      </c>
      <c r="AS146" s="4">
        <v>-0.21</v>
      </c>
      <c r="AT146" s="4">
        <v>0.42299999999999999</v>
      </c>
      <c r="AU146" s="4">
        <v>-0.23300000000000001</v>
      </c>
      <c r="AV146" s="4">
        <v>6.5000000000000002E-2</v>
      </c>
      <c r="AW146" s="4">
        <v>0.35899999999999999</v>
      </c>
      <c r="AX146" s="4">
        <v>0.45600000000000002</v>
      </c>
      <c r="AY146" s="4">
        <v>0.65200000000000002</v>
      </c>
      <c r="AZ146" s="4">
        <v>0.4</v>
      </c>
      <c r="BA146" s="4">
        <v>-0.44900000000000001</v>
      </c>
      <c r="BB146" s="4">
        <v>-0.16600000000000001</v>
      </c>
      <c r="BC146" s="4">
        <v>-0.125</v>
      </c>
      <c r="BD146" s="4">
        <v>0.21099999999999999</v>
      </c>
      <c r="BE146" s="4">
        <v>-5.8000000000000003E-2</v>
      </c>
      <c r="BF146" s="4">
        <v>0.67500000000000004</v>
      </c>
      <c r="BG146" s="4">
        <v>0.90800000000000003</v>
      </c>
      <c r="BH146" s="4">
        <v>-0.33800000000000002</v>
      </c>
      <c r="BI146" s="4">
        <v>0.40200000000000002</v>
      </c>
      <c r="BJ146" s="4">
        <v>-0.36599999999999999</v>
      </c>
      <c r="BK146" s="4">
        <v>0.48499999999999999</v>
      </c>
      <c r="BL146" s="4"/>
    </row>
    <row r="147" spans="1:64" x14ac:dyDescent="0.3">
      <c r="A147" t="s">
        <v>193</v>
      </c>
      <c r="B147" s="53">
        <f t="shared" si="16"/>
        <v>0</v>
      </c>
      <c r="C147" s="53">
        <f t="shared" si="17"/>
        <v>0</v>
      </c>
      <c r="D147" s="53">
        <f t="shared" si="18"/>
        <v>0</v>
      </c>
      <c r="E147" s="53">
        <f t="shared" si="19"/>
        <v>0</v>
      </c>
      <c r="F147" s="15">
        <v>0.58599999999999997</v>
      </c>
      <c r="G147">
        <v>0.78600000000000003</v>
      </c>
      <c r="H147" t="s">
        <v>55</v>
      </c>
      <c r="I147" t="str">
        <f>VLOOKUP(A147,Setores!$A$2:$C$215,2,0)</f>
        <v>utilities</v>
      </c>
      <c r="J147" t="str">
        <f>VLOOKUP(A147,Setores!$A$2:$C$215,3,0)</f>
        <v>neutral_beta</v>
      </c>
      <c r="K147" s="100">
        <v>0</v>
      </c>
      <c r="L147" s="58">
        <v>0</v>
      </c>
      <c r="M147" s="7">
        <v>0</v>
      </c>
      <c r="N147" s="41">
        <f>VLOOKUP(A147,'Mandato ISEE'!$A$1:$C$215,2,0)</f>
        <v>0</v>
      </c>
      <c r="O147" s="58">
        <f t="shared" si="20"/>
        <v>0</v>
      </c>
      <c r="P147" s="41">
        <f>VLOOKUP(A147,'Mandato ISEE'!$A$1:$C$215,3,0)</f>
        <v>0</v>
      </c>
      <c r="Q147" s="42">
        <f t="shared" si="21"/>
        <v>0</v>
      </c>
      <c r="R147" s="42">
        <v>-0.89</v>
      </c>
      <c r="S147" s="15">
        <v>-0.81200000000000006</v>
      </c>
      <c r="T147" s="15">
        <v>-0.97599999999999998</v>
      </c>
      <c r="U147" s="15">
        <v>-0.83199999999999996</v>
      </c>
      <c r="V147" s="15">
        <v>-0.89700000000000002</v>
      </c>
      <c r="W147" s="15">
        <v>-0.65900000000000003</v>
      </c>
      <c r="X147" s="15">
        <v>-0.38200000000000001</v>
      </c>
      <c r="Y147" s="15">
        <v>-0.67300000000000004</v>
      </c>
      <c r="Z147" s="15">
        <v>0.14399999999999999</v>
      </c>
      <c r="AA147" s="15">
        <v>0.14899999999999999</v>
      </c>
      <c r="AB147" s="15">
        <v>0.71399999999999997</v>
      </c>
      <c r="AC147" s="15">
        <v>0.75</v>
      </c>
      <c r="AD147" s="15">
        <v>0.48699999999999999</v>
      </c>
      <c r="AE147" s="15">
        <v>-0.88700000000000001</v>
      </c>
      <c r="AF147" s="14">
        <v>-0.85199999999999998</v>
      </c>
      <c r="AG147" s="15">
        <v>1.4999999999999999E-2</v>
      </c>
      <c r="AH147" s="15">
        <v>-0.90300000000000002</v>
      </c>
      <c r="AI147" s="15">
        <v>-0.55400000000000005</v>
      </c>
      <c r="AJ147" s="15">
        <v>-0.99</v>
      </c>
      <c r="AK147" s="16">
        <v>-0.27</v>
      </c>
      <c r="AL147" s="4">
        <v>-0.44</v>
      </c>
      <c r="AM147" s="4">
        <v>-0.436</v>
      </c>
      <c r="AN147" s="4">
        <v>-0.40400000000000003</v>
      </c>
      <c r="AO147" s="4">
        <v>8.6999999999999994E-2</v>
      </c>
      <c r="AP147" s="4">
        <v>0.307</v>
      </c>
      <c r="AQ147" s="4">
        <v>-0.219</v>
      </c>
      <c r="AR147" s="4">
        <v>-0.11799999999999999</v>
      </c>
      <c r="AS147" s="4">
        <v>-0.504</v>
      </c>
      <c r="AT147" s="4">
        <v>3.0000000000000001E-3</v>
      </c>
      <c r="AU147" s="4">
        <v>-0.216</v>
      </c>
      <c r="AV147" s="4">
        <v>-0.53400000000000003</v>
      </c>
      <c r="AW147" s="4">
        <v>0.47699999999999998</v>
      </c>
      <c r="AX147" s="4">
        <v>-0.68500000000000005</v>
      </c>
      <c r="AY147" s="4">
        <v>0.90900000000000003</v>
      </c>
      <c r="AZ147" s="4">
        <v>0.247</v>
      </c>
      <c r="BA147" s="4">
        <v>-3.0000000000000001E-3</v>
      </c>
      <c r="BB147" s="4">
        <v>-0.29099999999999998</v>
      </c>
      <c r="BC147" s="4">
        <v>-0.41799999999999998</v>
      </c>
      <c r="BD147" s="4">
        <v>0.29799999999999999</v>
      </c>
      <c r="BE147" s="4">
        <v>0.14099999999999999</v>
      </c>
      <c r="BF147" s="4">
        <v>8.1000000000000003E-2</v>
      </c>
      <c r="BG147" s="4">
        <v>0.92</v>
      </c>
      <c r="BH147" s="4">
        <v>-0.41599999999999998</v>
      </c>
      <c r="BI147" s="4">
        <v>-2.4E-2</v>
      </c>
      <c r="BJ147" s="4">
        <v>-0.19</v>
      </c>
      <c r="BK147" s="4">
        <v>-0.22900000000000001</v>
      </c>
      <c r="BL147" s="4"/>
    </row>
    <row r="148" spans="1:64" x14ac:dyDescent="0.3">
      <c r="A148" t="s">
        <v>140</v>
      </c>
      <c r="B148" s="53">
        <f t="shared" si="16"/>
        <v>0</v>
      </c>
      <c r="C148" s="53">
        <f t="shared" si="17"/>
        <v>-2.5999999999999999E-2</v>
      </c>
      <c r="D148" s="53">
        <f t="shared" si="18"/>
        <v>0</v>
      </c>
      <c r="E148" s="53">
        <f t="shared" si="19"/>
        <v>2.5999999999999999E-2</v>
      </c>
      <c r="F148" s="15">
        <v>0.58599999999999997</v>
      </c>
      <c r="G148">
        <v>0.47499999999999998</v>
      </c>
      <c r="H148" t="s">
        <v>71</v>
      </c>
      <c r="I148" t="str">
        <f>VLOOKUP(A148,Setores!$A$2:$C$215,2,0)</f>
        <v>food</v>
      </c>
      <c r="J148" t="str">
        <f>VLOOKUP(A148,Setores!$A$2:$C$215,3,0)</f>
        <v>very_low_beta</v>
      </c>
      <c r="K148" s="100">
        <v>0</v>
      </c>
      <c r="L148" s="58">
        <v>-2.5999999999999999E-2</v>
      </c>
      <c r="M148" s="7">
        <v>2.5999999999999999E-2</v>
      </c>
      <c r="N148" s="41">
        <f>VLOOKUP(A148,'Mandato ISEE'!$A$1:$C$215,2,0)</f>
        <v>0</v>
      </c>
      <c r="O148" s="58">
        <f t="shared" si="20"/>
        <v>0</v>
      </c>
      <c r="P148" s="41">
        <f>VLOOKUP(A148,'Mandato ISEE'!$A$1:$C$215,3,0)</f>
        <v>0</v>
      </c>
      <c r="Q148" s="42">
        <f t="shared" si="21"/>
        <v>0</v>
      </c>
      <c r="R148" s="42">
        <v>-0.90800000000000003</v>
      </c>
      <c r="S148" s="15">
        <v>-0.94599999999999995</v>
      </c>
      <c r="T148" s="15">
        <v>-0.95599999999999996</v>
      </c>
      <c r="U148" s="15">
        <v>-0.79400000000000004</v>
      </c>
      <c r="V148" s="15">
        <v>-0.90600000000000003</v>
      </c>
      <c r="W148" s="15">
        <v>-0.58399999999999996</v>
      </c>
      <c r="X148" s="15">
        <v>-0.57799999999999996</v>
      </c>
      <c r="Y148" s="15">
        <v>-0.42</v>
      </c>
      <c r="Z148" s="15">
        <v>0.14799999999999999</v>
      </c>
      <c r="AA148" s="15">
        <v>0.14499999999999999</v>
      </c>
      <c r="AB148" s="15">
        <v>0.59599999999999997</v>
      </c>
      <c r="AC148" s="15">
        <v>0.51100000000000001</v>
      </c>
      <c r="AD148" s="15">
        <v>0.35599999999999998</v>
      </c>
      <c r="AE148" s="15">
        <v>-0.69599999999999995</v>
      </c>
      <c r="AF148" s="14">
        <v>-0.35399999999999998</v>
      </c>
      <c r="AG148" s="15">
        <v>-0.6</v>
      </c>
      <c r="AH148" s="15">
        <v>-0.73299999999999998</v>
      </c>
      <c r="AI148" s="15">
        <v>-0.84899999999999998</v>
      </c>
      <c r="AJ148" s="15">
        <v>-0.99</v>
      </c>
      <c r="AK148" s="16">
        <v>9.2999999999999999E-2</v>
      </c>
      <c r="AL148" s="4">
        <v>0.96599999999999997</v>
      </c>
      <c r="AM148" s="4">
        <v>-0.51500000000000001</v>
      </c>
      <c r="AN148" s="4">
        <v>-0.35099999999999998</v>
      </c>
      <c r="AO148" s="4">
        <v>-0.51100000000000001</v>
      </c>
      <c r="AP148" s="4">
        <v>0.45800000000000002</v>
      </c>
      <c r="AQ148" s="4">
        <v>2.1000000000000001E-2</v>
      </c>
      <c r="AR148" s="4">
        <v>-0.22500000000000001</v>
      </c>
      <c r="AS148" s="4">
        <v>-0.107</v>
      </c>
      <c r="AT148" s="4">
        <v>-1.9E-2</v>
      </c>
      <c r="AU148" s="4">
        <v>-0.61199999999999999</v>
      </c>
      <c r="AV148" s="4">
        <v>-0.54800000000000004</v>
      </c>
      <c r="AW148" s="4">
        <v>-3.3000000000000002E-2</v>
      </c>
      <c r="AX148" s="4">
        <v>-0.60099999999999998</v>
      </c>
      <c r="AY148" s="4">
        <v>0.67100000000000004</v>
      </c>
      <c r="AZ148" s="4">
        <v>0.66400000000000003</v>
      </c>
      <c r="BA148" s="4">
        <v>-0.55800000000000005</v>
      </c>
      <c r="BB148" s="4">
        <v>0.34200000000000003</v>
      </c>
      <c r="BC148" s="4">
        <v>-5.0000000000000001E-3</v>
      </c>
      <c r="BD148" s="4">
        <v>0.161</v>
      </c>
      <c r="BE148" s="4">
        <v>0.39700000000000002</v>
      </c>
      <c r="BF148" s="4">
        <v>1</v>
      </c>
      <c r="BG148" s="4">
        <v>0.38400000000000001</v>
      </c>
      <c r="BH148" s="4">
        <v>-0.76100000000000001</v>
      </c>
      <c r="BI148" s="4">
        <v>-0.54700000000000004</v>
      </c>
      <c r="BJ148" s="4">
        <v>-0.36899999999999999</v>
      </c>
      <c r="BK148" s="4">
        <v>-0.51600000000000001</v>
      </c>
      <c r="BL148" s="4"/>
    </row>
    <row r="149" spans="1:64" x14ac:dyDescent="0.3">
      <c r="A149" t="s">
        <v>171</v>
      </c>
      <c r="B149" s="53">
        <f t="shared" si="16"/>
        <v>0</v>
      </c>
      <c r="C149" s="53">
        <f t="shared" si="17"/>
        <v>-0.02</v>
      </c>
      <c r="D149" s="53">
        <f t="shared" si="18"/>
        <v>0</v>
      </c>
      <c r="E149" s="53">
        <f t="shared" si="19"/>
        <v>0.02</v>
      </c>
      <c r="F149" s="15">
        <v>0.58299999999999996</v>
      </c>
      <c r="G149">
        <v>1.149</v>
      </c>
      <c r="H149" t="s">
        <v>57</v>
      </c>
      <c r="I149" t="str">
        <f>VLOOKUP(A149,Setores!$A$2:$C$215,2,0)</f>
        <v>banks</v>
      </c>
      <c r="J149" t="str">
        <f>VLOOKUP(A149,Setores!$A$2:$C$215,3,0)</f>
        <v>neutral_beta</v>
      </c>
      <c r="K149" s="100">
        <v>0</v>
      </c>
      <c r="L149" s="58">
        <v>-0.02</v>
      </c>
      <c r="M149" s="7">
        <v>0.02</v>
      </c>
      <c r="N149" s="41">
        <f>VLOOKUP(A149,'Mandato ISEE'!$A$1:$C$215,2,0)</f>
        <v>0</v>
      </c>
      <c r="O149" s="58">
        <f t="shared" si="20"/>
        <v>0</v>
      </c>
      <c r="P149" s="41">
        <f>VLOOKUP(A149,'Mandato ISEE'!$A$1:$C$215,3,0)</f>
        <v>0</v>
      </c>
      <c r="Q149" s="42">
        <f t="shared" si="21"/>
        <v>0</v>
      </c>
      <c r="R149" s="42">
        <v>-0.83799999999999997</v>
      </c>
      <c r="S149" s="15">
        <v>-0.89200000000000002</v>
      </c>
      <c r="T149" s="15">
        <v>-0.88800000000000001</v>
      </c>
      <c r="U149" s="15">
        <v>-0.80900000000000005</v>
      </c>
      <c r="V149" s="15">
        <v>-0.88100000000000001</v>
      </c>
      <c r="W149" s="15">
        <v>-0.66400000000000003</v>
      </c>
      <c r="X149" s="15">
        <v>-0.432</v>
      </c>
      <c r="Y149" s="15">
        <v>-0.79900000000000004</v>
      </c>
      <c r="Z149" s="15">
        <v>0.315</v>
      </c>
      <c r="AA149" s="15">
        <v>0.311</v>
      </c>
      <c r="AB149" s="15">
        <v>0.60599999999999998</v>
      </c>
      <c r="AC149" s="15">
        <v>0.67300000000000004</v>
      </c>
      <c r="AD149" s="15">
        <v>0.51</v>
      </c>
      <c r="AE149" s="15">
        <v>-0.74199999999999999</v>
      </c>
      <c r="AF149" s="14">
        <v>0.18</v>
      </c>
      <c r="AG149" s="15">
        <v>-0.72499999999999998</v>
      </c>
      <c r="AH149" s="15">
        <v>-0.86899999999999999</v>
      </c>
      <c r="AI149" s="15">
        <v>-1</v>
      </c>
      <c r="AJ149" s="15">
        <v>-1</v>
      </c>
      <c r="AK149" s="16">
        <v>-0.21199999999999999</v>
      </c>
      <c r="AL149" s="4">
        <v>-6.0000000000000001E-3</v>
      </c>
      <c r="AM149" s="4">
        <v>8.1000000000000003E-2</v>
      </c>
      <c r="AN149" s="4">
        <v>0.214</v>
      </c>
      <c r="AO149" s="4">
        <v>-0.499</v>
      </c>
      <c r="AP149" s="4">
        <v>-0.56499999999999995</v>
      </c>
      <c r="AQ149" s="4">
        <v>5.6000000000000001E-2</v>
      </c>
      <c r="AR149" s="4">
        <v>0.255</v>
      </c>
      <c r="AS149" s="4">
        <v>0.245</v>
      </c>
      <c r="AT149" s="4">
        <v>-0.19900000000000001</v>
      </c>
      <c r="AU149" s="4">
        <v>-0.52400000000000002</v>
      </c>
      <c r="AV149" s="4">
        <v>-0.76400000000000001</v>
      </c>
      <c r="AW149" s="4">
        <v>0.33</v>
      </c>
      <c r="AX149" s="4">
        <v>-0.438</v>
      </c>
      <c r="AY149" s="4">
        <v>7.4999999999999997E-2</v>
      </c>
      <c r="AZ149" s="4">
        <v>-0.56100000000000005</v>
      </c>
      <c r="BA149" s="4">
        <v>0.39600000000000002</v>
      </c>
      <c r="BB149" s="4">
        <v>-6.9000000000000006E-2</v>
      </c>
      <c r="BC149" s="4">
        <v>-0.21099999999999999</v>
      </c>
      <c r="BD149" s="4">
        <v>0.27</v>
      </c>
      <c r="BE149" s="4">
        <v>0.1</v>
      </c>
      <c r="BF149" s="4">
        <v>0.52200000000000002</v>
      </c>
      <c r="BG149" s="4">
        <v>0.94299999999999995</v>
      </c>
      <c r="BH149" s="4">
        <v>-0.19800000000000001</v>
      </c>
      <c r="BI149" s="4">
        <v>-0.126</v>
      </c>
      <c r="BJ149" s="4">
        <v>0.191</v>
      </c>
      <c r="BK149" s="4">
        <v>-0.57699999999999996</v>
      </c>
      <c r="BL149" s="4"/>
    </row>
    <row r="150" spans="1:64" x14ac:dyDescent="0.3">
      <c r="A150" t="s">
        <v>192</v>
      </c>
      <c r="B150" s="53">
        <f t="shared" si="16"/>
        <v>0</v>
      </c>
      <c r="C150" s="53">
        <f t="shared" si="17"/>
        <v>-2.8000000000000001E-2</v>
      </c>
      <c r="D150" s="53">
        <f t="shared" si="18"/>
        <v>0</v>
      </c>
      <c r="E150" s="53">
        <f t="shared" si="19"/>
        <v>2.8000000000000001E-2</v>
      </c>
      <c r="F150" s="15">
        <v>0.58199999999999996</v>
      </c>
      <c r="G150">
        <v>1.0620000000000001</v>
      </c>
      <c r="H150" t="s">
        <v>57</v>
      </c>
      <c r="I150" t="str">
        <f>VLOOKUP(A150,Setores!$A$2:$C$215,2,0)</f>
        <v>banks</v>
      </c>
      <c r="J150" t="str">
        <f>VLOOKUP(A150,Setores!$A$2:$C$215,3,0)</f>
        <v>neutral_beta</v>
      </c>
      <c r="K150" s="100">
        <v>0</v>
      </c>
      <c r="L150" s="58">
        <v>-2.8000000000000001E-2</v>
      </c>
      <c r="M150" s="7">
        <v>2.8000000000000001E-2</v>
      </c>
      <c r="N150" s="41">
        <f>VLOOKUP(A150,'Mandato ISEE'!$A$1:$C$215,2,0)</f>
        <v>0</v>
      </c>
      <c r="O150" s="58">
        <f t="shared" si="20"/>
        <v>0</v>
      </c>
      <c r="P150" s="41">
        <f>VLOOKUP(A150,'Mandato ISEE'!$A$1:$C$215,3,0)</f>
        <v>0</v>
      </c>
      <c r="Q150" s="42">
        <f t="shared" si="21"/>
        <v>0</v>
      </c>
      <c r="R150" s="42">
        <v>-0.92600000000000005</v>
      </c>
      <c r="S150" s="15">
        <v>-0.85699999999999998</v>
      </c>
      <c r="T150" s="15">
        <v>-0.96599999999999997</v>
      </c>
      <c r="U150" s="15">
        <v>-0.85599999999999998</v>
      </c>
      <c r="V150" s="15">
        <v>-0.89</v>
      </c>
      <c r="W150" s="15">
        <v>-0.78300000000000003</v>
      </c>
      <c r="X150" s="15">
        <v>-0.625</v>
      </c>
      <c r="Y150" s="15">
        <v>-0.73199999999999998</v>
      </c>
      <c r="Z150" s="15">
        <v>0.48399999999999999</v>
      </c>
      <c r="AA150" s="15">
        <v>0.48299999999999998</v>
      </c>
      <c r="AB150" s="15">
        <v>0.624</v>
      </c>
      <c r="AC150" s="15">
        <v>0.76400000000000001</v>
      </c>
      <c r="AD150" s="15">
        <v>0.51500000000000001</v>
      </c>
      <c r="AE150" s="15">
        <v>-0.79</v>
      </c>
      <c r="AF150" s="14">
        <v>-0.41</v>
      </c>
      <c r="AG150" s="15">
        <v>-0.155</v>
      </c>
      <c r="AH150" s="15">
        <v>-0.89600000000000002</v>
      </c>
      <c r="AI150" s="15">
        <v>-1</v>
      </c>
      <c r="AJ150" s="15">
        <v>-1</v>
      </c>
      <c r="AK150" s="16">
        <v>-2.8000000000000001E-2</v>
      </c>
      <c r="AL150" s="4">
        <v>-2.3E-2</v>
      </c>
      <c r="AM150" s="4">
        <v>0.42499999999999999</v>
      </c>
      <c r="AN150" s="4">
        <v>-0.502</v>
      </c>
      <c r="AO150" s="4">
        <v>-0.25</v>
      </c>
      <c r="AP150" s="4">
        <v>-0.28100000000000003</v>
      </c>
      <c r="AQ150" s="4">
        <v>-0.23799999999999999</v>
      </c>
      <c r="AR150" s="4">
        <v>3.1E-2</v>
      </c>
      <c r="AS150" s="4">
        <v>-0.25700000000000001</v>
      </c>
      <c r="AT150" s="4">
        <v>-0.189</v>
      </c>
      <c r="AU150" s="4">
        <v>-0.46899999999999997</v>
      </c>
      <c r="AV150" s="4">
        <v>-0.8</v>
      </c>
      <c r="AW150" s="4">
        <v>0.28799999999999998</v>
      </c>
      <c r="AX150" s="4">
        <v>-0.58399999999999996</v>
      </c>
      <c r="AY150" s="4">
        <v>0.111</v>
      </c>
      <c r="AZ150" s="4">
        <v>-0.22900000000000001</v>
      </c>
      <c r="BA150" s="4">
        <v>-0.60699999999999998</v>
      </c>
      <c r="BB150" s="4">
        <v>-0.17</v>
      </c>
      <c r="BC150" s="4">
        <v>-0.152</v>
      </c>
      <c r="BD150" s="4">
        <v>0.11799999999999999</v>
      </c>
      <c r="BE150" s="4">
        <v>0.26300000000000001</v>
      </c>
      <c r="BF150" s="4">
        <v>0.313</v>
      </c>
      <c r="BG150" s="4">
        <v>0.90800000000000003</v>
      </c>
      <c r="BH150" s="4">
        <v>-0.40400000000000003</v>
      </c>
      <c r="BI150" s="4">
        <v>8.9999999999999993E-3</v>
      </c>
      <c r="BJ150" s="4">
        <v>-0.32300000000000001</v>
      </c>
      <c r="BK150" s="4">
        <v>-0.63400000000000001</v>
      </c>
      <c r="BL150" s="4"/>
    </row>
    <row r="151" spans="1:64" x14ac:dyDescent="0.3">
      <c r="A151" t="s">
        <v>139</v>
      </c>
      <c r="B151" s="53">
        <f t="shared" si="16"/>
        <v>0</v>
      </c>
      <c r="C151" s="53">
        <f t="shared" si="17"/>
        <v>0</v>
      </c>
      <c r="D151" s="53">
        <f t="shared" si="18"/>
        <v>0</v>
      </c>
      <c r="E151" s="53">
        <f t="shared" si="19"/>
        <v>0</v>
      </c>
      <c r="F151" s="15">
        <v>0.58099999999999996</v>
      </c>
      <c r="G151">
        <v>0.61599999999999999</v>
      </c>
      <c r="H151" t="s">
        <v>71</v>
      </c>
      <c r="I151" t="str">
        <f>VLOOKUP(A151,Setores!$A$2:$C$215,2,0)</f>
        <v>basic_materials</v>
      </c>
      <c r="J151" t="str">
        <f>VLOOKUP(A151,Setores!$A$2:$C$215,3,0)</f>
        <v>neutral_beta</v>
      </c>
      <c r="K151" s="100">
        <v>0</v>
      </c>
      <c r="L151" s="58">
        <v>0</v>
      </c>
      <c r="M151" s="7">
        <v>0</v>
      </c>
      <c r="N151" s="41">
        <f>VLOOKUP(A151,'Mandato ISEE'!$A$1:$C$215,2,0)</f>
        <v>0</v>
      </c>
      <c r="O151" s="58">
        <f t="shared" si="20"/>
        <v>0</v>
      </c>
      <c r="P151" s="41">
        <f>VLOOKUP(A151,'Mandato ISEE'!$A$1:$C$215,3,0)</f>
        <v>0</v>
      </c>
      <c r="Q151" s="42">
        <f t="shared" si="21"/>
        <v>0</v>
      </c>
      <c r="R151" s="42">
        <v>-0.84199999999999997</v>
      </c>
      <c r="S151" s="15">
        <v>-0.91900000000000004</v>
      </c>
      <c r="T151" s="15">
        <v>-0.90800000000000003</v>
      </c>
      <c r="U151" s="15">
        <v>-0.79100000000000004</v>
      </c>
      <c r="V151" s="15">
        <v>-0.90100000000000002</v>
      </c>
      <c r="W151" s="15">
        <v>-0.56200000000000006</v>
      </c>
      <c r="X151" s="15">
        <v>-0.371</v>
      </c>
      <c r="Y151" s="15">
        <v>-0.67900000000000005</v>
      </c>
      <c r="Z151" s="15">
        <v>0.24</v>
      </c>
      <c r="AA151" s="15">
        <v>0.23799999999999999</v>
      </c>
      <c r="AB151" s="15">
        <v>0.47099999999999997</v>
      </c>
      <c r="AC151" s="15">
        <v>0.47599999999999998</v>
      </c>
      <c r="AD151" s="15">
        <v>0.41299999999999998</v>
      </c>
      <c r="AE151" s="15">
        <v>-0.78800000000000003</v>
      </c>
      <c r="AF151" s="14">
        <v>-0.51500000000000001</v>
      </c>
      <c r="AG151" s="15">
        <v>-1</v>
      </c>
      <c r="AH151" s="15">
        <v>-0.90200000000000002</v>
      </c>
      <c r="AI151" s="15">
        <v>-1</v>
      </c>
      <c r="AJ151" s="15">
        <v>-0.93100000000000005</v>
      </c>
      <c r="AK151" s="16">
        <v>-0.40200000000000002</v>
      </c>
      <c r="AL151" s="4">
        <v>0.499</v>
      </c>
      <c r="AM151" s="4">
        <v>-0.76800000000000002</v>
      </c>
      <c r="AN151" s="4">
        <v>-0.50800000000000001</v>
      </c>
      <c r="AO151" s="4">
        <v>-0.42299999999999999</v>
      </c>
      <c r="AP151" s="4">
        <v>-0.28799999999999998</v>
      </c>
      <c r="AQ151" s="4">
        <v>2.5999999999999999E-2</v>
      </c>
      <c r="AR151" s="4">
        <v>0.93100000000000005</v>
      </c>
      <c r="AS151" s="4">
        <v>0.28999999999999998</v>
      </c>
      <c r="AT151" s="4">
        <v>0.20699999999999999</v>
      </c>
      <c r="AU151" s="4">
        <v>-9.0999999999999998E-2</v>
      </c>
      <c r="AV151" s="4">
        <v>-0.33500000000000002</v>
      </c>
      <c r="AW151" s="4">
        <v>0.17599999999999999</v>
      </c>
      <c r="AX151" s="4">
        <v>0.29599999999999999</v>
      </c>
      <c r="AY151" s="4">
        <v>1.7999999999999999E-2</v>
      </c>
      <c r="AZ151" s="4">
        <v>-0.98399999999999999</v>
      </c>
      <c r="BA151" s="4">
        <v>0.51100000000000001</v>
      </c>
      <c r="BB151" s="4">
        <v>0.29199999999999998</v>
      </c>
      <c r="BC151" s="4">
        <v>-3.6999999999999998E-2</v>
      </c>
      <c r="BD151" s="4">
        <v>0.32900000000000001</v>
      </c>
      <c r="BE151" s="4">
        <v>-0.65200000000000002</v>
      </c>
      <c r="BF151" s="4">
        <v>-0.46200000000000002</v>
      </c>
      <c r="BG151" s="4">
        <v>0.34899999999999998</v>
      </c>
      <c r="BH151" s="4">
        <v>-0.23200000000000001</v>
      </c>
      <c r="BI151" s="4">
        <v>-0.35199999999999998</v>
      </c>
      <c r="BJ151" s="4">
        <v>0.374</v>
      </c>
      <c r="BK151" s="4">
        <v>-0.35699999999999998</v>
      </c>
      <c r="BL151" s="4"/>
    </row>
    <row r="152" spans="1:64" x14ac:dyDescent="0.3">
      <c r="A152" t="s">
        <v>601</v>
      </c>
      <c r="B152" s="53">
        <f t="shared" si="16"/>
        <v>0</v>
      </c>
      <c r="C152" s="53">
        <f t="shared" si="17"/>
        <v>0</v>
      </c>
      <c r="D152" s="53">
        <f t="shared" si="18"/>
        <v>0</v>
      </c>
      <c r="E152" s="53">
        <f t="shared" si="19"/>
        <v>0</v>
      </c>
      <c r="F152" s="15">
        <v>0.57899999999999996</v>
      </c>
      <c r="G152">
        <v>0.50700000000000001</v>
      </c>
      <c r="H152" t="s">
        <v>53</v>
      </c>
      <c r="I152" t="str">
        <f>VLOOKUP(A152,Setores!$A$2:$C$215,2,0)</f>
        <v>healthcare</v>
      </c>
      <c r="J152" t="str">
        <f>VLOOKUP(A152,Setores!$A$2:$C$215,3,0)</f>
        <v>neutral_beta</v>
      </c>
      <c r="K152" s="100">
        <v>0</v>
      </c>
      <c r="L152" s="58">
        <v>0</v>
      </c>
      <c r="M152" s="7">
        <v>0</v>
      </c>
      <c r="N152" s="41">
        <f>VLOOKUP(A152,'Mandato ISEE'!$A$1:$C$215,2,0)</f>
        <v>0</v>
      </c>
      <c r="O152" s="58">
        <f t="shared" si="20"/>
        <v>0</v>
      </c>
      <c r="P152" s="41">
        <f>VLOOKUP(A152,'Mandato ISEE'!$A$1:$C$215,3,0)</f>
        <v>0</v>
      </c>
      <c r="Q152" s="42">
        <f t="shared" si="21"/>
        <v>0</v>
      </c>
      <c r="R152" s="42">
        <v>-0.371</v>
      </c>
      <c r="S152" s="15">
        <v>-0.52600000000000002</v>
      </c>
      <c r="T152" s="15">
        <v>-0.40400000000000003</v>
      </c>
      <c r="U152" s="15">
        <v>-0.56999999999999995</v>
      </c>
      <c r="V152" s="15">
        <v>-0.629</v>
      </c>
      <c r="W152" s="15">
        <v>-0.63700000000000001</v>
      </c>
      <c r="X152" s="15">
        <v>-0.61</v>
      </c>
      <c r="Y152" s="15">
        <v>-0.81100000000000005</v>
      </c>
      <c r="Z152" s="15">
        <v>-0.28499999999999998</v>
      </c>
      <c r="AA152" s="15">
        <v>-0.27600000000000002</v>
      </c>
      <c r="AB152" s="15">
        <v>0.42299999999999999</v>
      </c>
      <c r="AC152" s="15">
        <v>0.35199999999999998</v>
      </c>
      <c r="AD152" s="15">
        <v>0.246</v>
      </c>
      <c r="AE152" s="15">
        <v>-0.70699999999999996</v>
      </c>
      <c r="AF152" s="14">
        <v>-0.35199999999999998</v>
      </c>
      <c r="AG152" s="15">
        <v>-0.374</v>
      </c>
      <c r="AH152" s="15">
        <v>-0.55700000000000005</v>
      </c>
      <c r="AI152" s="15">
        <v>-0.23</v>
      </c>
      <c r="AJ152" s="15">
        <v>1</v>
      </c>
      <c r="AK152" s="16">
        <v>-0.73499999999999999</v>
      </c>
      <c r="AL152" s="4">
        <v>-1</v>
      </c>
      <c r="AM152" s="4">
        <v>-0.87</v>
      </c>
      <c r="AN152" s="4">
        <v>0.14799999999999999</v>
      </c>
      <c r="AO152" s="4">
        <v>7.1999999999999995E-2</v>
      </c>
      <c r="AP152" s="4">
        <v>0.22600000000000001</v>
      </c>
      <c r="AQ152" s="4">
        <v>0.85</v>
      </c>
      <c r="AR152" s="4">
        <v>1</v>
      </c>
      <c r="AS152" s="4">
        <v>1</v>
      </c>
      <c r="AT152" s="4">
        <v>-0.11</v>
      </c>
      <c r="AU152" s="4">
        <v>-0.621</v>
      </c>
      <c r="AV152" s="4">
        <v>0.12</v>
      </c>
      <c r="AW152" s="4">
        <v>0.109</v>
      </c>
      <c r="AX152" s="4">
        <v>-1.6E-2</v>
      </c>
      <c r="AY152" s="4">
        <v>-0.27100000000000002</v>
      </c>
      <c r="AZ152" s="4">
        <v>-1</v>
      </c>
      <c r="BA152" s="4">
        <v>0.56799999999999995</v>
      </c>
      <c r="BB152" s="4">
        <v>-0.70599999999999996</v>
      </c>
      <c r="BC152" s="4">
        <v>-0.64900000000000002</v>
      </c>
      <c r="BD152" s="4">
        <v>0.41399999999999998</v>
      </c>
      <c r="BE152" s="4">
        <v>-0.85499999999999998</v>
      </c>
      <c r="BF152" s="4">
        <v>2.4E-2</v>
      </c>
      <c r="BG152" s="4">
        <v>0.41099999999999998</v>
      </c>
      <c r="BH152" s="4">
        <v>-0.13600000000000001</v>
      </c>
      <c r="BI152" s="4">
        <v>-0.13200000000000001</v>
      </c>
      <c r="BJ152" s="4">
        <v>0.68200000000000005</v>
      </c>
      <c r="BK152" s="4">
        <v>0.66700000000000004</v>
      </c>
      <c r="BL152" s="4"/>
    </row>
    <row r="153" spans="1:64" x14ac:dyDescent="0.3">
      <c r="A153" t="s">
        <v>141</v>
      </c>
      <c r="B153" s="53">
        <f t="shared" si="16"/>
        <v>0</v>
      </c>
      <c r="C153" s="53">
        <f t="shared" si="17"/>
        <v>-5.0000000000000001E-3</v>
      </c>
      <c r="D153" s="53">
        <f t="shared" si="18"/>
        <v>0</v>
      </c>
      <c r="E153" s="53">
        <f t="shared" si="19"/>
        <v>5.0000000000000001E-3</v>
      </c>
      <c r="F153" s="15">
        <v>0.57799999999999996</v>
      </c>
      <c r="G153">
        <v>0.48</v>
      </c>
      <c r="H153" t="s">
        <v>57</v>
      </c>
      <c r="I153" t="str">
        <f>VLOOKUP(A153,Setores!$A$2:$C$215,2,0)</f>
        <v>education</v>
      </c>
      <c r="J153" t="str">
        <f>VLOOKUP(A153,Setores!$A$2:$C$215,3,0)</f>
        <v>high_beta</v>
      </c>
      <c r="K153" s="100">
        <v>0</v>
      </c>
      <c r="L153" s="58">
        <v>-5.0000000000000001E-3</v>
      </c>
      <c r="M153" s="7">
        <v>5.0000000000000001E-3</v>
      </c>
      <c r="N153" s="41">
        <f>VLOOKUP(A153,'Mandato ISEE'!$A$1:$C$215,2,0)</f>
        <v>0</v>
      </c>
      <c r="O153" s="58">
        <f t="shared" si="20"/>
        <v>0</v>
      </c>
      <c r="P153" s="41">
        <f>VLOOKUP(A153,'Mandato ISEE'!$A$1:$C$215,3,0)</f>
        <v>1.6730993243305001E-2</v>
      </c>
      <c r="Q153" s="42">
        <f t="shared" si="21"/>
        <v>-1.6730993243305001E-2</v>
      </c>
      <c r="R153" s="42">
        <v>-0.50900000000000001</v>
      </c>
      <c r="S153" s="15">
        <v>-0.71399999999999997</v>
      </c>
      <c r="T153" s="15">
        <v>-0.34399999999999997</v>
      </c>
      <c r="U153" s="15">
        <v>-0.45800000000000002</v>
      </c>
      <c r="V153" s="15">
        <v>-0.502</v>
      </c>
      <c r="W153" s="15">
        <v>-0.66300000000000003</v>
      </c>
      <c r="X153" s="15">
        <v>-0.6</v>
      </c>
      <c r="Y153" s="15">
        <v>-0.79200000000000004</v>
      </c>
      <c r="Z153" s="15">
        <v>-0.33700000000000002</v>
      </c>
      <c r="AA153" s="15">
        <v>-0.33500000000000002</v>
      </c>
      <c r="AB153" s="15">
        <v>0.71199999999999997</v>
      </c>
      <c r="AC153" s="15">
        <v>0.6</v>
      </c>
      <c r="AD153" s="15">
        <v>0.217</v>
      </c>
      <c r="AE153" s="15">
        <v>9.8000000000000004E-2</v>
      </c>
      <c r="AF153" s="14">
        <v>0.23699999999999999</v>
      </c>
      <c r="AG153" s="15">
        <v>-0.69499999999999995</v>
      </c>
      <c r="AH153" s="15">
        <v>-4.3999999999999997E-2</v>
      </c>
      <c r="AI153" s="15">
        <v>-0.56699999999999995</v>
      </c>
      <c r="AJ153" s="15">
        <v>0.60799999999999998</v>
      </c>
      <c r="AK153" s="16">
        <v>0.251</v>
      </c>
      <c r="AL153" s="4">
        <v>-0.40600000000000003</v>
      </c>
      <c r="AM153" s="4">
        <v>-0.37</v>
      </c>
      <c r="AN153" s="4">
        <v>0.46100000000000002</v>
      </c>
      <c r="AO153" s="4">
        <v>-0.61099999999999999</v>
      </c>
      <c r="AP153" s="4">
        <v>-0.39400000000000002</v>
      </c>
      <c r="AQ153" s="4">
        <v>0.45800000000000002</v>
      </c>
      <c r="AR153" s="4">
        <v>-0.14799999999999999</v>
      </c>
      <c r="AS153" s="4">
        <v>-0.217</v>
      </c>
      <c r="AT153" s="4">
        <v>0.20699999999999999</v>
      </c>
      <c r="AU153" s="4">
        <v>2.5999999999999999E-2</v>
      </c>
      <c r="AV153" s="4">
        <v>0.34799999999999998</v>
      </c>
      <c r="AW153" s="4">
        <v>-0.40300000000000002</v>
      </c>
      <c r="AX153" s="4">
        <v>-0.51600000000000001</v>
      </c>
      <c r="AY153" s="4">
        <v>0.72499999999999998</v>
      </c>
      <c r="AZ153" s="4">
        <v>-0.29499999999999998</v>
      </c>
      <c r="BA153" s="4">
        <v>-0.115</v>
      </c>
      <c r="BB153" s="4">
        <v>0.20300000000000001</v>
      </c>
      <c r="BC153" s="4">
        <v>0.14299999999999999</v>
      </c>
      <c r="BD153" s="4">
        <v>0.186</v>
      </c>
      <c r="BE153" s="4">
        <v>0.34899999999999998</v>
      </c>
      <c r="BF153" s="4">
        <v>-0.91300000000000003</v>
      </c>
      <c r="BG153" s="4">
        <v>-1.0999999999999999E-2</v>
      </c>
      <c r="BH153" s="4">
        <v>0.186</v>
      </c>
      <c r="BI153" s="4">
        <v>0.30399999999999999</v>
      </c>
      <c r="BJ153" s="4">
        <v>-0.52700000000000002</v>
      </c>
      <c r="BK153" s="4">
        <v>0.05</v>
      </c>
      <c r="BL153" s="4"/>
    </row>
    <row r="154" spans="1:64" x14ac:dyDescent="0.3">
      <c r="A154" t="s">
        <v>133</v>
      </c>
      <c r="B154" s="53">
        <f t="shared" si="16"/>
        <v>0</v>
      </c>
      <c r="C154" s="53">
        <f t="shared" si="17"/>
        <v>0</v>
      </c>
      <c r="D154" s="53">
        <f t="shared" si="18"/>
        <v>0</v>
      </c>
      <c r="E154" s="53">
        <f t="shared" si="19"/>
        <v>0</v>
      </c>
      <c r="F154" s="15">
        <v>0.57599999999999996</v>
      </c>
      <c r="G154">
        <v>0.69299999999999995</v>
      </c>
      <c r="H154" t="s">
        <v>68</v>
      </c>
      <c r="I154" t="str">
        <f>VLOOKUP(A154,Setores!$A$2:$C$215,2,0)</f>
        <v>capital_goods</v>
      </c>
      <c r="J154" t="str">
        <f>VLOOKUP(A154,Setores!$A$2:$C$215,3,0)</f>
        <v>very_low_beta</v>
      </c>
      <c r="K154" s="100">
        <v>0</v>
      </c>
      <c r="L154" s="58">
        <v>0</v>
      </c>
      <c r="M154" s="7">
        <v>0</v>
      </c>
      <c r="N154" s="41">
        <f>VLOOKUP(A154,'Mandato ISEE'!$A$1:$C$215,2,0)</f>
        <v>0</v>
      </c>
      <c r="O154" s="58">
        <f t="shared" si="20"/>
        <v>0</v>
      </c>
      <c r="P154" s="41">
        <f>VLOOKUP(A154,'Mandato ISEE'!$A$1:$C$215,3,0)</f>
        <v>0</v>
      </c>
      <c r="Q154" s="42">
        <f t="shared" si="21"/>
        <v>0</v>
      </c>
      <c r="R154" s="42">
        <v>-0.79200000000000004</v>
      </c>
      <c r="S154" s="15">
        <v>-0.79800000000000004</v>
      </c>
      <c r="T154" s="15">
        <v>-0.35699999999999998</v>
      </c>
      <c r="U154" s="15">
        <v>-0.85499999999999998</v>
      </c>
      <c r="V154" s="15">
        <v>-0.73899999999999999</v>
      </c>
      <c r="W154" s="15">
        <v>-0.73</v>
      </c>
      <c r="X154" s="15">
        <v>-0.51500000000000001</v>
      </c>
      <c r="Y154" s="15">
        <v>-0.78300000000000003</v>
      </c>
      <c r="Z154" s="15">
        <v>0.216</v>
      </c>
      <c r="AA154" s="15">
        <v>0.215</v>
      </c>
      <c r="AB154" s="15">
        <v>0.35099999999999998</v>
      </c>
      <c r="AC154" s="15">
        <v>0.40699999999999997</v>
      </c>
      <c r="AD154" s="15">
        <v>0.41499999999999998</v>
      </c>
      <c r="AE154" s="15">
        <v>-0.56200000000000006</v>
      </c>
      <c r="AF154" s="14">
        <v>-0.80900000000000005</v>
      </c>
      <c r="AG154" s="15">
        <v>-0.81299999999999994</v>
      </c>
      <c r="AH154" s="15">
        <v>0.57199999999999995</v>
      </c>
      <c r="AI154" s="15">
        <v>-0.432</v>
      </c>
      <c r="AJ154" s="15">
        <v>-0.35499999999999998</v>
      </c>
      <c r="AK154" s="16">
        <v>-0.20799999999999999</v>
      </c>
      <c r="AL154" s="4">
        <v>0.14399999999999999</v>
      </c>
      <c r="AM154" s="4">
        <v>0.23100000000000001</v>
      </c>
      <c r="AN154" s="4">
        <v>0.05</v>
      </c>
      <c r="AO154" s="4">
        <v>-0.58799999999999997</v>
      </c>
      <c r="AP154" s="4">
        <v>-0.66700000000000004</v>
      </c>
      <c r="AQ154" s="4">
        <v>-0.54200000000000004</v>
      </c>
      <c r="AR154" s="4">
        <v>-0.63600000000000001</v>
      </c>
      <c r="AS154" s="4">
        <v>-0.81499999999999995</v>
      </c>
      <c r="AT154" s="4">
        <v>-0.15</v>
      </c>
      <c r="AU154" s="4">
        <v>-0.40300000000000002</v>
      </c>
      <c r="AV154" s="4">
        <v>-0.38500000000000001</v>
      </c>
      <c r="AW154" s="4">
        <v>0.64500000000000002</v>
      </c>
      <c r="AX154" s="4">
        <v>-0.14899999999999999</v>
      </c>
      <c r="AY154" s="4">
        <v>0.83299999999999996</v>
      </c>
      <c r="AZ154" s="4">
        <v>-0.63800000000000001</v>
      </c>
      <c r="BA154" s="4">
        <v>0.45200000000000001</v>
      </c>
      <c r="BB154" s="4">
        <v>-0.10299999999999999</v>
      </c>
      <c r="BC154" s="4">
        <v>-0.33700000000000002</v>
      </c>
      <c r="BD154" s="4">
        <v>9.2999999999999999E-2</v>
      </c>
      <c r="BE154" s="4">
        <v>-0.11600000000000001</v>
      </c>
      <c r="BF154" s="4">
        <v>1</v>
      </c>
      <c r="BG154" s="4">
        <v>0.68100000000000005</v>
      </c>
      <c r="BH154" s="4">
        <v>0.28999999999999998</v>
      </c>
      <c r="BI154" s="4">
        <v>-0.128</v>
      </c>
      <c r="BJ154" s="4">
        <v>0.81299999999999994</v>
      </c>
      <c r="BK154" s="4">
        <v>0.75600000000000001</v>
      </c>
      <c r="BL154" s="4"/>
    </row>
    <row r="155" spans="1:64" x14ac:dyDescent="0.3">
      <c r="A155" t="s">
        <v>208</v>
      </c>
      <c r="B155" s="53">
        <f t="shared" si="16"/>
        <v>0</v>
      </c>
      <c r="C155" s="53">
        <f t="shared" si="17"/>
        <v>-3.0000000000000001E-3</v>
      </c>
      <c r="D155" s="53">
        <f t="shared" si="18"/>
        <v>0</v>
      </c>
      <c r="E155" s="53">
        <f t="shared" si="19"/>
        <v>3.0000000000000001E-3</v>
      </c>
      <c r="F155" s="15">
        <v>0.57399999999999995</v>
      </c>
      <c r="G155">
        <v>0.42</v>
      </c>
      <c r="H155" t="s">
        <v>57</v>
      </c>
      <c r="I155" t="str">
        <f>VLOOKUP(A155,Setores!$A$2:$C$215,2,0)</f>
        <v>consumer_services</v>
      </c>
      <c r="J155" t="str">
        <f>VLOOKUP(A155,Setores!$A$2:$C$215,3,0)</f>
        <v>very_high_beta</v>
      </c>
      <c r="K155" s="100">
        <v>0</v>
      </c>
      <c r="L155" s="58">
        <v>-3.0000000000000001E-3</v>
      </c>
      <c r="M155" s="7">
        <v>3.0000000000000001E-3</v>
      </c>
      <c r="N155" s="41">
        <f>VLOOKUP(A155,'Mandato ISEE'!$A$1:$C$215,2,0)</f>
        <v>0</v>
      </c>
      <c r="O155" s="58">
        <f t="shared" si="20"/>
        <v>0</v>
      </c>
      <c r="P155" s="41">
        <f>VLOOKUP(A155,'Mandato ISEE'!$A$1:$C$215,3,0)</f>
        <v>0</v>
      </c>
      <c r="Q155" s="42">
        <f t="shared" si="21"/>
        <v>0</v>
      </c>
      <c r="R155" s="42">
        <v>-0.745</v>
      </c>
      <c r="S155" s="15">
        <v>-0.66200000000000003</v>
      </c>
      <c r="T155" s="15">
        <v>-0.81699999999999995</v>
      </c>
      <c r="U155" s="15">
        <v>-0.72</v>
      </c>
      <c r="V155" s="15">
        <v>-0.748</v>
      </c>
      <c r="W155" s="15">
        <v>-0.79900000000000004</v>
      </c>
      <c r="X155" s="15">
        <v>-0.81200000000000006</v>
      </c>
      <c r="Y155" s="15">
        <v>-0.69699999999999995</v>
      </c>
      <c r="Z155" s="15">
        <v>0.03</v>
      </c>
      <c r="AA155" s="15">
        <v>2.3E-2</v>
      </c>
      <c r="AB155" s="15">
        <v>0.40200000000000002</v>
      </c>
      <c r="AC155" s="15">
        <v>0.46800000000000003</v>
      </c>
      <c r="AD155" s="15">
        <v>0.496</v>
      </c>
      <c r="AE155" s="15">
        <v>-0.38200000000000001</v>
      </c>
      <c r="AF155" s="14">
        <v>-0.28799999999999998</v>
      </c>
      <c r="AG155" s="15">
        <v>-0.32900000000000001</v>
      </c>
      <c r="AH155" s="15">
        <v>-0.40600000000000003</v>
      </c>
      <c r="AI155" s="15">
        <v>0.20499999999999999</v>
      </c>
      <c r="AJ155" s="15">
        <v>-0.76600000000000001</v>
      </c>
      <c r="AK155" s="16">
        <v>-0.122</v>
      </c>
      <c r="AL155" s="4">
        <v>-0.34300000000000003</v>
      </c>
      <c r="AM155" s="4">
        <v>-0.13</v>
      </c>
      <c r="AN155" s="4">
        <v>8.3000000000000004E-2</v>
      </c>
      <c r="AO155" s="4">
        <v>4.2000000000000003E-2</v>
      </c>
      <c r="AP155" s="4">
        <v>-9.8000000000000004E-2</v>
      </c>
      <c r="AQ155" s="4">
        <v>0.152</v>
      </c>
      <c r="AR155" s="4">
        <v>0.435</v>
      </c>
      <c r="AS155" s="4">
        <v>0.26200000000000001</v>
      </c>
      <c r="AT155" s="4">
        <v>8.9999999999999993E-3</v>
      </c>
      <c r="AU155" s="4">
        <v>-0.42599999999999999</v>
      </c>
      <c r="AV155" s="4">
        <v>-0.153</v>
      </c>
      <c r="AW155" s="4">
        <v>-0.93300000000000005</v>
      </c>
      <c r="AX155" s="4">
        <v>-0.47199999999999998</v>
      </c>
      <c r="AY155" s="4">
        <v>-0.33100000000000002</v>
      </c>
      <c r="AZ155" s="4">
        <v>0.29899999999999999</v>
      </c>
      <c r="BA155" s="4">
        <v>-0.27900000000000003</v>
      </c>
      <c r="BB155" s="4">
        <v>-0.26100000000000001</v>
      </c>
      <c r="BC155" s="4">
        <v>-0.51600000000000001</v>
      </c>
      <c r="BD155" s="4">
        <v>0.45600000000000002</v>
      </c>
      <c r="BE155" s="4">
        <v>0.94499999999999995</v>
      </c>
      <c r="BF155" s="4">
        <v>0.248</v>
      </c>
      <c r="BG155" s="4">
        <v>-4.0000000000000001E-3</v>
      </c>
      <c r="BH155" s="4">
        <v>-0.26400000000000001</v>
      </c>
      <c r="BI155" s="4">
        <v>0.68</v>
      </c>
      <c r="BJ155" s="4">
        <v>-0.65800000000000003</v>
      </c>
      <c r="BK155" s="4">
        <v>0.36199999999999999</v>
      </c>
      <c r="BL155" s="4"/>
    </row>
    <row r="156" spans="1:64" x14ac:dyDescent="0.3">
      <c r="A156" t="s">
        <v>189</v>
      </c>
      <c r="B156" s="53">
        <f t="shared" si="16"/>
        <v>0</v>
      </c>
      <c r="C156" s="53">
        <f t="shared" si="17"/>
        <v>0</v>
      </c>
      <c r="D156" s="53">
        <f t="shared" si="18"/>
        <v>0</v>
      </c>
      <c r="E156" s="53">
        <f t="shared" si="19"/>
        <v>0</v>
      </c>
      <c r="F156" s="15">
        <v>0.57399999999999995</v>
      </c>
      <c r="G156">
        <v>0.68400000000000005</v>
      </c>
      <c r="H156" t="s">
        <v>68</v>
      </c>
      <c r="I156" t="str">
        <f>VLOOKUP(A156,Setores!$A$2:$C$215,2,0)</f>
        <v>capital_goods</v>
      </c>
      <c r="J156" t="str">
        <f>VLOOKUP(A156,Setores!$A$2:$C$215,3,0)</f>
        <v>low_beta</v>
      </c>
      <c r="K156" s="100">
        <v>0</v>
      </c>
      <c r="L156" s="58">
        <v>0</v>
      </c>
      <c r="M156" s="7">
        <v>0</v>
      </c>
      <c r="N156" s="41">
        <f>VLOOKUP(A156,'Mandato ISEE'!$A$1:$C$215,2,0)</f>
        <v>0</v>
      </c>
      <c r="O156" s="58">
        <f t="shared" si="20"/>
        <v>0</v>
      </c>
      <c r="P156" s="41">
        <f>VLOOKUP(A156,'Mandato ISEE'!$A$1:$C$215,3,0)</f>
        <v>0</v>
      </c>
      <c r="Q156" s="42">
        <f t="shared" si="21"/>
        <v>0</v>
      </c>
      <c r="R156" s="42">
        <v>-0.75800000000000001</v>
      </c>
      <c r="S156" s="15">
        <v>-0.92300000000000004</v>
      </c>
      <c r="T156" s="15">
        <v>-0.74299999999999999</v>
      </c>
      <c r="U156" s="15">
        <v>-0.76700000000000002</v>
      </c>
      <c r="V156" s="15">
        <v>-0.88800000000000001</v>
      </c>
      <c r="W156" s="15">
        <v>-0.56999999999999995</v>
      </c>
      <c r="X156" s="15">
        <v>-0.32</v>
      </c>
      <c r="Y156" s="15">
        <v>-0.82799999999999996</v>
      </c>
      <c r="Z156" s="15">
        <v>0.193</v>
      </c>
      <c r="AA156" s="15">
        <v>0.192</v>
      </c>
      <c r="AB156" s="15">
        <v>0.51300000000000001</v>
      </c>
      <c r="AC156" s="15">
        <v>0.49199999999999999</v>
      </c>
      <c r="AD156" s="15">
        <v>0.36599999999999999</v>
      </c>
      <c r="AE156" s="15">
        <v>-0.501</v>
      </c>
      <c r="AF156" s="14">
        <v>-0.55900000000000005</v>
      </c>
      <c r="AG156" s="15">
        <v>-1</v>
      </c>
      <c r="AH156" s="15">
        <v>-0.68600000000000005</v>
      </c>
      <c r="AI156" s="15">
        <v>-0.77600000000000002</v>
      </c>
      <c r="AJ156" s="15">
        <v>-0.36699999999999999</v>
      </c>
      <c r="AK156" s="16">
        <v>-8.1000000000000003E-2</v>
      </c>
      <c r="AL156" s="4">
        <v>-0.57999999999999996</v>
      </c>
      <c r="AM156" s="4">
        <v>-0.77900000000000003</v>
      </c>
      <c r="AN156" s="4">
        <v>-4.9000000000000002E-2</v>
      </c>
      <c r="AO156" s="4">
        <v>-0.44600000000000001</v>
      </c>
      <c r="AP156" s="4">
        <v>-0.214</v>
      </c>
      <c r="AQ156" s="4">
        <v>0.13700000000000001</v>
      </c>
      <c r="AR156" s="4">
        <v>-7.6999999999999999E-2</v>
      </c>
      <c r="AS156" s="4">
        <v>-0.66500000000000004</v>
      </c>
      <c r="AT156" s="4">
        <v>0.28199999999999997</v>
      </c>
      <c r="AU156" s="4">
        <v>-0.27100000000000002</v>
      </c>
      <c r="AV156" s="4">
        <v>0.113</v>
      </c>
      <c r="AW156" s="4">
        <v>0.70399999999999996</v>
      </c>
      <c r="AX156" s="4">
        <v>-4.9000000000000002E-2</v>
      </c>
      <c r="AY156" s="4">
        <v>0.69799999999999995</v>
      </c>
      <c r="AZ156" s="4">
        <v>0.73399999999999999</v>
      </c>
      <c r="BA156" s="4">
        <v>-0.377</v>
      </c>
      <c r="BB156" s="4">
        <v>-9.5000000000000001E-2</v>
      </c>
      <c r="BC156" s="4">
        <v>0.35299999999999998</v>
      </c>
      <c r="BD156" s="4">
        <v>7.8E-2</v>
      </c>
      <c r="BE156" s="4">
        <v>-0.81799999999999995</v>
      </c>
      <c r="BF156" s="4">
        <v>-0.52400000000000002</v>
      </c>
      <c r="BG156" s="4">
        <v>0.79500000000000004</v>
      </c>
      <c r="BH156" s="4">
        <v>-0.60699999999999998</v>
      </c>
      <c r="BI156" s="4">
        <v>9.0999999999999998E-2</v>
      </c>
      <c r="BJ156" s="4">
        <v>0.67500000000000004</v>
      </c>
      <c r="BK156" s="4">
        <v>-7.6999999999999999E-2</v>
      </c>
      <c r="BL156" s="4"/>
    </row>
    <row r="157" spans="1:64" x14ac:dyDescent="0.3">
      <c r="A157" t="s">
        <v>204</v>
      </c>
      <c r="B157" s="53">
        <f t="shared" si="16"/>
        <v>0</v>
      </c>
      <c r="C157" s="53">
        <f t="shared" si="17"/>
        <v>-0.02</v>
      </c>
      <c r="D157" s="53">
        <f t="shared" si="18"/>
        <v>0</v>
      </c>
      <c r="E157" s="53">
        <f t="shared" si="19"/>
        <v>0.02</v>
      </c>
      <c r="F157" s="15">
        <v>0.56999999999999995</v>
      </c>
      <c r="G157">
        <v>1.0960000000000001</v>
      </c>
      <c r="H157" t="s">
        <v>55</v>
      </c>
      <c r="I157" t="str">
        <f>VLOOKUP(A157,Setores!$A$2:$C$215,2,0)</f>
        <v>utilities</v>
      </c>
      <c r="J157" t="str">
        <f>VLOOKUP(A157,Setores!$A$2:$C$215,3,0)</f>
        <v>low_beta</v>
      </c>
      <c r="K157" s="100">
        <v>0</v>
      </c>
      <c r="L157" s="58">
        <v>-0.02</v>
      </c>
      <c r="M157" s="7">
        <v>0.02</v>
      </c>
      <c r="N157" s="41">
        <f>VLOOKUP(A157,'Mandato ISEE'!$A$1:$C$215,2,0)</f>
        <v>0</v>
      </c>
      <c r="O157" s="58">
        <f t="shared" si="20"/>
        <v>0</v>
      </c>
      <c r="P157" s="41">
        <f>VLOOKUP(A157,'Mandato ISEE'!$A$1:$C$215,3,0)</f>
        <v>4.1222562351258103E-2</v>
      </c>
      <c r="Q157" s="42">
        <f t="shared" si="21"/>
        <v>-4.1222562351258103E-2</v>
      </c>
      <c r="R157" s="42">
        <v>-0.91</v>
      </c>
      <c r="S157" s="15">
        <v>-0.89400000000000002</v>
      </c>
      <c r="T157" s="15">
        <v>-1</v>
      </c>
      <c r="U157" s="15">
        <v>-0.80100000000000005</v>
      </c>
      <c r="V157" s="15">
        <v>-0.93200000000000005</v>
      </c>
      <c r="W157" s="15">
        <v>-0.72299999999999998</v>
      </c>
      <c r="X157" s="15">
        <v>-0.46200000000000002</v>
      </c>
      <c r="Y157" s="15">
        <v>-0.746</v>
      </c>
      <c r="Z157" s="15">
        <v>0.18099999999999999</v>
      </c>
      <c r="AA157" s="15">
        <v>0.186</v>
      </c>
      <c r="AB157" s="15">
        <v>0.63500000000000001</v>
      </c>
      <c r="AC157" s="15">
        <v>0.60699999999999998</v>
      </c>
      <c r="AD157" s="15">
        <v>0.46800000000000003</v>
      </c>
      <c r="AE157" s="15">
        <v>-0.89</v>
      </c>
      <c r="AF157" s="14">
        <v>-0.61799999999999999</v>
      </c>
      <c r="AG157" s="15">
        <v>-0.2</v>
      </c>
      <c r="AH157" s="15">
        <v>-1</v>
      </c>
      <c r="AI157" s="15">
        <v>-0.73099999999999998</v>
      </c>
      <c r="AJ157" s="15">
        <v>-0.99</v>
      </c>
      <c r="AK157" s="16">
        <v>-0.56100000000000005</v>
      </c>
      <c r="AL157" s="4">
        <v>-0.69199999999999995</v>
      </c>
      <c r="AM157" s="4">
        <v>-0.73199999999999998</v>
      </c>
      <c r="AN157" s="4">
        <v>-0.29099999999999998</v>
      </c>
      <c r="AO157" s="4">
        <v>0.222</v>
      </c>
      <c r="AP157" s="4">
        <v>0.33300000000000002</v>
      </c>
      <c r="AQ157" s="4">
        <v>0.318</v>
      </c>
      <c r="AR157" s="4">
        <v>0.222</v>
      </c>
      <c r="AS157" s="4">
        <v>-2.7E-2</v>
      </c>
      <c r="AT157" s="4">
        <v>0.129</v>
      </c>
      <c r="AU157" s="4">
        <v>4.2999999999999997E-2</v>
      </c>
      <c r="AV157" s="4">
        <v>-0.32700000000000001</v>
      </c>
      <c r="AW157" s="4">
        <v>0.49</v>
      </c>
      <c r="AX157" s="4">
        <v>-0.39300000000000002</v>
      </c>
      <c r="AY157" s="4">
        <v>0.65800000000000003</v>
      </c>
      <c r="AZ157" s="4">
        <v>-0.19600000000000001</v>
      </c>
      <c r="BA157" s="4">
        <v>0.45200000000000001</v>
      </c>
      <c r="BB157" s="4">
        <v>-0.79</v>
      </c>
      <c r="BC157" s="4">
        <v>-0.84699999999999998</v>
      </c>
      <c r="BD157" s="4">
        <v>3.1E-2</v>
      </c>
      <c r="BE157" s="4">
        <v>-3.1E-2</v>
      </c>
      <c r="BF157" s="4">
        <v>-0.71</v>
      </c>
      <c r="BG157" s="4">
        <v>0.55400000000000005</v>
      </c>
      <c r="BH157" s="4">
        <v>-0.99299999999999999</v>
      </c>
      <c r="BI157" s="4">
        <v>-0.26</v>
      </c>
      <c r="BJ157" s="4">
        <v>-0.32500000000000001</v>
      </c>
      <c r="BK157" s="4">
        <v>-0.80200000000000005</v>
      </c>
      <c r="BL157" s="4"/>
    </row>
    <row r="158" spans="1:64" x14ac:dyDescent="0.3">
      <c r="A158" t="s">
        <v>241</v>
      </c>
      <c r="B158" s="53">
        <f t="shared" si="16"/>
        <v>0</v>
      </c>
      <c r="C158" s="53">
        <f t="shared" si="17"/>
        <v>-2.5999999999999999E-2</v>
      </c>
      <c r="D158" s="53">
        <f t="shared" si="18"/>
        <v>0</v>
      </c>
      <c r="E158" s="53">
        <f t="shared" si="19"/>
        <v>2.5999999999999999E-2</v>
      </c>
      <c r="F158" s="15">
        <v>0.56999999999999995</v>
      </c>
      <c r="G158">
        <v>0.90500000000000003</v>
      </c>
      <c r="H158" t="s">
        <v>57</v>
      </c>
      <c r="I158" t="str">
        <f>VLOOKUP(A158,Setores!$A$2:$C$215,2,0)</f>
        <v>transportation</v>
      </c>
      <c r="J158" t="str">
        <f>VLOOKUP(A158,Setores!$A$2:$C$215,3,0)</f>
        <v>neutral_beta</v>
      </c>
      <c r="K158" s="100">
        <v>0</v>
      </c>
      <c r="L158" s="58">
        <v>-2.5999999999999999E-2</v>
      </c>
      <c r="M158" s="7">
        <v>2.5999999999999999E-2</v>
      </c>
      <c r="N158" s="41">
        <f>VLOOKUP(A158,'Mandato ISEE'!$A$1:$C$215,2,0)</f>
        <v>0</v>
      </c>
      <c r="O158" s="58">
        <f t="shared" si="20"/>
        <v>0</v>
      </c>
      <c r="P158" s="41">
        <f>VLOOKUP(A158,'Mandato ISEE'!$A$1:$C$215,3,0)</f>
        <v>0</v>
      </c>
      <c r="Q158" s="42">
        <f t="shared" si="21"/>
        <v>0</v>
      </c>
      <c r="R158" s="42">
        <v>-0.66700000000000004</v>
      </c>
      <c r="S158" s="15">
        <v>-0.78400000000000003</v>
      </c>
      <c r="T158" s="15">
        <v>-0.90900000000000003</v>
      </c>
      <c r="U158" s="15">
        <v>-0.70299999999999996</v>
      </c>
      <c r="V158" s="15">
        <v>-0.875</v>
      </c>
      <c r="W158" s="15">
        <v>-0.52700000000000002</v>
      </c>
      <c r="X158" s="15">
        <v>-0.26</v>
      </c>
      <c r="Y158" s="15">
        <v>-0.81299999999999994</v>
      </c>
      <c r="Z158" s="15">
        <v>1E-3</v>
      </c>
      <c r="AA158" s="15">
        <v>0</v>
      </c>
      <c r="AB158" s="15">
        <v>0.45500000000000002</v>
      </c>
      <c r="AC158" s="15">
        <v>0.36899999999999999</v>
      </c>
      <c r="AD158" s="15">
        <v>0.29899999999999999</v>
      </c>
      <c r="AE158" s="15">
        <v>-0.76600000000000001</v>
      </c>
      <c r="AF158" s="14">
        <v>-4.2000000000000003E-2</v>
      </c>
      <c r="AG158" s="15">
        <v>-0.81499999999999995</v>
      </c>
      <c r="AH158" s="15">
        <v>-0.90200000000000002</v>
      </c>
      <c r="AI158" s="15">
        <v>-0.92300000000000004</v>
      </c>
      <c r="AJ158" s="15">
        <v>-0.88100000000000001</v>
      </c>
      <c r="AK158" s="16">
        <v>-0.23899999999999999</v>
      </c>
      <c r="AL158" s="4">
        <v>-0.60199999999999998</v>
      </c>
      <c r="AM158" s="4">
        <v>-0.67500000000000004</v>
      </c>
      <c r="AN158" s="4">
        <v>0.68</v>
      </c>
      <c r="AO158" s="4">
        <v>-0.30499999999999999</v>
      </c>
      <c r="AP158" s="4">
        <v>0.13100000000000001</v>
      </c>
      <c r="AQ158" s="4">
        <v>0.498</v>
      </c>
      <c r="AR158" s="4">
        <v>0.98799999999999999</v>
      </c>
      <c r="AS158" s="4">
        <v>0.36</v>
      </c>
      <c r="AT158" s="4">
        <v>-4.7E-2</v>
      </c>
      <c r="AU158" s="4">
        <v>0.192</v>
      </c>
      <c r="AV158" s="4">
        <v>-0.23200000000000001</v>
      </c>
      <c r="AW158" s="4">
        <v>0.23899999999999999</v>
      </c>
      <c r="AX158" s="4">
        <v>-0.42699999999999999</v>
      </c>
      <c r="AY158" s="4">
        <v>0.65700000000000003</v>
      </c>
      <c r="AZ158" s="4">
        <v>0.32900000000000001</v>
      </c>
      <c r="BA158" s="4">
        <v>0.314</v>
      </c>
      <c r="BB158" s="4">
        <v>-5.0000000000000001E-3</v>
      </c>
      <c r="BC158" s="4">
        <v>-0.48599999999999999</v>
      </c>
      <c r="BD158" s="4">
        <v>0.19500000000000001</v>
      </c>
      <c r="BE158" s="4">
        <v>-0.23799999999999999</v>
      </c>
      <c r="BF158" s="4">
        <v>-0.26400000000000001</v>
      </c>
      <c r="BG158" s="4">
        <v>0.438</v>
      </c>
      <c r="BH158" s="4">
        <v>4.3999999999999997E-2</v>
      </c>
      <c r="BI158" s="4">
        <v>0.247</v>
      </c>
      <c r="BJ158" s="4">
        <v>-0.35699999999999998</v>
      </c>
      <c r="BK158" s="4">
        <v>-0.65700000000000003</v>
      </c>
      <c r="BL158" s="4"/>
    </row>
    <row r="159" spans="1:64" x14ac:dyDescent="0.3">
      <c r="A159" t="s">
        <v>222</v>
      </c>
      <c r="B159" s="53">
        <f t="shared" si="16"/>
        <v>0</v>
      </c>
      <c r="C159" s="53">
        <f t="shared" si="17"/>
        <v>0</v>
      </c>
      <c r="D159" s="53">
        <f t="shared" si="18"/>
        <v>0</v>
      </c>
      <c r="E159" s="53">
        <f t="shared" si="19"/>
        <v>0</v>
      </c>
      <c r="F159" s="15">
        <v>0.56899999999999995</v>
      </c>
      <c r="G159">
        <v>0.58499999999999996</v>
      </c>
      <c r="H159" t="s">
        <v>71</v>
      </c>
      <c r="I159" t="str">
        <f>VLOOKUP(A159,Setores!$A$2:$C$215,2,0)</f>
        <v>basic_materials</v>
      </c>
      <c r="J159" t="str">
        <f>VLOOKUP(A159,Setores!$A$2:$C$215,3,0)</f>
        <v>very_low_beta</v>
      </c>
      <c r="K159" s="100">
        <v>0</v>
      </c>
      <c r="L159" s="58">
        <v>0</v>
      </c>
      <c r="M159" s="7">
        <v>0</v>
      </c>
      <c r="N159" s="41">
        <f>VLOOKUP(A159,'Mandato ISEE'!$A$1:$C$215,2,0)</f>
        <v>0</v>
      </c>
      <c r="O159" s="58">
        <f t="shared" si="20"/>
        <v>0</v>
      </c>
      <c r="P159" s="41">
        <f>VLOOKUP(A159,'Mandato ISEE'!$A$1:$C$215,3,0)</f>
        <v>0</v>
      </c>
      <c r="Q159" s="42">
        <f t="shared" si="21"/>
        <v>0</v>
      </c>
      <c r="R159" s="42">
        <v>-0.95399999999999996</v>
      </c>
      <c r="S159" s="15">
        <v>-0.92500000000000004</v>
      </c>
      <c r="T159" s="15">
        <v>-1</v>
      </c>
      <c r="U159" s="15">
        <v>-0.87</v>
      </c>
      <c r="V159" s="15">
        <v>-0.94599999999999995</v>
      </c>
      <c r="W159" s="15">
        <v>-0.70699999999999996</v>
      </c>
      <c r="X159" s="15">
        <v>-0.40500000000000003</v>
      </c>
      <c r="Y159" s="15">
        <v>-0.83799999999999997</v>
      </c>
      <c r="Z159" s="15">
        <v>0.59399999999999997</v>
      </c>
      <c r="AA159" s="15">
        <v>0.59</v>
      </c>
      <c r="AB159" s="15">
        <v>0.504</v>
      </c>
      <c r="AC159" s="15">
        <v>0.52</v>
      </c>
      <c r="AD159" s="15">
        <v>0.43099999999999999</v>
      </c>
      <c r="AE159" s="15">
        <v>-0.64300000000000002</v>
      </c>
      <c r="AF159" s="14">
        <v>-0.90600000000000003</v>
      </c>
      <c r="AG159" s="15">
        <v>-0.73199999999999998</v>
      </c>
      <c r="AH159" s="15">
        <v>-0.90200000000000002</v>
      </c>
      <c r="AI159" s="15">
        <v>-1</v>
      </c>
      <c r="AJ159" s="15">
        <v>-1</v>
      </c>
      <c r="AK159" s="16">
        <v>-2.3E-2</v>
      </c>
      <c r="AL159" s="4">
        <v>-0.57099999999999995</v>
      </c>
      <c r="AM159" s="4">
        <v>-0.35399999999999998</v>
      </c>
      <c r="AN159" s="4">
        <v>3.5000000000000003E-2</v>
      </c>
      <c r="AO159" s="4">
        <v>-0.14099999999999999</v>
      </c>
      <c r="AP159" s="4">
        <v>-0.95199999999999996</v>
      </c>
      <c r="AQ159" s="4">
        <v>-0.48199999999999998</v>
      </c>
      <c r="AR159" s="4">
        <v>-7.4999999999999997E-2</v>
      </c>
      <c r="AS159" s="4">
        <v>-0.12</v>
      </c>
      <c r="AT159" s="4">
        <v>0.17100000000000001</v>
      </c>
      <c r="AU159" s="4">
        <v>4.3999999999999997E-2</v>
      </c>
      <c r="AV159" s="4">
        <v>-0.35599999999999998</v>
      </c>
      <c r="AW159" s="4">
        <v>0.93899999999999995</v>
      </c>
      <c r="AX159" s="4">
        <v>-0.39700000000000002</v>
      </c>
      <c r="AY159" s="4">
        <v>0.14899999999999999</v>
      </c>
      <c r="AZ159" s="4">
        <v>-0.29099999999999998</v>
      </c>
      <c r="BA159" s="4">
        <v>-0.73899999999999999</v>
      </c>
      <c r="BB159" s="4">
        <v>-0.20799999999999999</v>
      </c>
      <c r="BC159" s="4">
        <v>-0.30499999999999999</v>
      </c>
      <c r="BD159" s="4">
        <v>0.219</v>
      </c>
      <c r="BE159" s="4">
        <v>-3.5000000000000003E-2</v>
      </c>
      <c r="BF159" s="4">
        <v>-1E-3</v>
      </c>
      <c r="BG159" s="4">
        <v>0.92800000000000005</v>
      </c>
      <c r="BH159" s="4">
        <v>-0.11600000000000001</v>
      </c>
      <c r="BI159" s="4">
        <v>-0.71899999999999997</v>
      </c>
      <c r="BJ159" s="4">
        <v>-0.33400000000000002</v>
      </c>
      <c r="BK159" s="4">
        <v>-0.65500000000000003</v>
      </c>
      <c r="BL159" s="4"/>
    </row>
    <row r="160" spans="1:64" x14ac:dyDescent="0.3">
      <c r="A160" t="s">
        <v>240</v>
      </c>
      <c r="B160" s="53">
        <f t="shared" si="16"/>
        <v>0</v>
      </c>
      <c r="C160" s="53">
        <f t="shared" si="17"/>
        <v>0</v>
      </c>
      <c r="D160" s="53">
        <f t="shared" si="18"/>
        <v>0</v>
      </c>
      <c r="E160" s="53">
        <f t="shared" si="19"/>
        <v>0</v>
      </c>
      <c r="F160" s="15">
        <v>0.56799999999999995</v>
      </c>
      <c r="G160">
        <v>0.48699999999999999</v>
      </c>
      <c r="H160" t="s">
        <v>71</v>
      </c>
      <c r="I160" t="str">
        <f>VLOOKUP(A160,Setores!$A$2:$C$215,2,0)</f>
        <v>crude_oil</v>
      </c>
      <c r="J160" t="str">
        <f>VLOOKUP(A160,Setores!$A$2:$C$215,3,0)</f>
        <v>very_low_beta</v>
      </c>
      <c r="K160" s="100">
        <v>0</v>
      </c>
      <c r="L160" s="58">
        <v>0</v>
      </c>
      <c r="M160" s="7">
        <v>0</v>
      </c>
      <c r="N160" s="41">
        <f>VLOOKUP(A160,'Mandato ISEE'!$A$1:$C$215,2,0)</f>
        <v>0</v>
      </c>
      <c r="O160" s="58">
        <f t="shared" si="20"/>
        <v>0</v>
      </c>
      <c r="P160" s="41">
        <f>VLOOKUP(A160,'Mandato ISEE'!$A$1:$C$215,3,0)</f>
        <v>0</v>
      </c>
      <c r="Q160" s="42">
        <f t="shared" si="21"/>
        <v>0</v>
      </c>
      <c r="R160" s="42">
        <v>-0.94199999999999995</v>
      </c>
      <c r="S160" s="15">
        <v>-0.72499999999999998</v>
      </c>
      <c r="T160" s="15">
        <v>-1</v>
      </c>
      <c r="U160" s="15">
        <v>-0.85699999999999998</v>
      </c>
      <c r="V160" s="15">
        <v>-0.92500000000000004</v>
      </c>
      <c r="W160" s="15">
        <v>-0.82799999999999996</v>
      </c>
      <c r="X160" s="15">
        <v>-0.81200000000000006</v>
      </c>
      <c r="Y160" s="15">
        <v>-0.64100000000000001</v>
      </c>
      <c r="Z160" s="15">
        <v>5.5E-2</v>
      </c>
      <c r="AA160" s="15">
        <v>6.4000000000000001E-2</v>
      </c>
      <c r="AB160" s="15">
        <v>0.48099999999999998</v>
      </c>
      <c r="AC160" s="15">
        <v>0.56100000000000005</v>
      </c>
      <c r="AD160" s="15">
        <v>0.58499999999999996</v>
      </c>
      <c r="AE160" s="15">
        <v>-1</v>
      </c>
      <c r="AF160" s="14">
        <v>-0.95899999999999996</v>
      </c>
      <c r="AG160" s="15">
        <v>0.32500000000000001</v>
      </c>
      <c r="AH160" s="15">
        <v>-1</v>
      </c>
      <c r="AI160" s="15">
        <v>-0.45300000000000001</v>
      </c>
      <c r="AJ160" s="15">
        <v>-1</v>
      </c>
      <c r="AK160" s="16">
        <v>-0.52</v>
      </c>
      <c r="AL160" s="4">
        <v>-1</v>
      </c>
      <c r="AM160" s="4">
        <v>-0.81599999999999995</v>
      </c>
      <c r="AN160" s="4">
        <v>-0.36399999999999999</v>
      </c>
      <c r="AO160" s="4">
        <v>0.91100000000000003</v>
      </c>
      <c r="AP160" s="4">
        <v>0.95399999999999996</v>
      </c>
      <c r="AQ160" s="4">
        <v>-0.65900000000000003</v>
      </c>
      <c r="AR160" s="4">
        <v>0.30499999999999999</v>
      </c>
      <c r="AS160" s="4">
        <v>4.0000000000000001E-3</v>
      </c>
      <c r="AT160" s="4">
        <v>8.0000000000000002E-3</v>
      </c>
      <c r="AU160" s="4">
        <v>-7.0999999999999994E-2</v>
      </c>
      <c r="AV160" s="4">
        <v>-0.77600000000000002</v>
      </c>
      <c r="AW160" s="4">
        <v>0.433</v>
      </c>
      <c r="AX160" s="4">
        <v>-0.438</v>
      </c>
      <c r="AY160" s="4">
        <v>-0.112</v>
      </c>
      <c r="AZ160" s="4">
        <v>6.8000000000000005E-2</v>
      </c>
      <c r="BA160" s="4">
        <v>0.61899999999999999</v>
      </c>
      <c r="BB160" s="4">
        <v>-0.63100000000000001</v>
      </c>
      <c r="BC160" s="4">
        <v>-0.77600000000000002</v>
      </c>
      <c r="BD160" s="4">
        <v>0.47899999999999998</v>
      </c>
      <c r="BE160" s="4">
        <v>-1</v>
      </c>
      <c r="BF160" s="4">
        <v>0.19400000000000001</v>
      </c>
      <c r="BG160" s="4">
        <v>2.9000000000000001E-2</v>
      </c>
      <c r="BH160" s="4">
        <v>-0.67200000000000004</v>
      </c>
      <c r="BI160" s="4">
        <v>-1</v>
      </c>
      <c r="BJ160" s="4">
        <v>-1</v>
      </c>
      <c r="BK160" s="4">
        <v>-0.40699999999999997</v>
      </c>
      <c r="BL160" s="4"/>
    </row>
    <row r="161" spans="1:64" x14ac:dyDescent="0.3">
      <c r="A161" t="s">
        <v>206</v>
      </c>
      <c r="B161" s="53">
        <f t="shared" si="16"/>
        <v>0</v>
      </c>
      <c r="C161" s="53">
        <f t="shared" si="17"/>
        <v>0</v>
      </c>
      <c r="D161" s="53">
        <f t="shared" si="18"/>
        <v>0</v>
      </c>
      <c r="E161" s="53">
        <f t="shared" si="19"/>
        <v>0</v>
      </c>
      <c r="F161" s="15">
        <v>0.56699999999999995</v>
      </c>
      <c r="G161">
        <v>0.54400000000000004</v>
      </c>
      <c r="H161" t="s">
        <v>57</v>
      </c>
      <c r="I161" t="str">
        <f>VLOOKUP(A161,Setores!$A$2:$C$215,2,0)</f>
        <v>financial_services</v>
      </c>
      <c r="J161" t="str">
        <f>VLOOKUP(A161,Setores!$A$2:$C$215,3,0)</f>
        <v>very_high_beta</v>
      </c>
      <c r="K161" s="100">
        <v>0</v>
      </c>
      <c r="L161" s="58">
        <v>0</v>
      </c>
      <c r="M161" s="7">
        <v>0</v>
      </c>
      <c r="N161" s="41">
        <f>VLOOKUP(A161,'Mandato ISEE'!$A$1:$C$215,2,0)</f>
        <v>0</v>
      </c>
      <c r="O161" s="58">
        <f t="shared" si="20"/>
        <v>0</v>
      </c>
      <c r="P161" s="41">
        <f>VLOOKUP(A161,'Mandato ISEE'!$A$1:$C$215,3,0)</f>
        <v>0</v>
      </c>
      <c r="Q161" s="42">
        <f t="shared" si="21"/>
        <v>0</v>
      </c>
      <c r="R161" s="42">
        <v>-0.73599999999999999</v>
      </c>
      <c r="S161" s="15">
        <v>-0.8</v>
      </c>
      <c r="T161" s="15">
        <v>-0.87</v>
      </c>
      <c r="U161" s="15">
        <v>-0.80500000000000005</v>
      </c>
      <c r="V161" s="15">
        <v>-0.88800000000000001</v>
      </c>
      <c r="W161" s="15">
        <v>-0.63500000000000001</v>
      </c>
      <c r="X161" s="15">
        <v>-0.499</v>
      </c>
      <c r="Y161" s="15">
        <v>-0.83899999999999997</v>
      </c>
      <c r="Z161" s="15">
        <v>-2.5999999999999999E-2</v>
      </c>
      <c r="AA161" s="15">
        <v>-2.5999999999999999E-2</v>
      </c>
      <c r="AB161" s="15">
        <v>0.64300000000000002</v>
      </c>
      <c r="AC161" s="15">
        <v>0.57599999999999996</v>
      </c>
      <c r="AD161" s="15">
        <v>0.41399999999999998</v>
      </c>
      <c r="AE161" s="15">
        <v>-0.85199999999999998</v>
      </c>
      <c r="AF161" s="14">
        <v>-0.14399999999999999</v>
      </c>
      <c r="AG161" s="15">
        <v>-0.73099999999999998</v>
      </c>
      <c r="AH161" s="15">
        <v>-0.90900000000000003</v>
      </c>
      <c r="AI161" s="15">
        <v>-0.98499999999999999</v>
      </c>
      <c r="AJ161" s="15">
        <v>-0.95399999999999996</v>
      </c>
      <c r="AK161" s="16">
        <v>-9.4E-2</v>
      </c>
      <c r="AL161" s="4">
        <v>-0.60499999999999998</v>
      </c>
      <c r="AM161" s="4">
        <v>-0.45</v>
      </c>
      <c r="AN161" s="4">
        <v>0.19800000000000001</v>
      </c>
      <c r="AO161" s="4">
        <v>-0.33100000000000002</v>
      </c>
      <c r="AP161" s="4">
        <v>-1.4E-2</v>
      </c>
      <c r="AQ161" s="4">
        <v>0.1</v>
      </c>
      <c r="AR161" s="4">
        <v>0.222</v>
      </c>
      <c r="AS161" s="4">
        <v>0.35899999999999999</v>
      </c>
      <c r="AT161" s="4">
        <v>-8.8999999999999996E-2</v>
      </c>
      <c r="AU161" s="4">
        <v>4.8000000000000001E-2</v>
      </c>
      <c r="AV161" s="4">
        <v>-0.68100000000000005</v>
      </c>
      <c r="AW161" s="4">
        <v>5.7000000000000002E-2</v>
      </c>
      <c r="AX161" s="4">
        <v>-0.214</v>
      </c>
      <c r="AY161" s="4">
        <v>-0.115</v>
      </c>
      <c r="AZ161" s="4">
        <v>0.59199999999999997</v>
      </c>
      <c r="BA161" s="4">
        <v>0.52200000000000002</v>
      </c>
      <c r="BB161" s="4">
        <v>-0.316</v>
      </c>
      <c r="BC161" s="4">
        <v>5.1999999999999998E-2</v>
      </c>
      <c r="BD161" s="4">
        <v>0.14899999999999999</v>
      </c>
      <c r="BE161" s="4">
        <v>8.5999999999999993E-2</v>
      </c>
      <c r="BF161" s="4">
        <v>5.8000000000000003E-2</v>
      </c>
      <c r="BG161" s="4">
        <v>0.54700000000000004</v>
      </c>
      <c r="BH161" s="4">
        <v>-5.8000000000000003E-2</v>
      </c>
      <c r="BI161" s="4">
        <v>0.24299999999999999</v>
      </c>
      <c r="BJ161" s="4">
        <v>0.189</v>
      </c>
      <c r="BK161" s="4">
        <v>-0.57499999999999996</v>
      </c>
      <c r="BL161" s="4"/>
    </row>
    <row r="162" spans="1:64" x14ac:dyDescent="0.3">
      <c r="A162" t="s">
        <v>234</v>
      </c>
      <c r="B162" s="53">
        <f t="shared" si="16"/>
        <v>0</v>
      </c>
      <c r="C162" s="53">
        <f t="shared" si="17"/>
        <v>-8.0000000000000002E-3</v>
      </c>
      <c r="D162" s="53">
        <f t="shared" si="18"/>
        <v>0</v>
      </c>
      <c r="E162" s="53">
        <f t="shared" si="19"/>
        <v>8.0000000000000002E-3</v>
      </c>
      <c r="F162" s="15">
        <v>0.56399999999999995</v>
      </c>
      <c r="G162">
        <v>0.72</v>
      </c>
      <c r="H162" t="s">
        <v>55</v>
      </c>
      <c r="I162" t="str">
        <f>VLOOKUP(A162,Setores!$A$2:$C$215,2,0)</f>
        <v>utilities</v>
      </c>
      <c r="J162" t="str">
        <f>VLOOKUP(A162,Setores!$A$2:$C$215,3,0)</f>
        <v>high_beta</v>
      </c>
      <c r="K162" s="100">
        <v>0</v>
      </c>
      <c r="L162" s="58">
        <v>-8.0000000000000002E-3</v>
      </c>
      <c r="M162" s="7">
        <v>8.0000000000000002E-3</v>
      </c>
      <c r="N162" s="41">
        <f>VLOOKUP(A162,'Mandato ISEE'!$A$1:$C$215,2,0)</f>
        <v>0</v>
      </c>
      <c r="O162" s="58">
        <f t="shared" si="20"/>
        <v>0</v>
      </c>
      <c r="P162" s="41">
        <f>VLOOKUP(A162,'Mandato ISEE'!$A$1:$C$215,3,0)</f>
        <v>0</v>
      </c>
      <c r="Q162" s="42">
        <f t="shared" si="21"/>
        <v>0</v>
      </c>
      <c r="R162" s="42">
        <v>-0.93</v>
      </c>
      <c r="S162" s="15">
        <v>-0.85899999999999999</v>
      </c>
      <c r="T162" s="15">
        <v>-0.96599999999999997</v>
      </c>
      <c r="U162" s="15">
        <v>-0.89100000000000001</v>
      </c>
      <c r="V162" s="15">
        <v>-0.91400000000000003</v>
      </c>
      <c r="W162" s="15">
        <v>-0.76700000000000002</v>
      </c>
      <c r="X162" s="15">
        <v>-0.63600000000000001</v>
      </c>
      <c r="Y162" s="15">
        <v>-0.64800000000000002</v>
      </c>
      <c r="Z162" s="15">
        <v>6.4000000000000001E-2</v>
      </c>
      <c r="AA162" s="15">
        <v>6.2E-2</v>
      </c>
      <c r="AB162" s="15">
        <v>0.47399999999999998</v>
      </c>
      <c r="AC162" s="15">
        <v>0.32600000000000001</v>
      </c>
      <c r="AD162" s="15">
        <v>0.52900000000000003</v>
      </c>
      <c r="AE162" s="15">
        <v>-0.96</v>
      </c>
      <c r="AF162" s="14">
        <v>-0.98899999999999999</v>
      </c>
      <c r="AG162" s="15">
        <v>-0.247</v>
      </c>
      <c r="AH162" s="15">
        <v>-0.91300000000000003</v>
      </c>
      <c r="AI162" s="15">
        <v>-0.21299999999999999</v>
      </c>
      <c r="AJ162" s="15">
        <v>-0.95399999999999996</v>
      </c>
      <c r="AK162" s="16">
        <v>-0.43099999999999999</v>
      </c>
      <c r="AL162" s="4">
        <v>-0.14499999999999999</v>
      </c>
      <c r="AM162" s="4">
        <v>-0.36199999999999999</v>
      </c>
      <c r="AN162" s="4">
        <v>-0.48899999999999999</v>
      </c>
      <c r="AO162" s="4">
        <v>0.29199999999999998</v>
      </c>
      <c r="AP162" s="4">
        <v>0.79</v>
      </c>
      <c r="AQ162" s="4">
        <v>-0.41099999999999998</v>
      </c>
      <c r="AR162" s="4">
        <v>-1</v>
      </c>
      <c r="AS162" s="4">
        <v>-0.48499999999999999</v>
      </c>
      <c r="AT162" s="4">
        <v>-0.499</v>
      </c>
      <c r="AU162" s="4">
        <v>-0.63400000000000001</v>
      </c>
      <c r="AV162" s="4">
        <v>-0.54600000000000004</v>
      </c>
      <c r="AW162" s="4">
        <v>0.58699999999999997</v>
      </c>
      <c r="AX162" s="4">
        <v>-0.73099999999999998</v>
      </c>
      <c r="AY162" s="4">
        <v>-0.28499999999999998</v>
      </c>
      <c r="AZ162" s="4">
        <v>-9.0999999999999998E-2</v>
      </c>
      <c r="BA162" s="4">
        <v>-0.35299999999999998</v>
      </c>
      <c r="BB162" s="4">
        <v>0.27200000000000002</v>
      </c>
      <c r="BC162" s="4">
        <v>-0.14199999999999999</v>
      </c>
      <c r="BD162" s="4">
        <v>0.316</v>
      </c>
      <c r="BE162" s="4">
        <v>-0.33400000000000002</v>
      </c>
      <c r="BF162" s="4">
        <v>0.48899999999999999</v>
      </c>
      <c r="BG162" s="4">
        <v>0.84899999999999998</v>
      </c>
      <c r="BH162" s="4">
        <v>-0.30299999999999999</v>
      </c>
      <c r="BI162" s="4">
        <v>-5.0000000000000001E-3</v>
      </c>
      <c r="BJ162" s="4">
        <v>0.13700000000000001</v>
      </c>
      <c r="BK162" s="4">
        <v>5.2999999999999999E-2</v>
      </c>
      <c r="BL162" s="4"/>
    </row>
    <row r="163" spans="1:64" x14ac:dyDescent="0.3">
      <c r="A163" t="s">
        <v>218</v>
      </c>
      <c r="B163" s="53">
        <f t="shared" si="16"/>
        <v>0</v>
      </c>
      <c r="C163" s="53">
        <f t="shared" si="17"/>
        <v>-2.5000000000000001E-2</v>
      </c>
      <c r="D163" s="53">
        <f t="shared" si="18"/>
        <v>0</v>
      </c>
      <c r="E163" s="53">
        <f t="shared" si="19"/>
        <v>2.5000000000000001E-2</v>
      </c>
      <c r="F163" s="15">
        <v>0.56299999999999994</v>
      </c>
      <c r="G163">
        <v>1.226</v>
      </c>
      <c r="H163" t="s">
        <v>55</v>
      </c>
      <c r="I163" t="str">
        <f>VLOOKUP(A163,Setores!$A$2:$C$215,2,0)</f>
        <v>utilities</v>
      </c>
      <c r="J163" t="str">
        <f>VLOOKUP(A163,Setores!$A$2:$C$215,3,0)</f>
        <v>high_beta</v>
      </c>
      <c r="K163" s="100">
        <v>0</v>
      </c>
      <c r="L163" s="58">
        <v>-2.5000000000000001E-2</v>
      </c>
      <c r="M163" s="7">
        <v>2.5000000000000001E-2</v>
      </c>
      <c r="N163" s="41">
        <f>VLOOKUP(A163,'Mandato ISEE'!$A$1:$C$215,2,0)</f>
        <v>0</v>
      </c>
      <c r="O163" s="58">
        <f t="shared" si="20"/>
        <v>0</v>
      </c>
      <c r="P163" s="41">
        <f>VLOOKUP(A163,'Mandato ISEE'!$A$1:$C$215,3,0)</f>
        <v>0</v>
      </c>
      <c r="Q163" s="42">
        <f t="shared" si="21"/>
        <v>0</v>
      </c>
      <c r="R163" s="42">
        <v>-0.86</v>
      </c>
      <c r="S163" s="15">
        <v>-0.89500000000000002</v>
      </c>
      <c r="T163" s="15">
        <v>-0.98099999999999998</v>
      </c>
      <c r="U163" s="15">
        <v>-0.81899999999999995</v>
      </c>
      <c r="V163" s="15">
        <v>-0.93700000000000006</v>
      </c>
      <c r="W163" s="15">
        <v>-0.63700000000000001</v>
      </c>
      <c r="X163" s="15">
        <v>-0.42199999999999999</v>
      </c>
      <c r="Y163" s="15">
        <v>-0.80900000000000005</v>
      </c>
      <c r="Z163" s="15">
        <v>-1.2999999999999999E-2</v>
      </c>
      <c r="AA163" s="15">
        <v>-1.0999999999999999E-2</v>
      </c>
      <c r="AB163" s="15">
        <v>0.64400000000000002</v>
      </c>
      <c r="AC163" s="15">
        <v>0.59699999999999998</v>
      </c>
      <c r="AD163" s="15">
        <v>0.44500000000000001</v>
      </c>
      <c r="AE163" s="15">
        <v>-0.60699999999999998</v>
      </c>
      <c r="AF163" s="14">
        <v>-0.74199999999999999</v>
      </c>
      <c r="AG163" s="15">
        <v>-0.64200000000000002</v>
      </c>
      <c r="AH163" s="15">
        <v>-0.97199999999999998</v>
      </c>
      <c r="AI163" s="15">
        <v>-0.81399999999999995</v>
      </c>
      <c r="AJ163" s="15">
        <v>-1</v>
      </c>
      <c r="AK163" s="16">
        <v>-0.28599999999999998</v>
      </c>
      <c r="AL163" s="4">
        <v>-0.63500000000000001</v>
      </c>
      <c r="AM163" s="4">
        <v>-0.58399999999999996</v>
      </c>
      <c r="AN163" s="4">
        <v>-0.23699999999999999</v>
      </c>
      <c r="AO163" s="4">
        <v>-9.7000000000000003E-2</v>
      </c>
      <c r="AP163" s="4">
        <v>0.26300000000000001</v>
      </c>
      <c r="AQ163" s="4">
        <v>-6.4000000000000001E-2</v>
      </c>
      <c r="AR163" s="4">
        <v>0.19800000000000001</v>
      </c>
      <c r="AS163" s="4">
        <v>0.13500000000000001</v>
      </c>
      <c r="AT163" s="4">
        <v>-5.5E-2</v>
      </c>
      <c r="AU163" s="4">
        <v>-0.39100000000000001</v>
      </c>
      <c r="AV163" s="4">
        <v>-0.129</v>
      </c>
      <c r="AW163" s="4">
        <v>0.51600000000000001</v>
      </c>
      <c r="AX163" s="4">
        <v>-0.82799999999999996</v>
      </c>
      <c r="AY163" s="4">
        <v>0.94399999999999995</v>
      </c>
      <c r="AZ163" s="4">
        <v>0.33600000000000002</v>
      </c>
      <c r="BA163" s="4">
        <v>0.223</v>
      </c>
      <c r="BB163" s="4">
        <v>0.159</v>
      </c>
      <c r="BC163" s="4">
        <v>1.4999999999999999E-2</v>
      </c>
      <c r="BD163" s="4">
        <v>0.34200000000000003</v>
      </c>
      <c r="BE163" s="4">
        <v>-1.6E-2</v>
      </c>
      <c r="BF163" s="4">
        <v>0.254</v>
      </c>
      <c r="BG163" s="4">
        <v>0.86799999999999999</v>
      </c>
      <c r="BH163" s="4">
        <v>-0.45800000000000002</v>
      </c>
      <c r="BI163" s="4">
        <v>1.0999999999999999E-2</v>
      </c>
      <c r="BJ163" s="4">
        <v>-0.33300000000000002</v>
      </c>
      <c r="BK163" s="4">
        <v>-0.49</v>
      </c>
      <c r="BL163" s="4"/>
    </row>
    <row r="164" spans="1:64" x14ac:dyDescent="0.3">
      <c r="A164" t="s">
        <v>277</v>
      </c>
      <c r="B164" s="53">
        <f t="shared" si="16"/>
        <v>0</v>
      </c>
      <c r="C164" s="53">
        <f t="shared" si="17"/>
        <v>0</v>
      </c>
      <c r="D164" s="53">
        <f t="shared" si="18"/>
        <v>0</v>
      </c>
      <c r="E164" s="53">
        <f t="shared" si="19"/>
        <v>0</v>
      </c>
      <c r="F164" s="15">
        <v>0.56299999999999994</v>
      </c>
      <c r="G164">
        <v>0.56399999999999995</v>
      </c>
      <c r="H164" t="s">
        <v>55</v>
      </c>
      <c r="I164" t="str">
        <f>VLOOKUP(A164,Setores!$A$2:$C$215,2,0)</f>
        <v>telecom</v>
      </c>
      <c r="J164" t="str">
        <f>VLOOKUP(A164,Setores!$A$2:$C$215,3,0)</f>
        <v>low_beta</v>
      </c>
      <c r="K164" s="100">
        <v>0</v>
      </c>
      <c r="L164" s="58">
        <v>0</v>
      </c>
      <c r="M164" s="7">
        <v>0</v>
      </c>
      <c r="N164" s="41">
        <f>VLOOKUP(A164,'Mandato ISEE'!$A$1:$C$215,2,0)</f>
        <v>0</v>
      </c>
      <c r="O164" s="58">
        <f t="shared" si="20"/>
        <v>0</v>
      </c>
      <c r="P164" s="41">
        <f>VLOOKUP(A164,'Mandato ISEE'!$A$1:$C$215,3,0)</f>
        <v>0</v>
      </c>
      <c r="Q164" s="42">
        <f t="shared" si="21"/>
        <v>0</v>
      </c>
      <c r="R164" s="42">
        <v>-0.77400000000000002</v>
      </c>
      <c r="S164" s="15">
        <v>-0.71</v>
      </c>
      <c r="T164" s="15">
        <v>-0.83399999999999996</v>
      </c>
      <c r="U164" s="15">
        <v>-0.85899999999999999</v>
      </c>
      <c r="V164" s="15">
        <v>-0.875</v>
      </c>
      <c r="W164" s="15">
        <v>-0.73499999999999999</v>
      </c>
      <c r="X164" s="15">
        <v>-0.64800000000000002</v>
      </c>
      <c r="Y164" s="15">
        <v>-0.83099999999999996</v>
      </c>
      <c r="Z164" s="15">
        <v>5.5E-2</v>
      </c>
      <c r="AA164" s="15">
        <v>5.8000000000000003E-2</v>
      </c>
      <c r="AB164" s="15">
        <v>0.44400000000000001</v>
      </c>
      <c r="AC164" s="15">
        <v>0.23400000000000001</v>
      </c>
      <c r="AD164" s="15">
        <v>0.53400000000000003</v>
      </c>
      <c r="AE164" s="15">
        <v>-1</v>
      </c>
      <c r="AF164" s="14">
        <v>-1</v>
      </c>
      <c r="AG164" s="15">
        <v>-0.47499999999999998</v>
      </c>
      <c r="AH164" s="15">
        <v>-0.755</v>
      </c>
      <c r="AI164" s="15">
        <v>-0.38800000000000001</v>
      </c>
      <c r="AJ164" s="15">
        <v>-0.78800000000000003</v>
      </c>
      <c r="AK164" s="16">
        <v>-0.23300000000000001</v>
      </c>
      <c r="AL164" s="4">
        <v>-0.79700000000000004</v>
      </c>
      <c r="AM164" s="4">
        <v>-0.46700000000000003</v>
      </c>
      <c r="AN164" s="4">
        <v>-0.24099999999999999</v>
      </c>
      <c r="AO164" s="4">
        <v>3.0000000000000001E-3</v>
      </c>
      <c r="AP164" s="4">
        <v>0.18</v>
      </c>
      <c r="AQ164" s="4">
        <v>-0.105</v>
      </c>
      <c r="AR164" s="4">
        <v>0.25600000000000001</v>
      </c>
      <c r="AS164" s="4">
        <v>-0.217</v>
      </c>
      <c r="AT164" s="4">
        <v>-8.3000000000000004E-2</v>
      </c>
      <c r="AU164" s="4">
        <v>8.1000000000000003E-2</v>
      </c>
      <c r="AV164" s="4">
        <v>-0.68899999999999995</v>
      </c>
      <c r="AW164" s="4">
        <v>0.23400000000000001</v>
      </c>
      <c r="AX164" s="4">
        <v>0.125</v>
      </c>
      <c r="AY164" s="4">
        <v>0.63600000000000001</v>
      </c>
      <c r="AZ164" s="4">
        <v>8.5999999999999993E-2</v>
      </c>
      <c r="BA164" s="4">
        <v>0.64600000000000002</v>
      </c>
      <c r="BB164" s="4">
        <v>0.01</v>
      </c>
      <c r="BC164" s="4">
        <v>-0.108</v>
      </c>
      <c r="BD164" s="4">
        <v>0.44700000000000001</v>
      </c>
      <c r="BE164" s="4">
        <v>-0.28899999999999998</v>
      </c>
      <c r="BF164" s="4">
        <v>-0.252</v>
      </c>
      <c r="BG164" s="4">
        <v>0.245</v>
      </c>
      <c r="BH164" s="4">
        <v>1E-3</v>
      </c>
      <c r="BI164" s="4">
        <v>-0.16</v>
      </c>
      <c r="BJ164" s="4">
        <v>0.83799999999999997</v>
      </c>
      <c r="BK164" s="4">
        <v>-3.7999999999999999E-2</v>
      </c>
      <c r="BL164" s="4"/>
    </row>
    <row r="165" spans="1:64" x14ac:dyDescent="0.3">
      <c r="A165" t="s">
        <v>276</v>
      </c>
      <c r="B165" s="53">
        <f t="shared" si="16"/>
        <v>0</v>
      </c>
      <c r="C165" s="53">
        <f t="shared" si="17"/>
        <v>0</v>
      </c>
      <c r="D165" s="53">
        <f t="shared" si="18"/>
        <v>0</v>
      </c>
      <c r="E165" s="53">
        <f t="shared" si="19"/>
        <v>0</v>
      </c>
      <c r="F165" s="15">
        <v>0.56200000000000006</v>
      </c>
      <c r="G165">
        <v>0.39400000000000002</v>
      </c>
      <c r="H165" t="s">
        <v>68</v>
      </c>
      <c r="I165" t="str">
        <f>VLOOKUP(A165,Setores!$A$2:$C$215,2,0)</f>
        <v>chemicals</v>
      </c>
      <c r="J165" t="str">
        <f>VLOOKUP(A165,Setores!$A$2:$C$215,3,0)</f>
        <v>very_high_beta</v>
      </c>
      <c r="K165" s="100">
        <v>0</v>
      </c>
      <c r="L165" s="58">
        <v>0</v>
      </c>
      <c r="M165" s="7">
        <v>0</v>
      </c>
      <c r="N165" s="41">
        <f>VLOOKUP(A165,'Mandato ISEE'!$A$1:$C$215,2,0)</f>
        <v>0</v>
      </c>
      <c r="O165" s="58">
        <f t="shared" si="20"/>
        <v>0</v>
      </c>
      <c r="P165" s="41">
        <f>VLOOKUP(A165,'Mandato ISEE'!$A$1:$C$215,3,0)</f>
        <v>0</v>
      </c>
      <c r="Q165" s="42">
        <f t="shared" si="21"/>
        <v>0</v>
      </c>
      <c r="R165" s="42">
        <v>-0.80800000000000005</v>
      </c>
      <c r="S165" s="15">
        <v>-0.81</v>
      </c>
      <c r="T165" s="15">
        <v>-0.81599999999999995</v>
      </c>
      <c r="U165" s="15">
        <v>-0.83499999999999996</v>
      </c>
      <c r="V165" s="15">
        <v>-0.85199999999999998</v>
      </c>
      <c r="W165" s="15">
        <v>-0.88900000000000001</v>
      </c>
      <c r="X165" s="15">
        <v>-0.90700000000000003</v>
      </c>
      <c r="Y165" s="15">
        <v>-0.73399999999999999</v>
      </c>
      <c r="Z165" s="15">
        <v>3.4000000000000002E-2</v>
      </c>
      <c r="AA165" s="15">
        <v>2.9000000000000001E-2</v>
      </c>
      <c r="AB165" s="15">
        <v>0.13400000000000001</v>
      </c>
      <c r="AC165" s="15">
        <v>0.45700000000000002</v>
      </c>
      <c r="AD165" s="15">
        <v>0.61799999999999999</v>
      </c>
      <c r="AE165" s="15">
        <v>-0.79900000000000004</v>
      </c>
      <c r="AF165" s="14">
        <v>-1</v>
      </c>
      <c r="AG165" s="15">
        <v>-0.41099999999999998</v>
      </c>
      <c r="AH165" s="15">
        <v>-0.8</v>
      </c>
      <c r="AI165" s="15">
        <v>0.26300000000000001</v>
      </c>
      <c r="AJ165" s="15">
        <v>-0.65300000000000002</v>
      </c>
      <c r="AK165" s="16">
        <v>-0.28699999999999998</v>
      </c>
      <c r="AL165" s="4">
        <v>-0.71399999999999997</v>
      </c>
      <c r="AM165" s="4">
        <v>-0.72799999999999998</v>
      </c>
      <c r="AN165" s="4">
        <v>-0.90600000000000003</v>
      </c>
      <c r="AO165" s="4">
        <v>0.67900000000000005</v>
      </c>
      <c r="AP165" s="4">
        <v>1</v>
      </c>
      <c r="AQ165" s="4">
        <v>-0.41799999999999998</v>
      </c>
      <c r="AR165" s="4">
        <v>-0.54800000000000004</v>
      </c>
      <c r="AS165" s="4">
        <v>-0.32700000000000001</v>
      </c>
      <c r="AT165" s="4">
        <v>0.22600000000000001</v>
      </c>
      <c r="AU165" s="4">
        <v>-0.50700000000000001</v>
      </c>
      <c r="AV165" s="4">
        <v>-7.3999999999999996E-2</v>
      </c>
      <c r="AW165" s="4">
        <v>-0.72499999999999998</v>
      </c>
      <c r="AX165" s="4">
        <v>-4.2000000000000003E-2</v>
      </c>
      <c r="AY165" s="4">
        <v>-0.40899999999999997</v>
      </c>
      <c r="AZ165" s="4">
        <v>-0.17499999999999999</v>
      </c>
      <c r="BA165" s="4">
        <v>0.95</v>
      </c>
      <c r="BB165" s="4">
        <v>0.161</v>
      </c>
      <c r="BC165" s="4">
        <v>6.2E-2</v>
      </c>
      <c r="BD165" s="4">
        <v>0.84299999999999997</v>
      </c>
      <c r="BE165" s="4">
        <v>-0.21199999999999999</v>
      </c>
      <c r="BF165" s="4">
        <v>-1</v>
      </c>
      <c r="BG165" s="4">
        <v>-0.40200000000000002</v>
      </c>
      <c r="BH165" s="4">
        <v>-1</v>
      </c>
      <c r="BI165" s="4">
        <v>0.58699999999999997</v>
      </c>
      <c r="BJ165" s="4">
        <v>0.97899999999999998</v>
      </c>
      <c r="BK165" s="4">
        <v>0.437</v>
      </c>
      <c r="BL165" s="4"/>
    </row>
    <row r="166" spans="1:64" x14ac:dyDescent="0.3">
      <c r="A166" t="s">
        <v>220</v>
      </c>
      <c r="B166" s="53">
        <f t="shared" si="16"/>
        <v>0</v>
      </c>
      <c r="C166" s="53">
        <f t="shared" si="17"/>
        <v>0</v>
      </c>
      <c r="D166" s="53">
        <f t="shared" si="18"/>
        <v>0</v>
      </c>
      <c r="E166" s="53">
        <f t="shared" si="19"/>
        <v>0</v>
      </c>
      <c r="F166" s="15">
        <v>0.56100000000000005</v>
      </c>
      <c r="G166">
        <v>0.58599999999999997</v>
      </c>
      <c r="H166" t="s">
        <v>57</v>
      </c>
      <c r="I166" t="str">
        <f>VLOOKUP(A166,Setores!$A$2:$C$215,2,0)</f>
        <v>consumer_services</v>
      </c>
      <c r="J166" t="str">
        <f>VLOOKUP(A166,Setores!$A$2:$C$215,3,0)</f>
        <v>very_high_beta</v>
      </c>
      <c r="K166" s="100">
        <v>0</v>
      </c>
      <c r="L166" s="58">
        <v>0</v>
      </c>
      <c r="M166" s="7">
        <v>0</v>
      </c>
      <c r="N166" s="41">
        <f>VLOOKUP(A166,'Mandato ISEE'!$A$1:$C$215,2,0)</f>
        <v>0</v>
      </c>
      <c r="O166" s="58">
        <f t="shared" si="20"/>
        <v>0</v>
      </c>
      <c r="P166" s="41">
        <f>VLOOKUP(A166,'Mandato ISEE'!$A$1:$C$215,3,0)</f>
        <v>0</v>
      </c>
      <c r="Q166" s="42">
        <f t="shared" si="21"/>
        <v>0</v>
      </c>
      <c r="R166" s="42">
        <v>-0.78200000000000003</v>
      </c>
      <c r="S166" s="15">
        <v>-0.82899999999999996</v>
      </c>
      <c r="T166" s="15">
        <v>-0.94699999999999995</v>
      </c>
      <c r="U166" s="15">
        <v>-0.72499999999999998</v>
      </c>
      <c r="V166" s="15">
        <v>-0.875</v>
      </c>
      <c r="W166" s="15">
        <v>-0.76600000000000001</v>
      </c>
      <c r="X166" s="15">
        <v>-0.7</v>
      </c>
      <c r="Y166" s="15">
        <v>-0.745</v>
      </c>
      <c r="Z166" s="15">
        <v>-0.11799999999999999</v>
      </c>
      <c r="AA166" s="15">
        <v>-0.11899999999999999</v>
      </c>
      <c r="AB166" s="15">
        <v>0.64800000000000002</v>
      </c>
      <c r="AC166" s="15">
        <v>0.63300000000000001</v>
      </c>
      <c r="AD166" s="15">
        <v>0.40100000000000002</v>
      </c>
      <c r="AE166" s="15">
        <v>-0.35799999999999998</v>
      </c>
      <c r="AF166" s="14">
        <v>-0.52500000000000002</v>
      </c>
      <c r="AG166" s="15">
        <v>-0.67200000000000004</v>
      </c>
      <c r="AH166" s="15">
        <v>-0.97</v>
      </c>
      <c r="AI166" s="15">
        <v>-0.86099999999999999</v>
      </c>
      <c r="AJ166" s="15">
        <v>-1</v>
      </c>
      <c r="AK166" s="16">
        <v>-0.28799999999999998</v>
      </c>
      <c r="AL166" s="4">
        <v>-0.41799999999999998</v>
      </c>
      <c r="AM166" s="4">
        <v>-0.63800000000000001</v>
      </c>
      <c r="AN166" s="4">
        <v>0.317</v>
      </c>
      <c r="AO166" s="4">
        <v>8.0000000000000002E-3</v>
      </c>
      <c r="AP166" s="4">
        <v>-0.05</v>
      </c>
      <c r="AQ166" s="4">
        <v>4.4999999999999998E-2</v>
      </c>
      <c r="AR166" s="4">
        <v>0.48</v>
      </c>
      <c r="AS166" s="4">
        <v>0.42399999999999999</v>
      </c>
      <c r="AT166" s="4">
        <v>4.9000000000000002E-2</v>
      </c>
      <c r="AU166" s="4">
        <v>-0.22900000000000001</v>
      </c>
      <c r="AV166" s="4">
        <v>0.11899999999999999</v>
      </c>
      <c r="AW166" s="4">
        <v>-0.105</v>
      </c>
      <c r="AX166" s="4">
        <v>-0.24299999999999999</v>
      </c>
      <c r="AY166" s="4">
        <v>0.504</v>
      </c>
      <c r="AZ166" s="4">
        <v>-0.36899999999999999</v>
      </c>
      <c r="BA166" s="4">
        <v>0.53100000000000003</v>
      </c>
      <c r="BB166" s="4">
        <v>0.155</v>
      </c>
      <c r="BC166" s="4">
        <v>4.2000000000000003E-2</v>
      </c>
      <c r="BD166" s="4">
        <v>0.41</v>
      </c>
      <c r="BE166" s="4">
        <v>7.6999999999999999E-2</v>
      </c>
      <c r="BF166" s="4">
        <v>-0.34100000000000003</v>
      </c>
      <c r="BG166" s="4">
        <v>-5.7000000000000002E-2</v>
      </c>
      <c r="BH166" s="4">
        <v>-6.5000000000000002E-2</v>
      </c>
      <c r="BI166" s="4">
        <v>0.47799999999999998</v>
      </c>
      <c r="BJ166" s="4">
        <v>-0.54900000000000004</v>
      </c>
      <c r="BK166" s="4">
        <v>-0.65</v>
      </c>
      <c r="BL166" s="4"/>
    </row>
    <row r="167" spans="1:64" x14ac:dyDescent="0.3">
      <c r="A167" t="s">
        <v>225</v>
      </c>
      <c r="B167" s="53">
        <f t="shared" si="16"/>
        <v>0</v>
      </c>
      <c r="C167" s="53">
        <f t="shared" si="17"/>
        <v>-4.0000000000000001E-3</v>
      </c>
      <c r="D167" s="53">
        <f t="shared" si="18"/>
        <v>0</v>
      </c>
      <c r="E167" s="53">
        <f t="shared" si="19"/>
        <v>4.0000000000000001E-3</v>
      </c>
      <c r="F167" s="15">
        <v>0.55900000000000005</v>
      </c>
      <c r="G167">
        <v>0.442</v>
      </c>
      <c r="H167" t="s">
        <v>71</v>
      </c>
      <c r="I167" t="str">
        <f>VLOOKUP(A167,Setores!$A$2:$C$215,2,0)</f>
        <v>food</v>
      </c>
      <c r="J167" t="str">
        <f>VLOOKUP(A167,Setores!$A$2:$C$215,3,0)</f>
        <v>low_beta</v>
      </c>
      <c r="K167" s="100">
        <v>0</v>
      </c>
      <c r="L167" s="58">
        <v>-4.0000000000000001E-3</v>
      </c>
      <c r="M167" s="7">
        <v>4.0000000000000001E-3</v>
      </c>
      <c r="N167" s="41">
        <f>VLOOKUP(A167,'Mandato ISEE'!$A$1:$C$215,2,0)</f>
        <v>0</v>
      </c>
      <c r="O167" s="58">
        <f t="shared" si="20"/>
        <v>0</v>
      </c>
      <c r="P167" s="41">
        <f>VLOOKUP(A167,'Mandato ISEE'!$A$1:$C$215,3,0)</f>
        <v>0</v>
      </c>
      <c r="Q167" s="42">
        <f t="shared" si="21"/>
        <v>0</v>
      </c>
      <c r="R167" s="42">
        <v>-0.67600000000000005</v>
      </c>
      <c r="S167" s="15">
        <v>-0.77900000000000003</v>
      </c>
      <c r="T167" s="15">
        <v>-0.70899999999999996</v>
      </c>
      <c r="U167" s="15">
        <v>-0.52300000000000002</v>
      </c>
      <c r="V167" s="15">
        <v>-0.69699999999999995</v>
      </c>
      <c r="W167" s="15">
        <v>-0.67200000000000004</v>
      </c>
      <c r="X167" s="15">
        <v>-0.77700000000000002</v>
      </c>
      <c r="Y167" s="15">
        <v>-0.83</v>
      </c>
      <c r="Z167" s="15">
        <v>-0.123</v>
      </c>
      <c r="AA167" s="15">
        <v>-0.123</v>
      </c>
      <c r="AB167" s="15">
        <v>0.312</v>
      </c>
      <c r="AC167" s="15">
        <v>0.50700000000000001</v>
      </c>
      <c r="AD167" s="15">
        <v>0.34</v>
      </c>
      <c r="AE167" s="15">
        <v>2.1000000000000001E-2</v>
      </c>
      <c r="AF167" s="14">
        <v>0.20399999999999999</v>
      </c>
      <c r="AG167" s="15">
        <v>-0.51200000000000001</v>
      </c>
      <c r="AH167" s="15">
        <v>0.16900000000000001</v>
      </c>
      <c r="AI167" s="15">
        <v>-0.73</v>
      </c>
      <c r="AJ167" s="15">
        <v>-0.79600000000000004</v>
      </c>
      <c r="AK167" s="16">
        <v>1</v>
      </c>
      <c r="AL167" s="4">
        <v>-0.503</v>
      </c>
      <c r="AM167" s="4">
        <v>-0.47099999999999997</v>
      </c>
      <c r="AN167" s="4">
        <v>8.4000000000000005E-2</v>
      </c>
      <c r="AO167" s="4">
        <v>-0.80300000000000005</v>
      </c>
      <c r="AP167" s="4">
        <v>-0.65500000000000003</v>
      </c>
      <c r="AQ167" s="4">
        <v>-0.128</v>
      </c>
      <c r="AR167" s="4">
        <v>0.249</v>
      </c>
      <c r="AS167" s="4">
        <v>0.20200000000000001</v>
      </c>
      <c r="AT167" s="4">
        <v>0.54900000000000004</v>
      </c>
      <c r="AU167" s="4">
        <v>-0.58199999999999996</v>
      </c>
      <c r="AV167" s="4">
        <v>-0.126</v>
      </c>
      <c r="AW167" s="4">
        <v>0.28100000000000003</v>
      </c>
      <c r="AX167" s="4">
        <v>-0.317</v>
      </c>
      <c r="AY167" s="4">
        <v>-0.37</v>
      </c>
      <c r="AZ167" s="4">
        <v>0.22900000000000001</v>
      </c>
      <c r="BA167" s="4">
        <v>-0.19700000000000001</v>
      </c>
      <c r="BB167" s="4">
        <v>-0.29199999999999998</v>
      </c>
      <c r="BC167" s="4">
        <v>0.24</v>
      </c>
      <c r="BD167" s="4">
        <v>0.247</v>
      </c>
      <c r="BE167" s="4">
        <v>-1</v>
      </c>
      <c r="BF167" s="4">
        <v>-0.54500000000000004</v>
      </c>
      <c r="BG167" s="4">
        <v>-0.39400000000000002</v>
      </c>
      <c r="BH167" s="4">
        <v>0.40799999999999997</v>
      </c>
      <c r="BI167" s="4">
        <v>-0.184</v>
      </c>
      <c r="BJ167" s="4">
        <v>-0.61599999999999999</v>
      </c>
      <c r="BK167" s="4">
        <v>0.184</v>
      </c>
      <c r="BL167" s="4"/>
    </row>
    <row r="168" spans="1:64" x14ac:dyDescent="0.3">
      <c r="A168" t="s">
        <v>246</v>
      </c>
      <c r="B168" s="53">
        <f t="shared" si="16"/>
        <v>0</v>
      </c>
      <c r="C168" s="53">
        <f t="shared" si="17"/>
        <v>-1.7000000000000001E-2</v>
      </c>
      <c r="D168" s="53">
        <f t="shared" si="18"/>
        <v>0</v>
      </c>
      <c r="E168" s="53">
        <f t="shared" si="19"/>
        <v>1.7000000000000001E-2</v>
      </c>
      <c r="F168" s="15">
        <v>0.55800000000000005</v>
      </c>
      <c r="G168">
        <v>0.84499999999999997</v>
      </c>
      <c r="H168" t="s">
        <v>53</v>
      </c>
      <c r="I168" t="str">
        <f>VLOOKUP(A168,Setores!$A$2:$C$215,2,0)</f>
        <v>consumer_staples</v>
      </c>
      <c r="J168" t="str">
        <f>VLOOKUP(A168,Setores!$A$2:$C$215,3,0)</f>
        <v>high_beta</v>
      </c>
      <c r="K168" s="100">
        <v>0</v>
      </c>
      <c r="L168" s="58">
        <v>-1.7000000000000001E-2</v>
      </c>
      <c r="M168" s="7">
        <v>1.7000000000000001E-2</v>
      </c>
      <c r="N168" s="41">
        <f>VLOOKUP(A168,'Mandato ISEE'!$A$1:$C$215,2,0)</f>
        <v>0</v>
      </c>
      <c r="O168" s="58">
        <f t="shared" si="20"/>
        <v>0</v>
      </c>
      <c r="P168" s="41">
        <f>VLOOKUP(A168,'Mandato ISEE'!$A$1:$C$215,3,0)</f>
        <v>0</v>
      </c>
      <c r="Q168" s="42">
        <f t="shared" si="21"/>
        <v>0</v>
      </c>
      <c r="R168" s="42">
        <v>-0.79900000000000004</v>
      </c>
      <c r="S168" s="15">
        <v>-0.70299999999999996</v>
      </c>
      <c r="T168" s="15">
        <v>-0.89</v>
      </c>
      <c r="U168" s="15">
        <v>-0.82799999999999996</v>
      </c>
      <c r="V168" s="15">
        <v>-0.86299999999999999</v>
      </c>
      <c r="W168" s="15">
        <v>-0.71199999999999997</v>
      </c>
      <c r="X168" s="15">
        <v>-0.65100000000000002</v>
      </c>
      <c r="Y168" s="15">
        <v>-0.75</v>
      </c>
      <c r="Z168" s="15">
        <v>-7.1999999999999995E-2</v>
      </c>
      <c r="AA168" s="15">
        <v>-7.2999999999999995E-2</v>
      </c>
      <c r="AB168" s="15">
        <v>0.58299999999999996</v>
      </c>
      <c r="AC168" s="15">
        <v>0.66100000000000003</v>
      </c>
      <c r="AD168" s="15">
        <v>0.29399999999999998</v>
      </c>
      <c r="AE168" s="15">
        <v>-1</v>
      </c>
      <c r="AF168" s="14">
        <v>-0.39200000000000002</v>
      </c>
      <c r="AG168" s="15">
        <v>-0.45800000000000002</v>
      </c>
      <c r="AH168" s="15">
        <v>-0.93700000000000006</v>
      </c>
      <c r="AI168" s="15">
        <v>-0.33600000000000002</v>
      </c>
      <c r="AJ168" s="15">
        <v>-0.54700000000000004</v>
      </c>
      <c r="AK168" s="16">
        <v>-0.55900000000000005</v>
      </c>
      <c r="AL168" s="4">
        <v>-0.63700000000000001</v>
      </c>
      <c r="AM168" s="4">
        <v>-0.41699999999999998</v>
      </c>
      <c r="AN168" s="4">
        <v>0.151</v>
      </c>
      <c r="AO168" s="4">
        <v>0.253</v>
      </c>
      <c r="AP168" s="4">
        <v>0.60799999999999998</v>
      </c>
      <c r="AQ168" s="4">
        <v>1.2999999999999999E-2</v>
      </c>
      <c r="AR168" s="4">
        <v>0.29299999999999998</v>
      </c>
      <c r="AS168" s="4">
        <v>8.3000000000000004E-2</v>
      </c>
      <c r="AT168" s="4">
        <v>-0.26800000000000002</v>
      </c>
      <c r="AU168" s="4">
        <v>-0.47799999999999998</v>
      </c>
      <c r="AV168" s="4">
        <v>-0.48099999999999998</v>
      </c>
      <c r="AW168" s="4">
        <v>0.28299999999999997</v>
      </c>
      <c r="AX168" s="4">
        <v>-0.28799999999999998</v>
      </c>
      <c r="AY168" s="4">
        <v>0.747</v>
      </c>
      <c r="AZ168" s="4">
        <v>0.54500000000000004</v>
      </c>
      <c r="BA168" s="4">
        <v>-0.42</v>
      </c>
      <c r="BB168" s="4">
        <v>-9.2999999999999999E-2</v>
      </c>
      <c r="BC168" s="4">
        <v>8.6999999999999994E-2</v>
      </c>
      <c r="BD168" s="4">
        <v>-0.27100000000000002</v>
      </c>
      <c r="BE168" s="4">
        <v>-0.63700000000000001</v>
      </c>
      <c r="BF168" s="4">
        <v>1</v>
      </c>
      <c r="BG168" s="4">
        <v>0.58099999999999996</v>
      </c>
      <c r="BH168" s="4">
        <v>-0.113</v>
      </c>
      <c r="BI168" s="4">
        <v>4.9000000000000002E-2</v>
      </c>
      <c r="BJ168" s="4">
        <v>-0.104</v>
      </c>
      <c r="BK168" s="4">
        <v>-0.191</v>
      </c>
      <c r="BL168" s="4"/>
    </row>
    <row r="169" spans="1:64" x14ac:dyDescent="0.3">
      <c r="A169" t="s">
        <v>156</v>
      </c>
      <c r="B169" s="53">
        <f t="shared" si="16"/>
        <v>0</v>
      </c>
      <c r="C169" s="53">
        <f t="shared" si="17"/>
        <v>-5.0000000000000001E-3</v>
      </c>
      <c r="D169" s="53">
        <f t="shared" si="18"/>
        <v>0</v>
      </c>
      <c r="E169" s="53">
        <f t="shared" si="19"/>
        <v>5.0000000000000001E-3</v>
      </c>
      <c r="F169" s="15">
        <v>0.55700000000000005</v>
      </c>
      <c r="G169">
        <v>0.59099999999999997</v>
      </c>
      <c r="H169" t="s">
        <v>55</v>
      </c>
      <c r="I169" t="str">
        <f>VLOOKUP(A169,Setores!$A$2:$C$215,2,0)</f>
        <v>transportation</v>
      </c>
      <c r="J169" t="str">
        <f>VLOOKUP(A169,Setores!$A$2:$C$215,3,0)</f>
        <v>very_high_beta</v>
      </c>
      <c r="K169" s="100">
        <v>0</v>
      </c>
      <c r="L169" s="58">
        <v>-5.0000000000000001E-3</v>
      </c>
      <c r="M169" s="7">
        <v>5.0000000000000001E-3</v>
      </c>
      <c r="N169" s="41">
        <f>VLOOKUP(A169,'Mandato ISEE'!$A$1:$C$215,2,0)</f>
        <v>0</v>
      </c>
      <c r="O169" s="58">
        <f t="shared" si="20"/>
        <v>0</v>
      </c>
      <c r="P169" s="41">
        <f>VLOOKUP(A169,'Mandato ISEE'!$A$1:$C$215,3,0)</f>
        <v>0</v>
      </c>
      <c r="Q169" s="42">
        <f t="shared" si="21"/>
        <v>0</v>
      </c>
      <c r="R169" s="42">
        <v>-0.76500000000000001</v>
      </c>
      <c r="S169" s="15">
        <v>-0.73299999999999998</v>
      </c>
      <c r="T169" s="15">
        <v>-0.80900000000000005</v>
      </c>
      <c r="U169" s="15">
        <v>-0.745</v>
      </c>
      <c r="V169" s="15">
        <v>-0.75600000000000001</v>
      </c>
      <c r="W169" s="15">
        <v>-0.70799999999999996</v>
      </c>
      <c r="X169" s="15">
        <v>-0.60299999999999998</v>
      </c>
      <c r="Y169" s="15">
        <v>-0.74099999999999999</v>
      </c>
      <c r="Z169" s="15">
        <v>-0.19700000000000001</v>
      </c>
      <c r="AA169" s="15">
        <v>-0.19600000000000001</v>
      </c>
      <c r="AB169" s="15">
        <v>0.42099999999999999</v>
      </c>
      <c r="AC169" s="15">
        <v>0.64700000000000002</v>
      </c>
      <c r="AD169" s="15">
        <v>0.27400000000000002</v>
      </c>
      <c r="AE169" s="15">
        <v>-0.81299999999999994</v>
      </c>
      <c r="AF169" s="14">
        <v>0.105</v>
      </c>
      <c r="AG169" s="15">
        <v>9.0999999999999998E-2</v>
      </c>
      <c r="AH169" s="15">
        <v>-0.23400000000000001</v>
      </c>
      <c r="AI169" s="15">
        <v>-0.40699999999999997</v>
      </c>
      <c r="AJ169" s="15">
        <v>-0.84699999999999998</v>
      </c>
      <c r="AK169" s="16">
        <v>-5.0000000000000001E-3</v>
      </c>
      <c r="AL169" s="4">
        <v>-0.28299999999999997</v>
      </c>
      <c r="AM169" s="4">
        <v>6.0000000000000001E-3</v>
      </c>
      <c r="AN169" s="4">
        <v>0.58599999999999997</v>
      </c>
      <c r="AO169" s="4">
        <v>-0.438</v>
      </c>
      <c r="AP169" s="4">
        <v>-0.24</v>
      </c>
      <c r="AQ169" s="4">
        <v>0.25700000000000001</v>
      </c>
      <c r="AR169" s="4">
        <v>-0.24299999999999999</v>
      </c>
      <c r="AS169" s="4">
        <v>-0.68300000000000005</v>
      </c>
      <c r="AT169" s="4">
        <v>-6.4000000000000001E-2</v>
      </c>
      <c r="AU169" s="4">
        <v>0.14699999999999999</v>
      </c>
      <c r="AV169" s="4">
        <v>-0.54500000000000004</v>
      </c>
      <c r="AW169" s="4">
        <v>-0.35</v>
      </c>
      <c r="AX169" s="4">
        <v>-0.97299999999999998</v>
      </c>
      <c r="AY169" s="4">
        <v>0.84599999999999997</v>
      </c>
      <c r="AZ169" s="4">
        <v>0.39</v>
      </c>
      <c r="BA169" s="4">
        <v>0.56100000000000005</v>
      </c>
      <c r="BB169" s="4">
        <v>-0.55100000000000005</v>
      </c>
      <c r="BC169" s="4">
        <v>-0.79600000000000004</v>
      </c>
      <c r="BD169" s="4">
        <v>0.255</v>
      </c>
      <c r="BE169" s="4">
        <v>0.58599999999999997</v>
      </c>
      <c r="BF169" s="4">
        <v>-1</v>
      </c>
      <c r="BG169" s="4">
        <v>-0.105</v>
      </c>
      <c r="BH169" s="4">
        <v>-0.218</v>
      </c>
      <c r="BI169" s="4">
        <v>0.90100000000000002</v>
      </c>
      <c r="BJ169" s="4">
        <v>-0.27900000000000003</v>
      </c>
      <c r="BK169" s="4">
        <v>0.13100000000000001</v>
      </c>
      <c r="BL169" s="4"/>
    </row>
    <row r="170" spans="1:64" x14ac:dyDescent="0.3">
      <c r="A170" t="s">
        <v>227</v>
      </c>
      <c r="B170" s="53">
        <f t="shared" si="16"/>
        <v>0</v>
      </c>
      <c r="C170" s="53">
        <f t="shared" si="17"/>
        <v>0</v>
      </c>
      <c r="D170" s="53">
        <f t="shared" si="18"/>
        <v>0</v>
      </c>
      <c r="E170" s="53">
        <f t="shared" si="19"/>
        <v>0</v>
      </c>
      <c r="F170" s="15">
        <v>0.55700000000000005</v>
      </c>
      <c r="G170">
        <v>0.48299999999999998</v>
      </c>
      <c r="H170" t="s">
        <v>71</v>
      </c>
      <c r="I170" t="str">
        <f>VLOOKUP(A170,Setores!$A$2:$C$215,2,0)</f>
        <v>food</v>
      </c>
      <c r="J170" t="str">
        <f>VLOOKUP(A170,Setores!$A$2:$C$215,3,0)</f>
        <v>very_low_beta</v>
      </c>
      <c r="K170" s="100">
        <v>0</v>
      </c>
      <c r="L170" s="58">
        <v>0</v>
      </c>
      <c r="M170" s="7">
        <v>0</v>
      </c>
      <c r="N170" s="41">
        <f>VLOOKUP(A170,'Mandato ISEE'!$A$1:$C$215,2,0)</f>
        <v>0</v>
      </c>
      <c r="O170" s="58">
        <f t="shared" si="20"/>
        <v>0</v>
      </c>
      <c r="P170" s="41">
        <f>VLOOKUP(A170,'Mandato ISEE'!$A$1:$C$215,3,0)</f>
        <v>0</v>
      </c>
      <c r="Q170" s="42">
        <f t="shared" si="21"/>
        <v>0</v>
      </c>
      <c r="R170" s="42">
        <v>-0.93400000000000005</v>
      </c>
      <c r="S170" s="15">
        <v>-0.91100000000000003</v>
      </c>
      <c r="T170" s="15">
        <v>-0.98599999999999999</v>
      </c>
      <c r="U170" s="15">
        <v>-0.88400000000000001</v>
      </c>
      <c r="V170" s="15">
        <v>-0.93899999999999995</v>
      </c>
      <c r="W170" s="15">
        <v>-0.73299999999999998</v>
      </c>
      <c r="X170" s="15">
        <v>-0.66600000000000004</v>
      </c>
      <c r="Y170" s="15">
        <v>-0.78900000000000003</v>
      </c>
      <c r="Z170" s="15">
        <v>0.28799999999999998</v>
      </c>
      <c r="AA170" s="15">
        <v>0.29099999999999998</v>
      </c>
      <c r="AB170" s="15">
        <v>0.32</v>
      </c>
      <c r="AC170" s="15">
        <v>0.49199999999999999</v>
      </c>
      <c r="AD170" s="15">
        <v>0.47</v>
      </c>
      <c r="AE170" s="15">
        <v>-1</v>
      </c>
      <c r="AF170" s="14">
        <v>-0.82899999999999996</v>
      </c>
      <c r="AG170" s="15">
        <v>-0.33200000000000002</v>
      </c>
      <c r="AH170" s="15">
        <v>-0.97699999999999998</v>
      </c>
      <c r="AI170" s="15">
        <v>-0.86199999999999999</v>
      </c>
      <c r="AJ170" s="15">
        <v>-0.95799999999999996</v>
      </c>
      <c r="AK170" s="16">
        <v>-0.104</v>
      </c>
      <c r="AL170" s="4">
        <v>-0.51200000000000001</v>
      </c>
      <c r="AM170" s="4">
        <v>-0.57999999999999996</v>
      </c>
      <c r="AN170" s="4">
        <v>-0.16600000000000001</v>
      </c>
      <c r="AO170" s="4">
        <v>6.2E-2</v>
      </c>
      <c r="AP170" s="4">
        <v>-0.04</v>
      </c>
      <c r="AQ170" s="4">
        <v>-0.43099999999999999</v>
      </c>
      <c r="AR170" s="4">
        <v>-0.32200000000000001</v>
      </c>
      <c r="AS170" s="4">
        <v>-0.38300000000000001</v>
      </c>
      <c r="AT170" s="4">
        <v>0.48599999999999999</v>
      </c>
      <c r="AU170" s="4">
        <v>-0.63600000000000001</v>
      </c>
      <c r="AV170" s="4">
        <v>-0.88200000000000001</v>
      </c>
      <c r="AW170" s="4">
        <v>0.67700000000000005</v>
      </c>
      <c r="AX170" s="4">
        <v>-0.60399999999999998</v>
      </c>
      <c r="AY170" s="4">
        <v>0.56100000000000005</v>
      </c>
      <c r="AZ170" s="4">
        <v>4.0000000000000001E-3</v>
      </c>
      <c r="BA170" s="4">
        <v>0.14499999999999999</v>
      </c>
      <c r="BB170" s="4">
        <v>-0.158</v>
      </c>
      <c r="BC170" s="4">
        <v>-0.21099999999999999</v>
      </c>
      <c r="BD170" s="4">
        <v>0.17</v>
      </c>
      <c r="BE170" s="4">
        <v>0.67200000000000004</v>
      </c>
      <c r="BF170" s="4">
        <v>-0.10299999999999999</v>
      </c>
      <c r="BG170" s="4">
        <v>0.75900000000000001</v>
      </c>
      <c r="BH170" s="4">
        <v>-0.309</v>
      </c>
      <c r="BI170" s="4">
        <v>-0.43</v>
      </c>
      <c r="BJ170" s="4">
        <v>0.187</v>
      </c>
      <c r="BK170" s="4">
        <v>-0.86599999999999999</v>
      </c>
      <c r="BL170" s="4"/>
    </row>
    <row r="171" spans="1:64" x14ac:dyDescent="0.3">
      <c r="A171" t="s">
        <v>194</v>
      </c>
      <c r="B171" s="53">
        <f t="shared" si="16"/>
        <v>0</v>
      </c>
      <c r="C171" s="53">
        <f t="shared" si="17"/>
        <v>-1.2999999999999999E-2</v>
      </c>
      <c r="D171" s="53">
        <f t="shared" si="18"/>
        <v>0</v>
      </c>
      <c r="E171" s="53">
        <f t="shared" si="19"/>
        <v>1.2999999999999999E-2</v>
      </c>
      <c r="F171" s="15">
        <v>0.55500000000000005</v>
      </c>
      <c r="G171">
        <v>0.80600000000000005</v>
      </c>
      <c r="H171" t="s">
        <v>57</v>
      </c>
      <c r="I171" t="str">
        <f>VLOOKUP(A171,Setores!$A$2:$C$215,2,0)</f>
        <v>homebuilders</v>
      </c>
      <c r="J171" t="str">
        <f>VLOOKUP(A171,Setores!$A$2:$C$215,3,0)</f>
        <v>very_high_beta</v>
      </c>
      <c r="K171" s="100">
        <v>0</v>
      </c>
      <c r="L171" s="58">
        <v>-1.2999999999999999E-2</v>
      </c>
      <c r="M171" s="7">
        <v>1.2999999999999999E-2</v>
      </c>
      <c r="N171" s="41">
        <f>VLOOKUP(A171,'Mandato ISEE'!$A$1:$C$215,2,0)</f>
        <v>0</v>
      </c>
      <c r="O171" s="58">
        <f t="shared" si="20"/>
        <v>0</v>
      </c>
      <c r="P171" s="41">
        <f>VLOOKUP(A171,'Mandato ISEE'!$A$1:$C$215,3,0)</f>
        <v>0</v>
      </c>
      <c r="Q171" s="42">
        <f t="shared" si="21"/>
        <v>0</v>
      </c>
      <c r="R171" s="42">
        <v>-0.83699999999999997</v>
      </c>
      <c r="S171" s="15">
        <v>-0.91</v>
      </c>
      <c r="T171" s="15">
        <v>-0.91</v>
      </c>
      <c r="U171" s="15">
        <v>-0.78500000000000003</v>
      </c>
      <c r="V171" s="15">
        <v>-0.88800000000000001</v>
      </c>
      <c r="W171" s="15">
        <v>-0.66800000000000004</v>
      </c>
      <c r="X171" s="15">
        <v>-0.46700000000000003</v>
      </c>
      <c r="Y171" s="15">
        <v>-0.77400000000000002</v>
      </c>
      <c r="Z171" s="15">
        <v>-0.122</v>
      </c>
      <c r="AA171" s="15">
        <v>-0.123</v>
      </c>
      <c r="AB171" s="15">
        <v>0.59599999999999997</v>
      </c>
      <c r="AC171" s="15">
        <v>0.56100000000000005</v>
      </c>
      <c r="AD171" s="15">
        <v>0.312</v>
      </c>
      <c r="AE171" s="15">
        <v>-0.55800000000000005</v>
      </c>
      <c r="AF171" s="14">
        <v>0.14000000000000001</v>
      </c>
      <c r="AG171" s="15">
        <v>-0.59199999999999997</v>
      </c>
      <c r="AH171" s="15">
        <v>-0.621</v>
      </c>
      <c r="AI171" s="15">
        <v>-0.76100000000000001</v>
      </c>
      <c r="AJ171" s="15">
        <v>-0.85099999999999998</v>
      </c>
      <c r="AK171" s="16">
        <v>-0.252</v>
      </c>
      <c r="AL171" s="4">
        <v>-7.0000000000000007E-2</v>
      </c>
      <c r="AM171" s="4">
        <v>-0.33100000000000002</v>
      </c>
      <c r="AN171" s="4">
        <v>0.184</v>
      </c>
      <c r="AO171" s="4">
        <v>-0.51700000000000002</v>
      </c>
      <c r="AP171" s="4">
        <v>-0.54800000000000004</v>
      </c>
      <c r="AQ171" s="4">
        <v>0.33600000000000002</v>
      </c>
      <c r="AR171" s="4">
        <v>9.4E-2</v>
      </c>
      <c r="AS171" s="4">
        <v>-0.441</v>
      </c>
      <c r="AT171" s="4">
        <v>-1.7000000000000001E-2</v>
      </c>
      <c r="AU171" s="4">
        <v>-0.188</v>
      </c>
      <c r="AV171" s="4">
        <v>-0.35799999999999998</v>
      </c>
      <c r="AW171" s="4">
        <v>-0.17599999999999999</v>
      </c>
      <c r="AX171" s="4">
        <v>-0.185</v>
      </c>
      <c r="AY171" s="4">
        <v>0.81399999999999995</v>
      </c>
      <c r="AZ171" s="4">
        <v>0.29499999999999998</v>
      </c>
      <c r="BA171" s="4">
        <v>0.436</v>
      </c>
      <c r="BB171" s="4">
        <v>-0.67800000000000005</v>
      </c>
      <c r="BC171" s="4">
        <v>-0.629</v>
      </c>
      <c r="BD171" s="4">
        <v>0.10299999999999999</v>
      </c>
      <c r="BE171" s="4">
        <v>0.51500000000000001</v>
      </c>
      <c r="BF171" s="4">
        <v>0.34399999999999997</v>
      </c>
      <c r="BG171" s="4">
        <v>0.64800000000000002</v>
      </c>
      <c r="BH171" s="4">
        <v>-0.50800000000000001</v>
      </c>
      <c r="BI171" s="4">
        <v>0.67700000000000005</v>
      </c>
      <c r="BJ171" s="4">
        <v>-0.78300000000000003</v>
      </c>
      <c r="BK171" s="4">
        <v>-0.379</v>
      </c>
      <c r="BL171" s="4"/>
    </row>
    <row r="172" spans="1:64" x14ac:dyDescent="0.3">
      <c r="A172" t="s">
        <v>252</v>
      </c>
      <c r="B172" s="53">
        <f t="shared" si="16"/>
        <v>0</v>
      </c>
      <c r="C172" s="53">
        <f t="shared" si="17"/>
        <v>-2.4E-2</v>
      </c>
      <c r="D172" s="53">
        <f t="shared" si="18"/>
        <v>0</v>
      </c>
      <c r="E172" s="53">
        <f t="shared" si="19"/>
        <v>2.4E-2</v>
      </c>
      <c r="F172" s="15">
        <v>0.55200000000000005</v>
      </c>
      <c r="G172">
        <v>0.59799999999999998</v>
      </c>
      <c r="H172" t="s">
        <v>53</v>
      </c>
      <c r="I172" t="str">
        <f>VLOOKUP(A172,Setores!$A$2:$C$215,2,0)</f>
        <v>consumer_staples</v>
      </c>
      <c r="J172" t="str">
        <f>VLOOKUP(A172,Setores!$A$2:$C$215,3,0)</f>
        <v>very_high_beta</v>
      </c>
      <c r="K172" s="100">
        <v>0</v>
      </c>
      <c r="L172" s="58">
        <v>-2.4E-2</v>
      </c>
      <c r="M172" s="7">
        <v>2.4E-2</v>
      </c>
      <c r="N172" s="41">
        <f>VLOOKUP(A172,'Mandato ISEE'!$A$1:$C$215,2,0)</f>
        <v>0</v>
      </c>
      <c r="O172" s="58">
        <f t="shared" si="20"/>
        <v>0</v>
      </c>
      <c r="P172" s="41">
        <f>VLOOKUP(A172,'Mandato ISEE'!$A$1:$C$215,3,0)</f>
        <v>0</v>
      </c>
      <c r="Q172" s="42">
        <f t="shared" si="21"/>
        <v>0</v>
      </c>
      <c r="R172" s="42">
        <v>-0.745</v>
      </c>
      <c r="S172" s="15">
        <v>-0.80700000000000005</v>
      </c>
      <c r="T172" s="15">
        <v>-0.90400000000000003</v>
      </c>
      <c r="U172" s="15">
        <v>-0.73399999999999999</v>
      </c>
      <c r="V172" s="15">
        <v>-0.86699999999999999</v>
      </c>
      <c r="W172" s="15">
        <v>-0.71399999999999997</v>
      </c>
      <c r="X172" s="15">
        <v>-0.67300000000000004</v>
      </c>
      <c r="Y172" s="15">
        <v>-0.86099999999999999</v>
      </c>
      <c r="Z172" s="15">
        <v>-0.17799999999999999</v>
      </c>
      <c r="AA172" s="15">
        <v>-0.17499999999999999</v>
      </c>
      <c r="AB172" s="15">
        <v>0.60899999999999999</v>
      </c>
      <c r="AC172" s="15">
        <v>0.66500000000000004</v>
      </c>
      <c r="AD172" s="15">
        <v>0.32400000000000001</v>
      </c>
      <c r="AE172" s="15">
        <v>-0.39400000000000002</v>
      </c>
      <c r="AF172" s="14">
        <v>-0.32600000000000001</v>
      </c>
      <c r="AG172" s="15">
        <v>-0.60299999999999998</v>
      </c>
      <c r="AH172" s="15">
        <v>-0.69399999999999995</v>
      </c>
      <c r="AI172" s="15">
        <v>-0.77400000000000002</v>
      </c>
      <c r="AJ172" s="15">
        <v>-0.9</v>
      </c>
      <c r="AK172" s="16">
        <v>0.39400000000000002</v>
      </c>
      <c r="AL172" s="4">
        <v>-0.86699999999999999</v>
      </c>
      <c r="AM172" s="4">
        <v>-0.65100000000000002</v>
      </c>
      <c r="AN172" s="4">
        <v>9.0999999999999998E-2</v>
      </c>
      <c r="AO172" s="4">
        <v>-0.26100000000000001</v>
      </c>
      <c r="AP172" s="4">
        <v>4.5999999999999999E-2</v>
      </c>
      <c r="AQ172" s="4">
        <v>-0.18099999999999999</v>
      </c>
      <c r="AR172" s="4">
        <v>0.872</v>
      </c>
      <c r="AS172" s="4">
        <v>0.17</v>
      </c>
      <c r="AT172" s="4">
        <v>0.47799999999999998</v>
      </c>
      <c r="AU172" s="4">
        <v>-0.6</v>
      </c>
      <c r="AV172" s="4">
        <v>-5.0999999999999997E-2</v>
      </c>
      <c r="AW172" s="4">
        <v>-9.1999999999999998E-2</v>
      </c>
      <c r="AX172" s="4">
        <v>-0.432</v>
      </c>
      <c r="AY172" s="4">
        <v>0.84499999999999997</v>
      </c>
      <c r="AZ172" s="4">
        <v>0.111</v>
      </c>
      <c r="BA172" s="4">
        <v>-4.0000000000000001E-3</v>
      </c>
      <c r="BB172" s="4">
        <v>-0.184</v>
      </c>
      <c r="BC172" s="4">
        <v>7.4999999999999997E-2</v>
      </c>
      <c r="BD172" s="4">
        <v>0.251</v>
      </c>
      <c r="BE172" s="4">
        <v>0.114</v>
      </c>
      <c r="BF172" s="4">
        <v>1</v>
      </c>
      <c r="BG172" s="4">
        <v>0.45200000000000001</v>
      </c>
      <c r="BH172" s="4">
        <v>0.121</v>
      </c>
      <c r="BI172" s="4">
        <v>0.33400000000000002</v>
      </c>
      <c r="BJ172" s="4">
        <v>-0.51800000000000002</v>
      </c>
      <c r="BK172" s="4">
        <v>-0.126</v>
      </c>
      <c r="BL172" s="4"/>
    </row>
    <row r="173" spans="1:64" x14ac:dyDescent="0.3">
      <c r="A173" t="s">
        <v>128</v>
      </c>
      <c r="B173" s="53">
        <f t="shared" si="16"/>
        <v>0</v>
      </c>
      <c r="C173" s="53">
        <f t="shared" si="17"/>
        <v>0</v>
      </c>
      <c r="D173" s="53">
        <f t="shared" si="18"/>
        <v>0</v>
      </c>
      <c r="E173" s="53">
        <f t="shared" si="19"/>
        <v>0</v>
      </c>
      <c r="F173" s="15">
        <v>0.55000000000000004</v>
      </c>
      <c r="G173">
        <v>0.44</v>
      </c>
      <c r="H173" t="s">
        <v>68</v>
      </c>
      <c r="I173" t="str">
        <f>VLOOKUP(A173,Setores!$A$2:$C$215,2,0)</f>
        <v>capital_goods</v>
      </c>
      <c r="J173" t="str">
        <f>VLOOKUP(A173,Setores!$A$2:$C$215,3,0)</f>
        <v>very_low_beta</v>
      </c>
      <c r="K173" s="100">
        <v>0</v>
      </c>
      <c r="L173" s="58">
        <v>0</v>
      </c>
      <c r="M173" s="7">
        <v>0</v>
      </c>
      <c r="N173" s="41">
        <f>VLOOKUP(A173,'Mandato ISEE'!$A$1:$C$215,2,0)</f>
        <v>0</v>
      </c>
      <c r="O173" s="58">
        <f t="shared" si="20"/>
        <v>0</v>
      </c>
      <c r="P173" s="41">
        <f>VLOOKUP(A173,'Mandato ISEE'!$A$1:$C$215,3,0)</f>
        <v>0</v>
      </c>
      <c r="Q173" s="42">
        <f t="shared" si="21"/>
        <v>0</v>
      </c>
      <c r="R173" s="42">
        <v>-0.83099999999999996</v>
      </c>
      <c r="S173" s="15">
        <v>-0.66100000000000003</v>
      </c>
      <c r="T173" s="15">
        <v>-0.56899999999999995</v>
      </c>
      <c r="U173" s="15">
        <v>-0.91300000000000003</v>
      </c>
      <c r="V173" s="15">
        <v>-0.80500000000000005</v>
      </c>
      <c r="W173" s="15">
        <v>-0.84</v>
      </c>
      <c r="X173" s="15">
        <v>-0.751</v>
      </c>
      <c r="Y173" s="15">
        <v>-0.89400000000000002</v>
      </c>
      <c r="Z173" s="15">
        <v>-7.8E-2</v>
      </c>
      <c r="AA173" s="15">
        <v>-7.6999999999999999E-2</v>
      </c>
      <c r="AB173" s="15">
        <v>0.253</v>
      </c>
      <c r="AC173" s="15">
        <v>0.43</v>
      </c>
      <c r="AD173" s="15">
        <v>0.48899999999999999</v>
      </c>
      <c r="AE173" s="15">
        <v>-0.879</v>
      </c>
      <c r="AF173" s="14">
        <v>-1</v>
      </c>
      <c r="AG173" s="15">
        <v>-0.52500000000000002</v>
      </c>
      <c r="AH173" s="15">
        <v>-2.7E-2</v>
      </c>
      <c r="AI173" s="15">
        <v>0.185</v>
      </c>
      <c r="AJ173" s="15">
        <v>-0.22800000000000001</v>
      </c>
      <c r="AK173" s="16">
        <v>-0.41499999999999998</v>
      </c>
      <c r="AL173" s="4">
        <v>-0.69</v>
      </c>
      <c r="AM173" s="4">
        <v>0.108</v>
      </c>
      <c r="AN173" s="4">
        <v>-0.49</v>
      </c>
      <c r="AO173" s="4">
        <v>-0.20799999999999999</v>
      </c>
      <c r="AP173" s="4">
        <v>3.2000000000000001E-2</v>
      </c>
      <c r="AQ173" s="4">
        <v>-0.63100000000000001</v>
      </c>
      <c r="AR173" s="4">
        <v>-0.68799999999999994</v>
      </c>
      <c r="AS173" s="4">
        <v>-5.3999999999999999E-2</v>
      </c>
      <c r="AT173" s="4">
        <v>-0.28599999999999998</v>
      </c>
      <c r="AU173" s="4">
        <v>-0.45900000000000002</v>
      </c>
      <c r="AV173" s="4">
        <v>-0.67500000000000004</v>
      </c>
      <c r="AW173" s="4">
        <v>0.37</v>
      </c>
      <c r="AX173" s="4">
        <v>-0.312</v>
      </c>
      <c r="AY173" s="4">
        <v>0.60199999999999998</v>
      </c>
      <c r="AZ173" s="4">
        <v>-1</v>
      </c>
      <c r="BA173" s="4">
        <v>0.45200000000000001</v>
      </c>
      <c r="BB173" s="4">
        <v>6.7000000000000004E-2</v>
      </c>
      <c r="BC173" s="4">
        <v>-7.2999999999999995E-2</v>
      </c>
      <c r="BD173" s="4">
        <v>-4.9000000000000002E-2</v>
      </c>
      <c r="BE173" s="4">
        <v>-0.19500000000000001</v>
      </c>
      <c r="BF173" s="4">
        <v>0.66900000000000004</v>
      </c>
      <c r="BG173" s="4">
        <v>0.84499999999999997</v>
      </c>
      <c r="BH173" s="4">
        <v>0.60799999999999998</v>
      </c>
      <c r="BI173" s="4">
        <v>-6.2E-2</v>
      </c>
      <c r="BJ173" s="4">
        <v>0.79600000000000004</v>
      </c>
      <c r="BK173" s="4">
        <v>0.73199999999999998</v>
      </c>
      <c r="BL173" s="4"/>
    </row>
    <row r="174" spans="1:64" x14ac:dyDescent="0.3">
      <c r="A174" t="s">
        <v>247</v>
      </c>
      <c r="B174" s="53">
        <f t="shared" si="16"/>
        <v>0</v>
      </c>
      <c r="C174" s="53">
        <f t="shared" si="17"/>
        <v>0</v>
      </c>
      <c r="D174" s="53">
        <f t="shared" si="18"/>
        <v>0</v>
      </c>
      <c r="E174" s="53">
        <f t="shared" si="19"/>
        <v>0</v>
      </c>
      <c r="F174" s="15">
        <v>0.54800000000000004</v>
      </c>
      <c r="G174">
        <v>0.40699999999999997</v>
      </c>
      <c r="H174" t="s">
        <v>57</v>
      </c>
      <c r="I174" t="str">
        <f>VLOOKUP(A174,Setores!$A$2:$C$215,2,0)</f>
        <v>financial_services</v>
      </c>
      <c r="J174" t="str">
        <f>VLOOKUP(A174,Setores!$A$2:$C$215,3,0)</f>
        <v>high_beta</v>
      </c>
      <c r="K174" s="100">
        <v>0</v>
      </c>
      <c r="L174" s="58">
        <v>0</v>
      </c>
      <c r="M174" s="7">
        <v>0</v>
      </c>
      <c r="N174" s="41">
        <f>VLOOKUP(A174,'Mandato ISEE'!$A$1:$C$215,2,0)</f>
        <v>0</v>
      </c>
      <c r="O174" s="58">
        <f t="shared" si="20"/>
        <v>0</v>
      </c>
      <c r="P174" s="41">
        <f>VLOOKUP(A174,'Mandato ISEE'!$A$1:$C$215,3,0)</f>
        <v>0</v>
      </c>
      <c r="Q174" s="42">
        <f t="shared" si="21"/>
        <v>0</v>
      </c>
      <c r="R174" s="42">
        <v>-0.71</v>
      </c>
      <c r="S174" s="15">
        <v>-0.87</v>
      </c>
      <c r="T174" s="15">
        <v>-0.68500000000000005</v>
      </c>
      <c r="U174" s="15">
        <v>-0.79700000000000004</v>
      </c>
      <c r="V174" s="15">
        <v>-0.86199999999999999</v>
      </c>
      <c r="W174" s="15">
        <v>-0.68100000000000005</v>
      </c>
      <c r="X174" s="15">
        <v>-0.43</v>
      </c>
      <c r="Y174" s="15">
        <v>-0.91800000000000004</v>
      </c>
      <c r="Z174" s="15">
        <v>0.122</v>
      </c>
      <c r="AA174" s="15">
        <v>0.11899999999999999</v>
      </c>
      <c r="AB174" s="15">
        <v>-4.2000000000000003E-2</v>
      </c>
      <c r="AC174" s="15">
        <v>0.32400000000000001</v>
      </c>
      <c r="AD174" s="15">
        <v>0.22600000000000001</v>
      </c>
      <c r="AE174" s="15">
        <v>-0.96899999999999997</v>
      </c>
      <c r="AF174" s="14">
        <v>0.52900000000000003</v>
      </c>
      <c r="AG174" s="15">
        <v>-0.98799999999999999</v>
      </c>
      <c r="AH174" s="15">
        <v>-0.81200000000000006</v>
      </c>
      <c r="AI174" s="15">
        <v>-1</v>
      </c>
      <c r="AJ174" s="15">
        <v>-0.29599999999999999</v>
      </c>
      <c r="AK174" s="16">
        <v>-0.41499999999999998</v>
      </c>
      <c r="AL174" s="4">
        <v>-0.65700000000000003</v>
      </c>
      <c r="AM174" s="4">
        <v>-0.20399999999999999</v>
      </c>
      <c r="AN174" s="4">
        <v>0.33400000000000002</v>
      </c>
      <c r="AO174" s="4">
        <v>-0.873</v>
      </c>
      <c r="AP174" s="4">
        <v>-0.92200000000000004</v>
      </c>
      <c r="AQ174" s="4">
        <v>0.32800000000000001</v>
      </c>
      <c r="AR174" s="4">
        <v>0.99299999999999999</v>
      </c>
      <c r="AS174" s="4">
        <v>-0.123</v>
      </c>
      <c r="AT174" s="4">
        <v>0.17599999999999999</v>
      </c>
      <c r="AU174" s="4">
        <v>0.77300000000000002</v>
      </c>
      <c r="AV174" s="4">
        <v>-0.40699999999999997</v>
      </c>
      <c r="AW174" s="4">
        <v>-0.218</v>
      </c>
      <c r="AX174" s="4">
        <v>2.7E-2</v>
      </c>
      <c r="AY174" s="4">
        <v>-0.13800000000000001</v>
      </c>
      <c r="AZ174" s="4">
        <v>0.375</v>
      </c>
      <c r="BA174" s="4">
        <v>0.67300000000000004</v>
      </c>
      <c r="BB174" s="4">
        <v>-0.15</v>
      </c>
      <c r="BC174" s="4">
        <v>-0.28999999999999998</v>
      </c>
      <c r="BD174" s="4">
        <v>-0.11899999999999999</v>
      </c>
      <c r="BE174" s="4">
        <v>1</v>
      </c>
      <c r="BF174" s="4">
        <v>1</v>
      </c>
      <c r="BG174" s="4">
        <v>0.17100000000000001</v>
      </c>
      <c r="BH174" s="4">
        <v>-0.33700000000000002</v>
      </c>
      <c r="BI174" s="4">
        <v>0.20300000000000001</v>
      </c>
      <c r="BJ174" s="4">
        <v>0.53200000000000003</v>
      </c>
      <c r="BK174" s="4">
        <v>-0.109</v>
      </c>
      <c r="BL174" s="4"/>
    </row>
    <row r="175" spans="1:64" x14ac:dyDescent="0.3">
      <c r="A175" t="s">
        <v>176</v>
      </c>
      <c r="B175" s="53">
        <f t="shared" si="16"/>
        <v>0</v>
      </c>
      <c r="C175" s="53">
        <f t="shared" si="17"/>
        <v>-5.0000000000000001E-3</v>
      </c>
      <c r="D175" s="53">
        <f t="shared" si="18"/>
        <v>0</v>
      </c>
      <c r="E175" s="53">
        <f t="shared" si="19"/>
        <v>5.0000000000000001E-3</v>
      </c>
      <c r="F175" s="15">
        <v>0.54500000000000004</v>
      </c>
      <c r="G175">
        <v>0.41699999999999998</v>
      </c>
      <c r="H175" t="s">
        <v>57</v>
      </c>
      <c r="I175" t="str">
        <f>VLOOKUP(A175,Setores!$A$2:$C$215,2,0)</f>
        <v>apparel</v>
      </c>
      <c r="J175" t="str">
        <f>VLOOKUP(A175,Setores!$A$2:$C$215,3,0)</f>
        <v>very_high_beta</v>
      </c>
      <c r="K175" s="100">
        <v>0</v>
      </c>
      <c r="L175" s="58">
        <v>-5.0000000000000001E-3</v>
      </c>
      <c r="M175" s="7">
        <v>5.0000000000000001E-3</v>
      </c>
      <c r="N175" s="41">
        <f>VLOOKUP(A175,'Mandato ISEE'!$A$1:$C$215,2,0)</f>
        <v>0</v>
      </c>
      <c r="O175" s="58">
        <f t="shared" si="20"/>
        <v>0</v>
      </c>
      <c r="P175" s="41">
        <f>VLOOKUP(A175,'Mandato ISEE'!$A$1:$C$215,3,0)</f>
        <v>0</v>
      </c>
      <c r="Q175" s="42">
        <f t="shared" si="21"/>
        <v>0</v>
      </c>
      <c r="R175" s="42">
        <v>-0.54600000000000004</v>
      </c>
      <c r="S175" s="15">
        <v>-0.83699999999999997</v>
      </c>
      <c r="T175" s="15">
        <v>-0.439</v>
      </c>
      <c r="U175" s="15">
        <v>-0.34899999999999998</v>
      </c>
      <c r="V175" s="15">
        <v>-0.60399999999999998</v>
      </c>
      <c r="W175" s="15">
        <v>-0.70799999999999996</v>
      </c>
      <c r="X175" s="15">
        <v>-0.73499999999999999</v>
      </c>
      <c r="Y175" s="15">
        <v>-0.84199999999999997</v>
      </c>
      <c r="Z175" s="15">
        <v>-0.316</v>
      </c>
      <c r="AA175" s="15">
        <v>-0.313</v>
      </c>
      <c r="AB175" s="15">
        <v>0.32500000000000001</v>
      </c>
      <c r="AC175" s="15">
        <v>-0.104</v>
      </c>
      <c r="AD175" s="15">
        <v>7.9000000000000001E-2</v>
      </c>
      <c r="AE175" s="15">
        <v>0.73599999999999999</v>
      </c>
      <c r="AF175" s="14">
        <v>0.17399999999999999</v>
      </c>
      <c r="AG175" s="15">
        <v>-0.66400000000000003</v>
      </c>
      <c r="AH175" s="15">
        <v>-0.24</v>
      </c>
      <c r="AI175" s="15">
        <v>-0.53800000000000003</v>
      </c>
      <c r="AJ175" s="15">
        <v>0.63800000000000001</v>
      </c>
      <c r="AK175" s="16">
        <v>0.39100000000000001</v>
      </c>
      <c r="AL175" s="4">
        <v>-0.72199999999999998</v>
      </c>
      <c r="AM175" s="4">
        <v>-0.25600000000000001</v>
      </c>
      <c r="AN175" s="4">
        <v>0.19600000000000001</v>
      </c>
      <c r="AO175" s="4">
        <v>-0.82</v>
      </c>
      <c r="AP175" s="4">
        <v>4.4999999999999998E-2</v>
      </c>
      <c r="AQ175" s="4">
        <v>0.60399999999999998</v>
      </c>
      <c r="AR175" s="4">
        <v>-0.309</v>
      </c>
      <c r="AS175" s="4">
        <v>-0.45100000000000001</v>
      </c>
      <c r="AT175" s="4">
        <v>0.29099999999999998</v>
      </c>
      <c r="AU175" s="4">
        <v>-0.19500000000000001</v>
      </c>
      <c r="AV175" s="4">
        <v>0.80100000000000005</v>
      </c>
      <c r="AW175" s="4">
        <v>-0.59799999999999998</v>
      </c>
      <c r="AX175" s="4">
        <v>8.8999999999999996E-2</v>
      </c>
      <c r="AY175" s="4">
        <v>0.66200000000000003</v>
      </c>
      <c r="AZ175" s="4">
        <v>8.4000000000000005E-2</v>
      </c>
      <c r="BA175" s="4">
        <v>-0.23699999999999999</v>
      </c>
      <c r="BB175" s="4">
        <v>-0.14599999999999999</v>
      </c>
      <c r="BC175" s="4">
        <v>-0.215</v>
      </c>
      <c r="BD175" s="4">
        <v>0.42899999999999999</v>
      </c>
      <c r="BE175" s="4">
        <v>0.151</v>
      </c>
      <c r="BF175" s="4">
        <v>-0.187</v>
      </c>
      <c r="BG175" s="4">
        <v>-0.215</v>
      </c>
      <c r="BH175" s="4">
        <v>-0.56999999999999995</v>
      </c>
      <c r="BI175" s="4">
        <v>0.34599999999999997</v>
      </c>
      <c r="BJ175" s="4">
        <v>-0.84799999999999998</v>
      </c>
      <c r="BK175" s="4">
        <v>0.39800000000000002</v>
      </c>
      <c r="BL175" s="4"/>
    </row>
    <row r="176" spans="1:64" x14ac:dyDescent="0.3">
      <c r="A176" t="s">
        <v>178</v>
      </c>
      <c r="B176" s="53">
        <f t="shared" si="16"/>
        <v>0</v>
      </c>
      <c r="C176" s="53">
        <f t="shared" si="17"/>
        <v>-2.5999999999999999E-2</v>
      </c>
      <c r="D176" s="53">
        <f t="shared" si="18"/>
        <v>0</v>
      </c>
      <c r="E176" s="53">
        <f t="shared" si="19"/>
        <v>2.5999999999999999E-2</v>
      </c>
      <c r="F176" s="15">
        <v>0.54400000000000004</v>
      </c>
      <c r="G176">
        <v>0.66200000000000003</v>
      </c>
      <c r="H176" t="s">
        <v>53</v>
      </c>
      <c r="I176" t="str">
        <f>VLOOKUP(A176,Setores!$A$2:$C$215,2,0)</f>
        <v>healthcare</v>
      </c>
      <c r="J176" t="str">
        <f>VLOOKUP(A176,Setores!$A$2:$C$215,3,0)</f>
        <v>low_beta</v>
      </c>
      <c r="K176" s="100">
        <v>0</v>
      </c>
      <c r="L176" s="58">
        <v>-2.5999999999999999E-2</v>
      </c>
      <c r="M176" s="7">
        <v>2.5999999999999999E-2</v>
      </c>
      <c r="N176" s="41">
        <f>VLOOKUP(A176,'Mandato ISEE'!$A$1:$C$215,2,0)</f>
        <v>0</v>
      </c>
      <c r="O176" s="58">
        <f t="shared" si="20"/>
        <v>0</v>
      </c>
      <c r="P176" s="41">
        <f>VLOOKUP(A176,'Mandato ISEE'!$A$1:$C$215,3,0)</f>
        <v>0</v>
      </c>
      <c r="Q176" s="42">
        <f t="shared" si="21"/>
        <v>0</v>
      </c>
      <c r="R176" s="42">
        <v>-0.85299999999999998</v>
      </c>
      <c r="S176" s="15">
        <v>-0.92600000000000005</v>
      </c>
      <c r="T176" s="15">
        <v>-0.94799999999999995</v>
      </c>
      <c r="U176" s="15">
        <v>-0.81499999999999995</v>
      </c>
      <c r="V176" s="15">
        <v>-0.93300000000000005</v>
      </c>
      <c r="W176" s="15">
        <v>-0.71499999999999997</v>
      </c>
      <c r="X176" s="15">
        <v>-0.53500000000000003</v>
      </c>
      <c r="Y176" s="15">
        <v>-0.84399999999999997</v>
      </c>
      <c r="Z176" s="15">
        <v>-8.4000000000000005E-2</v>
      </c>
      <c r="AA176" s="15">
        <v>-8.3000000000000004E-2</v>
      </c>
      <c r="AB176" s="15">
        <v>0.53</v>
      </c>
      <c r="AC176" s="15">
        <v>0.54100000000000004</v>
      </c>
      <c r="AD176" s="15">
        <v>0.252</v>
      </c>
      <c r="AE176" s="15">
        <v>-0.443</v>
      </c>
      <c r="AF176" s="14">
        <v>-0.88200000000000001</v>
      </c>
      <c r="AG176" s="15">
        <v>-0.84299999999999997</v>
      </c>
      <c r="AH176" s="15">
        <v>-0.97599999999999998</v>
      </c>
      <c r="AI176" s="15">
        <v>-0.83799999999999997</v>
      </c>
      <c r="AJ176" s="15">
        <v>-0.70899999999999996</v>
      </c>
      <c r="AK176" s="16">
        <v>-0.32400000000000001</v>
      </c>
      <c r="AL176" s="4">
        <v>-0.76</v>
      </c>
      <c r="AM176" s="4">
        <v>-0.91</v>
      </c>
      <c r="AN176" s="4">
        <v>0.40400000000000003</v>
      </c>
      <c r="AO176" s="4">
        <v>-0.219</v>
      </c>
      <c r="AP176" s="4">
        <v>-0.61199999999999999</v>
      </c>
      <c r="AQ176" s="4">
        <v>-4.9000000000000002E-2</v>
      </c>
      <c r="AR176" s="4">
        <v>0.159</v>
      </c>
      <c r="AS176" s="4">
        <v>-0.66400000000000003</v>
      </c>
      <c r="AT176" s="4">
        <v>0.52100000000000002</v>
      </c>
      <c r="AU176" s="4">
        <v>-0.42499999999999999</v>
      </c>
      <c r="AV176" s="4">
        <v>0.36699999999999999</v>
      </c>
      <c r="AW176" s="4">
        <v>0.31</v>
      </c>
      <c r="AX176" s="4">
        <v>-9.7000000000000003E-2</v>
      </c>
      <c r="AY176" s="4">
        <v>0.94699999999999995</v>
      </c>
      <c r="AZ176" s="4">
        <v>0.51</v>
      </c>
      <c r="BA176" s="4">
        <v>0.36799999999999999</v>
      </c>
      <c r="BB176" s="4">
        <v>-0.26600000000000001</v>
      </c>
      <c r="BC176" s="4">
        <v>-0.127</v>
      </c>
      <c r="BD176" s="4">
        <v>0.38600000000000001</v>
      </c>
      <c r="BE176" s="4">
        <v>0.30299999999999999</v>
      </c>
      <c r="BF176" s="4">
        <v>-0.12</v>
      </c>
      <c r="BG176" s="4">
        <v>0.64200000000000002</v>
      </c>
      <c r="BH176" s="4">
        <v>-5.2999999999999999E-2</v>
      </c>
      <c r="BI176" s="4">
        <v>-0.28399999999999997</v>
      </c>
      <c r="BJ176" s="4">
        <v>-0.254</v>
      </c>
      <c r="BK176" s="4">
        <v>-0.67700000000000005</v>
      </c>
      <c r="BL176" s="4"/>
    </row>
    <row r="177" spans="1:64" x14ac:dyDescent="0.3">
      <c r="A177" t="s">
        <v>197</v>
      </c>
      <c r="B177" s="53">
        <f t="shared" si="16"/>
        <v>0</v>
      </c>
      <c r="C177" s="53">
        <f t="shared" si="17"/>
        <v>0</v>
      </c>
      <c r="D177" s="53">
        <f t="shared" si="18"/>
        <v>0</v>
      </c>
      <c r="E177" s="53">
        <f t="shared" si="19"/>
        <v>0</v>
      </c>
      <c r="F177" s="15">
        <v>0.54300000000000004</v>
      </c>
      <c r="G177">
        <v>0.60599999999999998</v>
      </c>
      <c r="H177" t="s">
        <v>53</v>
      </c>
      <c r="I177" t="str">
        <f>VLOOKUP(A177,Setores!$A$2:$C$215,2,0)</f>
        <v>healthcare</v>
      </c>
      <c r="J177" t="str">
        <f>VLOOKUP(A177,Setores!$A$2:$C$215,3,0)</f>
        <v>low_beta</v>
      </c>
      <c r="K177" s="100">
        <v>0</v>
      </c>
      <c r="L177" s="58">
        <v>0</v>
      </c>
      <c r="M177" s="7">
        <v>0</v>
      </c>
      <c r="N177" s="41">
        <f>VLOOKUP(A177,'Mandato ISEE'!$A$1:$C$215,2,0)</f>
        <v>0</v>
      </c>
      <c r="O177" s="58">
        <f t="shared" si="20"/>
        <v>0</v>
      </c>
      <c r="P177" s="41">
        <f>VLOOKUP(A177,'Mandato ISEE'!$A$1:$C$215,3,0)</f>
        <v>0</v>
      </c>
      <c r="Q177" s="42">
        <f t="shared" si="21"/>
        <v>0</v>
      </c>
      <c r="R177" s="42">
        <v>-0.82799999999999996</v>
      </c>
      <c r="S177" s="15">
        <v>-0.94399999999999995</v>
      </c>
      <c r="T177" s="15">
        <v>-0.92600000000000005</v>
      </c>
      <c r="U177" s="15">
        <v>-0.78200000000000003</v>
      </c>
      <c r="V177" s="15">
        <v>-0.92100000000000004</v>
      </c>
      <c r="W177" s="15">
        <v>-0.67300000000000004</v>
      </c>
      <c r="X177" s="15">
        <v>-0.51100000000000001</v>
      </c>
      <c r="Y177" s="15">
        <v>-0.78600000000000003</v>
      </c>
      <c r="Z177" s="15">
        <v>-0.32100000000000001</v>
      </c>
      <c r="AA177" s="15">
        <v>-0.32100000000000001</v>
      </c>
      <c r="AB177" s="15">
        <v>0.58899999999999997</v>
      </c>
      <c r="AC177" s="15">
        <v>0.50900000000000001</v>
      </c>
      <c r="AD177" s="15">
        <v>0.23499999999999999</v>
      </c>
      <c r="AE177" s="15">
        <v>-0.501</v>
      </c>
      <c r="AF177" s="14">
        <v>-0.01</v>
      </c>
      <c r="AG177" s="15">
        <v>-0.97699999999999998</v>
      </c>
      <c r="AH177" s="15">
        <v>-0.94699999999999995</v>
      </c>
      <c r="AI177" s="15">
        <v>-1</v>
      </c>
      <c r="AJ177" s="15">
        <v>-0.97299999999999998</v>
      </c>
      <c r="AK177" s="16">
        <v>-0.5</v>
      </c>
      <c r="AL177" s="4">
        <v>-0.11799999999999999</v>
      </c>
      <c r="AM177" s="4">
        <v>-0.85399999999999998</v>
      </c>
      <c r="AN177" s="4">
        <v>0.316</v>
      </c>
      <c r="AO177" s="4">
        <v>-0.45</v>
      </c>
      <c r="AP177" s="4">
        <v>-0.218</v>
      </c>
      <c r="AQ177" s="4">
        <v>0.41499999999999998</v>
      </c>
      <c r="AR177" s="4">
        <v>0.27200000000000002</v>
      </c>
      <c r="AS177" s="4">
        <v>-0.34799999999999998</v>
      </c>
      <c r="AT177" s="4">
        <v>-1.2999999999999999E-2</v>
      </c>
      <c r="AU177" s="4">
        <v>-0.34300000000000003</v>
      </c>
      <c r="AV177" s="4">
        <v>-0.115</v>
      </c>
      <c r="AW177" s="4">
        <v>0.214</v>
      </c>
      <c r="AX177" s="4">
        <v>0.20499999999999999</v>
      </c>
      <c r="AY177" s="4">
        <v>0.83899999999999997</v>
      </c>
      <c r="AZ177" s="4">
        <v>0.25600000000000001</v>
      </c>
      <c r="BA177" s="4">
        <v>0.65600000000000003</v>
      </c>
      <c r="BB177" s="4">
        <v>2.3E-2</v>
      </c>
      <c r="BC177" s="4">
        <v>-0.247</v>
      </c>
      <c r="BD177" s="4">
        <v>0.22</v>
      </c>
      <c r="BE177" s="4">
        <v>0.222</v>
      </c>
      <c r="BF177" s="4">
        <v>0.437</v>
      </c>
      <c r="BG177" s="4">
        <v>0.32800000000000001</v>
      </c>
      <c r="BH177" s="4">
        <v>-0.217</v>
      </c>
      <c r="BI177" s="4">
        <v>-0.20399999999999999</v>
      </c>
      <c r="BJ177" s="4">
        <v>-0.14399999999999999</v>
      </c>
      <c r="BK177" s="4">
        <v>-0.874</v>
      </c>
      <c r="BL177" s="4"/>
    </row>
    <row r="178" spans="1:64" x14ac:dyDescent="0.3">
      <c r="A178" t="s">
        <v>169</v>
      </c>
      <c r="B178" s="53">
        <f t="shared" si="16"/>
        <v>0</v>
      </c>
      <c r="C178" s="53">
        <f t="shared" si="17"/>
        <v>0</v>
      </c>
      <c r="D178" s="53">
        <f t="shared" si="18"/>
        <v>0</v>
      </c>
      <c r="E178" s="53">
        <f t="shared" si="19"/>
        <v>0</v>
      </c>
      <c r="F178" s="15">
        <v>0.54</v>
      </c>
      <c r="G178">
        <v>0.54400000000000004</v>
      </c>
      <c r="H178" t="s">
        <v>57</v>
      </c>
      <c r="I178" t="str">
        <f>VLOOKUP(A178,Setores!$A$2:$C$215,2,0)</f>
        <v>homebuilders</v>
      </c>
      <c r="J178" t="str">
        <f>VLOOKUP(A178,Setores!$A$2:$C$215,3,0)</f>
        <v>very_high_beta</v>
      </c>
      <c r="K178" s="100">
        <v>0</v>
      </c>
      <c r="L178" s="58">
        <v>0</v>
      </c>
      <c r="M178" s="7">
        <v>0</v>
      </c>
      <c r="N178" s="41">
        <f>VLOOKUP(A178,'Mandato ISEE'!$A$1:$C$215,2,0)</f>
        <v>0</v>
      </c>
      <c r="O178" s="58">
        <f t="shared" si="20"/>
        <v>0</v>
      </c>
      <c r="P178" s="41">
        <f>VLOOKUP(A178,'Mandato ISEE'!$A$1:$C$215,3,0)</f>
        <v>0</v>
      </c>
      <c r="Q178" s="42">
        <f t="shared" si="21"/>
        <v>0</v>
      </c>
      <c r="R178" s="42">
        <v>-0.77500000000000002</v>
      </c>
      <c r="S178" s="15">
        <v>-0.91300000000000003</v>
      </c>
      <c r="T178" s="15">
        <v>-0.747</v>
      </c>
      <c r="U178" s="15">
        <v>-0.82699999999999996</v>
      </c>
      <c r="V178" s="15">
        <v>-0.89300000000000002</v>
      </c>
      <c r="W178" s="15">
        <v>-0.70599999999999996</v>
      </c>
      <c r="X178" s="15">
        <v>-0.60399999999999998</v>
      </c>
      <c r="Y178" s="15">
        <v>-0.88800000000000001</v>
      </c>
      <c r="Z178" s="15">
        <v>8.0000000000000002E-3</v>
      </c>
      <c r="AA178" s="15">
        <v>6.0000000000000001E-3</v>
      </c>
      <c r="AB178" s="15">
        <v>0.435</v>
      </c>
      <c r="AC178" s="15">
        <v>0.36499999999999999</v>
      </c>
      <c r="AD178" s="15">
        <v>0.14499999999999999</v>
      </c>
      <c r="AE178" s="15">
        <v>-0.94099999999999995</v>
      </c>
      <c r="AF178" s="14">
        <v>0.26700000000000002</v>
      </c>
      <c r="AG178" s="15">
        <v>-0.85</v>
      </c>
      <c r="AH178" s="15">
        <v>-0.746</v>
      </c>
      <c r="AI178" s="15">
        <v>-0.94299999999999995</v>
      </c>
      <c r="AJ178" s="15">
        <v>-0.46100000000000002</v>
      </c>
      <c r="AK178" s="16">
        <v>-0.252</v>
      </c>
      <c r="AL178" s="4">
        <v>-0.56499999999999995</v>
      </c>
      <c r="AM178" s="4">
        <v>-0.33100000000000002</v>
      </c>
      <c r="AN178" s="4">
        <v>0.38</v>
      </c>
      <c r="AO178" s="4">
        <v>-0.60199999999999998</v>
      </c>
      <c r="AP178" s="4">
        <v>-0.621</v>
      </c>
      <c r="AQ178" s="4">
        <v>0.375</v>
      </c>
      <c r="AR178" s="4">
        <v>0.29499999999999998</v>
      </c>
      <c r="AS178" s="4">
        <v>-0.19</v>
      </c>
      <c r="AT178" s="4">
        <v>-3.5000000000000003E-2</v>
      </c>
      <c r="AU178" s="4">
        <v>-0.188</v>
      </c>
      <c r="AV178" s="4">
        <v>-0.57299999999999995</v>
      </c>
      <c r="AW178" s="4">
        <v>0.06</v>
      </c>
      <c r="AX178" s="4">
        <v>-0.185</v>
      </c>
      <c r="AY178" s="4">
        <v>0.63900000000000001</v>
      </c>
      <c r="AZ178" s="4">
        <v>0.64800000000000002</v>
      </c>
      <c r="BA178" s="4">
        <v>0.32600000000000001</v>
      </c>
      <c r="BB178" s="4">
        <v>-0.26200000000000001</v>
      </c>
      <c r="BC178" s="4">
        <v>-0.54300000000000004</v>
      </c>
      <c r="BD178" s="4">
        <v>-1.7000000000000001E-2</v>
      </c>
      <c r="BE178" s="4">
        <v>0.42</v>
      </c>
      <c r="BF178" s="4">
        <v>0.33100000000000002</v>
      </c>
      <c r="BG178" s="4">
        <v>0.438</v>
      </c>
      <c r="BH178" s="4">
        <v>-0.501</v>
      </c>
      <c r="BI178" s="4">
        <v>0.82699999999999996</v>
      </c>
      <c r="BJ178" s="4">
        <v>0.54800000000000004</v>
      </c>
      <c r="BK178" s="4">
        <v>-0.379</v>
      </c>
      <c r="BL178" s="4"/>
    </row>
    <row r="179" spans="1:64" x14ac:dyDescent="0.3">
      <c r="A179" t="s">
        <v>238</v>
      </c>
      <c r="B179" s="53">
        <f t="shared" si="16"/>
        <v>0</v>
      </c>
      <c r="C179" s="53">
        <f t="shared" si="17"/>
        <v>0</v>
      </c>
      <c r="D179" s="53">
        <f t="shared" si="18"/>
        <v>0</v>
      </c>
      <c r="E179" s="53">
        <f t="shared" si="19"/>
        <v>0</v>
      </c>
      <c r="F179" s="15">
        <v>0.54</v>
      </c>
      <c r="G179">
        <v>0.46400000000000002</v>
      </c>
      <c r="H179" t="s">
        <v>68</v>
      </c>
      <c r="I179" t="str">
        <f>VLOOKUP(A179,Setores!$A$2:$C$215,2,0)</f>
        <v>capital_goods</v>
      </c>
      <c r="J179" t="str">
        <f>VLOOKUP(A179,Setores!$A$2:$C$215,3,0)</f>
        <v>high_beta</v>
      </c>
      <c r="K179" s="100">
        <v>0</v>
      </c>
      <c r="L179" s="58">
        <v>0</v>
      </c>
      <c r="M179" s="7">
        <v>0</v>
      </c>
      <c r="N179" s="41">
        <f>VLOOKUP(A179,'Mandato ISEE'!$A$1:$C$215,2,0)</f>
        <v>0</v>
      </c>
      <c r="O179" s="58">
        <f t="shared" si="20"/>
        <v>0</v>
      </c>
      <c r="P179" s="41">
        <f>VLOOKUP(A179,'Mandato ISEE'!$A$1:$C$215,3,0)</f>
        <v>0</v>
      </c>
      <c r="Q179" s="42">
        <f t="shared" si="21"/>
        <v>0</v>
      </c>
      <c r="R179" s="42">
        <v>-0.77500000000000002</v>
      </c>
      <c r="S179" s="15">
        <v>-0.56999999999999995</v>
      </c>
      <c r="T179" s="15">
        <v>-0.68100000000000005</v>
      </c>
      <c r="U179" s="15">
        <v>-0.872</v>
      </c>
      <c r="V179" s="15">
        <v>-0.78700000000000003</v>
      </c>
      <c r="W179" s="15">
        <v>-0.82399999999999995</v>
      </c>
      <c r="X179" s="15">
        <v>-0.81899999999999995</v>
      </c>
      <c r="Y179" s="15">
        <v>-0.81399999999999995</v>
      </c>
      <c r="Z179" s="15">
        <v>-0.36499999999999999</v>
      </c>
      <c r="AA179" s="15">
        <v>-0.36299999999999999</v>
      </c>
      <c r="AB179" s="15">
        <v>-8.2000000000000003E-2</v>
      </c>
      <c r="AC179" s="15">
        <v>0.504</v>
      </c>
      <c r="AD179" s="15">
        <v>0.35299999999999998</v>
      </c>
      <c r="AE179" s="15">
        <v>-0.90200000000000002</v>
      </c>
      <c r="AF179" s="14">
        <v>-0.748</v>
      </c>
      <c r="AG179" s="15">
        <v>0.09</v>
      </c>
      <c r="AH179" s="15">
        <v>4.5999999999999999E-2</v>
      </c>
      <c r="AI179" s="15">
        <v>0.55100000000000005</v>
      </c>
      <c r="AJ179" s="15">
        <v>-0.71699999999999997</v>
      </c>
      <c r="AK179" s="16">
        <v>8.5999999999999993E-2</v>
      </c>
      <c r="AL179" s="4">
        <v>-0.61899999999999999</v>
      </c>
      <c r="AM179" s="4">
        <v>-0.112</v>
      </c>
      <c r="AN179" s="4">
        <v>-0.50900000000000001</v>
      </c>
      <c r="AO179" s="4">
        <v>-0.14599999999999999</v>
      </c>
      <c r="AP179" s="4">
        <v>0.873</v>
      </c>
      <c r="AQ179" s="4">
        <v>-0.63200000000000001</v>
      </c>
      <c r="AR179" s="4">
        <v>-1</v>
      </c>
      <c r="AS179" s="4">
        <v>-0.81899999999999995</v>
      </c>
      <c r="AT179" s="4">
        <v>-0.29299999999999998</v>
      </c>
      <c r="AU179" s="4">
        <v>-0.71799999999999997</v>
      </c>
      <c r="AV179" s="4">
        <v>-0.77600000000000002</v>
      </c>
      <c r="AW179" s="4">
        <v>0.32700000000000001</v>
      </c>
      <c r="AX179" s="4">
        <v>-0.27</v>
      </c>
      <c r="AY179" s="4">
        <v>0.40100000000000002</v>
      </c>
      <c r="AZ179" s="4">
        <v>-5.0000000000000001E-3</v>
      </c>
      <c r="BA179" s="4">
        <v>4.0000000000000001E-3</v>
      </c>
      <c r="BB179" s="4">
        <v>0.71399999999999997</v>
      </c>
      <c r="BC179" s="4">
        <v>0.433</v>
      </c>
      <c r="BD179" s="4">
        <v>0.23499999999999999</v>
      </c>
      <c r="BE179" s="4">
        <v>8.9999999999999993E-3</v>
      </c>
      <c r="BF179" s="4">
        <v>0.11</v>
      </c>
      <c r="BG179" s="4">
        <v>0.35899999999999999</v>
      </c>
      <c r="BH179" s="4">
        <v>0.17699999999999999</v>
      </c>
      <c r="BI179" s="4">
        <v>0.71699999999999997</v>
      </c>
      <c r="BJ179" s="4">
        <v>-3.0000000000000001E-3</v>
      </c>
      <c r="BK179" s="4">
        <v>0.378</v>
      </c>
      <c r="BL179" s="4"/>
    </row>
    <row r="180" spans="1:64" x14ac:dyDescent="0.3">
      <c r="A180" t="s">
        <v>170</v>
      </c>
      <c r="B180" s="53">
        <f t="shared" si="16"/>
        <v>0</v>
      </c>
      <c r="C180" s="53">
        <f t="shared" si="17"/>
        <v>0</v>
      </c>
      <c r="D180" s="53">
        <f t="shared" si="18"/>
        <v>0</v>
      </c>
      <c r="E180" s="53">
        <f t="shared" si="19"/>
        <v>0</v>
      </c>
      <c r="F180" s="15">
        <v>0.53600000000000003</v>
      </c>
      <c r="G180">
        <v>0.45300000000000001</v>
      </c>
      <c r="H180" t="s">
        <v>57</v>
      </c>
      <c r="I180" t="str">
        <f>VLOOKUP(A180,Setores!$A$2:$C$215,2,0)</f>
        <v>consumer_durables</v>
      </c>
      <c r="J180" t="str">
        <f>VLOOKUP(A180,Setores!$A$2:$C$215,3,0)</f>
        <v>very_high_beta</v>
      </c>
      <c r="K180" s="100">
        <v>0</v>
      </c>
      <c r="L180" s="58">
        <v>0</v>
      </c>
      <c r="M180" s="7">
        <v>0</v>
      </c>
      <c r="N180" s="41">
        <f>VLOOKUP(A180,'Mandato ISEE'!$A$1:$C$215,2,0)</f>
        <v>0</v>
      </c>
      <c r="O180" s="58">
        <f t="shared" si="20"/>
        <v>0</v>
      </c>
      <c r="P180" s="41">
        <f>VLOOKUP(A180,'Mandato ISEE'!$A$1:$C$215,3,0)</f>
        <v>0</v>
      </c>
      <c r="Q180" s="42">
        <f t="shared" si="21"/>
        <v>0</v>
      </c>
      <c r="R180" s="42">
        <v>-0.75</v>
      </c>
      <c r="S180" s="15">
        <v>-0.82699999999999996</v>
      </c>
      <c r="T180" s="15">
        <v>-0.75</v>
      </c>
      <c r="U180" s="15">
        <v>-0.78900000000000003</v>
      </c>
      <c r="V180" s="15">
        <v>-0.83399999999999996</v>
      </c>
      <c r="W180" s="15">
        <v>-0.81</v>
      </c>
      <c r="X180" s="15">
        <v>-0.80600000000000005</v>
      </c>
      <c r="Y180" s="15">
        <v>-0.879</v>
      </c>
      <c r="Z180" s="15">
        <v>-0.26800000000000002</v>
      </c>
      <c r="AA180" s="15">
        <v>-0.26800000000000002</v>
      </c>
      <c r="AB180" s="15">
        <v>0.45800000000000002</v>
      </c>
      <c r="AC180" s="15">
        <v>0.42199999999999999</v>
      </c>
      <c r="AD180" s="15">
        <v>0.20200000000000001</v>
      </c>
      <c r="AE180" s="15">
        <v>-0.6</v>
      </c>
      <c r="AF180" s="14">
        <v>-0.17299999999999999</v>
      </c>
      <c r="AG180" s="15">
        <v>-0.625</v>
      </c>
      <c r="AH180" s="15">
        <v>-0.33100000000000002</v>
      </c>
      <c r="AI180" s="15">
        <v>-0.21099999999999999</v>
      </c>
      <c r="AJ180" s="15">
        <v>-0.28000000000000003</v>
      </c>
      <c r="AK180" s="16">
        <v>-0.28399999999999997</v>
      </c>
      <c r="AL180" s="4">
        <v>-0.57199999999999995</v>
      </c>
      <c r="AM180" s="4">
        <v>-0.34399999999999997</v>
      </c>
      <c r="AN180" s="4">
        <v>0.193</v>
      </c>
      <c r="AO180" s="4">
        <v>-0.56699999999999995</v>
      </c>
      <c r="AP180" s="4">
        <v>0.115</v>
      </c>
      <c r="AQ180" s="4">
        <v>0.35399999999999998</v>
      </c>
      <c r="AR180" s="4">
        <v>0.27400000000000002</v>
      </c>
      <c r="AS180" s="4">
        <v>0.17499999999999999</v>
      </c>
      <c r="AT180" s="4">
        <v>0.14199999999999999</v>
      </c>
      <c r="AU180" s="4">
        <v>-0.45100000000000001</v>
      </c>
      <c r="AV180" s="4">
        <v>-0.183</v>
      </c>
      <c r="AW180" s="4">
        <v>-0.40799999999999997</v>
      </c>
      <c r="AX180" s="4">
        <v>-0.42499999999999999</v>
      </c>
      <c r="AY180" s="4">
        <v>0.65200000000000002</v>
      </c>
      <c r="AZ180" s="4">
        <v>0.23499999999999999</v>
      </c>
      <c r="BA180" s="4">
        <v>0.42299999999999999</v>
      </c>
      <c r="BB180" s="4">
        <v>-0.309</v>
      </c>
      <c r="BC180" s="4">
        <v>-0.70299999999999996</v>
      </c>
      <c r="BD180" s="4">
        <v>0.21199999999999999</v>
      </c>
      <c r="BE180" s="4">
        <v>-0.113</v>
      </c>
      <c r="BF180" s="4">
        <v>0.11799999999999999</v>
      </c>
      <c r="BG180" s="4">
        <v>-3.3000000000000002E-2</v>
      </c>
      <c r="BH180" s="4">
        <v>-8.3000000000000004E-2</v>
      </c>
      <c r="BI180" s="4">
        <v>0.29899999999999999</v>
      </c>
      <c r="BJ180" s="4">
        <v>-0.17100000000000001</v>
      </c>
      <c r="BK180" s="4">
        <v>3.5000000000000003E-2</v>
      </c>
      <c r="BL180" s="4"/>
    </row>
    <row r="181" spans="1:64" x14ac:dyDescent="0.3">
      <c r="A181" t="s">
        <v>217</v>
      </c>
      <c r="B181" s="53">
        <f t="shared" si="16"/>
        <v>0</v>
      </c>
      <c r="C181" s="53">
        <f t="shared" si="17"/>
        <v>0</v>
      </c>
      <c r="D181" s="53">
        <f t="shared" si="18"/>
        <v>0</v>
      </c>
      <c r="E181" s="53">
        <f t="shared" si="19"/>
        <v>0</v>
      </c>
      <c r="F181" s="15">
        <v>0.53500000000000003</v>
      </c>
      <c r="G181">
        <v>0.502</v>
      </c>
      <c r="H181" t="s">
        <v>57</v>
      </c>
      <c r="I181" t="str">
        <f>VLOOKUP(A181,Setores!$A$2:$C$215,2,0)</f>
        <v>consumer_services</v>
      </c>
      <c r="J181" t="str">
        <f>VLOOKUP(A181,Setores!$A$2:$C$215,3,0)</f>
        <v>very_high_beta</v>
      </c>
      <c r="K181" s="100">
        <v>0</v>
      </c>
      <c r="L181" s="58">
        <v>0</v>
      </c>
      <c r="M181" s="7">
        <v>0</v>
      </c>
      <c r="N181" s="41">
        <f>VLOOKUP(A181,'Mandato ISEE'!$A$1:$C$215,2,0)</f>
        <v>0</v>
      </c>
      <c r="O181" s="58">
        <f t="shared" si="20"/>
        <v>0</v>
      </c>
      <c r="P181" s="41">
        <f>VLOOKUP(A181,'Mandato ISEE'!$A$1:$C$215,3,0)</f>
        <v>0</v>
      </c>
      <c r="Q181" s="42">
        <f t="shared" si="21"/>
        <v>0</v>
      </c>
      <c r="R181" s="42">
        <v>-0.75900000000000001</v>
      </c>
      <c r="S181" s="15">
        <v>-0.86399999999999999</v>
      </c>
      <c r="T181" s="15">
        <v>-0.84699999999999998</v>
      </c>
      <c r="U181" s="15">
        <v>-0.81799999999999995</v>
      </c>
      <c r="V181" s="15">
        <v>-0.9</v>
      </c>
      <c r="W181" s="15">
        <v>-0.79300000000000004</v>
      </c>
      <c r="X181" s="15">
        <v>-0.75900000000000001</v>
      </c>
      <c r="Y181" s="15">
        <v>-0.88500000000000001</v>
      </c>
      <c r="Z181" s="15">
        <v>-0.16200000000000001</v>
      </c>
      <c r="AA181" s="15">
        <v>-0.16200000000000001</v>
      </c>
      <c r="AB181" s="15">
        <v>0.375</v>
      </c>
      <c r="AC181" s="15">
        <v>0.44</v>
      </c>
      <c r="AD181" s="15">
        <v>0.18</v>
      </c>
      <c r="AE181" s="15">
        <v>-0.97399999999999998</v>
      </c>
      <c r="AF181" s="14">
        <v>-0.17</v>
      </c>
      <c r="AG181" s="15">
        <v>-0.754</v>
      </c>
      <c r="AH181" s="15">
        <v>-0.98399999999999999</v>
      </c>
      <c r="AI181" s="15">
        <v>-0.89900000000000002</v>
      </c>
      <c r="AJ181" s="15">
        <v>-0.72</v>
      </c>
      <c r="AK181" s="16">
        <v>-0.28799999999999998</v>
      </c>
      <c r="AL181" s="4">
        <v>-0.72699999999999998</v>
      </c>
      <c r="AM181" s="4">
        <v>-0.63800000000000001</v>
      </c>
      <c r="AN181" s="4">
        <v>0.371</v>
      </c>
      <c r="AO181" s="4">
        <v>-0.33100000000000002</v>
      </c>
      <c r="AP181" s="4">
        <v>-2.5999999999999999E-2</v>
      </c>
      <c r="AQ181" s="4">
        <v>0.41099999999999998</v>
      </c>
      <c r="AR181" s="4">
        <v>0.47099999999999997</v>
      </c>
      <c r="AS181" s="4">
        <v>0.22700000000000001</v>
      </c>
      <c r="AT181" s="4">
        <v>4.5999999999999999E-2</v>
      </c>
      <c r="AU181" s="4">
        <v>-0.22900000000000001</v>
      </c>
      <c r="AV181" s="4">
        <v>-0.432</v>
      </c>
      <c r="AW181" s="4">
        <v>-4.2999999999999997E-2</v>
      </c>
      <c r="AX181" s="4">
        <v>-0.24299999999999999</v>
      </c>
      <c r="AY181" s="4">
        <v>-6.8000000000000005E-2</v>
      </c>
      <c r="AZ181" s="4">
        <v>0.13900000000000001</v>
      </c>
      <c r="BA181" s="4">
        <v>0.51300000000000001</v>
      </c>
      <c r="BB181" s="4">
        <v>-0.156</v>
      </c>
      <c r="BC181" s="4">
        <v>-0.05</v>
      </c>
      <c r="BD181" s="4">
        <v>0.17499999999999999</v>
      </c>
      <c r="BE181" s="4">
        <v>5.2999999999999999E-2</v>
      </c>
      <c r="BF181" s="4">
        <v>-0.26700000000000002</v>
      </c>
      <c r="BG181" s="4">
        <v>-6.6000000000000003E-2</v>
      </c>
      <c r="BH181" s="4">
        <v>-3.5000000000000003E-2</v>
      </c>
      <c r="BI181" s="4">
        <v>0.505</v>
      </c>
      <c r="BJ181" s="4">
        <v>0.60099999999999998</v>
      </c>
      <c r="BK181" s="4">
        <v>-0.65</v>
      </c>
      <c r="BL181" s="4"/>
    </row>
    <row r="182" spans="1:64" x14ac:dyDescent="0.3">
      <c r="A182" t="s">
        <v>257</v>
      </c>
      <c r="B182" s="53">
        <f t="shared" si="16"/>
        <v>0</v>
      </c>
      <c r="C182" s="53">
        <f t="shared" si="17"/>
        <v>-3.0000000000000001E-3</v>
      </c>
      <c r="D182" s="53">
        <f t="shared" si="18"/>
        <v>0</v>
      </c>
      <c r="E182" s="53">
        <f t="shared" si="19"/>
        <v>3.0000000000000001E-3</v>
      </c>
      <c r="F182" s="15">
        <v>0.53400000000000003</v>
      </c>
      <c r="G182">
        <v>0.40400000000000003</v>
      </c>
      <c r="H182" t="s">
        <v>57</v>
      </c>
      <c r="I182" t="str">
        <f>VLOOKUP(A182,Setores!$A$2:$C$215,2,0)</f>
        <v>transportation</v>
      </c>
      <c r="J182" t="str">
        <f>VLOOKUP(A182,Setores!$A$2:$C$215,3,0)</f>
        <v>very_high_beta</v>
      </c>
      <c r="K182" s="100">
        <v>0</v>
      </c>
      <c r="L182" s="58">
        <v>-3.0000000000000001E-3</v>
      </c>
      <c r="M182" s="7">
        <v>3.0000000000000001E-3</v>
      </c>
      <c r="N182" s="41">
        <f>VLOOKUP(A182,'Mandato ISEE'!$A$1:$C$215,2,0)</f>
        <v>0</v>
      </c>
      <c r="O182" s="58">
        <f t="shared" si="20"/>
        <v>0</v>
      </c>
      <c r="P182" s="41">
        <f>VLOOKUP(A182,'Mandato ISEE'!$A$1:$C$215,3,0)</f>
        <v>0</v>
      </c>
      <c r="Q182" s="42">
        <f t="shared" si="21"/>
        <v>0</v>
      </c>
      <c r="R182" s="42">
        <v>-0.78300000000000003</v>
      </c>
      <c r="S182" s="15">
        <v>-0.68600000000000005</v>
      </c>
      <c r="T182" s="15">
        <v>-0.85</v>
      </c>
      <c r="U182" s="15">
        <v>-0.83899999999999997</v>
      </c>
      <c r="V182" s="15">
        <v>-0.84199999999999997</v>
      </c>
      <c r="W182" s="15">
        <v>-0.81200000000000006</v>
      </c>
      <c r="X182" s="15">
        <v>-0.75700000000000001</v>
      </c>
      <c r="Y182" s="15">
        <v>-0.83399999999999996</v>
      </c>
      <c r="Z182" s="15">
        <v>-0.20499999999999999</v>
      </c>
      <c r="AA182" s="15">
        <v>-0.20799999999999999</v>
      </c>
      <c r="AB182" s="15">
        <v>0.25</v>
      </c>
      <c r="AC182" s="15">
        <v>-3.1E-2</v>
      </c>
      <c r="AD182" s="15">
        <v>0.245</v>
      </c>
      <c r="AE182" s="15">
        <v>-0.65900000000000003</v>
      </c>
      <c r="AF182" s="14">
        <v>-0.64900000000000002</v>
      </c>
      <c r="AG182" s="15">
        <v>-0.71399999999999997</v>
      </c>
      <c r="AH182" s="15">
        <v>-0.436</v>
      </c>
      <c r="AI182" s="15">
        <v>-0.42699999999999999</v>
      </c>
      <c r="AJ182" s="15">
        <v>-0.81100000000000005</v>
      </c>
      <c r="AK182" s="16">
        <v>-3.2000000000000001E-2</v>
      </c>
      <c r="AL182" s="4">
        <v>-0.41899999999999998</v>
      </c>
      <c r="AM182" s="4">
        <v>-0.17699999999999999</v>
      </c>
      <c r="AN182" s="4">
        <v>0.35499999999999998</v>
      </c>
      <c r="AO182" s="4">
        <v>-0.19800000000000001</v>
      </c>
      <c r="AP182" s="4">
        <v>-0.192</v>
      </c>
      <c r="AQ182" s="4">
        <v>-0.12</v>
      </c>
      <c r="AR182" s="4">
        <v>9.6000000000000002E-2</v>
      </c>
      <c r="AS182" s="4">
        <v>0.24399999999999999</v>
      </c>
      <c r="AT182" s="4">
        <v>1.4E-2</v>
      </c>
      <c r="AU182" s="4">
        <v>0.123</v>
      </c>
      <c r="AV182" s="4">
        <v>-0.39700000000000002</v>
      </c>
      <c r="AW182" s="4">
        <v>-0.68700000000000006</v>
      </c>
      <c r="AX182" s="4">
        <v>-0.36099999999999999</v>
      </c>
      <c r="AY182" s="4">
        <v>-0.13800000000000001</v>
      </c>
      <c r="AZ182" s="4">
        <v>0.125</v>
      </c>
      <c r="BA182" s="4">
        <v>-2.3E-2</v>
      </c>
      <c r="BB182" s="4">
        <v>-0.1</v>
      </c>
      <c r="BC182" s="4">
        <v>-8.4000000000000005E-2</v>
      </c>
      <c r="BD182" s="4">
        <v>0.13700000000000001</v>
      </c>
      <c r="BE182" s="4">
        <v>0.30199999999999999</v>
      </c>
      <c r="BF182" s="4">
        <v>-3.0000000000000001E-3</v>
      </c>
      <c r="BG182" s="4">
        <v>-1.7000000000000001E-2</v>
      </c>
      <c r="BH182" s="4">
        <v>0.47099999999999997</v>
      </c>
      <c r="BI182" s="4">
        <v>0.97799999999999998</v>
      </c>
      <c r="BJ182" s="4">
        <v>-0.64200000000000002</v>
      </c>
      <c r="BK182" s="4">
        <v>0.308</v>
      </c>
      <c r="BL182" s="4"/>
    </row>
    <row r="183" spans="1:64" x14ac:dyDescent="0.3">
      <c r="A183" t="s">
        <v>251</v>
      </c>
      <c r="B183" s="53">
        <f t="shared" si="16"/>
        <v>0</v>
      </c>
      <c r="C183" s="53">
        <f t="shared" si="17"/>
        <v>0</v>
      </c>
      <c r="D183" s="53">
        <f t="shared" si="18"/>
        <v>0</v>
      </c>
      <c r="E183" s="53">
        <f t="shared" si="19"/>
        <v>0</v>
      </c>
      <c r="F183" s="15">
        <v>0.53400000000000003</v>
      </c>
      <c r="G183">
        <v>0.374</v>
      </c>
      <c r="H183" t="s">
        <v>55</v>
      </c>
      <c r="I183" t="str">
        <f>VLOOKUP(A183,Setores!$A$2:$C$215,2,0)</f>
        <v>utilities</v>
      </c>
      <c r="J183" t="str">
        <f>VLOOKUP(A183,Setores!$A$2:$C$215,3,0)</f>
        <v>neutral_beta</v>
      </c>
      <c r="K183" s="100">
        <v>0</v>
      </c>
      <c r="L183" s="58">
        <v>0</v>
      </c>
      <c r="M183" s="7">
        <v>0</v>
      </c>
      <c r="N183" s="41">
        <f>VLOOKUP(A183,'Mandato ISEE'!$A$1:$C$215,2,0)</f>
        <v>0</v>
      </c>
      <c r="O183" s="58">
        <f t="shared" si="20"/>
        <v>0</v>
      </c>
      <c r="P183" s="41">
        <f>VLOOKUP(A183,'Mandato ISEE'!$A$1:$C$215,3,0)</f>
        <v>0</v>
      </c>
      <c r="Q183" s="42">
        <f t="shared" si="21"/>
        <v>0</v>
      </c>
      <c r="R183" s="42">
        <v>-0.67800000000000005</v>
      </c>
      <c r="S183" s="15">
        <v>-0.28199999999999997</v>
      </c>
      <c r="T183" s="15">
        <v>-0.155</v>
      </c>
      <c r="U183" s="15">
        <v>-0.874</v>
      </c>
      <c r="V183" s="15">
        <v>-0.58499999999999996</v>
      </c>
      <c r="W183" s="15">
        <v>-0.83499999999999996</v>
      </c>
      <c r="X183" s="15">
        <v>-0.879</v>
      </c>
      <c r="Y183" s="15">
        <v>-0.93500000000000005</v>
      </c>
      <c r="Z183" s="15">
        <v>-0.26700000000000002</v>
      </c>
      <c r="AA183" s="15">
        <v>-0.26700000000000002</v>
      </c>
      <c r="AB183" s="15">
        <v>0.121</v>
      </c>
      <c r="AC183" s="15">
        <v>-0.27</v>
      </c>
      <c r="AD183" s="15">
        <v>0.14099999999999999</v>
      </c>
      <c r="AE183" s="15">
        <v>-0.61499999999999999</v>
      </c>
      <c r="AF183" s="14">
        <v>-0.20599999999999999</v>
      </c>
      <c r="AG183" s="15">
        <v>-0.32400000000000001</v>
      </c>
      <c r="AH183" s="15">
        <v>1</v>
      </c>
      <c r="AI183" s="15">
        <v>-0.34</v>
      </c>
      <c r="AJ183" s="15">
        <v>-0.57799999999999996</v>
      </c>
      <c r="AK183" s="16">
        <v>0.68600000000000005</v>
      </c>
      <c r="AL183" s="4">
        <v>-1</v>
      </c>
      <c r="AM183" s="4">
        <v>0.79800000000000004</v>
      </c>
      <c r="AN183" s="4">
        <v>-0.27200000000000002</v>
      </c>
      <c r="AO183" s="4">
        <v>-0.65300000000000002</v>
      </c>
      <c r="AP183" s="4">
        <v>-0.66900000000000004</v>
      </c>
      <c r="AQ183" s="4">
        <v>-0.45700000000000002</v>
      </c>
      <c r="AR183" s="4">
        <v>-0.68200000000000005</v>
      </c>
      <c r="AS183" s="4">
        <v>-0.437</v>
      </c>
      <c r="AT183" s="4">
        <v>-0.26400000000000001</v>
      </c>
      <c r="AU183" s="4">
        <v>-0.40500000000000003</v>
      </c>
      <c r="AV183" s="4">
        <v>-0.81499999999999995</v>
      </c>
      <c r="AW183" s="4">
        <v>-0.61499999999999999</v>
      </c>
      <c r="AX183" s="4">
        <v>-0.39300000000000002</v>
      </c>
      <c r="AY183" s="4">
        <v>0.54100000000000004</v>
      </c>
      <c r="AZ183" s="4">
        <v>0.875</v>
      </c>
      <c r="BA183" s="4">
        <v>0.67900000000000005</v>
      </c>
      <c r="BB183" s="4">
        <v>-0.376</v>
      </c>
      <c r="BC183" s="4">
        <v>0.16800000000000001</v>
      </c>
      <c r="BD183" s="4">
        <v>-7.0999999999999994E-2</v>
      </c>
      <c r="BE183" s="4">
        <v>-6.0999999999999999E-2</v>
      </c>
      <c r="BF183" s="4">
        <v>-1.4999999999999999E-2</v>
      </c>
      <c r="BG183" s="4">
        <v>0.08</v>
      </c>
      <c r="BH183" s="4">
        <v>0.97199999999999998</v>
      </c>
      <c r="BI183" s="4">
        <v>-6.9000000000000006E-2</v>
      </c>
      <c r="BJ183" s="4">
        <v>0.45400000000000001</v>
      </c>
      <c r="BK183" s="4">
        <v>1</v>
      </c>
      <c r="BL183" s="4"/>
    </row>
    <row r="184" spans="1:64" x14ac:dyDescent="0.3">
      <c r="A184" t="s">
        <v>231</v>
      </c>
      <c r="B184" s="53">
        <f t="shared" si="16"/>
        <v>0</v>
      </c>
      <c r="C184" s="53">
        <f t="shared" si="17"/>
        <v>-4.0000000000000001E-3</v>
      </c>
      <c r="D184" s="53">
        <f t="shared" si="18"/>
        <v>0</v>
      </c>
      <c r="E184" s="53">
        <f t="shared" si="19"/>
        <v>4.0000000000000001E-3</v>
      </c>
      <c r="F184" s="15">
        <v>0.53400000000000003</v>
      </c>
      <c r="G184">
        <v>0.57399999999999995</v>
      </c>
      <c r="H184" t="s">
        <v>71</v>
      </c>
      <c r="I184" t="str">
        <f>VLOOKUP(A184,Setores!$A$2:$C$215,2,0)</f>
        <v>food</v>
      </c>
      <c r="J184" t="str">
        <f>VLOOKUP(A184,Setores!$A$2:$C$215,3,0)</f>
        <v>very_low_beta</v>
      </c>
      <c r="K184" s="100">
        <v>0</v>
      </c>
      <c r="L184" s="58">
        <v>-4.0000000000000001E-3</v>
      </c>
      <c r="M184" s="7">
        <v>4.0000000000000001E-3</v>
      </c>
      <c r="N184" s="41">
        <f>VLOOKUP(A184,'Mandato ISEE'!$A$1:$C$215,2,0)</f>
        <v>0</v>
      </c>
      <c r="O184" s="58">
        <f t="shared" si="20"/>
        <v>0</v>
      </c>
      <c r="P184" s="41">
        <f>VLOOKUP(A184,'Mandato ISEE'!$A$1:$C$215,3,0)</f>
        <v>0</v>
      </c>
      <c r="Q184" s="42">
        <f t="shared" si="21"/>
        <v>0</v>
      </c>
      <c r="R184" s="42">
        <v>-0.93100000000000005</v>
      </c>
      <c r="S184" s="15">
        <v>-0.92100000000000004</v>
      </c>
      <c r="T184" s="15">
        <v>-0.95699999999999996</v>
      </c>
      <c r="U184" s="15">
        <v>-0.91200000000000003</v>
      </c>
      <c r="V184" s="15">
        <v>-0.95099999999999996</v>
      </c>
      <c r="W184" s="15">
        <v>-0.84299999999999997</v>
      </c>
      <c r="X184" s="15">
        <v>-0.85499999999999998</v>
      </c>
      <c r="Y184" s="15">
        <v>-0.86599999999999999</v>
      </c>
      <c r="Z184" s="15">
        <v>-9.6000000000000002E-2</v>
      </c>
      <c r="AA184" s="15">
        <v>-9.5000000000000001E-2</v>
      </c>
      <c r="AB184" s="15">
        <v>0.53600000000000003</v>
      </c>
      <c r="AC184" s="15">
        <v>0.52900000000000003</v>
      </c>
      <c r="AD184" s="15">
        <v>0.316</v>
      </c>
      <c r="AE184" s="15">
        <v>-0.94099999999999995</v>
      </c>
      <c r="AF184" s="14">
        <v>-0.93300000000000005</v>
      </c>
      <c r="AG184" s="15">
        <v>-0.47499999999999998</v>
      </c>
      <c r="AH184" s="15">
        <v>-0.83399999999999996</v>
      </c>
      <c r="AI184" s="15">
        <v>-0.36199999999999999</v>
      </c>
      <c r="AJ184" s="15">
        <v>-0.81299999999999994</v>
      </c>
      <c r="AK184" s="16">
        <v>-0.48199999999999998</v>
      </c>
      <c r="AL184" s="4">
        <v>-0.84599999999999997</v>
      </c>
      <c r="AM184" s="4">
        <v>-0.69699999999999995</v>
      </c>
      <c r="AN184" s="4">
        <v>-0.14499999999999999</v>
      </c>
      <c r="AO184" s="4">
        <v>4.0000000000000001E-3</v>
      </c>
      <c r="AP184" s="4">
        <v>0.34899999999999998</v>
      </c>
      <c r="AQ184" s="4">
        <v>-4.8000000000000001E-2</v>
      </c>
      <c r="AR184" s="4">
        <v>-0.40100000000000002</v>
      </c>
      <c r="AS184" s="4">
        <v>-0.71799999999999997</v>
      </c>
      <c r="AT184" s="4">
        <v>0.152</v>
      </c>
      <c r="AU184" s="4">
        <v>-0.55600000000000005</v>
      </c>
      <c r="AV184" s="4">
        <v>-0.52200000000000002</v>
      </c>
      <c r="AW184" s="4">
        <v>0.45200000000000001</v>
      </c>
      <c r="AX184" s="4">
        <v>-3.1E-2</v>
      </c>
      <c r="AY184" s="4">
        <v>0.72799999999999998</v>
      </c>
      <c r="AZ184" s="4">
        <v>0.59099999999999997</v>
      </c>
      <c r="BA184" s="4">
        <v>0.52700000000000002</v>
      </c>
      <c r="BB184" s="4">
        <v>-0.95199999999999996</v>
      </c>
      <c r="BC184" s="4">
        <v>-0.76800000000000002</v>
      </c>
      <c r="BD184" s="4">
        <v>-0.17799999999999999</v>
      </c>
      <c r="BE184" s="4">
        <v>-1</v>
      </c>
      <c r="BF184" s="4">
        <v>-0.98399999999999999</v>
      </c>
      <c r="BG184" s="4">
        <v>0</v>
      </c>
      <c r="BH184" s="4">
        <v>-0.314</v>
      </c>
      <c r="BI184" s="4">
        <v>-0.316</v>
      </c>
      <c r="BJ184" s="4">
        <v>0.35099999999999998</v>
      </c>
      <c r="BK184" s="4">
        <v>-7.6999999999999999E-2</v>
      </c>
      <c r="BL184" s="4"/>
    </row>
    <row r="185" spans="1:64" x14ac:dyDescent="0.3">
      <c r="A185" t="s">
        <v>187</v>
      </c>
      <c r="B185" s="53">
        <f t="shared" si="16"/>
        <v>0</v>
      </c>
      <c r="C185" s="53">
        <f t="shared" si="17"/>
        <v>0</v>
      </c>
      <c r="D185" s="53">
        <f t="shared" si="18"/>
        <v>0</v>
      </c>
      <c r="E185" s="53">
        <f t="shared" si="19"/>
        <v>0</v>
      </c>
      <c r="F185" s="15">
        <v>0.53300000000000003</v>
      </c>
      <c r="G185">
        <v>0.46</v>
      </c>
      <c r="H185" t="s">
        <v>53</v>
      </c>
      <c r="I185" t="str">
        <f>VLOOKUP(A185,Setores!$A$2:$C$215,2,0)</f>
        <v>consumer_staples</v>
      </c>
      <c r="J185" t="str">
        <f>VLOOKUP(A185,Setores!$A$2:$C$215,3,0)</f>
        <v>very_low_beta</v>
      </c>
      <c r="K185" s="100">
        <v>0</v>
      </c>
      <c r="L185" s="58">
        <v>0</v>
      </c>
      <c r="M185" s="7">
        <v>0</v>
      </c>
      <c r="N185" s="41">
        <f>VLOOKUP(A185,'Mandato ISEE'!$A$1:$C$215,2,0)</f>
        <v>0</v>
      </c>
      <c r="O185" s="58">
        <f t="shared" si="20"/>
        <v>0</v>
      </c>
      <c r="P185" s="41">
        <f>VLOOKUP(A185,'Mandato ISEE'!$A$1:$C$215,3,0)</f>
        <v>0</v>
      </c>
      <c r="Q185" s="42">
        <f t="shared" si="21"/>
        <v>0</v>
      </c>
      <c r="R185" s="42">
        <v>-0.86399999999999999</v>
      </c>
      <c r="S185" s="15">
        <v>-0.92300000000000004</v>
      </c>
      <c r="T185" s="15">
        <v>-0.85299999999999998</v>
      </c>
      <c r="U185" s="15">
        <v>-0.84299999999999997</v>
      </c>
      <c r="V185" s="15">
        <v>-0.89600000000000002</v>
      </c>
      <c r="W185" s="15">
        <v>-0.84299999999999997</v>
      </c>
      <c r="X185" s="15">
        <v>-0.8</v>
      </c>
      <c r="Y185" s="15">
        <v>-0.90500000000000003</v>
      </c>
      <c r="Z185" s="15">
        <v>-4.7E-2</v>
      </c>
      <c r="AA185" s="15">
        <v>-4.7E-2</v>
      </c>
      <c r="AB185" s="15">
        <v>0.51200000000000001</v>
      </c>
      <c r="AC185" s="15">
        <v>0.52800000000000002</v>
      </c>
      <c r="AD185" s="15">
        <v>0.184</v>
      </c>
      <c r="AE185" s="15">
        <v>-0.501</v>
      </c>
      <c r="AF185" s="14">
        <v>-0.317</v>
      </c>
      <c r="AG185" s="15">
        <v>-0.83099999999999996</v>
      </c>
      <c r="AH185" s="15">
        <v>-0.67</v>
      </c>
      <c r="AI185" s="15">
        <v>-0.93600000000000005</v>
      </c>
      <c r="AJ185" s="15">
        <v>-0.58699999999999997</v>
      </c>
      <c r="AK185" s="16">
        <v>7.3999999999999996E-2</v>
      </c>
      <c r="AL185" s="4">
        <v>-0.52500000000000002</v>
      </c>
      <c r="AM185" s="4">
        <v>-0.14699999999999999</v>
      </c>
      <c r="AN185" s="4">
        <v>0.747</v>
      </c>
      <c r="AO185" s="4">
        <v>-0.69899999999999995</v>
      </c>
      <c r="AP185" s="4">
        <v>-0.373</v>
      </c>
      <c r="AQ185" s="4">
        <v>0.223</v>
      </c>
      <c r="AR185" s="4">
        <v>-0.17599999999999999</v>
      </c>
      <c r="AS185" s="4">
        <v>-0.86899999999999999</v>
      </c>
      <c r="AT185" s="4">
        <v>0.45300000000000001</v>
      </c>
      <c r="AU185" s="4">
        <v>-0.46899999999999997</v>
      </c>
      <c r="AV185" s="4">
        <v>-0.28599999999999998</v>
      </c>
      <c r="AW185" s="4">
        <v>0.06</v>
      </c>
      <c r="AX185" s="4">
        <v>0.189</v>
      </c>
      <c r="AY185" s="4">
        <v>0.94899999999999995</v>
      </c>
      <c r="AZ185" s="4">
        <v>9.7000000000000003E-2</v>
      </c>
      <c r="BA185" s="4">
        <v>2.3E-2</v>
      </c>
      <c r="BB185" s="4">
        <v>-0.52600000000000002</v>
      </c>
      <c r="BC185" s="4">
        <v>-0.312</v>
      </c>
      <c r="BD185" s="4">
        <v>6.7000000000000004E-2</v>
      </c>
      <c r="BE185" s="4">
        <v>-0.29799999999999999</v>
      </c>
      <c r="BF185" s="4">
        <v>-9.0999999999999998E-2</v>
      </c>
      <c r="BG185" s="4">
        <v>-0.16500000000000001</v>
      </c>
      <c r="BH185" s="4">
        <v>0.152</v>
      </c>
      <c r="BI185" s="4">
        <v>-0.36</v>
      </c>
      <c r="BJ185" s="4">
        <v>8.6999999999999994E-2</v>
      </c>
      <c r="BK185" s="4">
        <v>-7.2999999999999995E-2</v>
      </c>
      <c r="BL185" s="4"/>
    </row>
    <row r="186" spans="1:64" x14ac:dyDescent="0.3">
      <c r="A186" t="s">
        <v>157</v>
      </c>
      <c r="B186" s="53">
        <f t="shared" si="16"/>
        <v>0</v>
      </c>
      <c r="C186" s="53">
        <f t="shared" si="17"/>
        <v>-5.0000000000000001E-3</v>
      </c>
      <c r="D186" s="53">
        <f t="shared" si="18"/>
        <v>0</v>
      </c>
      <c r="E186" s="53">
        <f t="shared" si="19"/>
        <v>5.0000000000000001E-3</v>
      </c>
      <c r="F186" s="15">
        <v>0.53200000000000003</v>
      </c>
      <c r="G186">
        <v>0.40899999999999997</v>
      </c>
      <c r="H186" t="s">
        <v>57</v>
      </c>
      <c r="I186" t="str">
        <f>VLOOKUP(A186,Setores!$A$2:$C$215,2,0)</f>
        <v>consumer_durables</v>
      </c>
      <c r="J186" t="str">
        <f>VLOOKUP(A186,Setores!$A$2:$C$215,3,0)</f>
        <v>high_beta</v>
      </c>
      <c r="K186" s="100">
        <v>0</v>
      </c>
      <c r="L186" s="58">
        <v>-5.0000000000000001E-3</v>
      </c>
      <c r="M186" s="7">
        <v>5.0000000000000001E-3</v>
      </c>
      <c r="N186" s="41">
        <f>VLOOKUP(A186,'Mandato ISEE'!$A$1:$C$215,2,0)</f>
        <v>0</v>
      </c>
      <c r="O186" s="58">
        <f t="shared" si="20"/>
        <v>0</v>
      </c>
      <c r="P186" s="41">
        <f>VLOOKUP(A186,'Mandato ISEE'!$A$1:$C$215,3,0)</f>
        <v>0</v>
      </c>
      <c r="Q186" s="42">
        <f t="shared" si="21"/>
        <v>0</v>
      </c>
      <c r="R186" s="42">
        <v>-0.67200000000000004</v>
      </c>
      <c r="S186" s="15">
        <v>-0.46</v>
      </c>
      <c r="T186" s="15">
        <v>-0.52900000000000003</v>
      </c>
      <c r="U186" s="15">
        <v>-0.56899999999999995</v>
      </c>
      <c r="V186" s="15">
        <v>-0.40899999999999997</v>
      </c>
      <c r="W186" s="15">
        <v>-0.77200000000000002</v>
      </c>
      <c r="X186" s="15">
        <v>-0.752</v>
      </c>
      <c r="Y186" s="15">
        <v>-0.88</v>
      </c>
      <c r="Z186" s="15">
        <v>-0.28199999999999997</v>
      </c>
      <c r="AA186" s="15">
        <v>-0.28000000000000003</v>
      </c>
      <c r="AB186" s="15">
        <v>-0.20300000000000001</v>
      </c>
      <c r="AC186" s="15">
        <v>-1</v>
      </c>
      <c r="AD186" s="15">
        <v>0.23200000000000001</v>
      </c>
      <c r="AE186" s="15">
        <v>6.4000000000000001E-2</v>
      </c>
      <c r="AF186" s="14">
        <v>0.78900000000000003</v>
      </c>
      <c r="AG186" s="15">
        <v>-0.13900000000000001</v>
      </c>
      <c r="AH186" s="15">
        <v>0.19400000000000001</v>
      </c>
      <c r="AI186" s="15">
        <v>-0.70699999999999996</v>
      </c>
      <c r="AJ186" s="15">
        <v>-0.20899999999999999</v>
      </c>
      <c r="AK186" s="16">
        <v>0.69599999999999995</v>
      </c>
      <c r="AL186" s="4">
        <v>-0.93</v>
      </c>
      <c r="AM186" s="4">
        <v>0.20699999999999999</v>
      </c>
      <c r="AN186" s="4">
        <v>0.20200000000000001</v>
      </c>
      <c r="AO186" s="4">
        <v>-0.55800000000000005</v>
      </c>
      <c r="AP186" s="4">
        <v>-0.56999999999999995</v>
      </c>
      <c r="AQ186" s="4">
        <v>0.34799999999999998</v>
      </c>
      <c r="AR186" s="4">
        <v>-0.98399999999999999</v>
      </c>
      <c r="AS186" s="4">
        <v>-0.29199999999999998</v>
      </c>
      <c r="AT186" s="4">
        <v>0.29199999999999998</v>
      </c>
      <c r="AU186" s="4">
        <v>-0.16900000000000001</v>
      </c>
      <c r="AV186" s="4">
        <v>-0.20699999999999999</v>
      </c>
      <c r="AW186" s="4">
        <v>-0.78800000000000003</v>
      </c>
      <c r="AX186" s="4">
        <v>-0.22</v>
      </c>
      <c r="AY186" s="4">
        <v>0.32100000000000001</v>
      </c>
      <c r="AZ186" s="4">
        <v>-0.91200000000000003</v>
      </c>
      <c r="BA186" s="4">
        <v>-0.14599999999999999</v>
      </c>
      <c r="BB186" s="4">
        <v>0.11799999999999999</v>
      </c>
      <c r="BC186" s="4">
        <v>6.8000000000000005E-2</v>
      </c>
      <c r="BD186" s="4">
        <v>0.25700000000000001</v>
      </c>
      <c r="BE186" s="4">
        <v>0.80500000000000005</v>
      </c>
      <c r="BF186" s="4">
        <v>0.97099999999999997</v>
      </c>
      <c r="BG186" s="4">
        <v>0.38400000000000001</v>
      </c>
      <c r="BH186" s="4">
        <v>1</v>
      </c>
      <c r="BI186" s="4">
        <v>0.123</v>
      </c>
      <c r="BJ186" s="4">
        <v>-0.89600000000000002</v>
      </c>
      <c r="BK186" s="4">
        <v>-0.36499999999999999</v>
      </c>
      <c r="BL186" s="4"/>
    </row>
    <row r="187" spans="1:64" x14ac:dyDescent="0.3">
      <c r="A187" t="s">
        <v>223</v>
      </c>
      <c r="B187" s="53">
        <f t="shared" si="16"/>
        <v>0</v>
      </c>
      <c r="C187" s="53">
        <f t="shared" si="17"/>
        <v>0</v>
      </c>
      <c r="D187" s="53">
        <f t="shared" si="18"/>
        <v>0</v>
      </c>
      <c r="E187" s="53">
        <f t="shared" si="19"/>
        <v>0</v>
      </c>
      <c r="F187" s="15">
        <v>0.53100000000000003</v>
      </c>
      <c r="G187">
        <v>0.56499999999999995</v>
      </c>
      <c r="H187" t="s">
        <v>68</v>
      </c>
      <c r="I187" t="str">
        <f>VLOOKUP(A187,Setores!$A$2:$C$215,2,0)</f>
        <v>capital_goods</v>
      </c>
      <c r="J187" t="str">
        <f>VLOOKUP(A187,Setores!$A$2:$C$215,3,0)</f>
        <v>high_beta</v>
      </c>
      <c r="K187" s="100">
        <v>0</v>
      </c>
      <c r="L187" s="58">
        <v>0</v>
      </c>
      <c r="M187" s="7">
        <v>0</v>
      </c>
      <c r="N187" s="41">
        <f>VLOOKUP(A187,'Mandato ISEE'!$A$1:$C$215,2,0)</f>
        <v>0</v>
      </c>
      <c r="O187" s="58">
        <f t="shared" si="20"/>
        <v>0</v>
      </c>
      <c r="P187" s="41">
        <f>VLOOKUP(A187,'Mandato ISEE'!$A$1:$C$215,3,0)</f>
        <v>0</v>
      </c>
      <c r="Q187" s="42">
        <f t="shared" si="21"/>
        <v>0</v>
      </c>
      <c r="R187" s="42">
        <v>-0.95199999999999996</v>
      </c>
      <c r="S187" s="15">
        <v>-0.90600000000000003</v>
      </c>
      <c r="T187" s="15">
        <v>-0.91800000000000004</v>
      </c>
      <c r="U187" s="15">
        <v>-0.92800000000000005</v>
      </c>
      <c r="V187" s="15">
        <v>-0.93</v>
      </c>
      <c r="W187" s="15">
        <v>-0.93799999999999994</v>
      </c>
      <c r="X187" s="15">
        <v>-0.89300000000000002</v>
      </c>
      <c r="Y187" s="15">
        <v>-0.88600000000000001</v>
      </c>
      <c r="Z187" s="15">
        <v>5.3999999999999999E-2</v>
      </c>
      <c r="AA187" s="15">
        <v>4.7E-2</v>
      </c>
      <c r="AB187" s="15">
        <v>0.437</v>
      </c>
      <c r="AC187" s="15">
        <v>0.45200000000000001</v>
      </c>
      <c r="AD187" s="15">
        <v>0.27200000000000002</v>
      </c>
      <c r="AE187" s="15">
        <v>-0.96599999999999997</v>
      </c>
      <c r="AF187" s="14">
        <v>-1</v>
      </c>
      <c r="AG187" s="15">
        <v>-0.47899999999999998</v>
      </c>
      <c r="AH187" s="15">
        <v>-0.47699999999999998</v>
      </c>
      <c r="AI187" s="15">
        <v>1</v>
      </c>
      <c r="AJ187" s="15">
        <v>-0.58499999999999996</v>
      </c>
      <c r="AK187" s="16">
        <v>-0.34899999999999998</v>
      </c>
      <c r="AL187" s="4">
        <v>-0.96599999999999997</v>
      </c>
      <c r="AM187" s="4">
        <v>-0.66400000000000003</v>
      </c>
      <c r="AN187" s="4">
        <v>-0.42399999999999999</v>
      </c>
      <c r="AO187" s="4">
        <v>0.32100000000000001</v>
      </c>
      <c r="AP187" s="4">
        <v>0.109</v>
      </c>
      <c r="AQ187" s="4">
        <v>-0.86399999999999999</v>
      </c>
      <c r="AR187" s="4">
        <v>-0.89200000000000002</v>
      </c>
      <c r="AS187" s="4">
        <v>-0.311</v>
      </c>
      <c r="AT187" s="4">
        <v>1.4999999999999999E-2</v>
      </c>
      <c r="AU187" s="4">
        <v>-0.45400000000000001</v>
      </c>
      <c r="AV187" s="4">
        <v>-0.502</v>
      </c>
      <c r="AW187" s="4">
        <v>0.53600000000000003</v>
      </c>
      <c r="AX187" s="4">
        <v>-0.13400000000000001</v>
      </c>
      <c r="AY187" s="4">
        <v>0.75700000000000001</v>
      </c>
      <c r="AZ187" s="4">
        <v>-0.56699999999999995</v>
      </c>
      <c r="BA187" s="4">
        <v>-0.38700000000000001</v>
      </c>
      <c r="BB187" s="4">
        <v>-1</v>
      </c>
      <c r="BC187" s="4">
        <v>-0.68500000000000005</v>
      </c>
      <c r="BD187" s="4">
        <v>8.7999999999999995E-2</v>
      </c>
      <c r="BE187" s="4">
        <v>-0.20200000000000001</v>
      </c>
      <c r="BF187" s="4">
        <v>-1</v>
      </c>
      <c r="BG187" s="4">
        <v>0.10299999999999999</v>
      </c>
      <c r="BH187" s="4">
        <v>-0.61699999999999999</v>
      </c>
      <c r="BI187" s="4">
        <v>0.25700000000000001</v>
      </c>
      <c r="BJ187" s="4">
        <v>0.13400000000000001</v>
      </c>
      <c r="BK187" s="4">
        <v>0.55100000000000005</v>
      </c>
      <c r="BL187" s="4"/>
    </row>
    <row r="188" spans="1:64" x14ac:dyDescent="0.3">
      <c r="A188" t="s">
        <v>191</v>
      </c>
      <c r="B188" s="53">
        <f t="shared" si="16"/>
        <v>0</v>
      </c>
      <c r="C188" s="53">
        <f t="shared" si="17"/>
        <v>0</v>
      </c>
      <c r="D188" s="53">
        <f t="shared" si="18"/>
        <v>0</v>
      </c>
      <c r="E188" s="53">
        <f t="shared" si="19"/>
        <v>0</v>
      </c>
      <c r="F188" s="15">
        <v>0.53</v>
      </c>
      <c r="G188">
        <v>0.62</v>
      </c>
      <c r="H188" t="s">
        <v>71</v>
      </c>
      <c r="I188" t="str">
        <f>VLOOKUP(A188,Setores!$A$2:$C$215,2,0)</f>
        <v>food</v>
      </c>
      <c r="J188" t="str">
        <f>VLOOKUP(A188,Setores!$A$2:$C$215,3,0)</f>
        <v>very_low_beta</v>
      </c>
      <c r="K188" s="100">
        <v>0</v>
      </c>
      <c r="L188" s="58">
        <v>0</v>
      </c>
      <c r="M188" s="7">
        <v>0</v>
      </c>
      <c r="N188" s="41">
        <f>VLOOKUP(A188,'Mandato ISEE'!$A$1:$C$215,2,0)</f>
        <v>0</v>
      </c>
      <c r="O188" s="58">
        <f t="shared" si="20"/>
        <v>0</v>
      </c>
      <c r="P188" s="41">
        <f>VLOOKUP(A188,'Mandato ISEE'!$A$1:$C$215,3,0)</f>
        <v>0</v>
      </c>
      <c r="Q188" s="42">
        <f t="shared" si="21"/>
        <v>0</v>
      </c>
      <c r="R188" s="42">
        <v>-0.97599999999999998</v>
      </c>
      <c r="S188" s="15">
        <v>-0.97099999999999997</v>
      </c>
      <c r="T188" s="15">
        <v>-0.92700000000000005</v>
      </c>
      <c r="U188" s="15">
        <v>-0.95099999999999996</v>
      </c>
      <c r="V188" s="15">
        <v>-0.95499999999999996</v>
      </c>
      <c r="W188" s="15">
        <v>-0.85199999999999998</v>
      </c>
      <c r="X188" s="15">
        <v>-0.78300000000000003</v>
      </c>
      <c r="Y188" s="15">
        <v>-0.86599999999999999</v>
      </c>
      <c r="Z188" s="15">
        <v>3.5999999999999997E-2</v>
      </c>
      <c r="AA188" s="15">
        <v>3.3000000000000002E-2</v>
      </c>
      <c r="AB188" s="15">
        <v>9.0999999999999998E-2</v>
      </c>
      <c r="AC188" s="15">
        <v>8.5000000000000006E-2</v>
      </c>
      <c r="AD188" s="15">
        <v>0.38700000000000001</v>
      </c>
      <c r="AE188" s="15">
        <v>-0.95599999999999996</v>
      </c>
      <c r="AF188" s="14">
        <v>-1</v>
      </c>
      <c r="AG188" s="15">
        <v>-0.85099999999999998</v>
      </c>
      <c r="AH188" s="15">
        <v>-0.45400000000000001</v>
      </c>
      <c r="AI188" s="15">
        <v>-0.17299999999999999</v>
      </c>
      <c r="AJ188" s="15">
        <v>-0.60399999999999998</v>
      </c>
      <c r="AK188" s="16">
        <v>-0.41</v>
      </c>
      <c r="AL188" s="4">
        <v>-0.13</v>
      </c>
      <c r="AM188" s="4">
        <v>-0.35</v>
      </c>
      <c r="AN188" s="4">
        <v>-0.50800000000000001</v>
      </c>
      <c r="AO188" s="4">
        <v>-0.156</v>
      </c>
      <c r="AP188" s="4">
        <v>2.4E-2</v>
      </c>
      <c r="AQ188" s="4">
        <v>-0.315</v>
      </c>
      <c r="AR188" s="4">
        <v>-1</v>
      </c>
      <c r="AS188" s="4">
        <v>-0.70499999999999996</v>
      </c>
      <c r="AT188" s="4">
        <v>-0.36299999999999999</v>
      </c>
      <c r="AU188" s="4">
        <v>-0.82099999999999995</v>
      </c>
      <c r="AV188" s="4">
        <v>-0.78600000000000003</v>
      </c>
      <c r="AW188" s="4">
        <v>0.82099999999999995</v>
      </c>
      <c r="AX188" s="4">
        <v>-0.77500000000000002</v>
      </c>
      <c r="AY188" s="4">
        <v>-0.24199999999999999</v>
      </c>
      <c r="AZ188" s="4">
        <v>-0.90100000000000002</v>
      </c>
      <c r="BA188" s="4">
        <v>-0.17799999999999999</v>
      </c>
      <c r="BB188" s="4">
        <v>9.8000000000000004E-2</v>
      </c>
      <c r="BC188" s="4">
        <v>-0.214</v>
      </c>
      <c r="BD188" s="4">
        <v>0.20300000000000001</v>
      </c>
      <c r="BE188" s="4">
        <v>-0.43099999999999999</v>
      </c>
      <c r="BF188" s="4">
        <v>0.252</v>
      </c>
      <c r="BG188" s="4">
        <v>0.78500000000000003</v>
      </c>
      <c r="BH188" s="4">
        <v>-9.8000000000000004E-2</v>
      </c>
      <c r="BI188" s="4">
        <v>-0.626</v>
      </c>
      <c r="BJ188" s="4">
        <v>0.71599999999999997</v>
      </c>
      <c r="BK188" s="4">
        <v>0.51900000000000002</v>
      </c>
      <c r="BL188" s="4"/>
    </row>
    <row r="189" spans="1:64" x14ac:dyDescent="0.3">
      <c r="A189" t="s">
        <v>129</v>
      </c>
      <c r="B189" s="53">
        <f t="shared" si="16"/>
        <v>0</v>
      </c>
      <c r="C189" s="53">
        <f t="shared" si="17"/>
        <v>0</v>
      </c>
      <c r="D189" s="53">
        <f t="shared" si="18"/>
        <v>0</v>
      </c>
      <c r="E189" s="53">
        <f t="shared" si="19"/>
        <v>0</v>
      </c>
      <c r="F189" s="15">
        <v>0.52800000000000002</v>
      </c>
      <c r="G189">
        <v>0.371</v>
      </c>
      <c r="H189" t="s">
        <v>57</v>
      </c>
      <c r="I189" t="str">
        <f>VLOOKUP(A189,Setores!$A$2:$C$215,2,0)</f>
        <v>homebuilders</v>
      </c>
      <c r="J189" t="str">
        <f>VLOOKUP(A189,Setores!$A$2:$C$215,3,0)</f>
        <v>very_high_beta</v>
      </c>
      <c r="K189" s="100">
        <v>0</v>
      </c>
      <c r="L189" s="58">
        <v>0</v>
      </c>
      <c r="M189" s="7">
        <v>0</v>
      </c>
      <c r="N189" s="41">
        <f>VLOOKUP(A189,'Mandato ISEE'!$A$1:$C$215,2,0)</f>
        <v>0</v>
      </c>
      <c r="O189" s="58">
        <f t="shared" si="20"/>
        <v>0</v>
      </c>
      <c r="P189" s="41">
        <f>VLOOKUP(A189,'Mandato ISEE'!$A$1:$C$215,3,0)</f>
        <v>0</v>
      </c>
      <c r="Q189" s="42">
        <f t="shared" si="21"/>
        <v>0</v>
      </c>
      <c r="R189" s="42">
        <v>-0.82</v>
      </c>
      <c r="S189" s="15">
        <v>-0.51200000000000001</v>
      </c>
      <c r="T189" s="15">
        <v>-0.379</v>
      </c>
      <c r="U189" s="15">
        <v>-0.86</v>
      </c>
      <c r="V189" s="15">
        <v>-0.57199999999999995</v>
      </c>
      <c r="W189" s="15">
        <v>-0.93700000000000006</v>
      </c>
      <c r="X189" s="15">
        <v>-0.94799999999999995</v>
      </c>
      <c r="Y189" s="15">
        <v>-0.83699999999999997</v>
      </c>
      <c r="Z189" s="15">
        <v>-0.123</v>
      </c>
      <c r="AA189" s="15">
        <v>-0.123</v>
      </c>
      <c r="AB189" s="15">
        <v>-0.13</v>
      </c>
      <c r="AC189" s="15">
        <v>9.4E-2</v>
      </c>
      <c r="AD189" s="15">
        <v>0.03</v>
      </c>
      <c r="AE189" s="15">
        <v>-0.65</v>
      </c>
      <c r="AF189" s="14">
        <v>-0.20399999999999999</v>
      </c>
      <c r="AG189" s="15">
        <v>2.7E-2</v>
      </c>
      <c r="AH189" s="15">
        <v>0.86599999999999999</v>
      </c>
      <c r="AI189" s="15">
        <v>0.24099999999999999</v>
      </c>
      <c r="AJ189" s="15">
        <v>-0.51600000000000001</v>
      </c>
      <c r="AK189" s="16">
        <v>-0.26900000000000002</v>
      </c>
      <c r="AL189" s="4">
        <v>-0.33</v>
      </c>
      <c r="AM189" s="4">
        <v>0.75600000000000001</v>
      </c>
      <c r="AN189" s="4">
        <v>-0.17299999999999999</v>
      </c>
      <c r="AO189" s="4">
        <v>-0.35</v>
      </c>
      <c r="AP189" s="4">
        <v>-0.45900000000000002</v>
      </c>
      <c r="AQ189" s="4">
        <v>-9.7000000000000003E-2</v>
      </c>
      <c r="AR189" s="4">
        <v>-2E-3</v>
      </c>
      <c r="AS189" s="4">
        <v>-0.30199999999999999</v>
      </c>
      <c r="AT189" s="4">
        <v>-0.34399999999999997</v>
      </c>
      <c r="AU189" s="4">
        <v>-0.35799999999999998</v>
      </c>
      <c r="AV189" s="4">
        <v>-0.74</v>
      </c>
      <c r="AW189" s="4">
        <v>-1</v>
      </c>
      <c r="AX189" s="4">
        <v>-0.70799999999999996</v>
      </c>
      <c r="AY189" s="4">
        <v>-0.115</v>
      </c>
      <c r="AZ189" s="4">
        <v>-0.26400000000000001</v>
      </c>
      <c r="BA189" s="4">
        <v>-0.751</v>
      </c>
      <c r="BB189" s="4">
        <v>0.20100000000000001</v>
      </c>
      <c r="BC189" s="4">
        <v>-0.28000000000000003</v>
      </c>
      <c r="BD189" s="4">
        <v>0.28599999999999998</v>
      </c>
      <c r="BE189" s="4">
        <v>-0.248</v>
      </c>
      <c r="BF189" s="4">
        <v>-0.49199999999999999</v>
      </c>
      <c r="BG189" s="4">
        <v>-0.64200000000000002</v>
      </c>
      <c r="BH189" s="4">
        <v>0.16600000000000001</v>
      </c>
      <c r="BI189" s="4">
        <v>0.73699999999999999</v>
      </c>
      <c r="BJ189" s="4">
        <v>0.219</v>
      </c>
      <c r="BK189" s="4">
        <v>0.92400000000000004</v>
      </c>
      <c r="BL189" s="4"/>
    </row>
    <row r="190" spans="1:64" x14ac:dyDescent="0.3">
      <c r="A190" t="s">
        <v>183</v>
      </c>
      <c r="B190" s="53">
        <f t="shared" si="16"/>
        <v>0</v>
      </c>
      <c r="C190" s="53">
        <f t="shared" si="17"/>
        <v>0</v>
      </c>
      <c r="D190" s="53">
        <f t="shared" si="18"/>
        <v>0</v>
      </c>
      <c r="E190" s="53">
        <f t="shared" si="19"/>
        <v>0</v>
      </c>
      <c r="F190" s="15">
        <v>0.52300000000000002</v>
      </c>
      <c r="G190">
        <v>0.57899999999999996</v>
      </c>
      <c r="H190" t="s">
        <v>68</v>
      </c>
      <c r="I190" t="str">
        <f>VLOOKUP(A190,Setores!$A$2:$C$215,2,0)</f>
        <v>capital_goods</v>
      </c>
      <c r="J190" t="str">
        <f>VLOOKUP(A190,Setores!$A$2:$C$215,3,0)</f>
        <v>neutral_beta</v>
      </c>
      <c r="K190" s="100">
        <v>0</v>
      </c>
      <c r="L190" s="58">
        <v>0</v>
      </c>
      <c r="M190" s="7">
        <v>0</v>
      </c>
      <c r="N190" s="41">
        <f>VLOOKUP(A190,'Mandato ISEE'!$A$1:$C$215,2,0)</f>
        <v>0</v>
      </c>
      <c r="O190" s="58">
        <f t="shared" si="20"/>
        <v>0</v>
      </c>
      <c r="P190" s="41">
        <f>VLOOKUP(A190,'Mandato ISEE'!$A$1:$C$215,3,0)</f>
        <v>0</v>
      </c>
      <c r="Q190" s="42">
        <f t="shared" si="21"/>
        <v>0</v>
      </c>
      <c r="R190" s="42">
        <v>-0.89600000000000002</v>
      </c>
      <c r="S190" s="15">
        <v>-0.97899999999999998</v>
      </c>
      <c r="T190" s="15">
        <v>-0.93600000000000005</v>
      </c>
      <c r="U190" s="15">
        <v>-0.90300000000000002</v>
      </c>
      <c r="V190" s="15">
        <v>-0.97499999999999998</v>
      </c>
      <c r="W190" s="15">
        <v>-0.82099999999999995</v>
      </c>
      <c r="X190" s="15">
        <v>-0.73199999999999998</v>
      </c>
      <c r="Y190" s="15">
        <v>-0.92800000000000005</v>
      </c>
      <c r="Z190" s="15">
        <v>-0.17299999999999999</v>
      </c>
      <c r="AA190" s="15">
        <v>-0.17100000000000001</v>
      </c>
      <c r="AB190" s="15">
        <v>0.33200000000000002</v>
      </c>
      <c r="AC190" s="15">
        <v>0.38500000000000001</v>
      </c>
      <c r="AD190" s="15">
        <v>0.14099999999999999</v>
      </c>
      <c r="AE190" s="15">
        <v>-0.71199999999999997</v>
      </c>
      <c r="AF190" s="14">
        <v>-0.71799999999999997</v>
      </c>
      <c r="AG190" s="15">
        <v>-1</v>
      </c>
      <c r="AH190" s="15">
        <v>-0.80300000000000005</v>
      </c>
      <c r="AI190" s="15">
        <v>-0.87</v>
      </c>
      <c r="AJ190" s="15">
        <v>-0.91400000000000003</v>
      </c>
      <c r="AK190" s="16">
        <v>-6.0999999999999999E-2</v>
      </c>
      <c r="AL190" s="4">
        <v>-0.72599999999999998</v>
      </c>
      <c r="AM190" s="4">
        <v>-0.75600000000000001</v>
      </c>
      <c r="AN190" s="4">
        <v>0.34100000000000003</v>
      </c>
      <c r="AO190" s="4">
        <v>-0.56100000000000005</v>
      </c>
      <c r="AP190" s="4">
        <v>-0.77600000000000002</v>
      </c>
      <c r="AQ190" s="4">
        <v>-4.8000000000000001E-2</v>
      </c>
      <c r="AR190" s="4">
        <v>8.7999999999999995E-2</v>
      </c>
      <c r="AS190" s="4">
        <v>-0.83399999999999996</v>
      </c>
      <c r="AT190" s="4">
        <v>0.34399999999999997</v>
      </c>
      <c r="AU190" s="4">
        <v>-0.52100000000000002</v>
      </c>
      <c r="AV190" s="4">
        <v>-0.311</v>
      </c>
      <c r="AW190" s="4">
        <v>0.308</v>
      </c>
      <c r="AX190" s="4">
        <v>0.06</v>
      </c>
      <c r="AY190" s="4">
        <v>0.93300000000000005</v>
      </c>
      <c r="AZ190" s="4">
        <v>0.52600000000000002</v>
      </c>
      <c r="BA190" s="4">
        <v>0.41699999999999998</v>
      </c>
      <c r="BB190" s="4">
        <v>-0.35099999999999998</v>
      </c>
      <c r="BC190" s="4">
        <v>8.0000000000000002E-3</v>
      </c>
      <c r="BD190" s="4">
        <v>0.13500000000000001</v>
      </c>
      <c r="BE190" s="4">
        <v>0.4</v>
      </c>
      <c r="BF190" s="4">
        <v>-0.61599999999999999</v>
      </c>
      <c r="BG190" s="4">
        <v>0.53300000000000003</v>
      </c>
      <c r="BH190" s="4">
        <v>-0.255</v>
      </c>
      <c r="BI190" s="4">
        <v>0.14000000000000001</v>
      </c>
      <c r="BJ190" s="4">
        <v>9.8000000000000004E-2</v>
      </c>
      <c r="BK190" s="4">
        <v>-0.25600000000000001</v>
      </c>
      <c r="BL190" s="4"/>
    </row>
    <row r="191" spans="1:64" x14ac:dyDescent="0.3">
      <c r="A191" t="s">
        <v>224</v>
      </c>
      <c r="B191" s="53">
        <f t="shared" si="16"/>
        <v>0</v>
      </c>
      <c r="C191" s="53">
        <f t="shared" si="17"/>
        <v>0</v>
      </c>
      <c r="D191" s="53">
        <f t="shared" si="18"/>
        <v>0</v>
      </c>
      <c r="E191" s="53">
        <f t="shared" si="19"/>
        <v>0</v>
      </c>
      <c r="F191" s="15">
        <v>0.52100000000000002</v>
      </c>
      <c r="G191">
        <v>0.435</v>
      </c>
      <c r="H191" t="s">
        <v>71</v>
      </c>
      <c r="I191" t="str">
        <f>VLOOKUP(A191,Setores!$A$2:$C$215,2,0)</f>
        <v>food</v>
      </c>
      <c r="J191" t="str">
        <f>VLOOKUP(A191,Setores!$A$2:$C$215,3,0)</f>
        <v>very_low_beta</v>
      </c>
      <c r="K191" s="100">
        <v>0</v>
      </c>
      <c r="L191" s="58">
        <v>0</v>
      </c>
      <c r="M191" s="7">
        <v>0</v>
      </c>
      <c r="N191" s="41">
        <f>VLOOKUP(A191,'Mandato ISEE'!$A$1:$C$215,2,0)</f>
        <v>0</v>
      </c>
      <c r="O191" s="58">
        <f t="shared" si="20"/>
        <v>0</v>
      </c>
      <c r="P191" s="41">
        <f>VLOOKUP(A191,'Mandato ISEE'!$A$1:$C$215,3,0)</f>
        <v>0</v>
      </c>
      <c r="Q191" s="42">
        <f t="shared" si="21"/>
        <v>0</v>
      </c>
      <c r="R191" s="42">
        <v>-0.96199999999999997</v>
      </c>
      <c r="S191" s="15">
        <v>-0.94299999999999995</v>
      </c>
      <c r="T191" s="15">
        <v>-0.90500000000000003</v>
      </c>
      <c r="U191" s="15">
        <v>-0.95499999999999996</v>
      </c>
      <c r="V191" s="15">
        <v>-0.95399999999999996</v>
      </c>
      <c r="W191" s="15">
        <v>-0.86599999999999999</v>
      </c>
      <c r="X191" s="15">
        <v>-0.82099999999999995</v>
      </c>
      <c r="Y191" s="15">
        <v>-0.95599999999999996</v>
      </c>
      <c r="Z191" s="15">
        <v>0.10299999999999999</v>
      </c>
      <c r="AA191" s="15">
        <v>0.10299999999999999</v>
      </c>
      <c r="AB191" s="15">
        <v>-2.1999999999999999E-2</v>
      </c>
      <c r="AC191" s="15">
        <v>-0.33</v>
      </c>
      <c r="AD191" s="15">
        <v>0.32700000000000001</v>
      </c>
      <c r="AE191" s="15">
        <v>-0.89</v>
      </c>
      <c r="AF191" s="14">
        <v>-0.621</v>
      </c>
      <c r="AG191" s="15">
        <v>-0.96199999999999997</v>
      </c>
      <c r="AH191" s="15">
        <v>-9.7000000000000003E-2</v>
      </c>
      <c r="AI191" s="15">
        <v>-0.496</v>
      </c>
      <c r="AJ191" s="15">
        <v>-0.63400000000000001</v>
      </c>
      <c r="AK191" s="16">
        <v>-0.65800000000000003</v>
      </c>
      <c r="AL191" s="4">
        <v>-0.502</v>
      </c>
      <c r="AM191" s="4">
        <v>-1.7000000000000001E-2</v>
      </c>
      <c r="AN191" s="4">
        <v>-0.25800000000000001</v>
      </c>
      <c r="AO191" s="4">
        <v>-0.68700000000000006</v>
      </c>
      <c r="AP191" s="4">
        <v>-0.51600000000000001</v>
      </c>
      <c r="AQ191" s="4">
        <v>-0.41699999999999998</v>
      </c>
      <c r="AR191" s="4">
        <v>0.69699999999999995</v>
      </c>
      <c r="AS191" s="4">
        <v>0.34200000000000003</v>
      </c>
      <c r="AT191" s="4">
        <v>-0.223</v>
      </c>
      <c r="AU191" s="4">
        <v>-0.72699999999999998</v>
      </c>
      <c r="AV191" s="4">
        <v>-0.78100000000000003</v>
      </c>
      <c r="AW191" s="4">
        <v>0.55600000000000005</v>
      </c>
      <c r="AX191" s="4">
        <v>-0.128</v>
      </c>
      <c r="AY191" s="4">
        <v>-0.42599999999999999</v>
      </c>
      <c r="AZ191" s="4">
        <v>-0.79500000000000004</v>
      </c>
      <c r="BA191" s="4">
        <v>-0.93100000000000005</v>
      </c>
      <c r="BB191" s="4">
        <v>-0.32500000000000001</v>
      </c>
      <c r="BC191" s="4">
        <v>-0.7</v>
      </c>
      <c r="BD191" s="4">
        <v>-0.45</v>
      </c>
      <c r="BE191" s="4">
        <v>-4.0000000000000001E-3</v>
      </c>
      <c r="BF191" s="4">
        <v>0.12</v>
      </c>
      <c r="BG191" s="4">
        <v>0.78600000000000003</v>
      </c>
      <c r="BH191" s="4">
        <v>0.20599999999999999</v>
      </c>
      <c r="BI191" s="4">
        <v>-0.52700000000000002</v>
      </c>
      <c r="BJ191" s="4">
        <v>0.23699999999999999</v>
      </c>
      <c r="BK191" s="4">
        <v>0.83</v>
      </c>
      <c r="BL191" s="4"/>
    </row>
    <row r="192" spans="1:64" x14ac:dyDescent="0.3">
      <c r="A192" t="s">
        <v>207</v>
      </c>
      <c r="B192" s="53">
        <f t="shared" si="16"/>
        <v>0</v>
      </c>
      <c r="C192" s="53">
        <f t="shared" si="17"/>
        <v>0</v>
      </c>
      <c r="D192" s="53">
        <f t="shared" si="18"/>
        <v>0</v>
      </c>
      <c r="E192" s="53">
        <f t="shared" si="19"/>
        <v>0</v>
      </c>
      <c r="F192" s="15">
        <v>0.51900000000000002</v>
      </c>
      <c r="G192">
        <v>0.36399999999999999</v>
      </c>
      <c r="H192" t="s">
        <v>53</v>
      </c>
      <c r="I192" t="str">
        <f>VLOOKUP(A192,Setores!$A$2:$C$215,2,0)</f>
        <v>healthcare</v>
      </c>
      <c r="J192" t="str">
        <f>VLOOKUP(A192,Setores!$A$2:$C$215,3,0)</f>
        <v>very_high_beta</v>
      </c>
      <c r="K192" s="100">
        <v>0</v>
      </c>
      <c r="L192" s="58">
        <v>0</v>
      </c>
      <c r="M192" s="7">
        <v>0</v>
      </c>
      <c r="N192" s="41">
        <f>VLOOKUP(A192,'Mandato ISEE'!$A$1:$C$215,2,0)</f>
        <v>0</v>
      </c>
      <c r="O192" s="58">
        <f t="shared" si="20"/>
        <v>0</v>
      </c>
      <c r="P192" s="41">
        <f>VLOOKUP(A192,'Mandato ISEE'!$A$1:$C$215,3,0)</f>
        <v>0</v>
      </c>
      <c r="Q192" s="42">
        <f t="shared" si="21"/>
        <v>0</v>
      </c>
      <c r="R192" s="42">
        <v>-0.73299999999999998</v>
      </c>
      <c r="S192" s="15">
        <v>-0.34300000000000003</v>
      </c>
      <c r="T192" s="15">
        <v>-0.73199999999999998</v>
      </c>
      <c r="U192" s="15">
        <v>-0.84899999999999998</v>
      </c>
      <c r="V192" s="15">
        <v>-0.73799999999999999</v>
      </c>
      <c r="W192" s="15">
        <v>-0.93500000000000005</v>
      </c>
      <c r="X192" s="15">
        <v>-0.96</v>
      </c>
      <c r="Y192" s="15">
        <v>-0.86</v>
      </c>
      <c r="Z192" s="15">
        <v>-0.47699999999999998</v>
      </c>
      <c r="AA192" s="15">
        <v>-0.47699999999999998</v>
      </c>
      <c r="AB192" s="15">
        <v>-8.5999999999999993E-2</v>
      </c>
      <c r="AC192" s="15">
        <v>-5.8000000000000003E-2</v>
      </c>
      <c r="AD192" s="15">
        <v>2.9000000000000001E-2</v>
      </c>
      <c r="AE192" s="15">
        <v>-0.79100000000000004</v>
      </c>
      <c r="AF192" s="14">
        <v>-0.60699999999999998</v>
      </c>
      <c r="AG192" s="15">
        <v>-0.24199999999999999</v>
      </c>
      <c r="AH192" s="15">
        <v>-0.498</v>
      </c>
      <c r="AI192" s="15">
        <v>1.0999999999999999E-2</v>
      </c>
      <c r="AJ192" s="15">
        <v>-0.83599999999999997</v>
      </c>
      <c r="AK192" s="16">
        <v>-0.124</v>
      </c>
      <c r="AL192" s="4">
        <v>-1</v>
      </c>
      <c r="AM192" s="4">
        <v>-0.126</v>
      </c>
      <c r="AN192" s="4">
        <v>-0.313</v>
      </c>
      <c r="AO192" s="4">
        <v>0.38400000000000001</v>
      </c>
      <c r="AP192" s="4">
        <v>-0.433</v>
      </c>
      <c r="AQ192" s="4">
        <v>-0.23100000000000001</v>
      </c>
      <c r="AR192" s="4">
        <v>0.71</v>
      </c>
      <c r="AS192" s="4">
        <v>0.28199999999999997</v>
      </c>
      <c r="AT192" s="4">
        <v>-0.27100000000000002</v>
      </c>
      <c r="AU192" s="4">
        <v>-0.57999999999999996</v>
      </c>
      <c r="AV192" s="4">
        <v>-0.59</v>
      </c>
      <c r="AW192" s="4">
        <v>-0.77400000000000002</v>
      </c>
      <c r="AX192" s="4">
        <v>-0.45600000000000002</v>
      </c>
      <c r="AY192" s="4">
        <v>0.64</v>
      </c>
      <c r="AZ192" s="4">
        <v>-0.67</v>
      </c>
      <c r="BA192" s="4">
        <v>0.81499999999999995</v>
      </c>
      <c r="BB192" s="4">
        <v>0.92700000000000005</v>
      </c>
      <c r="BC192" s="4">
        <v>0.50700000000000001</v>
      </c>
      <c r="BD192" s="4">
        <v>1</v>
      </c>
      <c r="BE192" s="4">
        <v>-1</v>
      </c>
      <c r="BF192" s="4">
        <v>-0.67200000000000004</v>
      </c>
      <c r="BG192" s="4">
        <v>-0.84299999999999997</v>
      </c>
      <c r="BH192" s="4">
        <v>1</v>
      </c>
      <c r="BI192" s="4">
        <v>0.27500000000000002</v>
      </c>
      <c r="BJ192" s="4">
        <v>0.61</v>
      </c>
      <c r="BK192" s="4">
        <v>0.11899999999999999</v>
      </c>
      <c r="BL192" s="4"/>
    </row>
    <row r="193" spans="1:64" x14ac:dyDescent="0.3">
      <c r="A193" t="s">
        <v>221</v>
      </c>
      <c r="B193" s="53">
        <f t="shared" si="16"/>
        <v>0</v>
      </c>
      <c r="C193" s="53">
        <f t="shared" si="17"/>
        <v>0</v>
      </c>
      <c r="D193" s="53">
        <f t="shared" si="18"/>
        <v>0</v>
      </c>
      <c r="E193" s="53">
        <f t="shared" si="19"/>
        <v>0</v>
      </c>
      <c r="F193" s="15">
        <v>0.51900000000000002</v>
      </c>
      <c r="G193">
        <v>0.48399999999999999</v>
      </c>
      <c r="H193" t="s">
        <v>57</v>
      </c>
      <c r="I193" t="str">
        <f>VLOOKUP(A193,Setores!$A$2:$C$215,2,0)</f>
        <v>consumer_services</v>
      </c>
      <c r="J193" t="str">
        <f>VLOOKUP(A193,Setores!$A$2:$C$215,3,0)</f>
        <v>neutral_beta</v>
      </c>
      <c r="K193" s="100">
        <v>0</v>
      </c>
      <c r="L193" s="58">
        <v>0</v>
      </c>
      <c r="M193" s="7">
        <v>0</v>
      </c>
      <c r="N193" s="41">
        <f>VLOOKUP(A193,'Mandato ISEE'!$A$1:$C$215,2,0)</f>
        <v>0</v>
      </c>
      <c r="O193" s="58">
        <f t="shared" si="20"/>
        <v>0</v>
      </c>
      <c r="P193" s="41">
        <f>VLOOKUP(A193,'Mandato ISEE'!$A$1:$C$215,3,0)</f>
        <v>0</v>
      </c>
      <c r="Q193" s="42">
        <f t="shared" si="21"/>
        <v>0</v>
      </c>
      <c r="R193" s="42">
        <v>-0.83499999999999996</v>
      </c>
      <c r="S193" s="15">
        <v>-0.92900000000000005</v>
      </c>
      <c r="T193" s="15">
        <v>-0.91</v>
      </c>
      <c r="U193" s="15">
        <v>-0.72299999999999998</v>
      </c>
      <c r="V193" s="15">
        <v>-0.88900000000000001</v>
      </c>
      <c r="W193" s="15">
        <v>-0.85399999999999998</v>
      </c>
      <c r="X193" s="15">
        <v>-0.81399999999999995</v>
      </c>
      <c r="Y193" s="15">
        <v>-0.875</v>
      </c>
      <c r="Z193" s="15">
        <v>-0.33600000000000002</v>
      </c>
      <c r="AA193" s="15">
        <v>-0.33900000000000002</v>
      </c>
      <c r="AB193" s="15">
        <v>0.36899999999999999</v>
      </c>
      <c r="AC193" s="15">
        <v>0.36299999999999999</v>
      </c>
      <c r="AD193" s="15">
        <v>-0.04</v>
      </c>
      <c r="AE193" s="15">
        <v>-0.28000000000000003</v>
      </c>
      <c r="AF193" s="14">
        <v>3.4000000000000002E-2</v>
      </c>
      <c r="AG193" s="15">
        <v>-0.93100000000000005</v>
      </c>
      <c r="AH193" s="15">
        <v>-0.83099999999999996</v>
      </c>
      <c r="AI193" s="15">
        <v>-0.83899999999999997</v>
      </c>
      <c r="AJ193" s="15">
        <v>-0.47199999999999998</v>
      </c>
      <c r="AK193" s="16">
        <v>-0.27500000000000002</v>
      </c>
      <c r="AL193" s="4">
        <v>-0.48099999999999998</v>
      </c>
      <c r="AM193" s="4">
        <v>-0.67</v>
      </c>
      <c r="AN193" s="4">
        <v>0.46600000000000003</v>
      </c>
      <c r="AO193" s="4">
        <v>-0.64300000000000002</v>
      </c>
      <c r="AP193" s="4">
        <v>-0.159</v>
      </c>
      <c r="AQ193" s="4">
        <v>0.83699999999999997</v>
      </c>
      <c r="AR193" s="4">
        <v>0.39200000000000002</v>
      </c>
      <c r="AS193" s="4">
        <v>-0.17100000000000001</v>
      </c>
      <c r="AT193" s="4">
        <v>2.5999999999999999E-2</v>
      </c>
      <c r="AU193" s="4">
        <v>4.9000000000000002E-2</v>
      </c>
      <c r="AV193" s="4">
        <v>0.38700000000000001</v>
      </c>
      <c r="AW193" s="4">
        <v>6.0000000000000001E-3</v>
      </c>
      <c r="AX193" s="4">
        <v>7.3999999999999996E-2</v>
      </c>
      <c r="AY193" s="4">
        <v>0.8</v>
      </c>
      <c r="AZ193" s="4">
        <v>-9.5000000000000001E-2</v>
      </c>
      <c r="BA193" s="4">
        <v>-8.0000000000000002E-3</v>
      </c>
      <c r="BB193" s="4">
        <v>-0.49</v>
      </c>
      <c r="BC193" s="4">
        <v>-0.39400000000000002</v>
      </c>
      <c r="BD193" s="4">
        <v>-7.8E-2</v>
      </c>
      <c r="BE193" s="4">
        <v>-0.80800000000000005</v>
      </c>
      <c r="BF193" s="4">
        <v>-1</v>
      </c>
      <c r="BG193" s="4">
        <v>-0.76200000000000001</v>
      </c>
      <c r="BH193" s="4">
        <v>-1.4E-2</v>
      </c>
      <c r="BI193" s="4">
        <v>-0.01</v>
      </c>
      <c r="BJ193" s="4">
        <v>-0.59699999999999998</v>
      </c>
      <c r="BK193" s="4">
        <v>-0.112</v>
      </c>
      <c r="BL193" s="4"/>
    </row>
    <row r="194" spans="1:64" x14ac:dyDescent="0.3">
      <c r="A194" t="s">
        <v>235</v>
      </c>
      <c r="B194" s="53">
        <f t="shared" si="16"/>
        <v>0</v>
      </c>
      <c r="C194" s="53">
        <f t="shared" si="17"/>
        <v>0</v>
      </c>
      <c r="D194" s="53">
        <f t="shared" si="18"/>
        <v>0</v>
      </c>
      <c r="E194" s="53">
        <f t="shared" si="19"/>
        <v>0</v>
      </c>
      <c r="F194" s="15">
        <v>0.51800000000000002</v>
      </c>
      <c r="G194">
        <v>0.42799999999999999</v>
      </c>
      <c r="H194" t="s">
        <v>57</v>
      </c>
      <c r="I194" t="str">
        <f>VLOOKUP(A194,Setores!$A$2:$C$215,2,0)</f>
        <v>apparel</v>
      </c>
      <c r="J194" t="str">
        <f>VLOOKUP(A194,Setores!$A$2:$C$215,3,0)</f>
        <v>neutral_beta</v>
      </c>
      <c r="K194" s="100">
        <v>0</v>
      </c>
      <c r="L194" s="58">
        <v>0</v>
      </c>
      <c r="M194" s="7">
        <v>0</v>
      </c>
      <c r="N194" s="41">
        <f>VLOOKUP(A194,'Mandato ISEE'!$A$1:$C$215,2,0)</f>
        <v>0</v>
      </c>
      <c r="O194" s="58">
        <f t="shared" si="20"/>
        <v>0</v>
      </c>
      <c r="P194" s="41">
        <f>VLOOKUP(A194,'Mandato ISEE'!$A$1:$C$215,3,0)</f>
        <v>0</v>
      </c>
      <c r="Q194" s="42">
        <f t="shared" si="21"/>
        <v>0</v>
      </c>
      <c r="R194" s="42">
        <v>-0.82799999999999996</v>
      </c>
      <c r="S194" s="15">
        <v>-0.92100000000000004</v>
      </c>
      <c r="T194" s="15">
        <v>-0.81899999999999995</v>
      </c>
      <c r="U194" s="15">
        <v>-0.81399999999999995</v>
      </c>
      <c r="V194" s="15">
        <v>-0.89400000000000002</v>
      </c>
      <c r="W194" s="15">
        <v>-0.80600000000000005</v>
      </c>
      <c r="X194" s="15">
        <v>-0.748</v>
      </c>
      <c r="Y194" s="15">
        <v>-0.89</v>
      </c>
      <c r="Z194" s="15">
        <v>-0.37</v>
      </c>
      <c r="AA194" s="15">
        <v>-0.36699999999999999</v>
      </c>
      <c r="AB194" s="15">
        <v>0.437</v>
      </c>
      <c r="AC194" s="15">
        <v>0.35499999999999998</v>
      </c>
      <c r="AD194" s="15">
        <v>-0.122</v>
      </c>
      <c r="AE194" s="15">
        <v>-0.20300000000000001</v>
      </c>
      <c r="AF194" s="14">
        <v>-0.627</v>
      </c>
      <c r="AG194" s="15">
        <v>-0.99</v>
      </c>
      <c r="AH194" s="15">
        <v>-0.66300000000000003</v>
      </c>
      <c r="AI194" s="15">
        <v>-0.72799999999999998</v>
      </c>
      <c r="AJ194" s="15">
        <v>0.501</v>
      </c>
      <c r="AK194" s="16">
        <v>-0.252</v>
      </c>
      <c r="AL194" s="4">
        <v>-0.67900000000000005</v>
      </c>
      <c r="AM194" s="4">
        <v>-0.73299999999999998</v>
      </c>
      <c r="AN194" s="4">
        <v>0.52100000000000002</v>
      </c>
      <c r="AO194" s="4">
        <v>-0.70199999999999996</v>
      </c>
      <c r="AP194" s="4">
        <v>-0.42799999999999999</v>
      </c>
      <c r="AQ194" s="4">
        <v>4.8000000000000001E-2</v>
      </c>
      <c r="AR194" s="4">
        <v>-4.2000000000000003E-2</v>
      </c>
      <c r="AS194" s="4">
        <v>-0.71099999999999997</v>
      </c>
      <c r="AT194" s="4">
        <v>0.35899999999999999</v>
      </c>
      <c r="AU194" s="4">
        <v>3.5999999999999997E-2</v>
      </c>
      <c r="AV194" s="4">
        <v>0.35399999999999998</v>
      </c>
      <c r="AW194" s="4">
        <v>-5.6000000000000001E-2</v>
      </c>
      <c r="AX194" s="4">
        <v>0.153</v>
      </c>
      <c r="AY194" s="4">
        <v>0.55000000000000004</v>
      </c>
      <c r="AZ194" s="4">
        <v>1</v>
      </c>
      <c r="BA194" s="4">
        <v>-9.8000000000000004E-2</v>
      </c>
      <c r="BB194" s="4">
        <v>-0.45800000000000002</v>
      </c>
      <c r="BC194" s="4">
        <v>-0.36199999999999999</v>
      </c>
      <c r="BD194" s="4">
        <v>0.15</v>
      </c>
      <c r="BE194" s="4">
        <v>5.2999999999999999E-2</v>
      </c>
      <c r="BF194" s="4">
        <v>0.747</v>
      </c>
      <c r="BG194" s="4">
        <v>-0.124</v>
      </c>
      <c r="BH194" s="4">
        <v>-0.182</v>
      </c>
      <c r="BI194" s="4">
        <v>-0.104</v>
      </c>
      <c r="BJ194" s="4">
        <v>-0.73099999999999998</v>
      </c>
      <c r="BK194" s="4">
        <v>-2E-3</v>
      </c>
      <c r="BL194" s="4"/>
    </row>
    <row r="195" spans="1:64" x14ac:dyDescent="0.3">
      <c r="A195" t="s">
        <v>219</v>
      </c>
      <c r="B195" s="53">
        <f t="shared" si="16"/>
        <v>0</v>
      </c>
      <c r="C195" s="53">
        <f t="shared" si="17"/>
        <v>0</v>
      </c>
      <c r="D195" s="53">
        <f t="shared" si="18"/>
        <v>0</v>
      </c>
      <c r="E195" s="53">
        <f t="shared" si="19"/>
        <v>0</v>
      </c>
      <c r="F195" s="15">
        <v>0.51800000000000002</v>
      </c>
      <c r="G195">
        <v>0.42899999999999999</v>
      </c>
      <c r="H195" t="s">
        <v>57</v>
      </c>
      <c r="I195" t="str">
        <f>VLOOKUP(A195,Setores!$A$2:$C$215,2,0)</f>
        <v>banks</v>
      </c>
      <c r="J195" t="str">
        <f>VLOOKUP(A195,Setores!$A$2:$C$215,3,0)</f>
        <v>neutral_beta</v>
      </c>
      <c r="K195" s="100">
        <v>0</v>
      </c>
      <c r="L195" s="58">
        <v>0</v>
      </c>
      <c r="M195" s="7">
        <v>0</v>
      </c>
      <c r="N195" s="41">
        <f>VLOOKUP(A195,'Mandato ISEE'!$A$1:$C$215,2,0)</f>
        <v>0</v>
      </c>
      <c r="O195" s="58">
        <f t="shared" si="20"/>
        <v>0</v>
      </c>
      <c r="P195" s="41">
        <f>VLOOKUP(A195,'Mandato ISEE'!$A$1:$C$215,3,0)</f>
        <v>0</v>
      </c>
      <c r="Q195" s="42">
        <f t="shared" si="21"/>
        <v>0</v>
      </c>
      <c r="R195" s="42">
        <v>-0.85</v>
      </c>
      <c r="S195" s="15">
        <v>-0.95799999999999996</v>
      </c>
      <c r="T195" s="15">
        <v>-0.873</v>
      </c>
      <c r="U195" s="15">
        <v>-0.80300000000000005</v>
      </c>
      <c r="V195" s="15">
        <v>-0.91200000000000003</v>
      </c>
      <c r="W195" s="15">
        <v>-0.84099999999999997</v>
      </c>
      <c r="X195" s="15">
        <v>-0.79</v>
      </c>
      <c r="Y195" s="15">
        <v>-0.93400000000000005</v>
      </c>
      <c r="Z195" s="15">
        <v>-0.191</v>
      </c>
      <c r="AA195" s="15">
        <v>-0.193</v>
      </c>
      <c r="AB195" s="15">
        <v>0.379</v>
      </c>
      <c r="AC195" s="15">
        <v>0.28000000000000003</v>
      </c>
      <c r="AD195" s="15">
        <v>-6.0999999999999999E-2</v>
      </c>
      <c r="AE195" s="15">
        <v>-0.40500000000000003</v>
      </c>
      <c r="AF195" s="14">
        <v>0.375</v>
      </c>
      <c r="AG195" s="15">
        <v>-0.96099999999999997</v>
      </c>
      <c r="AH195" s="15">
        <v>-0.81899999999999995</v>
      </c>
      <c r="AI195" s="15">
        <v>-0.97199999999999998</v>
      </c>
      <c r="AJ195" s="15">
        <v>-0.308</v>
      </c>
      <c r="AK195" s="16">
        <v>-0.20899999999999999</v>
      </c>
      <c r="AL195" s="4">
        <v>-0.84299999999999997</v>
      </c>
      <c r="AM195" s="4">
        <v>-0.35499999999999998</v>
      </c>
      <c r="AN195" s="4">
        <v>0.56699999999999995</v>
      </c>
      <c r="AO195" s="4">
        <v>-0.74299999999999999</v>
      </c>
      <c r="AP195" s="4">
        <v>-0.55000000000000004</v>
      </c>
      <c r="AQ195" s="4">
        <v>0.63500000000000001</v>
      </c>
      <c r="AR195" s="4">
        <v>0.34</v>
      </c>
      <c r="AS195" s="4">
        <v>-0.38800000000000001</v>
      </c>
      <c r="AT195" s="4">
        <v>-1.0999999999999999E-2</v>
      </c>
      <c r="AU195" s="4">
        <v>0.13400000000000001</v>
      </c>
      <c r="AV195" s="4">
        <v>2E-3</v>
      </c>
      <c r="AW195" s="4">
        <v>-0.30199999999999999</v>
      </c>
      <c r="AX195" s="4">
        <v>-0.29199999999999998</v>
      </c>
      <c r="AY195" s="4">
        <v>0.871</v>
      </c>
      <c r="AZ195" s="4">
        <v>0.44500000000000001</v>
      </c>
      <c r="BA195" s="4">
        <v>0.253</v>
      </c>
      <c r="BB195" s="4">
        <v>-0.67700000000000005</v>
      </c>
      <c r="BC195" s="4">
        <v>-0.39800000000000002</v>
      </c>
      <c r="BD195" s="4">
        <v>3.2000000000000001E-2</v>
      </c>
      <c r="BE195" s="4">
        <v>1</v>
      </c>
      <c r="BF195" s="4">
        <v>1</v>
      </c>
      <c r="BG195" s="4">
        <v>-0.217</v>
      </c>
      <c r="BH195" s="4">
        <v>-0.56799999999999995</v>
      </c>
      <c r="BI195" s="4">
        <v>-0.13</v>
      </c>
      <c r="BJ195" s="4">
        <v>-5.8000000000000003E-2</v>
      </c>
      <c r="BK195" s="4">
        <v>0.16500000000000001</v>
      </c>
      <c r="BL195" s="4"/>
    </row>
    <row r="196" spans="1:64" x14ac:dyDescent="0.3">
      <c r="A196" t="s">
        <v>248</v>
      </c>
      <c r="B196" s="53">
        <f t="shared" si="16"/>
        <v>0</v>
      </c>
      <c r="C196" s="53">
        <f t="shared" si="17"/>
        <v>-5.0000000000000001E-3</v>
      </c>
      <c r="D196" s="53">
        <f t="shared" si="18"/>
        <v>0</v>
      </c>
      <c r="E196" s="53">
        <f t="shared" si="19"/>
        <v>5.0000000000000001E-3</v>
      </c>
      <c r="F196" s="15">
        <v>0.51600000000000001</v>
      </c>
      <c r="G196">
        <v>0.42199999999999999</v>
      </c>
      <c r="H196" t="s">
        <v>57</v>
      </c>
      <c r="I196" t="str">
        <f>VLOOKUP(A196,Setores!$A$2:$C$215,2,0)</f>
        <v>homebuilders</v>
      </c>
      <c r="J196" t="str">
        <f>VLOOKUP(A196,Setores!$A$2:$C$215,3,0)</f>
        <v>high_beta</v>
      </c>
      <c r="K196" s="100">
        <v>0</v>
      </c>
      <c r="L196" s="58">
        <v>-5.0000000000000001E-3</v>
      </c>
      <c r="M196" s="7">
        <v>5.0000000000000001E-3</v>
      </c>
      <c r="N196" s="41">
        <f>VLOOKUP(A196,'Mandato ISEE'!$A$1:$C$215,2,0)</f>
        <v>0</v>
      </c>
      <c r="O196" s="58">
        <f t="shared" si="20"/>
        <v>0</v>
      </c>
      <c r="P196" s="41">
        <f>VLOOKUP(A196,'Mandato ISEE'!$A$1:$C$215,3,0)</f>
        <v>0</v>
      </c>
      <c r="Q196" s="42">
        <f t="shared" si="21"/>
        <v>0</v>
      </c>
      <c r="R196" s="42">
        <v>-0.77600000000000002</v>
      </c>
      <c r="S196" s="15">
        <v>-0.84299999999999997</v>
      </c>
      <c r="T196" s="15">
        <v>-0.82199999999999995</v>
      </c>
      <c r="U196" s="15">
        <v>-0.81799999999999995</v>
      </c>
      <c r="V196" s="15">
        <v>-0.86899999999999999</v>
      </c>
      <c r="W196" s="15">
        <v>-0.83799999999999997</v>
      </c>
      <c r="X196" s="15">
        <v>-0.84599999999999997</v>
      </c>
      <c r="Y196" s="15">
        <v>-0.93600000000000005</v>
      </c>
      <c r="Z196" s="15">
        <v>-0.45200000000000001</v>
      </c>
      <c r="AA196" s="15">
        <v>-0.45400000000000001</v>
      </c>
      <c r="AB196" s="15">
        <v>0.32900000000000001</v>
      </c>
      <c r="AC196" s="15">
        <v>0.39600000000000002</v>
      </c>
      <c r="AD196" s="15">
        <v>-7.9000000000000001E-2</v>
      </c>
      <c r="AE196" s="15">
        <v>-0.19700000000000001</v>
      </c>
      <c r="AF196" s="14">
        <v>0.20899999999999999</v>
      </c>
      <c r="AG196" s="15">
        <v>-0.83299999999999996</v>
      </c>
      <c r="AH196" s="15">
        <v>-0.28100000000000003</v>
      </c>
      <c r="AI196" s="15">
        <v>-0.51500000000000001</v>
      </c>
      <c r="AJ196" s="15">
        <v>-0.74099999999999999</v>
      </c>
      <c r="AK196" s="16">
        <v>-1.2999999999999999E-2</v>
      </c>
      <c r="AL196" s="4">
        <v>-1</v>
      </c>
      <c r="AM196" s="4">
        <v>-5.5E-2</v>
      </c>
      <c r="AN196" s="4">
        <v>-0.13700000000000001</v>
      </c>
      <c r="AO196" s="4">
        <v>-0.59299999999999997</v>
      </c>
      <c r="AP196" s="4">
        <v>-0.91100000000000003</v>
      </c>
      <c r="AQ196" s="4">
        <v>-0.05</v>
      </c>
      <c r="AR196" s="4">
        <v>1</v>
      </c>
      <c r="AS196" s="4">
        <v>0.24199999999999999</v>
      </c>
      <c r="AT196" s="4">
        <v>-0.29599999999999999</v>
      </c>
      <c r="AU196" s="4">
        <v>-0.56499999999999995</v>
      </c>
      <c r="AV196" s="4">
        <v>-9.2999999999999999E-2</v>
      </c>
      <c r="AW196" s="4">
        <v>-0.435</v>
      </c>
      <c r="AX196" s="4">
        <v>-0.82899999999999996</v>
      </c>
      <c r="AY196" s="4">
        <v>0.52400000000000002</v>
      </c>
      <c r="AZ196" s="4">
        <v>0.63900000000000001</v>
      </c>
      <c r="BA196" s="4">
        <v>0.191</v>
      </c>
      <c r="BB196" s="4">
        <v>0.28100000000000003</v>
      </c>
      <c r="BC196" s="4">
        <v>0.1</v>
      </c>
      <c r="BD196" s="4">
        <v>0.46300000000000002</v>
      </c>
      <c r="BE196" s="4">
        <v>0.47</v>
      </c>
      <c r="BF196" s="4">
        <v>-0.54300000000000004</v>
      </c>
      <c r="BG196" s="4">
        <v>0.22500000000000001</v>
      </c>
      <c r="BH196" s="4">
        <v>0.19600000000000001</v>
      </c>
      <c r="BI196" s="4">
        <v>0.58499999999999996</v>
      </c>
      <c r="BJ196" s="4">
        <v>-0.70499999999999996</v>
      </c>
      <c r="BK196" s="4">
        <v>3.2000000000000001E-2</v>
      </c>
      <c r="BL196" s="4"/>
    </row>
    <row r="197" spans="1:64" x14ac:dyDescent="0.3">
      <c r="A197" t="s">
        <v>202</v>
      </c>
      <c r="B197" s="53">
        <f t="shared" si="16"/>
        <v>0</v>
      </c>
      <c r="C197" s="53">
        <f t="shared" si="17"/>
        <v>-4.0000000000000001E-3</v>
      </c>
      <c r="D197" s="53">
        <f t="shared" si="18"/>
        <v>0</v>
      </c>
      <c r="E197" s="53">
        <f t="shared" si="19"/>
        <v>4.0000000000000001E-3</v>
      </c>
      <c r="F197" s="15">
        <v>0.51500000000000001</v>
      </c>
      <c r="G197">
        <v>0.44900000000000001</v>
      </c>
      <c r="H197" t="s">
        <v>57</v>
      </c>
      <c r="I197" t="str">
        <f>VLOOKUP(A197,Setores!$A$2:$C$215,2,0)</f>
        <v>transportation</v>
      </c>
      <c r="J197" t="str">
        <f>VLOOKUP(A197,Setores!$A$2:$C$215,3,0)</f>
        <v>neutral_beta</v>
      </c>
      <c r="K197" s="100">
        <v>0</v>
      </c>
      <c r="L197" s="58">
        <v>-4.0000000000000001E-3</v>
      </c>
      <c r="M197" s="7">
        <v>4.0000000000000001E-3</v>
      </c>
      <c r="N197" s="41">
        <f>VLOOKUP(A197,'Mandato ISEE'!$A$1:$C$215,2,0)</f>
        <v>0</v>
      </c>
      <c r="O197" s="58">
        <f t="shared" si="20"/>
        <v>0</v>
      </c>
      <c r="P197" s="41">
        <f>VLOOKUP(A197,'Mandato ISEE'!$A$1:$C$215,3,0)</f>
        <v>0</v>
      </c>
      <c r="Q197" s="42">
        <f t="shared" si="21"/>
        <v>0</v>
      </c>
      <c r="R197" s="42">
        <v>-0.876</v>
      </c>
      <c r="S197" s="15">
        <v>-0.94299999999999995</v>
      </c>
      <c r="T197" s="15">
        <v>-0.89200000000000002</v>
      </c>
      <c r="U197" s="15">
        <v>-0.89</v>
      </c>
      <c r="V197" s="15">
        <v>-0.94499999999999995</v>
      </c>
      <c r="W197" s="15">
        <v>-0.85099999999999998</v>
      </c>
      <c r="X197" s="15">
        <v>-0.78400000000000003</v>
      </c>
      <c r="Y197" s="15">
        <v>-0.93400000000000005</v>
      </c>
      <c r="Z197" s="15">
        <v>-0.30199999999999999</v>
      </c>
      <c r="AA197" s="15">
        <v>-0.30499999999999999</v>
      </c>
      <c r="AB197" s="15">
        <v>0.30299999999999999</v>
      </c>
      <c r="AC197" s="15">
        <v>0.13600000000000001</v>
      </c>
      <c r="AD197" s="15">
        <v>1.7000000000000001E-2</v>
      </c>
      <c r="AE197" s="15">
        <v>-0.51400000000000001</v>
      </c>
      <c r="AF197" s="14">
        <v>-0.754</v>
      </c>
      <c r="AG197" s="15">
        <v>-0.91300000000000003</v>
      </c>
      <c r="AH197" s="15">
        <v>-0.68500000000000005</v>
      </c>
      <c r="AI197" s="15">
        <v>-0.42099999999999999</v>
      </c>
      <c r="AJ197" s="15">
        <v>-0.83499999999999996</v>
      </c>
      <c r="AK197" s="16">
        <v>-0.251</v>
      </c>
      <c r="AL197" s="4">
        <v>-1</v>
      </c>
      <c r="AM197" s="4">
        <v>-0.78800000000000003</v>
      </c>
      <c r="AN197" s="4">
        <v>0.107</v>
      </c>
      <c r="AO197" s="4">
        <v>-0.34899999999999998</v>
      </c>
      <c r="AP197" s="4">
        <v>-0.107</v>
      </c>
      <c r="AQ197" s="4">
        <v>-0.28399999999999997</v>
      </c>
      <c r="AR197" s="4">
        <v>-0.49</v>
      </c>
      <c r="AS197" s="4">
        <v>-0.25800000000000001</v>
      </c>
      <c r="AT197" s="4">
        <v>-0.19700000000000001</v>
      </c>
      <c r="AU197" s="4">
        <v>-0.41399999999999998</v>
      </c>
      <c r="AV197" s="4">
        <v>7.6999999999999999E-2</v>
      </c>
      <c r="AW197" s="4">
        <v>0.17499999999999999</v>
      </c>
      <c r="AX197" s="4">
        <v>-0.26900000000000002</v>
      </c>
      <c r="AY197" s="4">
        <v>-0.78300000000000003</v>
      </c>
      <c r="AZ197" s="4">
        <v>-0.27600000000000002</v>
      </c>
      <c r="BA197" s="4">
        <v>0.65800000000000003</v>
      </c>
      <c r="BB197" s="4">
        <v>-0.154</v>
      </c>
      <c r="BC197" s="4">
        <v>-0.23300000000000001</v>
      </c>
      <c r="BD197" s="4">
        <v>0.48699999999999999</v>
      </c>
      <c r="BE197" s="4">
        <v>0.19500000000000001</v>
      </c>
      <c r="BF197" s="4">
        <v>0.39900000000000002</v>
      </c>
      <c r="BG197" s="4">
        <v>0.45200000000000001</v>
      </c>
      <c r="BH197" s="4">
        <v>4.0000000000000001E-3</v>
      </c>
      <c r="BI197" s="4">
        <v>0.153</v>
      </c>
      <c r="BJ197" s="4">
        <v>0.58499999999999996</v>
      </c>
      <c r="BK197" s="4">
        <v>0.20599999999999999</v>
      </c>
      <c r="BL197" s="4"/>
    </row>
    <row r="198" spans="1:64" x14ac:dyDescent="0.3">
      <c r="A198" t="s">
        <v>195</v>
      </c>
      <c r="B198" s="53">
        <f t="shared" si="16"/>
        <v>0</v>
      </c>
      <c r="C198" s="53">
        <f t="shared" si="17"/>
        <v>0</v>
      </c>
      <c r="D198" s="53">
        <f t="shared" si="18"/>
        <v>0</v>
      </c>
      <c r="E198" s="53">
        <f t="shared" si="19"/>
        <v>0</v>
      </c>
      <c r="F198" s="15">
        <v>0.51400000000000001</v>
      </c>
      <c r="G198">
        <v>0.45500000000000002</v>
      </c>
      <c r="H198" t="s">
        <v>57</v>
      </c>
      <c r="I198" t="str">
        <f>VLOOKUP(A198,Setores!$A$2:$C$215,2,0)</f>
        <v>banks</v>
      </c>
      <c r="J198" t="str">
        <f>VLOOKUP(A198,Setores!$A$2:$C$215,3,0)</f>
        <v>very_low_beta</v>
      </c>
      <c r="K198" s="100">
        <v>0</v>
      </c>
      <c r="L198" s="58">
        <v>0</v>
      </c>
      <c r="M198" s="7">
        <v>0</v>
      </c>
      <c r="N198" s="41">
        <f>VLOOKUP(A198,'Mandato ISEE'!$A$1:$C$215,2,0)</f>
        <v>0</v>
      </c>
      <c r="O198" s="58">
        <f t="shared" si="20"/>
        <v>0</v>
      </c>
      <c r="P198" s="41">
        <f>VLOOKUP(A198,'Mandato ISEE'!$A$1:$C$215,3,0)</f>
        <v>0</v>
      </c>
      <c r="Q198" s="42">
        <f t="shared" si="21"/>
        <v>0</v>
      </c>
      <c r="R198" s="42">
        <v>-0.94799999999999995</v>
      </c>
      <c r="S198" s="15">
        <v>-0.99099999999999999</v>
      </c>
      <c r="T198" s="15">
        <v>-0.997</v>
      </c>
      <c r="U198" s="15">
        <v>-0.93799999999999994</v>
      </c>
      <c r="V198" s="15">
        <v>-1</v>
      </c>
      <c r="W198" s="15">
        <v>-0.85199999999999998</v>
      </c>
      <c r="X198" s="15">
        <v>-0.69</v>
      </c>
      <c r="Y198" s="15">
        <v>-0.97799999999999998</v>
      </c>
      <c r="Z198" s="15">
        <v>-0.115</v>
      </c>
      <c r="AA198" s="15">
        <v>-0.11</v>
      </c>
      <c r="AB198" s="15">
        <v>4.0000000000000001E-3</v>
      </c>
      <c r="AC198" s="15">
        <v>0.19400000000000001</v>
      </c>
      <c r="AD198" s="15">
        <v>9.6000000000000002E-2</v>
      </c>
      <c r="AE198" s="15">
        <v>-1</v>
      </c>
      <c r="AF198" s="14">
        <v>-0.71799999999999997</v>
      </c>
      <c r="AG198" s="15">
        <v>-1</v>
      </c>
      <c r="AH198" s="15">
        <v>-1</v>
      </c>
      <c r="AI198" s="15">
        <v>-1</v>
      </c>
      <c r="AJ198" s="15">
        <v>-0.85699999999999998</v>
      </c>
      <c r="AK198" s="16">
        <v>-0.38</v>
      </c>
      <c r="AL198" s="4">
        <v>-1</v>
      </c>
      <c r="AM198" s="4">
        <v>-0.80100000000000005</v>
      </c>
      <c r="AN198" s="4">
        <v>0.311</v>
      </c>
      <c r="AO198" s="4">
        <v>-0.66500000000000004</v>
      </c>
      <c r="AP198" s="4">
        <v>-0.84699999999999998</v>
      </c>
      <c r="AQ198" s="4">
        <v>0.27900000000000003</v>
      </c>
      <c r="AR198" s="4">
        <v>0.30599999999999999</v>
      </c>
      <c r="AS198" s="4">
        <v>0.28699999999999998</v>
      </c>
      <c r="AT198" s="4">
        <v>0.152</v>
      </c>
      <c r="AU198" s="4">
        <v>2.5000000000000001E-2</v>
      </c>
      <c r="AV198" s="4">
        <v>-0.623</v>
      </c>
      <c r="AW198" s="4">
        <v>0</v>
      </c>
      <c r="AX198" s="4">
        <v>5.8999999999999997E-2</v>
      </c>
      <c r="AY198" s="4">
        <v>-1.0999999999999999E-2</v>
      </c>
      <c r="AZ198" s="4">
        <v>2.1999999999999999E-2</v>
      </c>
      <c r="BA198" s="4">
        <v>0.55300000000000005</v>
      </c>
      <c r="BB198" s="4">
        <v>-0.50900000000000001</v>
      </c>
      <c r="BC198" s="4">
        <v>-0.58699999999999997</v>
      </c>
      <c r="BD198" s="4">
        <v>-0.25600000000000001</v>
      </c>
      <c r="BE198" s="4">
        <v>0.26</v>
      </c>
      <c r="BF198" s="4">
        <v>0.435</v>
      </c>
      <c r="BG198" s="4">
        <v>0.90300000000000002</v>
      </c>
      <c r="BH198" s="4">
        <v>-0.35899999999999999</v>
      </c>
      <c r="BI198" s="4">
        <v>-0.61099999999999999</v>
      </c>
      <c r="BJ198" s="4">
        <v>0.21</v>
      </c>
      <c r="BK198" s="4">
        <v>-0.38600000000000001</v>
      </c>
      <c r="BL198" s="4"/>
    </row>
    <row r="199" spans="1:64" x14ac:dyDescent="0.3">
      <c r="A199" t="s">
        <v>254</v>
      </c>
      <c r="B199" s="53">
        <f t="shared" si="16"/>
        <v>0</v>
      </c>
      <c r="C199" s="53">
        <f t="shared" si="17"/>
        <v>-2.1999999999999999E-2</v>
      </c>
      <c r="D199" s="53">
        <f t="shared" si="18"/>
        <v>0</v>
      </c>
      <c r="E199" s="53">
        <f t="shared" si="19"/>
        <v>2.1999999999999999E-2</v>
      </c>
      <c r="F199" s="15">
        <v>0.51200000000000001</v>
      </c>
      <c r="G199">
        <v>0.53100000000000003</v>
      </c>
      <c r="H199" t="s">
        <v>57</v>
      </c>
      <c r="I199" t="str">
        <f>VLOOKUP(A199,Setores!$A$2:$C$215,2,0)</f>
        <v>consumer_services</v>
      </c>
      <c r="J199" t="str">
        <f>VLOOKUP(A199,Setores!$A$2:$C$215,3,0)</f>
        <v>very_high_beta</v>
      </c>
      <c r="K199" s="100">
        <v>0</v>
      </c>
      <c r="L199" s="58">
        <v>-2.1999999999999999E-2</v>
      </c>
      <c r="M199" s="7">
        <v>2.1999999999999999E-2</v>
      </c>
      <c r="N199" s="41">
        <f>VLOOKUP(A199,'Mandato ISEE'!$A$1:$C$215,2,0)</f>
        <v>0</v>
      </c>
      <c r="O199" s="58">
        <f t="shared" si="20"/>
        <v>0</v>
      </c>
      <c r="P199" s="41">
        <f>VLOOKUP(A199,'Mandato ISEE'!$A$1:$C$215,3,0)</f>
        <v>0</v>
      </c>
      <c r="Q199" s="42">
        <f t="shared" si="21"/>
        <v>0</v>
      </c>
      <c r="R199" s="42">
        <v>-0.92700000000000005</v>
      </c>
      <c r="S199" s="15">
        <v>-0.91300000000000003</v>
      </c>
      <c r="T199" s="15">
        <v>-0.92700000000000005</v>
      </c>
      <c r="U199" s="15">
        <v>-0.9</v>
      </c>
      <c r="V199" s="15">
        <v>-0.91900000000000004</v>
      </c>
      <c r="W199" s="15">
        <v>-0.89700000000000002</v>
      </c>
      <c r="X199" s="15">
        <v>-0.84599999999999997</v>
      </c>
      <c r="Y199" s="15">
        <v>-0.95899999999999996</v>
      </c>
      <c r="Z199" s="15">
        <v>-0.53</v>
      </c>
      <c r="AA199" s="15">
        <v>-0.52900000000000003</v>
      </c>
      <c r="AB199" s="15">
        <v>0.54900000000000004</v>
      </c>
      <c r="AC199" s="15">
        <v>0.42899999999999999</v>
      </c>
      <c r="AD199" s="15">
        <v>8.9999999999999993E-3</v>
      </c>
      <c r="AE199" s="15">
        <v>-5.8000000000000003E-2</v>
      </c>
      <c r="AF199" s="14">
        <v>-0.186</v>
      </c>
      <c r="AG199" s="15">
        <v>-0.72</v>
      </c>
      <c r="AH199" s="15">
        <v>-0.55000000000000004</v>
      </c>
      <c r="AI199" s="15">
        <v>-1</v>
      </c>
      <c r="AJ199" s="15">
        <v>-0.98899999999999999</v>
      </c>
      <c r="AK199" s="16">
        <v>0.27700000000000002</v>
      </c>
      <c r="AL199" s="4">
        <v>-0.80900000000000005</v>
      </c>
      <c r="AM199" s="4">
        <v>0.154</v>
      </c>
      <c r="AN199" s="4">
        <v>-0.34300000000000003</v>
      </c>
      <c r="AO199" s="4">
        <v>-0.81499999999999995</v>
      </c>
      <c r="AP199" s="4">
        <v>-0.58499999999999996</v>
      </c>
      <c r="AQ199" s="4">
        <v>-0.189</v>
      </c>
      <c r="AR199" s="4">
        <v>-0.61199999999999999</v>
      </c>
      <c r="AS199" s="4">
        <v>-0.42199999999999999</v>
      </c>
      <c r="AT199" s="4">
        <v>-0.43099999999999999</v>
      </c>
      <c r="AU199" s="4">
        <v>-0.16200000000000001</v>
      </c>
      <c r="AV199" s="4">
        <v>-0.26100000000000001</v>
      </c>
      <c r="AW199" s="4">
        <v>-0.41899999999999998</v>
      </c>
      <c r="AX199" s="4">
        <v>-0.33100000000000002</v>
      </c>
      <c r="AY199" s="4">
        <v>0.30399999999999999</v>
      </c>
      <c r="AZ199" s="4">
        <v>-0.27300000000000002</v>
      </c>
      <c r="BA199" s="4">
        <v>-3.7999999999999999E-2</v>
      </c>
      <c r="BB199" s="4">
        <v>0.32800000000000001</v>
      </c>
      <c r="BC199" s="4">
        <v>4.4999999999999998E-2</v>
      </c>
      <c r="BD199" s="4">
        <v>0.08</v>
      </c>
      <c r="BE199" s="4">
        <v>0.35899999999999999</v>
      </c>
      <c r="BF199" s="4">
        <v>-0.10299999999999999</v>
      </c>
      <c r="BG199" s="4">
        <v>0.39900000000000002</v>
      </c>
      <c r="BH199" s="4">
        <v>0.65300000000000002</v>
      </c>
      <c r="BI199" s="4">
        <v>0.35599999999999998</v>
      </c>
      <c r="BJ199" s="4">
        <v>-0.622</v>
      </c>
      <c r="BK199" s="4">
        <v>-0.26900000000000002</v>
      </c>
      <c r="BL199" s="4"/>
    </row>
    <row r="200" spans="1:64" x14ac:dyDescent="0.3">
      <c r="A200" t="s">
        <v>230</v>
      </c>
      <c r="B200" s="53">
        <f t="shared" si="16"/>
        <v>0</v>
      </c>
      <c r="C200" s="53">
        <f t="shared" si="17"/>
        <v>0</v>
      </c>
      <c r="D200" s="53">
        <f t="shared" si="18"/>
        <v>0</v>
      </c>
      <c r="E200" s="53">
        <f t="shared" si="19"/>
        <v>0</v>
      </c>
      <c r="F200" s="15">
        <v>0.50800000000000001</v>
      </c>
      <c r="G200">
        <v>0.38800000000000001</v>
      </c>
      <c r="H200" t="s">
        <v>71</v>
      </c>
      <c r="I200" t="str">
        <f>VLOOKUP(A200,Setores!$A$2:$C$215,2,0)</f>
        <v>basic_materials</v>
      </c>
      <c r="J200" t="str">
        <f>VLOOKUP(A200,Setores!$A$2:$C$215,3,0)</f>
        <v>very_high_beta</v>
      </c>
      <c r="K200" s="100">
        <v>0</v>
      </c>
      <c r="L200" s="58">
        <v>0</v>
      </c>
      <c r="M200" s="7">
        <v>0</v>
      </c>
      <c r="N200" s="41">
        <f>VLOOKUP(A200,'Mandato ISEE'!$A$1:$C$215,2,0)</f>
        <v>0</v>
      </c>
      <c r="O200" s="58">
        <f t="shared" si="20"/>
        <v>0</v>
      </c>
      <c r="P200" s="41">
        <f>VLOOKUP(A200,'Mandato ISEE'!$A$1:$C$215,3,0)</f>
        <v>0</v>
      </c>
      <c r="Q200" s="42">
        <f t="shared" si="21"/>
        <v>0</v>
      </c>
      <c r="R200" s="42">
        <v>-1</v>
      </c>
      <c r="S200" s="15">
        <v>-0.98</v>
      </c>
      <c r="T200" s="15">
        <v>-1</v>
      </c>
      <c r="U200" s="15">
        <v>-0.996</v>
      </c>
      <c r="V200" s="15">
        <v>-0.998</v>
      </c>
      <c r="W200" s="15">
        <v>-0.95699999999999996</v>
      </c>
      <c r="X200" s="15">
        <v>-0.93899999999999995</v>
      </c>
      <c r="Y200" s="15">
        <v>-0.96099999999999997</v>
      </c>
      <c r="Z200" s="15">
        <v>-0.48799999999999999</v>
      </c>
      <c r="AA200" s="15">
        <v>-0.48799999999999999</v>
      </c>
      <c r="AB200" s="15">
        <v>0.23899999999999999</v>
      </c>
      <c r="AC200" s="15">
        <v>0.46400000000000002</v>
      </c>
      <c r="AD200" s="15">
        <v>0.129</v>
      </c>
      <c r="AE200" s="15">
        <v>-0.95699999999999996</v>
      </c>
      <c r="AF200" s="14">
        <v>-0.92300000000000004</v>
      </c>
      <c r="AG200" s="15">
        <v>-0.97399999999999998</v>
      </c>
      <c r="AH200" s="15">
        <v>-0.79800000000000004</v>
      </c>
      <c r="AI200" s="15">
        <v>-0.92800000000000005</v>
      </c>
      <c r="AJ200" s="15">
        <v>-0.93700000000000006</v>
      </c>
      <c r="AK200" s="16">
        <v>-0.64500000000000002</v>
      </c>
      <c r="AL200" s="4">
        <v>-0.11</v>
      </c>
      <c r="AM200" s="4">
        <v>0.186</v>
      </c>
      <c r="AN200" s="4">
        <v>-0.73199999999999998</v>
      </c>
      <c r="AO200" s="4">
        <v>-0.61099999999999999</v>
      </c>
      <c r="AP200" s="4">
        <v>-0.66900000000000004</v>
      </c>
      <c r="AQ200" s="4">
        <v>-0.68100000000000005</v>
      </c>
      <c r="AR200" s="4">
        <v>0.42</v>
      </c>
      <c r="AS200" s="4">
        <v>-3.2000000000000001E-2</v>
      </c>
      <c r="AT200" s="4">
        <v>-0.36699999999999999</v>
      </c>
      <c r="AU200" s="4">
        <v>-0.57499999999999996</v>
      </c>
      <c r="AV200" s="4">
        <v>-0.81499999999999995</v>
      </c>
      <c r="AW200" s="4">
        <v>-0.42899999999999999</v>
      </c>
      <c r="AX200" s="4">
        <v>-0.70099999999999996</v>
      </c>
      <c r="AY200" s="4">
        <v>0.63</v>
      </c>
      <c r="AZ200" s="4">
        <v>-1</v>
      </c>
      <c r="BA200" s="4">
        <v>0.32900000000000001</v>
      </c>
      <c r="BB200" s="4">
        <v>3.5999999999999997E-2</v>
      </c>
      <c r="BC200" s="4">
        <v>-0.02</v>
      </c>
      <c r="BD200" s="4">
        <v>0.20799999999999999</v>
      </c>
      <c r="BE200" s="4">
        <v>-0.70299999999999996</v>
      </c>
      <c r="BF200" s="4">
        <v>-0.437</v>
      </c>
      <c r="BG200" s="4">
        <v>-3.4000000000000002E-2</v>
      </c>
      <c r="BH200" s="4">
        <v>0.50800000000000001</v>
      </c>
      <c r="BI200" s="4">
        <v>0.35699999999999998</v>
      </c>
      <c r="BJ200" s="4">
        <v>-0.32800000000000001</v>
      </c>
      <c r="BK200" s="4">
        <v>9.9000000000000005E-2</v>
      </c>
      <c r="BL200" s="4"/>
    </row>
    <row r="201" spans="1:64" x14ac:dyDescent="0.3">
      <c r="A201" t="s">
        <v>212</v>
      </c>
      <c r="B201" s="53">
        <f t="shared" si="16"/>
        <v>0</v>
      </c>
      <c r="C201" s="53">
        <f t="shared" si="17"/>
        <v>0</v>
      </c>
      <c r="D201" s="53">
        <f t="shared" si="18"/>
        <v>0</v>
      </c>
      <c r="E201" s="53">
        <f t="shared" si="19"/>
        <v>0</v>
      </c>
      <c r="F201" s="15">
        <v>0.50700000000000001</v>
      </c>
      <c r="G201">
        <v>0.38700000000000001</v>
      </c>
      <c r="H201" t="s">
        <v>57</v>
      </c>
      <c r="I201" t="str">
        <f>VLOOKUP(A201,Setores!$A$2:$C$215,2,0)</f>
        <v>homebuilders</v>
      </c>
      <c r="J201" t="str">
        <f>VLOOKUP(A201,Setores!$A$2:$C$215,3,0)</f>
        <v>low_beta</v>
      </c>
      <c r="K201" s="100">
        <v>0</v>
      </c>
      <c r="L201" s="58">
        <v>0</v>
      </c>
      <c r="M201" s="7">
        <v>0</v>
      </c>
      <c r="N201" s="41">
        <f>VLOOKUP(A201,'Mandato ISEE'!$A$1:$C$215,2,0)</f>
        <v>0</v>
      </c>
      <c r="O201" s="58">
        <f t="shared" si="20"/>
        <v>0</v>
      </c>
      <c r="P201" s="41">
        <f>VLOOKUP(A201,'Mandato ISEE'!$A$1:$C$215,3,0)</f>
        <v>0</v>
      </c>
      <c r="Q201" s="42">
        <f t="shared" si="21"/>
        <v>0</v>
      </c>
      <c r="R201" s="42">
        <v>-0.97499999999999998</v>
      </c>
      <c r="S201" s="15">
        <v>-1</v>
      </c>
      <c r="T201" s="15">
        <v>-0.94199999999999995</v>
      </c>
      <c r="U201" s="15">
        <v>-0.95</v>
      </c>
      <c r="V201" s="15">
        <v>-0.98699999999999999</v>
      </c>
      <c r="W201" s="15">
        <v>-0.93500000000000005</v>
      </c>
      <c r="X201" s="15">
        <v>-0.89600000000000002</v>
      </c>
      <c r="Y201" s="15">
        <v>-0.94499999999999995</v>
      </c>
      <c r="Z201" s="15">
        <v>-0.317</v>
      </c>
      <c r="AA201" s="15">
        <v>-0.314</v>
      </c>
      <c r="AB201" s="15">
        <v>0.214</v>
      </c>
      <c r="AC201" s="15">
        <v>0.27700000000000002</v>
      </c>
      <c r="AD201" s="15">
        <v>-4.1000000000000002E-2</v>
      </c>
      <c r="AE201" s="15">
        <v>-0.83899999999999997</v>
      </c>
      <c r="AF201" s="14">
        <v>-0.67200000000000004</v>
      </c>
      <c r="AG201" s="15">
        <v>-1</v>
      </c>
      <c r="AH201" s="15">
        <v>-0.38800000000000001</v>
      </c>
      <c r="AI201" s="15">
        <v>-0.57599999999999996</v>
      </c>
      <c r="AJ201" s="15">
        <v>-0.432</v>
      </c>
      <c r="AK201" s="16">
        <v>-0.113</v>
      </c>
      <c r="AL201" s="4">
        <v>-0.32600000000000001</v>
      </c>
      <c r="AM201" s="4">
        <v>-0.65400000000000003</v>
      </c>
      <c r="AN201" s="4">
        <v>-0.25800000000000001</v>
      </c>
      <c r="AO201" s="4">
        <v>-0.76400000000000001</v>
      </c>
      <c r="AP201" s="4">
        <v>-0.72099999999999997</v>
      </c>
      <c r="AQ201" s="4">
        <v>-4.4999999999999998E-2</v>
      </c>
      <c r="AR201" s="4">
        <v>-0.375</v>
      </c>
      <c r="AS201" s="4">
        <v>-0.74399999999999999</v>
      </c>
      <c r="AT201" s="4">
        <v>0.42299999999999999</v>
      </c>
      <c r="AU201" s="4">
        <v>-0.374</v>
      </c>
      <c r="AV201" s="4">
        <v>-0.64</v>
      </c>
      <c r="AW201" s="4">
        <v>-0.19600000000000001</v>
      </c>
      <c r="AX201" s="4">
        <v>0.40100000000000002</v>
      </c>
      <c r="AY201" s="4">
        <v>0.68100000000000005</v>
      </c>
      <c r="AZ201" s="4">
        <v>0.38</v>
      </c>
      <c r="BA201" s="4">
        <v>-0.497</v>
      </c>
      <c r="BB201" s="4">
        <v>-0.56799999999999995</v>
      </c>
      <c r="BC201" s="4">
        <v>-0.3</v>
      </c>
      <c r="BD201" s="4">
        <v>-0.23799999999999999</v>
      </c>
      <c r="BE201" s="4">
        <v>0.76400000000000001</v>
      </c>
      <c r="BF201" s="4">
        <v>0.60799999999999998</v>
      </c>
      <c r="BG201" s="4">
        <v>-8.4000000000000005E-2</v>
      </c>
      <c r="BH201" s="4">
        <v>-0.61399999999999999</v>
      </c>
      <c r="BI201" s="4">
        <v>0.29099999999999998</v>
      </c>
      <c r="BJ201" s="4">
        <v>-0.41899999999999998</v>
      </c>
      <c r="BK201" s="4">
        <v>0.23499999999999999</v>
      </c>
      <c r="BL201" s="4"/>
    </row>
    <row r="202" spans="1:64" x14ac:dyDescent="0.3">
      <c r="A202" t="s">
        <v>181</v>
      </c>
      <c r="B202" s="53">
        <f t="shared" ref="B202:B219" si="22">K202</f>
        <v>0</v>
      </c>
      <c r="C202" s="53">
        <f t="shared" ref="C202:C219" si="23">B202-E202</f>
        <v>0</v>
      </c>
      <c r="D202" s="53">
        <f t="shared" ref="D202:D219" si="24">B202-K202</f>
        <v>0</v>
      </c>
      <c r="E202" s="53">
        <f t="shared" ref="E202:E219" si="25">M202</f>
        <v>0</v>
      </c>
      <c r="F202" s="15">
        <v>0.50600000000000001</v>
      </c>
      <c r="G202">
        <v>0.39700000000000002</v>
      </c>
      <c r="H202" t="s">
        <v>68</v>
      </c>
      <c r="I202" t="str">
        <f>VLOOKUP(A202,Setores!$A$2:$C$215,2,0)</f>
        <v>capital_goods</v>
      </c>
      <c r="J202" t="str">
        <f>VLOOKUP(A202,Setores!$A$2:$C$215,3,0)</f>
        <v>very_high_beta</v>
      </c>
      <c r="K202" s="100">
        <v>0</v>
      </c>
      <c r="L202" s="58">
        <v>0</v>
      </c>
      <c r="M202" s="7">
        <v>0</v>
      </c>
      <c r="N202" s="41">
        <f>VLOOKUP(A202,'Mandato ISEE'!$A$1:$C$215,2,0)</f>
        <v>0</v>
      </c>
      <c r="O202" s="58">
        <f t="shared" ref="O202:O219" si="26">K202-N202</f>
        <v>0</v>
      </c>
      <c r="P202" s="41">
        <f>VLOOKUP(A202,'Mandato ISEE'!$A$1:$C$215,3,0)</f>
        <v>0</v>
      </c>
      <c r="Q202" s="42">
        <f t="shared" ref="Q202:Q219" si="27">K202-P202</f>
        <v>0</v>
      </c>
      <c r="R202" s="42">
        <v>-0.89200000000000002</v>
      </c>
      <c r="S202" s="15">
        <v>-0.999</v>
      </c>
      <c r="T202" s="15">
        <v>-0.97899999999999998</v>
      </c>
      <c r="U202" s="15">
        <v>-0.86599999999999999</v>
      </c>
      <c r="V202" s="15">
        <v>-0.98799999999999999</v>
      </c>
      <c r="W202" s="15">
        <v>-0.86199999999999999</v>
      </c>
      <c r="X202" s="15">
        <v>-0.83399999999999996</v>
      </c>
      <c r="Y202" s="15">
        <v>-0.92300000000000004</v>
      </c>
      <c r="Z202" s="15">
        <v>-0.35299999999999998</v>
      </c>
      <c r="AA202" s="15">
        <v>-0.35299999999999998</v>
      </c>
      <c r="AB202" s="15">
        <v>0.28499999999999998</v>
      </c>
      <c r="AC202" s="15">
        <v>0.254</v>
      </c>
      <c r="AD202" s="15">
        <v>-0.25900000000000001</v>
      </c>
      <c r="AE202" s="15">
        <v>-0.57199999999999995</v>
      </c>
      <c r="AF202" s="14">
        <v>-0.64700000000000002</v>
      </c>
      <c r="AG202" s="15">
        <v>-0.98399999999999999</v>
      </c>
      <c r="AH202" s="15">
        <v>-1</v>
      </c>
      <c r="AI202" s="15">
        <v>-1</v>
      </c>
      <c r="AJ202" s="15">
        <v>-0.72899999999999998</v>
      </c>
      <c r="AK202" s="16">
        <v>-0.34599999999999997</v>
      </c>
      <c r="AL202" s="4">
        <v>-0.94</v>
      </c>
      <c r="AM202" s="4">
        <v>-0.82199999999999995</v>
      </c>
      <c r="AN202" s="4">
        <v>0.32600000000000001</v>
      </c>
      <c r="AO202" s="4">
        <v>-0.27300000000000002</v>
      </c>
      <c r="AP202" s="4">
        <v>-0.314</v>
      </c>
      <c r="AQ202" s="4">
        <v>0.45500000000000002</v>
      </c>
      <c r="AR202" s="4">
        <v>-0.27700000000000002</v>
      </c>
      <c r="AS202" s="4">
        <v>-0.40799999999999997</v>
      </c>
      <c r="AT202" s="4">
        <v>-6.6000000000000003E-2</v>
      </c>
      <c r="AU202" s="4">
        <v>-0.64900000000000002</v>
      </c>
      <c r="AV202" s="4">
        <v>0.221</v>
      </c>
      <c r="AW202" s="4">
        <v>0.36199999999999999</v>
      </c>
      <c r="AX202" s="4">
        <v>9.4E-2</v>
      </c>
      <c r="AY202" s="4">
        <v>0.26</v>
      </c>
      <c r="AZ202" s="4">
        <v>0.63</v>
      </c>
      <c r="BA202" s="4">
        <v>0.28799999999999998</v>
      </c>
      <c r="BB202" s="4">
        <v>8.4000000000000005E-2</v>
      </c>
      <c r="BC202" s="4">
        <v>0.253</v>
      </c>
      <c r="BD202" s="4">
        <v>0.34599999999999997</v>
      </c>
      <c r="BE202" s="4">
        <v>0.24</v>
      </c>
      <c r="BF202" s="4">
        <v>0.92300000000000004</v>
      </c>
      <c r="BG202" s="4">
        <v>-0.1</v>
      </c>
      <c r="BH202" s="4">
        <v>-1</v>
      </c>
      <c r="BI202" s="4">
        <v>0.79800000000000004</v>
      </c>
      <c r="BJ202" s="4">
        <v>-0.42399999999999999</v>
      </c>
      <c r="BK202" s="4">
        <v>-0.80200000000000005</v>
      </c>
      <c r="BL202" s="4"/>
    </row>
    <row r="203" spans="1:64" x14ac:dyDescent="0.3">
      <c r="A203" t="s">
        <v>213</v>
      </c>
      <c r="B203" s="53">
        <f t="shared" si="22"/>
        <v>0</v>
      </c>
      <c r="C203" s="53">
        <f t="shared" si="23"/>
        <v>0</v>
      </c>
      <c r="D203" s="53">
        <f t="shared" si="24"/>
        <v>0</v>
      </c>
      <c r="E203" s="53">
        <f t="shared" si="25"/>
        <v>0</v>
      </c>
      <c r="F203" s="15">
        <v>0.505</v>
      </c>
      <c r="G203">
        <v>0.46700000000000003</v>
      </c>
      <c r="H203" t="s">
        <v>57</v>
      </c>
      <c r="I203" t="str">
        <f>VLOOKUP(A203,Setores!$A$2:$C$215,2,0)</f>
        <v>tech</v>
      </c>
      <c r="J203" t="str">
        <f>VLOOKUP(A203,Setores!$A$2:$C$215,3,0)</f>
        <v>neutral_beta</v>
      </c>
      <c r="K203" s="100">
        <v>0</v>
      </c>
      <c r="L203" s="58">
        <v>0</v>
      </c>
      <c r="M203" s="7">
        <v>0</v>
      </c>
      <c r="N203" s="41">
        <f>VLOOKUP(A203,'Mandato ISEE'!$A$1:$C$215,2,0)</f>
        <v>0</v>
      </c>
      <c r="O203" s="58">
        <f t="shared" si="26"/>
        <v>0</v>
      </c>
      <c r="P203" s="41">
        <f>VLOOKUP(A203,'Mandato ISEE'!$A$1:$C$215,3,0)</f>
        <v>0</v>
      </c>
      <c r="Q203" s="42">
        <f t="shared" si="27"/>
        <v>0</v>
      </c>
      <c r="R203" s="42">
        <v>-0.95099999999999996</v>
      </c>
      <c r="S203" s="15">
        <v>-1</v>
      </c>
      <c r="T203" s="15">
        <v>-0.98499999999999999</v>
      </c>
      <c r="U203" s="15">
        <v>-0.88600000000000001</v>
      </c>
      <c r="V203" s="15">
        <v>-0.98199999999999998</v>
      </c>
      <c r="W203" s="15">
        <v>-0.90500000000000003</v>
      </c>
      <c r="X203" s="15">
        <v>-0.82399999999999995</v>
      </c>
      <c r="Y203" s="15">
        <v>-0.95099999999999996</v>
      </c>
      <c r="Z203" s="15">
        <v>-0.375</v>
      </c>
      <c r="AA203" s="15">
        <v>-0.372</v>
      </c>
      <c r="AB203" s="15">
        <v>0.34899999999999998</v>
      </c>
      <c r="AC203" s="15">
        <v>0.36499999999999999</v>
      </c>
      <c r="AD203" s="15">
        <v>-0.22800000000000001</v>
      </c>
      <c r="AE203" s="15">
        <v>-0.60899999999999999</v>
      </c>
      <c r="AF203" s="14">
        <v>-0.57799999999999996</v>
      </c>
      <c r="AG203" s="15">
        <v>-1</v>
      </c>
      <c r="AH203" s="15">
        <v>-0.94799999999999995</v>
      </c>
      <c r="AI203" s="15">
        <v>-1</v>
      </c>
      <c r="AJ203" s="15">
        <v>-0.437</v>
      </c>
      <c r="AK203" s="16">
        <v>-0.60399999999999998</v>
      </c>
      <c r="AL203" s="4">
        <v>-0.749</v>
      </c>
      <c r="AM203" s="4">
        <v>-0.92300000000000004</v>
      </c>
      <c r="AN203" s="4">
        <v>0.53500000000000003</v>
      </c>
      <c r="AO203" s="4">
        <v>-0.88500000000000001</v>
      </c>
      <c r="AP203" s="4">
        <v>-0.40600000000000003</v>
      </c>
      <c r="AQ203" s="4">
        <v>0.36899999999999999</v>
      </c>
      <c r="AR203" s="4">
        <v>0.20899999999999999</v>
      </c>
      <c r="AS203" s="4">
        <v>0.154</v>
      </c>
      <c r="AT203" s="4">
        <v>0.25600000000000001</v>
      </c>
      <c r="AU203" s="4">
        <v>0.154</v>
      </c>
      <c r="AV203" s="4">
        <v>0.16800000000000001</v>
      </c>
      <c r="AW203" s="4">
        <v>0.21299999999999999</v>
      </c>
      <c r="AX203" s="4">
        <v>-0.41699999999999998</v>
      </c>
      <c r="AY203" s="4">
        <v>0.876</v>
      </c>
      <c r="AZ203" s="4">
        <v>0.59299999999999997</v>
      </c>
      <c r="BA203" s="4">
        <v>-0.309</v>
      </c>
      <c r="BB203" s="4">
        <v>-0.85299999999999998</v>
      </c>
      <c r="BC203" s="4">
        <v>-1</v>
      </c>
      <c r="BD203" s="4">
        <v>-0.497</v>
      </c>
      <c r="BE203" s="4">
        <v>-0.26200000000000001</v>
      </c>
      <c r="BF203" s="4">
        <v>-1</v>
      </c>
      <c r="BG203" s="4">
        <v>-0.371</v>
      </c>
      <c r="BH203" s="4">
        <v>-0.20899999999999999</v>
      </c>
      <c r="BI203" s="4">
        <v>-0.11600000000000001</v>
      </c>
      <c r="BJ203" s="4">
        <v>-0.311</v>
      </c>
      <c r="BK203" s="4">
        <v>-0.621</v>
      </c>
      <c r="BL203" s="4"/>
    </row>
    <row r="204" spans="1:64" x14ac:dyDescent="0.3">
      <c r="A204" t="s">
        <v>249</v>
      </c>
      <c r="B204" s="53">
        <f t="shared" si="22"/>
        <v>0</v>
      </c>
      <c r="C204" s="53">
        <f t="shared" si="23"/>
        <v>0</v>
      </c>
      <c r="D204" s="53">
        <f t="shared" si="24"/>
        <v>0</v>
      </c>
      <c r="E204" s="53">
        <f t="shared" si="25"/>
        <v>0</v>
      </c>
      <c r="F204" s="15">
        <v>0.501</v>
      </c>
      <c r="G204">
        <v>0.35099999999999998</v>
      </c>
      <c r="H204" t="s">
        <v>71</v>
      </c>
      <c r="I204" t="str">
        <f>VLOOKUP(A204,Setores!$A$2:$C$215,2,0)</f>
        <v>basic_materials</v>
      </c>
      <c r="J204" t="str">
        <f>VLOOKUP(A204,Setores!$A$2:$C$215,3,0)</f>
        <v>very_high_beta</v>
      </c>
      <c r="K204" s="100">
        <v>0</v>
      </c>
      <c r="L204" s="58">
        <v>0</v>
      </c>
      <c r="M204" s="7">
        <v>0</v>
      </c>
      <c r="N204" s="41">
        <f>VLOOKUP(A204,'Mandato ISEE'!$A$1:$C$215,2,0)</f>
        <v>0</v>
      </c>
      <c r="O204" s="58">
        <f t="shared" si="26"/>
        <v>0</v>
      </c>
      <c r="P204" s="41">
        <f>VLOOKUP(A204,'Mandato ISEE'!$A$1:$C$215,3,0)</f>
        <v>0</v>
      </c>
      <c r="Q204" s="42">
        <f t="shared" si="27"/>
        <v>0</v>
      </c>
      <c r="R204" s="42">
        <v>-0.85399999999999998</v>
      </c>
      <c r="S204" s="15">
        <v>-0.56799999999999995</v>
      </c>
      <c r="T204" s="15">
        <v>-0.79800000000000004</v>
      </c>
      <c r="U204" s="15">
        <v>-0.91900000000000004</v>
      </c>
      <c r="V204" s="15">
        <v>-0.83099999999999996</v>
      </c>
      <c r="W204" s="15">
        <v>-0.93899999999999995</v>
      </c>
      <c r="X204" s="15">
        <v>-0.97199999999999998</v>
      </c>
      <c r="Y204" s="15">
        <v>-0.84099999999999997</v>
      </c>
      <c r="Z204" s="15">
        <v>-0.39</v>
      </c>
      <c r="AA204" s="15">
        <v>-0.40100000000000002</v>
      </c>
      <c r="AB204" s="15">
        <v>-1</v>
      </c>
      <c r="AC204" s="15">
        <v>-1</v>
      </c>
      <c r="AD204" s="15">
        <v>-5.6000000000000001E-2</v>
      </c>
      <c r="AE204" s="15">
        <v>-1</v>
      </c>
      <c r="AF204" s="14">
        <v>-1</v>
      </c>
      <c r="AG204" s="15">
        <v>-0.34399999999999997</v>
      </c>
      <c r="AH204" s="15">
        <v>-0.63900000000000001</v>
      </c>
      <c r="AI204" s="15">
        <v>1</v>
      </c>
      <c r="AJ204" s="15">
        <v>-0.66100000000000003</v>
      </c>
      <c r="AK204" s="16">
        <v>-0.55300000000000005</v>
      </c>
      <c r="AL204" s="4">
        <v>-1</v>
      </c>
      <c r="AM204" s="4">
        <v>-0.41299999999999998</v>
      </c>
      <c r="AN204" s="4">
        <v>-0.40500000000000003</v>
      </c>
      <c r="AO204" s="4">
        <v>0.79800000000000004</v>
      </c>
      <c r="AP204" s="4">
        <v>0.91600000000000004</v>
      </c>
      <c r="AQ204" s="4">
        <v>-0.66800000000000004</v>
      </c>
      <c r="AR204" s="4">
        <v>-1</v>
      </c>
      <c r="AS204" s="4">
        <v>-2.5999999999999999E-2</v>
      </c>
      <c r="AT204" s="4">
        <v>-0.67700000000000005</v>
      </c>
      <c r="AU204" s="4">
        <v>-0.02</v>
      </c>
      <c r="AV204" s="4">
        <v>-0.52400000000000002</v>
      </c>
      <c r="AW204" s="4">
        <v>-0.77800000000000002</v>
      </c>
      <c r="AX204" s="4">
        <v>-9.9000000000000005E-2</v>
      </c>
      <c r="AY204" s="4">
        <v>-0.56200000000000006</v>
      </c>
      <c r="AZ204" s="4">
        <v>-0.88600000000000001</v>
      </c>
      <c r="BA204" s="4">
        <v>0.875</v>
      </c>
      <c r="BB204" s="4">
        <v>0.49199999999999999</v>
      </c>
      <c r="BC204" s="4">
        <v>0.17699999999999999</v>
      </c>
      <c r="BD204" s="4">
        <v>0.73799999999999999</v>
      </c>
      <c r="BE204" s="4">
        <v>-0.63</v>
      </c>
      <c r="BF204" s="4">
        <v>-0.10299999999999999</v>
      </c>
      <c r="BG204" s="4">
        <v>-1</v>
      </c>
      <c r="BH204" s="4">
        <v>0.155</v>
      </c>
      <c r="BI204" s="4">
        <v>0.36099999999999999</v>
      </c>
      <c r="BJ204" s="4">
        <v>0.83599999999999997</v>
      </c>
      <c r="BK204" s="4">
        <v>0.72599999999999998</v>
      </c>
      <c r="BL204" s="4"/>
    </row>
    <row r="205" spans="1:64" x14ac:dyDescent="0.3">
      <c r="A205" t="s">
        <v>245</v>
      </c>
      <c r="B205" s="53">
        <f t="shared" si="22"/>
        <v>0</v>
      </c>
      <c r="C205" s="53">
        <f t="shared" si="23"/>
        <v>-3.0000000000000001E-3</v>
      </c>
      <c r="D205" s="53">
        <f t="shared" si="24"/>
        <v>0</v>
      </c>
      <c r="E205" s="53">
        <f t="shared" si="25"/>
        <v>3.0000000000000001E-3</v>
      </c>
      <c r="F205" s="15">
        <v>0.5</v>
      </c>
      <c r="G205">
        <v>0.376</v>
      </c>
      <c r="H205" t="s">
        <v>57</v>
      </c>
      <c r="I205" t="str">
        <f>VLOOKUP(A205,Setores!$A$2:$C$215,2,0)</f>
        <v>consumer_services</v>
      </c>
      <c r="J205" t="str">
        <f>VLOOKUP(A205,Setores!$A$2:$C$215,3,0)</f>
        <v>very_high_beta</v>
      </c>
      <c r="K205" s="100">
        <v>0</v>
      </c>
      <c r="L205" s="58">
        <v>-3.0000000000000001E-3</v>
      </c>
      <c r="M205" s="7">
        <v>3.0000000000000001E-3</v>
      </c>
      <c r="N205" s="41">
        <f>VLOOKUP(A205,'Mandato ISEE'!$A$1:$C$215,2,0)</f>
        <v>0</v>
      </c>
      <c r="O205" s="58">
        <f t="shared" si="26"/>
        <v>0</v>
      </c>
      <c r="P205" s="41">
        <f>VLOOKUP(A205,'Mandato ISEE'!$A$1:$C$215,3,0)</f>
        <v>0</v>
      </c>
      <c r="Q205" s="42">
        <f t="shared" si="27"/>
        <v>0</v>
      </c>
      <c r="R205" s="42">
        <v>-0.97</v>
      </c>
      <c r="S205" s="15">
        <v>-0.91900000000000004</v>
      </c>
      <c r="T205" s="15">
        <v>-0.90900000000000003</v>
      </c>
      <c r="U205" s="15">
        <v>-0.94499999999999995</v>
      </c>
      <c r="V205" s="15">
        <v>-0.92200000000000004</v>
      </c>
      <c r="W205" s="15">
        <v>-0.98099999999999998</v>
      </c>
      <c r="X205" s="15">
        <v>-0.98099999999999998</v>
      </c>
      <c r="Y205" s="15">
        <v>-0.94799999999999995</v>
      </c>
      <c r="Z205" s="15">
        <v>-0.14199999999999999</v>
      </c>
      <c r="AA205" s="15">
        <v>-0.14799999999999999</v>
      </c>
      <c r="AB205" s="15">
        <v>-0.33200000000000002</v>
      </c>
      <c r="AC205" s="15">
        <v>-0.30599999999999999</v>
      </c>
      <c r="AD205" s="15">
        <v>-0.14399999999999999</v>
      </c>
      <c r="AE205" s="15">
        <v>-0.38100000000000001</v>
      </c>
      <c r="AF205" s="14">
        <v>-0.71</v>
      </c>
      <c r="AG205" s="15">
        <v>-0.59399999999999997</v>
      </c>
      <c r="AH205" s="15">
        <v>-0.38700000000000001</v>
      </c>
      <c r="AI205" s="15">
        <v>-0.55400000000000005</v>
      </c>
      <c r="AJ205" s="15">
        <v>-0.84199999999999997</v>
      </c>
      <c r="AK205" s="16">
        <v>0.114</v>
      </c>
      <c r="AL205" s="4">
        <v>-0.90400000000000003</v>
      </c>
      <c r="AM205" s="4">
        <v>0.38100000000000001</v>
      </c>
      <c r="AN205" s="4">
        <v>-6.9000000000000006E-2</v>
      </c>
      <c r="AO205" s="4">
        <v>-0.33100000000000002</v>
      </c>
      <c r="AP205" s="4">
        <v>-0.56000000000000005</v>
      </c>
      <c r="AQ205" s="4">
        <v>-0.54400000000000004</v>
      </c>
      <c r="AR205" s="4">
        <v>-1</v>
      </c>
      <c r="AS205" s="4">
        <v>-0.78900000000000003</v>
      </c>
      <c r="AT205" s="4">
        <v>-0.121</v>
      </c>
      <c r="AU205" s="4">
        <v>-0.379</v>
      </c>
      <c r="AV205" s="4">
        <v>-0.26200000000000001</v>
      </c>
      <c r="AW205" s="4">
        <v>-0.81899999999999995</v>
      </c>
      <c r="AX205" s="4">
        <v>-0.48099999999999998</v>
      </c>
      <c r="AY205" s="4">
        <v>0.46200000000000002</v>
      </c>
      <c r="AZ205" s="4">
        <v>0.48599999999999999</v>
      </c>
      <c r="BA205" s="4">
        <v>-0.73</v>
      </c>
      <c r="BB205" s="4">
        <v>-1E-3</v>
      </c>
      <c r="BC205" s="4">
        <v>-0.41099999999999998</v>
      </c>
      <c r="BD205" s="4">
        <v>0.249</v>
      </c>
      <c r="BE205" s="4">
        <v>0.30199999999999999</v>
      </c>
      <c r="BF205" s="4">
        <v>-0.96</v>
      </c>
      <c r="BG205" s="4">
        <v>-0.54800000000000004</v>
      </c>
      <c r="BH205" s="4">
        <v>0.17399999999999999</v>
      </c>
      <c r="BI205" s="4">
        <v>0.56499999999999995</v>
      </c>
      <c r="BJ205" s="4">
        <v>-7.1999999999999995E-2</v>
      </c>
      <c r="BK205" s="4">
        <v>0.29099999999999998</v>
      </c>
      <c r="BL205" s="4"/>
    </row>
    <row r="206" spans="1:64" x14ac:dyDescent="0.3">
      <c r="A206" t="s">
        <v>243</v>
      </c>
      <c r="B206" s="53">
        <f t="shared" si="22"/>
        <v>0</v>
      </c>
      <c r="C206" s="53">
        <f t="shared" si="23"/>
        <v>0</v>
      </c>
      <c r="D206" s="53">
        <f t="shared" si="24"/>
        <v>0</v>
      </c>
      <c r="E206" s="53">
        <f t="shared" si="25"/>
        <v>0</v>
      </c>
      <c r="F206" s="15">
        <v>0.499</v>
      </c>
      <c r="G206">
        <v>0.35099999999999998</v>
      </c>
      <c r="H206" t="s">
        <v>53</v>
      </c>
      <c r="I206" t="str">
        <f>VLOOKUP(A206,Setores!$A$2:$C$215,2,0)</f>
        <v>healthcare</v>
      </c>
      <c r="J206" t="str">
        <f>VLOOKUP(A206,Setores!$A$2:$C$215,3,0)</f>
        <v>very_high_beta</v>
      </c>
      <c r="K206" s="100">
        <v>0</v>
      </c>
      <c r="L206" s="58">
        <v>0</v>
      </c>
      <c r="M206" s="7">
        <v>0</v>
      </c>
      <c r="N206" s="41">
        <f>VLOOKUP(A206,'Mandato ISEE'!$A$1:$C$215,2,0)</f>
        <v>0</v>
      </c>
      <c r="O206" s="58">
        <f t="shared" si="26"/>
        <v>0</v>
      </c>
      <c r="P206" s="41">
        <f>VLOOKUP(A206,'Mandato ISEE'!$A$1:$C$215,3,0)</f>
        <v>0</v>
      </c>
      <c r="Q206" s="42">
        <f t="shared" si="27"/>
        <v>0</v>
      </c>
      <c r="R206" s="42">
        <v>-0.71299999999999997</v>
      </c>
      <c r="S206" s="15">
        <v>-0.251</v>
      </c>
      <c r="T206" s="15">
        <v>-0.73299999999999998</v>
      </c>
      <c r="U206" s="15">
        <v>-0.78300000000000003</v>
      </c>
      <c r="V206" s="15">
        <v>-0.65800000000000003</v>
      </c>
      <c r="W206" s="15">
        <v>-0.89900000000000002</v>
      </c>
      <c r="X206" s="15">
        <v>-0.94499999999999995</v>
      </c>
      <c r="Y206" s="15">
        <v>-0.92200000000000004</v>
      </c>
      <c r="Z206" s="15">
        <v>-0.57999999999999996</v>
      </c>
      <c r="AA206" s="15">
        <v>-0.57999999999999996</v>
      </c>
      <c r="AB206" s="15">
        <v>-0.28699999999999998</v>
      </c>
      <c r="AC206" s="15">
        <v>-0.54600000000000004</v>
      </c>
      <c r="AD206" s="15">
        <v>-0.52600000000000002</v>
      </c>
      <c r="AE206" s="15">
        <v>-0.41299999999999998</v>
      </c>
      <c r="AF206" s="14">
        <v>0.22</v>
      </c>
      <c r="AG206" s="15">
        <v>0.123</v>
      </c>
      <c r="AH206" s="15">
        <v>-0.214</v>
      </c>
      <c r="AI206" s="15">
        <v>-0.35599999999999998</v>
      </c>
      <c r="AJ206" s="15">
        <v>-0.80900000000000005</v>
      </c>
      <c r="AK206" s="16">
        <v>0.45300000000000001</v>
      </c>
      <c r="AL206" s="4">
        <v>-1</v>
      </c>
      <c r="AM206" s="4">
        <v>0.85699999999999998</v>
      </c>
      <c r="AN206" s="4">
        <v>-0.29199999999999998</v>
      </c>
      <c r="AO206" s="4">
        <v>-0.76500000000000001</v>
      </c>
      <c r="AP206" s="4">
        <v>0.93600000000000005</v>
      </c>
      <c r="AQ206" s="4">
        <v>8.0000000000000002E-3</v>
      </c>
      <c r="AR206" s="4">
        <v>-0.36299999999999999</v>
      </c>
      <c r="AS206" s="4">
        <v>-1.4E-2</v>
      </c>
      <c r="AT206" s="4">
        <v>-0.26</v>
      </c>
      <c r="AU206" s="4">
        <v>-0.33</v>
      </c>
      <c r="AV206" s="4">
        <v>-0.41299999999999998</v>
      </c>
      <c r="AW206" s="4">
        <v>-0.81200000000000006</v>
      </c>
      <c r="AX206" s="4">
        <v>-0.36299999999999999</v>
      </c>
      <c r="AY206" s="4">
        <v>0.40799999999999997</v>
      </c>
      <c r="AZ206" s="4">
        <v>0.52800000000000002</v>
      </c>
      <c r="BA206" s="4">
        <v>0.17</v>
      </c>
      <c r="BB206" s="4">
        <v>0.26100000000000001</v>
      </c>
      <c r="BC206" s="4">
        <v>-5.1999999999999998E-2</v>
      </c>
      <c r="BD206" s="4">
        <v>9.2999999999999999E-2</v>
      </c>
      <c r="BE206" s="4">
        <v>-0.627</v>
      </c>
      <c r="BF206" s="4">
        <v>0.10199999999999999</v>
      </c>
      <c r="BG206" s="4">
        <v>-0.90900000000000003</v>
      </c>
      <c r="BH206" s="4">
        <v>1</v>
      </c>
      <c r="BI206" s="4">
        <v>0.28499999999999998</v>
      </c>
      <c r="BJ206" s="4">
        <v>-0.85399999999999998</v>
      </c>
      <c r="BK206" s="4">
        <v>-2.5999999999999999E-2</v>
      </c>
      <c r="BL206" s="4"/>
    </row>
    <row r="207" spans="1:64" x14ac:dyDescent="0.3">
      <c r="A207" t="s">
        <v>258</v>
      </c>
      <c r="B207" s="53">
        <f t="shared" si="22"/>
        <v>0</v>
      </c>
      <c r="C207" s="53">
        <f t="shared" si="23"/>
        <v>-1E-3</v>
      </c>
      <c r="D207" s="53">
        <f t="shared" si="24"/>
        <v>0</v>
      </c>
      <c r="E207" s="53">
        <f t="shared" si="25"/>
        <v>1E-3</v>
      </c>
      <c r="F207" s="15">
        <v>0.497</v>
      </c>
      <c r="G207">
        <v>0.36299999999999999</v>
      </c>
      <c r="H207" t="s">
        <v>57</v>
      </c>
      <c r="I207" t="str">
        <f>VLOOKUP(A207,Setores!$A$2:$C$215,2,0)</f>
        <v>consumer_durables</v>
      </c>
      <c r="J207" t="str">
        <f>VLOOKUP(A207,Setores!$A$2:$C$215,3,0)</f>
        <v>very_high_beta</v>
      </c>
      <c r="K207" s="100">
        <v>0</v>
      </c>
      <c r="L207" s="58">
        <v>-1E-3</v>
      </c>
      <c r="M207" s="7">
        <v>1E-3</v>
      </c>
      <c r="N207" s="41">
        <f>VLOOKUP(A207,'Mandato ISEE'!$A$1:$C$215,2,0)</f>
        <v>0</v>
      </c>
      <c r="O207" s="58">
        <f t="shared" si="26"/>
        <v>0</v>
      </c>
      <c r="P207" s="41">
        <f>VLOOKUP(A207,'Mandato ISEE'!$A$1:$C$215,3,0)</f>
        <v>0</v>
      </c>
      <c r="Q207" s="42">
        <f t="shared" si="27"/>
        <v>0</v>
      </c>
      <c r="R207" s="42">
        <v>-0.76600000000000001</v>
      </c>
      <c r="S207" s="15">
        <v>-0.60099999999999998</v>
      </c>
      <c r="T207" s="15">
        <v>-0.38200000000000001</v>
      </c>
      <c r="U207" s="15">
        <v>-0.90200000000000002</v>
      </c>
      <c r="V207" s="15">
        <v>-0.76300000000000001</v>
      </c>
      <c r="W207" s="15">
        <v>-0.92400000000000004</v>
      </c>
      <c r="X207" s="15">
        <v>-0.94399999999999995</v>
      </c>
      <c r="Y207" s="15">
        <v>-0.94599999999999995</v>
      </c>
      <c r="Z207" s="15">
        <v>-0.68700000000000006</v>
      </c>
      <c r="AA207" s="15">
        <v>-0.68500000000000005</v>
      </c>
      <c r="AB207" s="15">
        <v>-0.20200000000000001</v>
      </c>
      <c r="AC207" s="15">
        <v>-0.97399999999999998</v>
      </c>
      <c r="AD207" s="15">
        <v>-0.32</v>
      </c>
      <c r="AE207" s="15">
        <v>-0.76800000000000002</v>
      </c>
      <c r="AF207" s="14">
        <v>-0.41399999999999998</v>
      </c>
      <c r="AG207" s="15">
        <v>-0.45900000000000002</v>
      </c>
      <c r="AH207" s="15">
        <v>1</v>
      </c>
      <c r="AI207" s="15">
        <v>3.5000000000000003E-2</v>
      </c>
      <c r="AJ207" s="15">
        <v>-0.49</v>
      </c>
      <c r="AK207" s="16">
        <v>0.498</v>
      </c>
      <c r="AL207" s="4">
        <v>-0.68799999999999994</v>
      </c>
      <c r="AM207" s="4">
        <v>-2.7E-2</v>
      </c>
      <c r="AN207" s="4">
        <v>-0.308</v>
      </c>
      <c r="AO207" s="4">
        <v>-0.66</v>
      </c>
      <c r="AP207" s="4">
        <v>-0.35699999999999998</v>
      </c>
      <c r="AQ207" s="4">
        <v>-0.43</v>
      </c>
      <c r="AR207" s="4">
        <v>-0.30299999999999999</v>
      </c>
      <c r="AS207" s="4">
        <v>-0.23200000000000001</v>
      </c>
      <c r="AT207" s="4">
        <v>-0.28699999999999998</v>
      </c>
      <c r="AU207" s="4">
        <v>-0.35799999999999998</v>
      </c>
      <c r="AV207" s="4">
        <v>-0.71199999999999997</v>
      </c>
      <c r="AW207" s="4">
        <v>-0.78500000000000003</v>
      </c>
      <c r="AX207" s="4">
        <v>0.39300000000000002</v>
      </c>
      <c r="AY207" s="4">
        <v>-6.4000000000000001E-2</v>
      </c>
      <c r="AZ207" s="4">
        <v>-0.27400000000000002</v>
      </c>
      <c r="BA207" s="4">
        <v>-0.34</v>
      </c>
      <c r="BB207" s="4">
        <v>0.624</v>
      </c>
      <c r="BC207" s="4">
        <v>1</v>
      </c>
      <c r="BD207" s="4">
        <v>-8.9999999999999993E-3</v>
      </c>
      <c r="BE207" s="4">
        <v>1</v>
      </c>
      <c r="BF207" s="4">
        <v>1</v>
      </c>
      <c r="BG207" s="4">
        <v>-0.42399999999999999</v>
      </c>
      <c r="BH207" s="4">
        <v>0.747</v>
      </c>
      <c r="BI207" s="4">
        <v>0.623</v>
      </c>
      <c r="BJ207" s="4">
        <v>-0.21</v>
      </c>
      <c r="BK207" s="4">
        <v>1</v>
      </c>
      <c r="BL207" s="4"/>
    </row>
    <row r="208" spans="1:64" x14ac:dyDescent="0.3">
      <c r="A208" t="s">
        <v>260</v>
      </c>
      <c r="B208" s="53">
        <f t="shared" si="22"/>
        <v>0</v>
      </c>
      <c r="C208" s="53">
        <f t="shared" si="23"/>
        <v>0</v>
      </c>
      <c r="D208" s="53">
        <f t="shared" si="24"/>
        <v>0</v>
      </c>
      <c r="E208" s="53">
        <f t="shared" si="25"/>
        <v>0</v>
      </c>
      <c r="F208" s="15">
        <v>0.49199999999999999</v>
      </c>
      <c r="G208">
        <v>0.34499999999999997</v>
      </c>
      <c r="H208" t="s">
        <v>57</v>
      </c>
      <c r="I208" t="str">
        <f>VLOOKUP(A208,Setores!$A$2:$C$215,2,0)</f>
        <v>consumer_services</v>
      </c>
      <c r="J208" t="str">
        <f>VLOOKUP(A208,Setores!$A$2:$C$215,3,0)</f>
        <v>high_beta</v>
      </c>
      <c r="K208" s="100">
        <v>0</v>
      </c>
      <c r="L208" s="58">
        <v>0</v>
      </c>
      <c r="M208" s="7">
        <v>0</v>
      </c>
      <c r="N208" s="41">
        <f>VLOOKUP(A208,'Mandato ISEE'!$A$1:$C$215,2,0)</f>
        <v>0</v>
      </c>
      <c r="O208" s="58">
        <f t="shared" si="26"/>
        <v>0</v>
      </c>
      <c r="P208" s="41">
        <f>VLOOKUP(A208,'Mandato ISEE'!$A$1:$C$215,3,0)</f>
        <v>0</v>
      </c>
      <c r="Q208" s="42">
        <f t="shared" si="27"/>
        <v>0</v>
      </c>
      <c r="R208" s="42">
        <v>-0.96699999999999997</v>
      </c>
      <c r="S208" s="15">
        <v>-0.93799999999999994</v>
      </c>
      <c r="T208" s="15">
        <v>-0.89100000000000001</v>
      </c>
      <c r="U208" s="15">
        <v>-0.98199999999999998</v>
      </c>
      <c r="V208" s="15">
        <v>-0.95799999999999996</v>
      </c>
      <c r="W208" s="15">
        <v>-0.97499999999999998</v>
      </c>
      <c r="X208" s="15">
        <v>-0.96699999999999997</v>
      </c>
      <c r="Y208" s="15">
        <v>-0.99</v>
      </c>
      <c r="Z208" s="15">
        <v>-0.77800000000000002</v>
      </c>
      <c r="AA208" s="15">
        <v>-0.77500000000000002</v>
      </c>
      <c r="AB208" s="15">
        <v>-0.36899999999999999</v>
      </c>
      <c r="AC208" s="15">
        <v>-0.33700000000000002</v>
      </c>
      <c r="AD208" s="15">
        <v>-0.115</v>
      </c>
      <c r="AE208" s="15">
        <v>-0.84799999999999998</v>
      </c>
      <c r="AF208" s="14">
        <v>-0.68200000000000005</v>
      </c>
      <c r="AG208" s="15">
        <v>-0.73399999999999999</v>
      </c>
      <c r="AH208" s="15">
        <v>-6.2E-2</v>
      </c>
      <c r="AI208" s="15">
        <v>-0.74299999999999999</v>
      </c>
      <c r="AJ208" s="15">
        <v>-0.86299999999999999</v>
      </c>
      <c r="AK208" s="16">
        <v>0.51</v>
      </c>
      <c r="AL208" s="4">
        <v>-0.57799999999999996</v>
      </c>
      <c r="AM208" s="4">
        <v>-0.307</v>
      </c>
      <c r="AN208" s="4">
        <v>-0.309</v>
      </c>
      <c r="AO208" s="4">
        <v>-0.83</v>
      </c>
      <c r="AP208" s="4">
        <v>-0.26200000000000001</v>
      </c>
      <c r="AQ208" s="4">
        <v>-0.92200000000000004</v>
      </c>
      <c r="AR208" s="4">
        <v>-0.51600000000000001</v>
      </c>
      <c r="AS208" s="4">
        <v>-0.13200000000000001</v>
      </c>
      <c r="AT208" s="4">
        <v>-0.41399999999999998</v>
      </c>
      <c r="AU208" s="4">
        <v>-0.79400000000000004</v>
      </c>
      <c r="AV208" s="4">
        <v>-0.81499999999999995</v>
      </c>
      <c r="AW208" s="4">
        <v>-0.63700000000000001</v>
      </c>
      <c r="AX208" s="4">
        <v>-0.33200000000000002</v>
      </c>
      <c r="AY208" s="4">
        <v>-0.10299999999999999</v>
      </c>
      <c r="AZ208" s="4">
        <v>-0.61899999999999999</v>
      </c>
      <c r="BA208" s="4">
        <v>-9.4E-2</v>
      </c>
      <c r="BB208" s="4">
        <v>0.63</v>
      </c>
      <c r="BC208" s="4">
        <v>0.111</v>
      </c>
      <c r="BD208" s="4">
        <v>-7.1999999999999995E-2</v>
      </c>
      <c r="BE208" s="4">
        <v>0.54500000000000004</v>
      </c>
      <c r="BF208" s="4">
        <v>0.14099999999999999</v>
      </c>
      <c r="BG208" s="4">
        <v>9.4E-2</v>
      </c>
      <c r="BH208" s="4">
        <v>1</v>
      </c>
      <c r="BI208" s="4">
        <v>0.111</v>
      </c>
      <c r="BJ208" s="4">
        <v>0.32700000000000001</v>
      </c>
      <c r="BK208" s="4">
        <v>0.22800000000000001</v>
      </c>
      <c r="BL208" s="4"/>
    </row>
    <row r="209" spans="1:64" x14ac:dyDescent="0.3">
      <c r="A209" t="s">
        <v>242</v>
      </c>
      <c r="B209" s="53">
        <f t="shared" si="22"/>
        <v>0</v>
      </c>
      <c r="C209" s="53">
        <f t="shared" si="23"/>
        <v>0</v>
      </c>
      <c r="D209" s="53">
        <f t="shared" si="24"/>
        <v>0</v>
      </c>
      <c r="E209" s="53">
        <f t="shared" si="25"/>
        <v>0</v>
      </c>
      <c r="F209" s="15">
        <v>0.49199999999999999</v>
      </c>
      <c r="G209">
        <v>0.34499999999999997</v>
      </c>
      <c r="H209" t="s">
        <v>57</v>
      </c>
      <c r="I209" t="str">
        <f>VLOOKUP(A209,Setores!$A$2:$C$215,2,0)</f>
        <v>consumer_durables</v>
      </c>
      <c r="J209" t="str">
        <f>VLOOKUP(A209,Setores!$A$2:$C$215,3,0)</f>
        <v>very_high_beta</v>
      </c>
      <c r="K209" s="100">
        <v>0</v>
      </c>
      <c r="L209" s="58">
        <v>0</v>
      </c>
      <c r="M209" s="7">
        <v>0</v>
      </c>
      <c r="N209" s="41">
        <f>VLOOKUP(A209,'Mandato ISEE'!$A$1:$C$215,2,0)</f>
        <v>0</v>
      </c>
      <c r="O209" s="58">
        <f t="shared" si="26"/>
        <v>0</v>
      </c>
      <c r="P209" s="41">
        <f>VLOOKUP(A209,'Mandato ISEE'!$A$1:$C$215,3,0)</f>
        <v>0</v>
      </c>
      <c r="Q209" s="42">
        <f t="shared" si="27"/>
        <v>0</v>
      </c>
      <c r="R209" s="42">
        <v>-0.80200000000000005</v>
      </c>
      <c r="S209" s="15">
        <v>-0.76600000000000001</v>
      </c>
      <c r="T209" s="15">
        <v>-0.53300000000000003</v>
      </c>
      <c r="U209" s="15">
        <v>-0.88200000000000001</v>
      </c>
      <c r="V209" s="15">
        <v>-0.79600000000000004</v>
      </c>
      <c r="W209" s="15">
        <v>-0.93200000000000005</v>
      </c>
      <c r="X209" s="15">
        <v>-0.93200000000000005</v>
      </c>
      <c r="Y209" s="15">
        <v>-0.99299999999999999</v>
      </c>
      <c r="Z209" s="15">
        <v>-0.74099999999999999</v>
      </c>
      <c r="AA209" s="15">
        <v>-0.74099999999999999</v>
      </c>
      <c r="AB209" s="15">
        <v>-0.66400000000000003</v>
      </c>
      <c r="AC209" s="15">
        <v>-0.91800000000000004</v>
      </c>
      <c r="AD209" s="15">
        <v>-0.312</v>
      </c>
      <c r="AE209" s="15">
        <v>-0.624</v>
      </c>
      <c r="AF209" s="14">
        <v>4.9000000000000002E-2</v>
      </c>
      <c r="AG209" s="15">
        <v>-0.59</v>
      </c>
      <c r="AH209" s="15">
        <v>0.624</v>
      </c>
      <c r="AI209" s="15">
        <v>-0.4</v>
      </c>
      <c r="AJ209" s="15">
        <v>-0.56699999999999995</v>
      </c>
      <c r="AK209" s="16">
        <v>0.85299999999999998</v>
      </c>
      <c r="AL209" s="4">
        <v>-1</v>
      </c>
      <c r="AM209" s="4">
        <v>-3.7999999999999999E-2</v>
      </c>
      <c r="AN209" s="4">
        <v>-0.23699999999999999</v>
      </c>
      <c r="AO209" s="4">
        <v>-0.87</v>
      </c>
      <c r="AP209" s="4">
        <v>-0.49</v>
      </c>
      <c r="AQ209" s="4">
        <v>-0.32600000000000001</v>
      </c>
      <c r="AR209" s="4">
        <v>-0.42899999999999999</v>
      </c>
      <c r="AS209" s="4">
        <v>0.159</v>
      </c>
      <c r="AT209" s="4">
        <v>-0.246</v>
      </c>
      <c r="AU209" s="4">
        <v>-0.27700000000000002</v>
      </c>
      <c r="AV209" s="4">
        <v>-0.41399999999999998</v>
      </c>
      <c r="AW209" s="4">
        <v>-0.98099999999999998</v>
      </c>
      <c r="AX209" s="4">
        <v>-0.80500000000000005</v>
      </c>
      <c r="AY209" s="4">
        <v>-0.92200000000000004</v>
      </c>
      <c r="AZ209" s="4">
        <v>-1</v>
      </c>
      <c r="BA209" s="4">
        <v>0.14099999999999999</v>
      </c>
      <c r="BB209" s="4">
        <v>0.66300000000000003</v>
      </c>
      <c r="BC209" s="4">
        <v>0.85299999999999998</v>
      </c>
      <c r="BD209" s="4">
        <v>0.28199999999999997</v>
      </c>
      <c r="BE209" s="4">
        <v>1</v>
      </c>
      <c r="BF209" s="4">
        <v>4.4999999999999998E-2</v>
      </c>
      <c r="BG209" s="4">
        <v>-0.193</v>
      </c>
      <c r="BH209" s="4">
        <v>1</v>
      </c>
      <c r="BI209" s="4">
        <v>0.56499999999999995</v>
      </c>
      <c r="BJ209" s="4">
        <v>0.14000000000000001</v>
      </c>
      <c r="BK209" s="4">
        <v>0.25800000000000001</v>
      </c>
      <c r="BL209" s="4"/>
    </row>
    <row r="210" spans="1:64" x14ac:dyDescent="0.3">
      <c r="A210" t="s">
        <v>255</v>
      </c>
      <c r="B210" s="53">
        <f t="shared" si="22"/>
        <v>0</v>
      </c>
      <c r="C210" s="53">
        <f t="shared" si="23"/>
        <v>0</v>
      </c>
      <c r="D210" s="53">
        <f t="shared" si="24"/>
        <v>0</v>
      </c>
      <c r="E210" s="53">
        <f t="shared" si="25"/>
        <v>0</v>
      </c>
      <c r="F210" s="15">
        <v>0.48899999999999999</v>
      </c>
      <c r="G210">
        <v>0.51200000000000001</v>
      </c>
      <c r="H210" t="s">
        <v>57</v>
      </c>
      <c r="I210" t="str">
        <f>VLOOKUP(A210,Setores!$A$2:$C$215,2,0)</f>
        <v>education</v>
      </c>
      <c r="J210" t="str">
        <f>VLOOKUP(A210,Setores!$A$2:$C$215,3,0)</f>
        <v>neutral_beta</v>
      </c>
      <c r="K210" s="100">
        <v>0</v>
      </c>
      <c r="L210" s="58">
        <v>0</v>
      </c>
      <c r="M210" s="7">
        <v>0</v>
      </c>
      <c r="N210" s="41">
        <f>VLOOKUP(A210,'Mandato ISEE'!$A$1:$C$215,2,0)</f>
        <v>0</v>
      </c>
      <c r="O210" s="58">
        <f t="shared" si="26"/>
        <v>0</v>
      </c>
      <c r="P210" s="41">
        <f>VLOOKUP(A210,'Mandato ISEE'!$A$1:$C$215,3,0)</f>
        <v>0</v>
      </c>
      <c r="Q210" s="42">
        <f t="shared" si="27"/>
        <v>0</v>
      </c>
      <c r="R210" s="42">
        <v>-0.86499999999999999</v>
      </c>
      <c r="S210" s="15">
        <v>-0.96099999999999997</v>
      </c>
      <c r="T210" s="15">
        <v>-0.86199999999999999</v>
      </c>
      <c r="U210" s="15">
        <v>-0.92100000000000004</v>
      </c>
      <c r="V210" s="15">
        <v>-0.97</v>
      </c>
      <c r="W210" s="15">
        <v>-0.89200000000000002</v>
      </c>
      <c r="X210" s="15">
        <v>-0.86599999999999999</v>
      </c>
      <c r="Y210" s="15">
        <v>-0.96499999999999997</v>
      </c>
      <c r="Z210" s="15">
        <v>-0.89</v>
      </c>
      <c r="AA210" s="15">
        <v>-0.89300000000000002</v>
      </c>
      <c r="AB210" s="15">
        <v>0.111</v>
      </c>
      <c r="AC210" s="15">
        <v>5.0000000000000001E-3</v>
      </c>
      <c r="AD210" s="15">
        <v>-0.63400000000000001</v>
      </c>
      <c r="AE210" s="15">
        <v>-1</v>
      </c>
      <c r="AF210" s="14">
        <v>-2.5999999999999999E-2</v>
      </c>
      <c r="AG210" s="15">
        <v>-1</v>
      </c>
      <c r="AH210" s="15">
        <v>-0.77400000000000002</v>
      </c>
      <c r="AI210" s="15">
        <v>0.48899999999999999</v>
      </c>
      <c r="AJ210" s="15">
        <v>-0.60899999999999999</v>
      </c>
      <c r="AK210" s="16">
        <v>-1</v>
      </c>
      <c r="AL210" s="4">
        <v>-0.75800000000000001</v>
      </c>
      <c r="AM210" s="4">
        <v>-0.83499999999999996</v>
      </c>
      <c r="AN210" s="4">
        <v>0.2</v>
      </c>
      <c r="AO210" s="4">
        <v>-0.81899999999999995</v>
      </c>
      <c r="AP210" s="4">
        <v>0.63200000000000001</v>
      </c>
      <c r="AQ210" s="4">
        <v>0.57799999999999996</v>
      </c>
      <c r="AR210" s="4">
        <v>0.28199999999999997</v>
      </c>
      <c r="AS210" s="4">
        <v>0.17799999999999999</v>
      </c>
      <c r="AT210" s="4">
        <v>-1</v>
      </c>
      <c r="AU210" s="4">
        <v>-0.02</v>
      </c>
      <c r="AV210" s="4">
        <v>-0.39300000000000002</v>
      </c>
      <c r="AW210" s="4">
        <v>-1.7999999999999999E-2</v>
      </c>
      <c r="AX210" s="4">
        <v>-0.34699999999999998</v>
      </c>
      <c r="AY210" s="4">
        <v>-0.13</v>
      </c>
      <c r="AZ210" s="4">
        <v>0.39</v>
      </c>
      <c r="BA210" s="4">
        <v>0.71899999999999997</v>
      </c>
      <c r="BB210" s="4">
        <v>-0.60899999999999999</v>
      </c>
      <c r="BC210" s="4">
        <v>-0.27700000000000002</v>
      </c>
      <c r="BD210" s="4">
        <v>-0.308</v>
      </c>
      <c r="BE210" s="4">
        <v>-0.66900000000000004</v>
      </c>
      <c r="BF210" s="4">
        <v>-0.45200000000000001</v>
      </c>
      <c r="BG210" s="4">
        <v>-0.26900000000000002</v>
      </c>
      <c r="BH210" s="4">
        <v>-0.44500000000000001</v>
      </c>
      <c r="BI210" s="4">
        <v>-0.188</v>
      </c>
      <c r="BJ210" s="4">
        <v>0.54700000000000004</v>
      </c>
      <c r="BK210" s="4">
        <v>0.17799999999999999</v>
      </c>
      <c r="BL210" s="4"/>
    </row>
    <row r="211" spans="1:64" x14ac:dyDescent="0.3">
      <c r="A211" t="s">
        <v>256</v>
      </c>
      <c r="B211" s="53">
        <f t="shared" si="22"/>
        <v>0</v>
      </c>
      <c r="C211" s="53">
        <f t="shared" si="23"/>
        <v>0</v>
      </c>
      <c r="D211" s="53">
        <f t="shared" si="24"/>
        <v>0</v>
      </c>
      <c r="E211" s="53">
        <f t="shared" si="25"/>
        <v>0</v>
      </c>
      <c r="F211" s="15">
        <v>0.48499999999999999</v>
      </c>
      <c r="G211">
        <v>0.36199999999999999</v>
      </c>
      <c r="H211" t="s">
        <v>68</v>
      </c>
      <c r="I211" t="str">
        <f>VLOOKUP(A211,Setores!$A$2:$C$215,2,0)</f>
        <v>building_materials</v>
      </c>
      <c r="J211" t="str">
        <f>VLOOKUP(A211,Setores!$A$2:$C$215,3,0)</f>
        <v>very_low_beta</v>
      </c>
      <c r="K211" s="100">
        <v>0</v>
      </c>
      <c r="L211" s="58">
        <v>0</v>
      </c>
      <c r="M211" s="7">
        <v>0</v>
      </c>
      <c r="N211" s="41">
        <f>VLOOKUP(A211,'Mandato ISEE'!$A$1:$C$215,2,0)</f>
        <v>0</v>
      </c>
      <c r="O211" s="58">
        <f t="shared" si="26"/>
        <v>0</v>
      </c>
      <c r="P211" s="41">
        <f>VLOOKUP(A211,'Mandato ISEE'!$A$1:$C$215,3,0)</f>
        <v>0</v>
      </c>
      <c r="Q211" s="42">
        <f t="shared" si="27"/>
        <v>0</v>
      </c>
      <c r="R211" s="42">
        <v>-1</v>
      </c>
      <c r="S211" s="15">
        <v>-1</v>
      </c>
      <c r="T211" s="15">
        <v>-0.92900000000000005</v>
      </c>
      <c r="U211" s="15">
        <v>-1</v>
      </c>
      <c r="V211" s="15">
        <v>-1</v>
      </c>
      <c r="W211" s="15">
        <v>-1</v>
      </c>
      <c r="X211" s="15">
        <v>-0.995</v>
      </c>
      <c r="Y211" s="15">
        <v>-1</v>
      </c>
      <c r="Z211" s="15">
        <v>-1</v>
      </c>
      <c r="AA211" s="15">
        <v>-1</v>
      </c>
      <c r="AB211" s="15">
        <v>-7.1999999999999995E-2</v>
      </c>
      <c r="AC211" s="15">
        <v>-6.3E-2</v>
      </c>
      <c r="AD211" s="15">
        <v>-0.441</v>
      </c>
      <c r="AE211" s="15">
        <v>-1</v>
      </c>
      <c r="AF211" s="14">
        <v>-1</v>
      </c>
      <c r="AG211" s="15">
        <v>-1</v>
      </c>
      <c r="AH211" s="15">
        <v>-0.60199999999999998</v>
      </c>
      <c r="AI211" s="15">
        <v>-0.49299999999999999</v>
      </c>
      <c r="AJ211" s="15">
        <v>-0.57799999999999996</v>
      </c>
      <c r="AK211" s="16">
        <v>-0.56000000000000005</v>
      </c>
      <c r="AL211" s="4">
        <v>-1</v>
      </c>
      <c r="AM211" s="4">
        <v>-0.45100000000000001</v>
      </c>
      <c r="AN211" s="4">
        <v>-1</v>
      </c>
      <c r="AO211" s="4">
        <v>-0.95299999999999996</v>
      </c>
      <c r="AP211" s="4">
        <v>-0.95099999999999996</v>
      </c>
      <c r="AQ211" s="4">
        <v>-0.71399999999999997</v>
      </c>
      <c r="AR211" s="4">
        <v>-5.2999999999999999E-2</v>
      </c>
      <c r="AS211" s="4">
        <v>-0.109</v>
      </c>
      <c r="AT211" s="4">
        <v>-0.56299999999999994</v>
      </c>
      <c r="AU211" s="4">
        <v>-0.66500000000000004</v>
      </c>
      <c r="AV211" s="4">
        <v>-1</v>
      </c>
      <c r="AW211" s="4">
        <v>-0.28100000000000003</v>
      </c>
      <c r="AX211" s="4">
        <v>-0.314</v>
      </c>
      <c r="AY211" s="4">
        <v>-0.39300000000000002</v>
      </c>
      <c r="AZ211" s="4">
        <v>-0.15</v>
      </c>
      <c r="BA211" s="4">
        <v>3.3000000000000002E-2</v>
      </c>
      <c r="BB211" s="4">
        <v>0.46600000000000003</v>
      </c>
      <c r="BC211" s="4">
        <v>0.26600000000000001</v>
      </c>
      <c r="BD211" s="4">
        <v>9.9000000000000005E-2</v>
      </c>
      <c r="BE211" s="4">
        <v>0.63500000000000001</v>
      </c>
      <c r="BF211" s="4">
        <v>4.1000000000000002E-2</v>
      </c>
      <c r="BG211" s="4">
        <v>6.3E-2</v>
      </c>
      <c r="BH211" s="4">
        <v>0.67200000000000004</v>
      </c>
      <c r="BI211" s="4">
        <v>-7.2999999999999995E-2</v>
      </c>
      <c r="BJ211" s="4">
        <v>0.88700000000000001</v>
      </c>
      <c r="BK211" s="4">
        <v>1</v>
      </c>
      <c r="BL211" s="4"/>
    </row>
    <row r="212" spans="1:64" x14ac:dyDescent="0.3">
      <c r="A212" t="s">
        <v>198</v>
      </c>
      <c r="B212" s="53">
        <f t="shared" si="22"/>
        <v>0</v>
      </c>
      <c r="C212" s="53">
        <f t="shared" si="23"/>
        <v>0</v>
      </c>
      <c r="D212" s="53">
        <f t="shared" si="24"/>
        <v>0</v>
      </c>
      <c r="E212" s="53">
        <f t="shared" si="25"/>
        <v>0</v>
      </c>
      <c r="F212" s="15">
        <v>0.48199999999999998</v>
      </c>
      <c r="G212">
        <v>0.34200000000000003</v>
      </c>
      <c r="H212" t="s">
        <v>57</v>
      </c>
      <c r="I212" t="str">
        <f>VLOOKUP(A212,Setores!$A$2:$C$215,2,0)</f>
        <v>consumer_services</v>
      </c>
      <c r="J212" t="str">
        <f>VLOOKUP(A212,Setores!$A$2:$C$215,3,0)</f>
        <v>high_beta</v>
      </c>
      <c r="K212" s="100">
        <v>0</v>
      </c>
      <c r="L212" s="58">
        <v>0</v>
      </c>
      <c r="M212" s="7">
        <v>0</v>
      </c>
      <c r="N212" s="41">
        <f>VLOOKUP(A212,'Mandato ISEE'!$A$1:$C$215,2,0)</f>
        <v>0</v>
      </c>
      <c r="O212" s="58">
        <f t="shared" si="26"/>
        <v>0</v>
      </c>
      <c r="P212" s="41">
        <f>VLOOKUP(A212,'Mandato ISEE'!$A$1:$C$215,3,0)</f>
        <v>0</v>
      </c>
      <c r="Q212" s="42">
        <f t="shared" si="27"/>
        <v>0</v>
      </c>
      <c r="R212" s="42">
        <v>-0.83</v>
      </c>
      <c r="S212" s="15">
        <v>-0.82799999999999996</v>
      </c>
      <c r="T212" s="15">
        <v>-0.64800000000000002</v>
      </c>
      <c r="U212" s="15">
        <v>-0.81100000000000005</v>
      </c>
      <c r="V212" s="15">
        <v>-0.76400000000000001</v>
      </c>
      <c r="W212" s="15">
        <v>-0.95599999999999996</v>
      </c>
      <c r="X212" s="15">
        <v>-0.96199999999999997</v>
      </c>
      <c r="Y212" s="15">
        <v>-0.93799999999999994</v>
      </c>
      <c r="Z212" s="15">
        <v>-0.93899999999999995</v>
      </c>
      <c r="AA212" s="15">
        <v>-0.94</v>
      </c>
      <c r="AB212" s="15">
        <v>-0.219</v>
      </c>
      <c r="AC212" s="15">
        <v>-0.24</v>
      </c>
      <c r="AD212" s="15">
        <v>-1</v>
      </c>
      <c r="AE212" s="15">
        <v>-0.36</v>
      </c>
      <c r="AF212" s="14">
        <v>-0.14000000000000001</v>
      </c>
      <c r="AG212" s="15">
        <v>-0.82499999999999996</v>
      </c>
      <c r="AH212" s="15">
        <v>-0.183</v>
      </c>
      <c r="AI212" s="15">
        <v>-0.14899999999999999</v>
      </c>
      <c r="AJ212" s="15">
        <v>1</v>
      </c>
      <c r="AK212" s="16">
        <v>6.7000000000000004E-2</v>
      </c>
      <c r="AL212" s="4">
        <v>-1</v>
      </c>
      <c r="AM212" s="4">
        <v>-0.67800000000000005</v>
      </c>
      <c r="AN212" s="4">
        <v>0.311</v>
      </c>
      <c r="AO212" s="4">
        <v>-0.122</v>
      </c>
      <c r="AP212" s="4">
        <v>-0.55000000000000004</v>
      </c>
      <c r="AQ212" s="4">
        <v>0.745</v>
      </c>
      <c r="AR212" s="4">
        <v>-1</v>
      </c>
      <c r="AS212" s="4">
        <v>-0.56799999999999995</v>
      </c>
      <c r="AT212" s="4">
        <v>-0.126</v>
      </c>
      <c r="AU212" s="4">
        <v>-0.183</v>
      </c>
      <c r="AV212" s="4">
        <v>0.42</v>
      </c>
      <c r="AW212" s="4">
        <v>-0.93100000000000005</v>
      </c>
      <c r="AX212" s="4">
        <v>-0.26800000000000002</v>
      </c>
      <c r="AY212" s="4">
        <v>-1</v>
      </c>
      <c r="AZ212" s="4">
        <v>-1</v>
      </c>
      <c r="BA212" s="4">
        <v>6.6000000000000003E-2</v>
      </c>
      <c r="BB212" s="4">
        <v>5.8000000000000003E-2</v>
      </c>
      <c r="BC212" s="4">
        <v>0.48399999999999999</v>
      </c>
      <c r="BD212" s="4">
        <v>0.47099999999999997</v>
      </c>
      <c r="BE212" s="4">
        <v>-0.41299999999999998</v>
      </c>
      <c r="BF212" s="4">
        <v>-1</v>
      </c>
      <c r="BG212" s="4">
        <v>-1</v>
      </c>
      <c r="BH212" s="4">
        <v>0.71</v>
      </c>
      <c r="BI212" s="4">
        <v>0.14000000000000001</v>
      </c>
      <c r="BJ212" s="4">
        <v>-0.64800000000000002</v>
      </c>
      <c r="BK212" s="4">
        <v>0.82599999999999996</v>
      </c>
      <c r="BL212" s="4"/>
    </row>
    <row r="213" spans="1:64" x14ac:dyDescent="0.3">
      <c r="A213" t="s">
        <v>261</v>
      </c>
      <c r="B213" s="53">
        <f t="shared" si="22"/>
        <v>0</v>
      </c>
      <c r="C213" s="53">
        <f t="shared" si="23"/>
        <v>-7.0000000000000001E-3</v>
      </c>
      <c r="D213" s="53">
        <f t="shared" si="24"/>
        <v>0</v>
      </c>
      <c r="E213" s="53">
        <f t="shared" si="25"/>
        <v>7.0000000000000001E-3</v>
      </c>
      <c r="F213" s="15">
        <v>0.47799999999999998</v>
      </c>
      <c r="G213">
        <v>0.34399999999999997</v>
      </c>
      <c r="H213" t="s">
        <v>68</v>
      </c>
      <c r="I213" t="str">
        <f>VLOOKUP(A213,Setores!$A$2:$C$215,2,0)</f>
        <v>chemicals</v>
      </c>
      <c r="J213" t="str">
        <f>VLOOKUP(A213,Setores!$A$2:$C$215,3,0)</f>
        <v>very_low_beta</v>
      </c>
      <c r="K213" s="100">
        <v>0</v>
      </c>
      <c r="L213" s="58">
        <v>-7.0000000000000001E-3</v>
      </c>
      <c r="M213" s="7">
        <v>7.0000000000000001E-3</v>
      </c>
      <c r="N213" s="41">
        <f>VLOOKUP(A213,'Mandato ISEE'!$A$1:$C$215,2,0)</f>
        <v>0</v>
      </c>
      <c r="O213" s="58">
        <f t="shared" si="26"/>
        <v>0</v>
      </c>
      <c r="P213" s="41">
        <f>VLOOKUP(A213,'Mandato ISEE'!$A$1:$C$215,3,0)</f>
        <v>0</v>
      </c>
      <c r="Q213" s="42">
        <f t="shared" si="27"/>
        <v>0</v>
      </c>
      <c r="R213" s="42">
        <v>-1</v>
      </c>
      <c r="S213" s="15">
        <v>-0.94299999999999995</v>
      </c>
      <c r="T213" s="15">
        <v>-1</v>
      </c>
      <c r="U213" s="15">
        <v>-1</v>
      </c>
      <c r="V213" s="15">
        <v>-1</v>
      </c>
      <c r="W213" s="15">
        <v>-1</v>
      </c>
      <c r="X213" s="15">
        <v>-1</v>
      </c>
      <c r="Y213" s="15">
        <v>-0.97299999999999998</v>
      </c>
      <c r="Z213" s="15">
        <v>-0.94099999999999995</v>
      </c>
      <c r="AA213" s="15">
        <v>-0.93500000000000005</v>
      </c>
      <c r="AB213" s="15">
        <v>-1</v>
      </c>
      <c r="AC213" s="15">
        <v>-0.73499999999999999</v>
      </c>
      <c r="AD213" s="15">
        <v>-0.55900000000000005</v>
      </c>
      <c r="AE213" s="15">
        <v>-1</v>
      </c>
      <c r="AF213" s="14">
        <v>-1</v>
      </c>
      <c r="AG213" s="15">
        <v>-0.872</v>
      </c>
      <c r="AH213" s="15">
        <v>-0.96399999999999997</v>
      </c>
      <c r="AI213" s="15">
        <v>-0.29599999999999999</v>
      </c>
      <c r="AJ213" s="15">
        <v>-0.93400000000000005</v>
      </c>
      <c r="AK213" s="16">
        <v>-0.79300000000000004</v>
      </c>
      <c r="AL213" s="4">
        <v>-1</v>
      </c>
      <c r="AM213" s="4">
        <v>-0.64800000000000002</v>
      </c>
      <c r="AN213" s="4">
        <v>-0.69699999999999995</v>
      </c>
      <c r="AO213" s="4">
        <v>0.42299999999999999</v>
      </c>
      <c r="AP213" s="4">
        <v>0.41899999999999998</v>
      </c>
      <c r="AQ213" s="4">
        <v>-0.441</v>
      </c>
      <c r="AR213" s="4">
        <v>0.79200000000000004</v>
      </c>
      <c r="AS213" s="4">
        <v>0.123</v>
      </c>
      <c r="AT213" s="4">
        <v>-0.60799999999999998</v>
      </c>
      <c r="AU213" s="4">
        <v>-0.95699999999999996</v>
      </c>
      <c r="AV213" s="4">
        <v>-1</v>
      </c>
      <c r="AW213" s="4">
        <v>-0.55800000000000005</v>
      </c>
      <c r="AX213" s="4">
        <v>-0.42499999999999999</v>
      </c>
      <c r="AY213" s="4">
        <v>-0.35</v>
      </c>
      <c r="AZ213" s="4">
        <v>-0.95699999999999996</v>
      </c>
      <c r="BA213" s="4">
        <v>-4.2999999999999997E-2</v>
      </c>
      <c r="BB213" s="4">
        <v>0.745</v>
      </c>
      <c r="BC213" s="4">
        <v>0.36099999999999999</v>
      </c>
      <c r="BD213" s="4">
        <v>0.40500000000000003</v>
      </c>
      <c r="BE213" s="4">
        <v>-1</v>
      </c>
      <c r="BF213" s="4">
        <v>-1</v>
      </c>
      <c r="BG213" s="4">
        <v>-1</v>
      </c>
      <c r="BH213" s="4">
        <v>0.71299999999999997</v>
      </c>
      <c r="BI213" s="4">
        <v>-0.77400000000000002</v>
      </c>
      <c r="BJ213" s="4">
        <v>-6.9000000000000006E-2</v>
      </c>
      <c r="BK213" s="4">
        <v>-0.315</v>
      </c>
      <c r="BL213" s="4"/>
    </row>
    <row r="214" spans="1:64" x14ac:dyDescent="0.3">
      <c r="A214" t="s">
        <v>263</v>
      </c>
      <c r="B214" s="53">
        <f t="shared" si="22"/>
        <v>0</v>
      </c>
      <c r="C214" s="53">
        <f t="shared" si="23"/>
        <v>0</v>
      </c>
      <c r="D214" s="53">
        <f t="shared" si="24"/>
        <v>0</v>
      </c>
      <c r="E214" s="53">
        <f t="shared" si="25"/>
        <v>0</v>
      </c>
      <c r="F214" s="15">
        <v>0.47699999999999998</v>
      </c>
      <c r="G214">
        <v>0.33500000000000002</v>
      </c>
      <c r="H214" t="s">
        <v>68</v>
      </c>
      <c r="I214" t="str">
        <f>VLOOKUP(A214,Setores!$A$2:$C$215,2,0)</f>
        <v>capital_goods</v>
      </c>
      <c r="J214" t="str">
        <f>VLOOKUP(A214,Setores!$A$2:$C$215,3,0)</f>
        <v>very_low_beta</v>
      </c>
      <c r="K214" s="100">
        <v>0</v>
      </c>
      <c r="L214" s="58">
        <v>0</v>
      </c>
      <c r="M214" s="7">
        <v>0</v>
      </c>
      <c r="N214" s="41">
        <f>VLOOKUP(A214,'Mandato ISEE'!$A$1:$C$215,2,0)</f>
        <v>0</v>
      </c>
      <c r="O214" s="58">
        <f t="shared" si="26"/>
        <v>0</v>
      </c>
      <c r="P214" s="41">
        <f>VLOOKUP(A214,'Mandato ISEE'!$A$1:$C$215,3,0)</f>
        <v>0</v>
      </c>
      <c r="Q214" s="42">
        <f t="shared" si="27"/>
        <v>0</v>
      </c>
      <c r="R214" s="42">
        <v>-1</v>
      </c>
      <c r="S214" s="15">
        <v>-1</v>
      </c>
      <c r="T214" s="15">
        <v>-1</v>
      </c>
      <c r="U214" s="15">
        <v>-1</v>
      </c>
      <c r="V214" s="15">
        <v>-1</v>
      </c>
      <c r="W214" s="15">
        <v>-1</v>
      </c>
      <c r="X214" s="15">
        <v>-1</v>
      </c>
      <c r="Y214" s="15">
        <v>-1</v>
      </c>
      <c r="Z214" s="15">
        <v>-1</v>
      </c>
      <c r="AA214" s="15">
        <v>-1</v>
      </c>
      <c r="AB214" s="15">
        <v>-1</v>
      </c>
      <c r="AC214" s="15">
        <v>-1</v>
      </c>
      <c r="AD214" s="15">
        <v>-1</v>
      </c>
      <c r="AE214" s="15">
        <v>-1</v>
      </c>
      <c r="AF214" s="14">
        <v>-1</v>
      </c>
      <c r="AG214" s="15">
        <v>-1</v>
      </c>
      <c r="AH214" s="15">
        <v>-0.59599999999999997</v>
      </c>
      <c r="AI214" s="15">
        <v>0.66100000000000003</v>
      </c>
      <c r="AJ214" s="15">
        <v>-0.57799999999999996</v>
      </c>
      <c r="AK214" s="16">
        <v>-0.96599999999999997</v>
      </c>
      <c r="AL214" s="4">
        <v>-1</v>
      </c>
      <c r="AM214" s="4">
        <v>-1</v>
      </c>
      <c r="AN214" s="4">
        <v>-0.51400000000000001</v>
      </c>
      <c r="AO214" s="4">
        <v>0.187</v>
      </c>
      <c r="AP214" s="4">
        <v>-1</v>
      </c>
      <c r="AQ214" s="4">
        <v>-0.59399999999999997</v>
      </c>
      <c r="AR214" s="4">
        <v>1.0999999999999999E-2</v>
      </c>
      <c r="AS214" s="4">
        <v>0.23599999999999999</v>
      </c>
      <c r="AT214" s="4">
        <v>-1</v>
      </c>
      <c r="AU214" s="4">
        <v>-1</v>
      </c>
      <c r="AV214" s="4">
        <v>-1</v>
      </c>
      <c r="AW214" s="4">
        <v>-0.32800000000000001</v>
      </c>
      <c r="AX214" s="4">
        <v>-0.70799999999999996</v>
      </c>
      <c r="AY214" s="4">
        <v>-0.45600000000000002</v>
      </c>
      <c r="AZ214" s="4">
        <v>-1</v>
      </c>
      <c r="BA214" s="4">
        <v>0.32900000000000001</v>
      </c>
      <c r="BB214" s="4">
        <v>0.32100000000000001</v>
      </c>
      <c r="BC214" s="4">
        <v>-0.28799999999999998</v>
      </c>
      <c r="BD214" s="4">
        <v>0.34200000000000003</v>
      </c>
      <c r="BE214" s="4">
        <v>1</v>
      </c>
      <c r="BF214" s="4">
        <v>-1</v>
      </c>
      <c r="BG214" s="4">
        <v>-1</v>
      </c>
      <c r="BH214" s="4">
        <v>0.74199999999999999</v>
      </c>
      <c r="BI214" s="4">
        <v>-0.27900000000000003</v>
      </c>
      <c r="BJ214" s="4">
        <v>-0.50900000000000001</v>
      </c>
      <c r="BK214" s="4">
        <v>1</v>
      </c>
      <c r="BL214" s="4"/>
    </row>
    <row r="215" spans="1:64" x14ac:dyDescent="0.3">
      <c r="A215" t="s">
        <v>175</v>
      </c>
      <c r="B215" s="53">
        <f t="shared" si="22"/>
        <v>0</v>
      </c>
      <c r="C215" s="53">
        <f t="shared" si="23"/>
        <v>0</v>
      </c>
      <c r="D215" s="53">
        <f t="shared" si="24"/>
        <v>0</v>
      </c>
      <c r="E215" s="53">
        <f t="shared" si="25"/>
        <v>0</v>
      </c>
      <c r="F215" s="15">
        <v>0.47699999999999998</v>
      </c>
      <c r="G215">
        <v>0.33900000000000002</v>
      </c>
      <c r="H215" t="s">
        <v>53</v>
      </c>
      <c r="I215" t="str">
        <f>VLOOKUP(A215,Setores!$A$2:$C$215,2,0)</f>
        <v>consumer_staples</v>
      </c>
      <c r="J215" t="str">
        <f>VLOOKUP(A215,Setores!$A$2:$C$215,3,0)</f>
        <v>very_high_beta</v>
      </c>
      <c r="K215" s="100">
        <v>0</v>
      </c>
      <c r="L215" s="58">
        <v>0</v>
      </c>
      <c r="M215" s="7">
        <v>0</v>
      </c>
      <c r="N215" s="41">
        <f>VLOOKUP(A215,'Mandato ISEE'!$A$1:$C$215,2,0)</f>
        <v>0</v>
      </c>
      <c r="O215" s="58">
        <f t="shared" si="26"/>
        <v>0</v>
      </c>
      <c r="P215" s="41">
        <f>VLOOKUP(A215,'Mandato ISEE'!$A$1:$C$215,3,0)</f>
        <v>0</v>
      </c>
      <c r="Q215" s="42">
        <f t="shared" si="27"/>
        <v>0</v>
      </c>
      <c r="R215" s="42">
        <v>-0.92700000000000005</v>
      </c>
      <c r="S215" s="15">
        <v>-0.95</v>
      </c>
      <c r="T215" s="15">
        <v>-0.80100000000000005</v>
      </c>
      <c r="U215" s="15">
        <v>-0.92800000000000005</v>
      </c>
      <c r="V215" s="15">
        <v>-0.91100000000000003</v>
      </c>
      <c r="W215" s="15">
        <v>-0.99299999999999999</v>
      </c>
      <c r="X215" s="15">
        <v>-1</v>
      </c>
      <c r="Y215" s="15">
        <v>-1</v>
      </c>
      <c r="Z215" s="15">
        <v>-1</v>
      </c>
      <c r="AA215" s="15">
        <v>-1</v>
      </c>
      <c r="AB215" s="15">
        <v>-0.62</v>
      </c>
      <c r="AC215" s="15">
        <v>-0.98699999999999999</v>
      </c>
      <c r="AD215" s="15">
        <v>-1</v>
      </c>
      <c r="AE215" s="15">
        <v>-0.47899999999999998</v>
      </c>
      <c r="AF215" s="14">
        <v>-2.1999999999999999E-2</v>
      </c>
      <c r="AG215" s="15">
        <v>-0.69799999999999995</v>
      </c>
      <c r="AH215" s="15">
        <v>0.60899999999999999</v>
      </c>
      <c r="AI215" s="15">
        <v>-0.38300000000000001</v>
      </c>
      <c r="AJ215" s="15">
        <v>-0.29799999999999999</v>
      </c>
      <c r="AK215" s="16">
        <v>0.59499999999999997</v>
      </c>
      <c r="AL215" s="4">
        <v>-1</v>
      </c>
      <c r="AM215" s="4">
        <v>-0.22500000000000001</v>
      </c>
      <c r="AN215" s="4">
        <v>-0.33200000000000002</v>
      </c>
      <c r="AO215" s="4">
        <v>-0.82899999999999996</v>
      </c>
      <c r="AP215" s="4">
        <v>-0.60299999999999998</v>
      </c>
      <c r="AQ215" s="4">
        <v>-0.20699999999999999</v>
      </c>
      <c r="AR215" s="4">
        <v>-1</v>
      </c>
      <c r="AS215" s="4">
        <v>-0.53800000000000003</v>
      </c>
      <c r="AT215" s="4">
        <v>-0.48899999999999999</v>
      </c>
      <c r="AU215" s="4">
        <v>-0.81899999999999995</v>
      </c>
      <c r="AV215" s="4">
        <v>-9.6000000000000002E-2</v>
      </c>
      <c r="AW215" s="4">
        <v>-0.62</v>
      </c>
      <c r="AX215" s="4">
        <v>-0.437</v>
      </c>
      <c r="AY215" s="4">
        <v>-0.501</v>
      </c>
      <c r="AZ215" s="4">
        <v>-0.60599999999999998</v>
      </c>
      <c r="BA215" s="4">
        <v>0.38100000000000001</v>
      </c>
      <c r="BB215" s="4">
        <v>0.70199999999999996</v>
      </c>
      <c r="BC215" s="4">
        <v>0.53100000000000003</v>
      </c>
      <c r="BD215" s="4">
        <v>0.33200000000000002</v>
      </c>
      <c r="BE215" s="4">
        <v>-0.34300000000000003</v>
      </c>
      <c r="BF215" s="4">
        <v>-0.34</v>
      </c>
      <c r="BG215" s="4">
        <v>-0.94</v>
      </c>
      <c r="BH215" s="4">
        <v>0.35799999999999998</v>
      </c>
      <c r="BI215" s="4">
        <v>0.58699999999999997</v>
      </c>
      <c r="BJ215" s="4">
        <v>-0.59499999999999997</v>
      </c>
      <c r="BK215" s="4">
        <v>0.752</v>
      </c>
      <c r="BL215" s="4"/>
    </row>
    <row r="216" spans="1:64" x14ac:dyDescent="0.3">
      <c r="A216" t="s">
        <v>259</v>
      </c>
      <c r="B216" s="53">
        <f t="shared" si="22"/>
        <v>0</v>
      </c>
      <c r="C216" s="53">
        <f t="shared" si="23"/>
        <v>0</v>
      </c>
      <c r="D216" s="53">
        <f t="shared" si="24"/>
        <v>0</v>
      </c>
      <c r="E216" s="53">
        <f t="shared" si="25"/>
        <v>0</v>
      </c>
      <c r="F216" s="15">
        <v>0.47699999999999998</v>
      </c>
      <c r="G216">
        <v>0.33500000000000002</v>
      </c>
      <c r="H216" t="s">
        <v>57</v>
      </c>
      <c r="I216" t="str">
        <f>VLOOKUP(A216,Setores!$A$2:$C$215,2,0)</f>
        <v>homebuilders</v>
      </c>
      <c r="J216" t="str">
        <f>VLOOKUP(A216,Setores!$A$2:$C$215,3,0)</f>
        <v>low_beta</v>
      </c>
      <c r="K216" s="100">
        <v>0</v>
      </c>
      <c r="L216" s="58">
        <v>0</v>
      </c>
      <c r="M216" s="7">
        <v>0</v>
      </c>
      <c r="N216" s="41">
        <f>VLOOKUP(A216,'Mandato ISEE'!$A$1:$C$215,2,0)</f>
        <v>0</v>
      </c>
      <c r="O216" s="58">
        <f t="shared" si="26"/>
        <v>0</v>
      </c>
      <c r="P216" s="41">
        <f>VLOOKUP(A216,'Mandato ISEE'!$A$1:$C$215,3,0)</f>
        <v>0</v>
      </c>
      <c r="Q216" s="42">
        <f t="shared" si="27"/>
        <v>0</v>
      </c>
      <c r="R216" s="42">
        <v>-1</v>
      </c>
      <c r="S216" s="15">
        <v>-1</v>
      </c>
      <c r="T216" s="15">
        <v>-0.96599999999999997</v>
      </c>
      <c r="U216" s="15">
        <v>-1</v>
      </c>
      <c r="V216" s="15">
        <v>-1</v>
      </c>
      <c r="W216" s="15">
        <v>-1</v>
      </c>
      <c r="X216" s="15">
        <v>-1</v>
      </c>
      <c r="Y216" s="15">
        <v>-1</v>
      </c>
      <c r="Z216" s="15">
        <v>-0.98299999999999998</v>
      </c>
      <c r="AA216" s="15">
        <v>-0.97899999999999998</v>
      </c>
      <c r="AB216" s="15">
        <v>-1</v>
      </c>
      <c r="AC216" s="15">
        <v>0.23400000000000001</v>
      </c>
      <c r="AD216" s="15">
        <v>-1</v>
      </c>
      <c r="AE216" s="15">
        <v>-0.91</v>
      </c>
      <c r="AF216" s="14">
        <v>-1</v>
      </c>
      <c r="AG216" s="15">
        <v>-0.96499999999999997</v>
      </c>
      <c r="AH216" s="15">
        <v>0.186</v>
      </c>
      <c r="AI216" s="15">
        <v>-0.55300000000000005</v>
      </c>
      <c r="AJ216" s="15">
        <v>-0.57799999999999996</v>
      </c>
      <c r="AK216" s="16">
        <v>-0.79200000000000004</v>
      </c>
      <c r="AL216" s="4">
        <v>-1</v>
      </c>
      <c r="AM216" s="4">
        <v>1</v>
      </c>
      <c r="AN216" s="4">
        <v>-0.93899999999999995</v>
      </c>
      <c r="AO216" s="4">
        <v>-1</v>
      </c>
      <c r="AP216" s="4">
        <v>-1</v>
      </c>
      <c r="AQ216" s="4">
        <v>-0.94699999999999995</v>
      </c>
      <c r="AR216" s="4">
        <v>-0.76600000000000001</v>
      </c>
      <c r="AS216" s="4">
        <v>-0.28799999999999998</v>
      </c>
      <c r="AT216" s="4">
        <v>-0.80100000000000005</v>
      </c>
      <c r="AU216" s="4">
        <v>-1</v>
      </c>
      <c r="AV216" s="4">
        <v>-1</v>
      </c>
      <c r="AW216" s="4">
        <v>-0.63300000000000001</v>
      </c>
      <c r="AX216" s="4">
        <v>-0.745</v>
      </c>
      <c r="AY216" s="4">
        <v>-0.71</v>
      </c>
      <c r="AZ216" s="4">
        <v>-1</v>
      </c>
      <c r="BA216" s="4">
        <v>-0.22900000000000001</v>
      </c>
      <c r="BB216" s="4">
        <v>0.54300000000000004</v>
      </c>
      <c r="BC216" s="4">
        <v>0.214</v>
      </c>
      <c r="BD216" s="4">
        <v>0.11799999999999999</v>
      </c>
      <c r="BE216" s="4">
        <v>0.157</v>
      </c>
      <c r="BF216" s="4">
        <v>6.8000000000000005E-2</v>
      </c>
      <c r="BG216" s="4">
        <v>-0.92200000000000004</v>
      </c>
      <c r="BH216" s="4">
        <v>1</v>
      </c>
      <c r="BI216" s="4">
        <v>-1E-3</v>
      </c>
      <c r="BJ216" s="4">
        <v>-0.13800000000000001</v>
      </c>
      <c r="BK216" s="4">
        <v>1</v>
      </c>
      <c r="BL216" s="4"/>
    </row>
    <row r="217" spans="1:64" x14ac:dyDescent="0.3">
      <c r="A217" t="s">
        <v>239</v>
      </c>
      <c r="B217" s="53">
        <f t="shared" si="22"/>
        <v>0</v>
      </c>
      <c r="C217" s="53">
        <f t="shared" si="23"/>
        <v>0</v>
      </c>
      <c r="D217" s="53">
        <f t="shared" si="24"/>
        <v>0</v>
      </c>
      <c r="E217" s="53">
        <f t="shared" si="25"/>
        <v>0</v>
      </c>
      <c r="F217" s="15">
        <v>0.47699999999999998</v>
      </c>
      <c r="G217">
        <v>0.33700000000000002</v>
      </c>
      <c r="H217" t="s">
        <v>57</v>
      </c>
      <c r="I217" t="str">
        <f>VLOOKUP(A217,Setores!$A$2:$C$215,2,0)</f>
        <v>tech</v>
      </c>
      <c r="J217" t="str">
        <f>VLOOKUP(A217,Setores!$A$2:$C$215,3,0)</f>
        <v>high_beta</v>
      </c>
      <c r="K217" s="100">
        <v>0</v>
      </c>
      <c r="L217" s="58">
        <v>0</v>
      </c>
      <c r="M217" s="7">
        <v>0</v>
      </c>
      <c r="N217" s="41">
        <f>VLOOKUP(A217,'Mandato ISEE'!$A$1:$C$215,2,0)</f>
        <v>0</v>
      </c>
      <c r="O217" s="58">
        <f t="shared" si="26"/>
        <v>0</v>
      </c>
      <c r="P217" s="41">
        <f>VLOOKUP(A217,'Mandato ISEE'!$A$1:$C$215,3,0)</f>
        <v>0</v>
      </c>
      <c r="Q217" s="42">
        <f t="shared" si="27"/>
        <v>0</v>
      </c>
      <c r="R217" s="42">
        <v>-0.88600000000000001</v>
      </c>
      <c r="S217" s="15">
        <v>-0.86299999999999999</v>
      </c>
      <c r="T217" s="15">
        <v>-0.63400000000000001</v>
      </c>
      <c r="U217" s="15">
        <v>-0.94599999999999995</v>
      </c>
      <c r="V217" s="15">
        <v>-0.89500000000000002</v>
      </c>
      <c r="W217" s="15">
        <v>-0.96</v>
      </c>
      <c r="X217" s="15">
        <v>-0.97799999999999998</v>
      </c>
      <c r="Y217" s="15">
        <v>-0.97</v>
      </c>
      <c r="Z217" s="15">
        <v>-1</v>
      </c>
      <c r="AA217" s="15">
        <v>-1</v>
      </c>
      <c r="AB217" s="15">
        <v>-0.88200000000000001</v>
      </c>
      <c r="AC217" s="15">
        <v>-1</v>
      </c>
      <c r="AD217" s="15">
        <v>-0.83099999999999996</v>
      </c>
      <c r="AE217" s="15">
        <v>-0.77800000000000002</v>
      </c>
      <c r="AF217" s="14">
        <v>-0.77300000000000002</v>
      </c>
      <c r="AG217" s="15">
        <v>-0.70599999999999996</v>
      </c>
      <c r="AH217" s="15">
        <v>-0.39700000000000002</v>
      </c>
      <c r="AI217" s="15">
        <v>1</v>
      </c>
      <c r="AJ217" s="15">
        <v>1</v>
      </c>
      <c r="AK217" s="16">
        <v>-0.80300000000000005</v>
      </c>
      <c r="AL217" s="4">
        <v>-1</v>
      </c>
      <c r="AM217" s="4">
        <v>-0.47</v>
      </c>
      <c r="AN217" s="4">
        <v>-0.32400000000000001</v>
      </c>
      <c r="AO217" s="4">
        <v>-0.35899999999999999</v>
      </c>
      <c r="AP217" s="4">
        <v>0.81499999999999995</v>
      </c>
      <c r="AQ217" s="4">
        <v>0.26700000000000002</v>
      </c>
      <c r="AR217" s="4">
        <v>-1</v>
      </c>
      <c r="AS217" s="4">
        <v>-0.51400000000000001</v>
      </c>
      <c r="AT217" s="4">
        <v>-0.64300000000000002</v>
      </c>
      <c r="AU217" s="4">
        <v>-0.84399999999999997</v>
      </c>
      <c r="AV217" s="4">
        <v>-0.107</v>
      </c>
      <c r="AW217" s="4">
        <v>-0.66400000000000003</v>
      </c>
      <c r="AX217" s="4">
        <v>0.17399999999999999</v>
      </c>
      <c r="AY217" s="4">
        <v>-0.247</v>
      </c>
      <c r="AZ217" s="4">
        <v>-0.25800000000000001</v>
      </c>
      <c r="BA217" s="4">
        <v>-0.121</v>
      </c>
      <c r="BB217" s="4">
        <v>-0.53900000000000003</v>
      </c>
      <c r="BC217" s="4">
        <v>-0.54500000000000004</v>
      </c>
      <c r="BD217" s="4">
        <v>0.34300000000000003</v>
      </c>
      <c r="BE217" s="4">
        <v>-0.92300000000000004</v>
      </c>
      <c r="BF217" s="4">
        <v>-0.54100000000000004</v>
      </c>
      <c r="BG217" s="4">
        <v>-0.20499999999999999</v>
      </c>
      <c r="BH217" s="4">
        <v>0.29399999999999998</v>
      </c>
      <c r="BI217" s="4">
        <v>0.21199999999999999</v>
      </c>
      <c r="BJ217" s="4">
        <v>-0.188</v>
      </c>
      <c r="BK217" s="4">
        <v>0.92</v>
      </c>
      <c r="BL217" s="4"/>
    </row>
    <row r="218" spans="1:64" x14ac:dyDescent="0.3">
      <c r="A218" t="s">
        <v>267</v>
      </c>
      <c r="B218" s="53">
        <f t="shared" si="22"/>
        <v>0</v>
      </c>
      <c r="C218" s="53">
        <f t="shared" si="23"/>
        <v>0</v>
      </c>
      <c r="D218" s="53">
        <f t="shared" si="24"/>
        <v>0</v>
      </c>
      <c r="E218" s="53">
        <f t="shared" si="25"/>
        <v>0</v>
      </c>
      <c r="F218" s="15">
        <v>0.47699999999999998</v>
      </c>
      <c r="G218">
        <v>0.33500000000000002</v>
      </c>
      <c r="H218" t="s">
        <v>53</v>
      </c>
      <c r="I218" t="str">
        <f>VLOOKUP(A218,Setores!$A$2:$C$215,2,0)</f>
        <v>healthcare</v>
      </c>
      <c r="J218" t="str">
        <f>VLOOKUP(A218,Setores!$A$2:$C$215,3,0)</f>
        <v>very_high_beta</v>
      </c>
      <c r="K218" s="100">
        <v>0</v>
      </c>
      <c r="L218" s="58">
        <v>0</v>
      </c>
      <c r="M218" s="7">
        <v>0</v>
      </c>
      <c r="N218" s="41">
        <f>VLOOKUP(A218,'Mandato ISEE'!$A$1:$C$215,2,0)</f>
        <v>0</v>
      </c>
      <c r="O218" s="58">
        <f t="shared" si="26"/>
        <v>0</v>
      </c>
      <c r="P218" s="41">
        <f>VLOOKUP(A218,'Mandato ISEE'!$A$1:$C$215,3,0)</f>
        <v>0</v>
      </c>
      <c r="Q218" s="42">
        <f t="shared" si="27"/>
        <v>0</v>
      </c>
      <c r="R218" s="42">
        <v>-1</v>
      </c>
      <c r="S218" s="15">
        <v>-0.98</v>
      </c>
      <c r="T218" s="15">
        <v>-0.93500000000000005</v>
      </c>
      <c r="U218" s="15">
        <v>-1</v>
      </c>
      <c r="V218" s="15">
        <v>-0.98899999999999999</v>
      </c>
      <c r="W218" s="15">
        <v>-1</v>
      </c>
      <c r="X218" s="15">
        <v>-1</v>
      </c>
      <c r="Y218" s="15">
        <v>-1</v>
      </c>
      <c r="Z218" s="15">
        <v>-1</v>
      </c>
      <c r="AA218" s="15">
        <v>-1</v>
      </c>
      <c r="AB218" s="15">
        <v>-1</v>
      </c>
      <c r="AC218" s="15">
        <v>-1</v>
      </c>
      <c r="AD218" s="15">
        <v>-1</v>
      </c>
      <c r="AE218" s="15">
        <v>-0.88500000000000001</v>
      </c>
      <c r="AF218" s="14">
        <v>-0.753</v>
      </c>
      <c r="AG218" s="15">
        <v>-1</v>
      </c>
      <c r="AH218" s="15">
        <v>-0.157</v>
      </c>
      <c r="AI218" s="15">
        <v>-0.39200000000000002</v>
      </c>
      <c r="AJ218" s="15">
        <v>-0.68500000000000005</v>
      </c>
      <c r="AK218" s="16">
        <v>-0.217</v>
      </c>
      <c r="AL218" s="4">
        <v>-1</v>
      </c>
      <c r="AM218" s="4">
        <v>-0.36399999999999999</v>
      </c>
      <c r="AN218" s="4">
        <v>-0.80200000000000005</v>
      </c>
      <c r="AO218" s="4">
        <v>-0.46700000000000003</v>
      </c>
      <c r="AP218" s="4">
        <v>-0.59899999999999998</v>
      </c>
      <c r="AQ218" s="4">
        <v>-0.54500000000000004</v>
      </c>
      <c r="AR218" s="4">
        <v>-1</v>
      </c>
      <c r="AS218" s="4">
        <v>-0.37</v>
      </c>
      <c r="AT218" s="4">
        <v>-0.66300000000000003</v>
      </c>
      <c r="AU218" s="4">
        <v>-0.60099999999999998</v>
      </c>
      <c r="AV218" s="4">
        <v>-0.80200000000000005</v>
      </c>
      <c r="AW218" s="4">
        <v>-0.58399999999999996</v>
      </c>
      <c r="AX218" s="4">
        <v>-1</v>
      </c>
      <c r="AY218" s="4">
        <v>-0.48499999999999999</v>
      </c>
      <c r="AZ218" s="4">
        <v>0.10299999999999999</v>
      </c>
      <c r="BA218" s="4">
        <v>0.31900000000000001</v>
      </c>
      <c r="BB218" s="4">
        <v>1</v>
      </c>
      <c r="BC218" s="4">
        <v>3.1E-2</v>
      </c>
      <c r="BD218" s="4">
        <v>0.24099999999999999</v>
      </c>
      <c r="BE218" s="4">
        <v>0.16800000000000001</v>
      </c>
      <c r="BF218" s="4">
        <v>7.2999999999999995E-2</v>
      </c>
      <c r="BG218" s="4">
        <v>-1</v>
      </c>
      <c r="BH218" s="4">
        <v>0.998</v>
      </c>
      <c r="BI218" s="4">
        <v>0.26700000000000002</v>
      </c>
      <c r="BJ218" s="4">
        <v>0.317</v>
      </c>
      <c r="BK218" s="4">
        <v>0.60099999999999998</v>
      </c>
      <c r="BL218" s="4"/>
    </row>
    <row r="219" spans="1:64" ht="15" thickBot="1" x14ac:dyDescent="0.35">
      <c r="A219" t="s">
        <v>268</v>
      </c>
      <c r="B219" s="53">
        <f t="shared" si="22"/>
        <v>0</v>
      </c>
      <c r="C219" s="53">
        <f t="shared" si="23"/>
        <v>0</v>
      </c>
      <c r="D219" s="53">
        <f t="shared" si="24"/>
        <v>0</v>
      </c>
      <c r="E219" s="53">
        <f t="shared" si="25"/>
        <v>0</v>
      </c>
      <c r="F219" s="15">
        <v>0.47699999999999998</v>
      </c>
      <c r="G219">
        <v>0.33500000000000002</v>
      </c>
      <c r="H219" t="s">
        <v>71</v>
      </c>
      <c r="I219" t="str">
        <f>VLOOKUP(A219,Setores!$A$2:$C$215,2,0)</f>
        <v>basic_materials</v>
      </c>
      <c r="J219" t="str">
        <f>VLOOKUP(A219,Setores!$A$2:$C$215,3,0)</f>
        <v>high_beta</v>
      </c>
      <c r="K219" s="101">
        <v>0</v>
      </c>
      <c r="L219" s="59">
        <v>0</v>
      </c>
      <c r="M219" s="40">
        <v>0</v>
      </c>
      <c r="N219" s="43">
        <f>VLOOKUP(A219,'Mandato ISEE'!$A$1:$C$215,2,0)</f>
        <v>0</v>
      </c>
      <c r="O219" s="59">
        <f t="shared" si="26"/>
        <v>0</v>
      </c>
      <c r="P219" s="43">
        <f>VLOOKUP(A219,'Mandato ISEE'!$A$1:$C$215,3,0)</f>
        <v>0</v>
      </c>
      <c r="Q219" s="44">
        <f t="shared" si="27"/>
        <v>0</v>
      </c>
      <c r="R219" s="42">
        <v>-0.996</v>
      </c>
      <c r="S219" s="15">
        <v>-1</v>
      </c>
      <c r="T219" s="15">
        <v>-0.93300000000000005</v>
      </c>
      <c r="U219" s="15">
        <v>-1</v>
      </c>
      <c r="V219" s="15">
        <v>-1</v>
      </c>
      <c r="W219" s="15">
        <v>-1</v>
      </c>
      <c r="X219" s="15">
        <v>-1</v>
      </c>
      <c r="Y219" s="15">
        <v>-1</v>
      </c>
      <c r="Z219" s="15">
        <v>-1</v>
      </c>
      <c r="AA219" s="15">
        <v>-1</v>
      </c>
      <c r="AB219" s="15">
        <v>-1</v>
      </c>
      <c r="AC219" s="15">
        <v>-1</v>
      </c>
      <c r="AD219" s="15">
        <v>-1</v>
      </c>
      <c r="AE219" s="15">
        <v>-1</v>
      </c>
      <c r="AF219" s="14">
        <v>-0.82299999999999995</v>
      </c>
      <c r="AG219" s="15">
        <v>-1</v>
      </c>
      <c r="AH219" s="15">
        <v>-0.48</v>
      </c>
      <c r="AI219" s="15">
        <v>-0.26400000000000001</v>
      </c>
      <c r="AJ219" s="15">
        <v>-0.39700000000000002</v>
      </c>
      <c r="AK219" s="16">
        <v>-0.58499999999999996</v>
      </c>
      <c r="AL219" s="4">
        <v>-1</v>
      </c>
      <c r="AM219" s="4">
        <v>-0.95699999999999996</v>
      </c>
      <c r="AN219" s="4">
        <v>-1.7000000000000001E-2</v>
      </c>
      <c r="AO219" s="4">
        <v>-0.58499999999999996</v>
      </c>
      <c r="AP219" s="4">
        <v>-0.378</v>
      </c>
      <c r="AQ219" s="4">
        <v>0.17100000000000001</v>
      </c>
      <c r="AR219" s="4">
        <v>-0.502</v>
      </c>
      <c r="AS219" s="4">
        <v>-0.35599999999999998</v>
      </c>
      <c r="AT219" s="4">
        <v>-0.78300000000000003</v>
      </c>
      <c r="AU219" s="4">
        <v>-0.81899999999999995</v>
      </c>
      <c r="AV219" s="4">
        <v>-0.41699999999999998</v>
      </c>
      <c r="AW219" s="4">
        <v>-0.49199999999999999</v>
      </c>
      <c r="AX219" s="4">
        <v>-0.77400000000000002</v>
      </c>
      <c r="AY219" s="4">
        <v>-0.87</v>
      </c>
      <c r="AZ219" s="4">
        <v>-0.621</v>
      </c>
      <c r="BA219" s="4">
        <v>-0.47699999999999998</v>
      </c>
      <c r="BB219" s="4">
        <v>0.85299999999999998</v>
      </c>
      <c r="BC219" s="4">
        <v>0.755</v>
      </c>
      <c r="BD219" s="4">
        <v>-2.3E-2</v>
      </c>
      <c r="BE219" s="4">
        <v>0.62</v>
      </c>
      <c r="BF219" s="4">
        <v>0.69799999999999995</v>
      </c>
      <c r="BG219" s="4">
        <v>-0.70799999999999996</v>
      </c>
      <c r="BH219" s="4">
        <v>1</v>
      </c>
      <c r="BI219" s="4">
        <v>-0.02</v>
      </c>
      <c r="BJ219" s="4">
        <v>0.68899999999999995</v>
      </c>
      <c r="BK219" s="4">
        <v>0.96499999999999997</v>
      </c>
      <c r="BL219" s="4"/>
    </row>
    <row r="220" spans="1:64" x14ac:dyDescent="0.3">
      <c r="B220" s="53"/>
      <c r="C220" s="53"/>
      <c r="D220" s="53"/>
      <c r="E220" s="53"/>
      <c r="F220" s="15"/>
      <c r="K220" s="2"/>
      <c r="L220" s="2"/>
      <c r="M220" s="29"/>
      <c r="N220" s="47"/>
      <c r="O220" s="48"/>
      <c r="P220" s="47"/>
      <c r="Q220" s="48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4"/>
      <c r="AF220" s="15"/>
      <c r="AG220" s="15"/>
      <c r="AH220" s="15"/>
      <c r="AI220" s="15"/>
      <c r="AJ220" s="9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 spans="1:64" x14ac:dyDescent="0.3">
      <c r="B221" s="53"/>
      <c r="C221" s="53"/>
      <c r="D221" s="53"/>
      <c r="E221" s="53"/>
      <c r="F221" s="15"/>
      <c r="K221" s="2"/>
      <c r="L221" s="2"/>
      <c r="M221" s="29"/>
      <c r="N221" s="47"/>
      <c r="O221" s="48"/>
      <c r="P221" s="47"/>
      <c r="Q221" s="48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4"/>
      <c r="AF221" s="15"/>
      <c r="AG221" s="15"/>
      <c r="AH221" s="15"/>
      <c r="AI221" s="15"/>
      <c r="AJ221" s="9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 spans="1:64" ht="15" thickBot="1" x14ac:dyDescent="0.35">
      <c r="B222" s="53"/>
      <c r="C222" s="53"/>
      <c r="D222" s="53"/>
      <c r="E222" s="53"/>
      <c r="F222" s="15"/>
      <c r="K222" s="2"/>
      <c r="L222" s="2"/>
      <c r="M222" s="29"/>
      <c r="N222" s="49"/>
      <c r="O222" s="50"/>
      <c r="P222" s="49"/>
      <c r="Q222" s="50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4"/>
      <c r="AF222" s="15"/>
      <c r="AG222" s="15"/>
      <c r="AH222" s="15"/>
      <c r="AI222" s="15"/>
      <c r="AJ222" s="9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 spans="1:64" x14ac:dyDescent="0.3">
      <c r="F223" s="15"/>
      <c r="K223" s="2"/>
      <c r="L223" s="2"/>
      <c r="M223" s="15"/>
      <c r="N223" s="29"/>
      <c r="O223" s="29"/>
      <c r="P223" s="29"/>
      <c r="Q223" s="29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4"/>
      <c r="AF223" s="15"/>
      <c r="AG223" s="15"/>
      <c r="AH223" s="15"/>
      <c r="AI223" s="15"/>
      <c r="AJ223" s="9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 spans="1:64" x14ac:dyDescent="0.3">
      <c r="F224" s="15"/>
      <c r="K224" s="2"/>
      <c r="L224" s="2"/>
      <c r="M224" s="15"/>
      <c r="N224" s="29"/>
      <c r="O224" s="29"/>
      <c r="P224" s="29"/>
      <c r="Q224" s="29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4"/>
      <c r="AF224" s="15"/>
      <c r="AG224" s="15"/>
      <c r="AH224" s="15"/>
      <c r="AI224" s="15"/>
      <c r="AJ224" s="9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 spans="6:63" x14ac:dyDescent="0.3">
      <c r="F225" s="15"/>
      <c r="K225" s="2"/>
      <c r="L225" s="2"/>
      <c r="M225" s="15"/>
      <c r="N225" s="29"/>
      <c r="O225" s="29"/>
      <c r="P225" s="29"/>
      <c r="Q225" s="29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4"/>
      <c r="AF225" s="15"/>
      <c r="AG225" s="15"/>
      <c r="AH225" s="15"/>
      <c r="AI225" s="15"/>
      <c r="AJ225" s="9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 spans="6:63" x14ac:dyDescent="0.3">
      <c r="F226" s="15"/>
      <c r="K226" s="2"/>
      <c r="L226" s="2"/>
      <c r="M226" s="15"/>
      <c r="N226" s="29"/>
      <c r="O226" s="29"/>
      <c r="P226" s="29"/>
      <c r="Q226" s="29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4"/>
      <c r="AF226" s="15"/>
      <c r="AG226" s="15"/>
      <c r="AH226" s="15"/>
      <c r="AI226" s="15"/>
      <c r="AJ226" s="9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37" spans="6:63" x14ac:dyDescent="0.3">
      <c r="H237" s="23" t="s">
        <v>308</v>
      </c>
      <c r="I237" t="s">
        <v>327</v>
      </c>
      <c r="J237" t="s">
        <v>555</v>
      </c>
      <c r="K237" t="s">
        <v>551</v>
      </c>
      <c r="L237" t="s">
        <v>310</v>
      </c>
      <c r="M237" t="s">
        <v>323</v>
      </c>
      <c r="N237" t="s">
        <v>324</v>
      </c>
    </row>
    <row r="238" spans="6:63" x14ac:dyDescent="0.3">
      <c r="H238" s="24" t="s">
        <v>55</v>
      </c>
      <c r="I238" s="26">
        <v>0.39699999999999996</v>
      </c>
      <c r="J238" s="26">
        <v>1.2999999999999987E-2</v>
      </c>
      <c r="K238" s="26">
        <v>0.39699999999999996</v>
      </c>
      <c r="L238" s="26">
        <v>1.1999999999999986E-2</v>
      </c>
      <c r="M238" s="26">
        <v>0.37893247273361491</v>
      </c>
      <c r="N238" s="26">
        <v>0.46573977078097506</v>
      </c>
    </row>
    <row r="239" spans="6:63" x14ac:dyDescent="0.3">
      <c r="H239" s="25" t="s">
        <v>295</v>
      </c>
      <c r="I239" s="26">
        <v>8.5999999999999993E-2</v>
      </c>
      <c r="J239" s="26">
        <v>5.1000000000000004E-2</v>
      </c>
      <c r="K239" s="26">
        <v>8.5999999999999993E-2</v>
      </c>
      <c r="L239" s="26">
        <v>5.1000000000000004E-2</v>
      </c>
      <c r="M239" s="26">
        <v>0.13318369746809788</v>
      </c>
      <c r="N239" s="26">
        <v>4.8004570954045402E-2</v>
      </c>
    </row>
    <row r="240" spans="6:63" x14ac:dyDescent="0.3">
      <c r="H240" s="25" t="s">
        <v>302</v>
      </c>
      <c r="I240" s="26">
        <v>7.0000000000000007E-2</v>
      </c>
      <c r="J240" s="26">
        <v>1.2E-2</v>
      </c>
      <c r="K240" s="26">
        <v>7.0000000000000007E-2</v>
      </c>
      <c r="L240" s="26">
        <v>1.0999999999999999E-2</v>
      </c>
      <c r="M240" s="26">
        <v>0.18155006186029571</v>
      </c>
      <c r="N240" s="26">
        <v>4.9028047788409898E-2</v>
      </c>
    </row>
    <row r="241" spans="8:14" x14ac:dyDescent="0.3">
      <c r="H241" s="25" t="s">
        <v>285</v>
      </c>
      <c r="I241" s="26">
        <v>0</v>
      </c>
      <c r="J241" s="26">
        <v>-3.1E-2</v>
      </c>
      <c r="K241" s="26">
        <v>0</v>
      </c>
      <c r="L241" s="26">
        <v>-3.1E-2</v>
      </c>
      <c r="M241" s="26">
        <v>0</v>
      </c>
      <c r="N241" s="26">
        <v>0</v>
      </c>
    </row>
    <row r="242" spans="8:14" x14ac:dyDescent="0.3">
      <c r="H242" s="25" t="s">
        <v>280</v>
      </c>
      <c r="I242" s="26">
        <v>0.24099999999999996</v>
      </c>
      <c r="J242" s="26">
        <v>-1.9000000000000013E-2</v>
      </c>
      <c r="K242" s="26">
        <v>0.24099999999999996</v>
      </c>
      <c r="L242" s="26">
        <v>-1.9000000000000013E-2</v>
      </c>
      <c r="M242" s="26">
        <v>6.4198713405221305E-2</v>
      </c>
      <c r="N242" s="26">
        <v>0.36870715203851978</v>
      </c>
    </row>
    <row r="243" spans="8:14" x14ac:dyDescent="0.3">
      <c r="H243" s="24" t="s">
        <v>71</v>
      </c>
      <c r="I243" s="26">
        <v>4.2000000000000003E-2</v>
      </c>
      <c r="J243" s="26">
        <v>-4.6000000000000006E-2</v>
      </c>
      <c r="K243" s="26">
        <v>4.2000000000000003E-2</v>
      </c>
      <c r="L243" s="26">
        <v>-4.6000000000000013E-2</v>
      </c>
      <c r="M243" s="26">
        <v>3.3940159743544598E-2</v>
      </c>
      <c r="N243" s="26">
        <v>4.9464548326469904E-2</v>
      </c>
    </row>
    <row r="244" spans="8:14" x14ac:dyDescent="0.3">
      <c r="H244" s="25" t="s">
        <v>284</v>
      </c>
      <c r="I244" s="26">
        <v>1.7000000000000001E-2</v>
      </c>
      <c r="J244" s="26">
        <v>-2.5999999999999999E-2</v>
      </c>
      <c r="K244" s="26">
        <v>1.7000000000000001E-2</v>
      </c>
      <c r="L244" s="26">
        <v>-2.6000000000000002E-2</v>
      </c>
      <c r="M244" s="26">
        <v>0</v>
      </c>
      <c r="N244" s="26">
        <v>1.8320873108107E-2</v>
      </c>
    </row>
    <row r="245" spans="8:14" x14ac:dyDescent="0.3">
      <c r="H245" s="25" t="s">
        <v>300</v>
      </c>
      <c r="I245" s="26">
        <v>2.5000000000000001E-2</v>
      </c>
      <c r="J245" s="26">
        <v>2.2000000000000002E-2</v>
      </c>
      <c r="K245" s="26">
        <v>2.5000000000000001E-2</v>
      </c>
      <c r="L245" s="26">
        <v>2.1999999999999999E-2</v>
      </c>
      <c r="M245" s="26">
        <v>3.3940159743544598E-2</v>
      </c>
      <c r="N245" s="26">
        <v>3.11436752183629E-2</v>
      </c>
    </row>
    <row r="246" spans="8:14" x14ac:dyDescent="0.3">
      <c r="H246" s="25" t="s">
        <v>292</v>
      </c>
      <c r="I246" s="26">
        <v>0</v>
      </c>
      <c r="J246" s="26">
        <v>-4.200000000000001E-2</v>
      </c>
      <c r="K246" s="26">
        <v>0</v>
      </c>
      <c r="L246" s="26">
        <v>-4.200000000000001E-2</v>
      </c>
      <c r="M246" s="26">
        <v>0</v>
      </c>
      <c r="N246" s="26">
        <v>0</v>
      </c>
    </row>
    <row r="247" spans="8:14" x14ac:dyDescent="0.3">
      <c r="H247" s="24" t="s">
        <v>53</v>
      </c>
      <c r="I247" s="26">
        <v>0.161</v>
      </c>
      <c r="J247" s="26">
        <v>4.6000000000000013E-2</v>
      </c>
      <c r="K247" s="26">
        <v>0.161</v>
      </c>
      <c r="L247" s="26">
        <v>4.7E-2</v>
      </c>
      <c r="M247" s="26">
        <v>9.8662892723383397E-2</v>
      </c>
      <c r="N247" s="26">
        <v>9.2154413327541998E-2</v>
      </c>
    </row>
    <row r="248" spans="8:14" x14ac:dyDescent="0.3">
      <c r="H248" s="25" t="s">
        <v>288</v>
      </c>
      <c r="I248" s="26">
        <v>5.1000000000000004E-2</v>
      </c>
      <c r="J248" s="26">
        <v>4.9999999999999975E-3</v>
      </c>
      <c r="K248" s="26">
        <v>5.1000000000000004E-2</v>
      </c>
      <c r="L248" s="26">
        <v>5.9999999999999984E-3</v>
      </c>
      <c r="M248" s="26">
        <v>0</v>
      </c>
      <c r="N248" s="26">
        <v>0</v>
      </c>
    </row>
    <row r="249" spans="8:14" x14ac:dyDescent="0.3">
      <c r="H249" s="25" t="s">
        <v>299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</row>
    <row r="250" spans="8:14" x14ac:dyDescent="0.3">
      <c r="H250" s="25" t="s">
        <v>301</v>
      </c>
      <c r="I250" s="26">
        <v>2.7E-2</v>
      </c>
      <c r="J250" s="26">
        <v>9.0000000000000011E-3</v>
      </c>
      <c r="K250" s="26">
        <v>2.7E-2</v>
      </c>
      <c r="L250" s="26">
        <v>8.9999999999999993E-3</v>
      </c>
      <c r="M250" s="26">
        <v>7.3280821500735796E-2</v>
      </c>
      <c r="N250" s="26">
        <v>6.1629947944613801E-2</v>
      </c>
    </row>
    <row r="251" spans="8:14" x14ac:dyDescent="0.3">
      <c r="H251" s="25" t="s">
        <v>290</v>
      </c>
      <c r="I251" s="26">
        <v>8.3000000000000004E-2</v>
      </c>
      <c r="J251" s="26">
        <v>3.2000000000000015E-2</v>
      </c>
      <c r="K251" s="26">
        <v>8.3000000000000004E-2</v>
      </c>
      <c r="L251" s="26">
        <v>3.2000000000000001E-2</v>
      </c>
      <c r="M251" s="26">
        <v>2.5382071222647601E-2</v>
      </c>
      <c r="N251" s="26">
        <v>3.05244653829282E-2</v>
      </c>
    </row>
    <row r="252" spans="8:14" x14ac:dyDescent="0.3">
      <c r="H252" s="24" t="s">
        <v>68</v>
      </c>
      <c r="I252" s="26">
        <v>6.4000000000000001E-2</v>
      </c>
      <c r="J252" s="26">
        <v>2.2000000000000002E-2</v>
      </c>
      <c r="K252" s="26">
        <v>5.3999999999999999E-2</v>
      </c>
      <c r="L252" s="26">
        <v>1.2E-2</v>
      </c>
      <c r="M252" s="26">
        <v>3.8757149386853901E-2</v>
      </c>
      <c r="N252" s="26">
        <v>1.7070737931926601E-2</v>
      </c>
    </row>
    <row r="253" spans="8:14" x14ac:dyDescent="0.3">
      <c r="H253" s="25" t="s">
        <v>298</v>
      </c>
      <c r="I253" s="26">
        <v>2.7E-2</v>
      </c>
      <c r="J253" s="26">
        <v>0.02</v>
      </c>
      <c r="K253" s="26">
        <v>2.7E-2</v>
      </c>
      <c r="L253" s="26">
        <v>0.02</v>
      </c>
      <c r="M253" s="26">
        <v>3.8757149386853901E-2</v>
      </c>
      <c r="N253" s="26">
        <v>1.7070737931926601E-2</v>
      </c>
    </row>
    <row r="254" spans="8:14" x14ac:dyDescent="0.3">
      <c r="H254" s="25" t="s">
        <v>293</v>
      </c>
      <c r="I254" s="26">
        <v>3.6999999999999998E-2</v>
      </c>
      <c r="J254" s="26">
        <v>9.0000000000000011E-3</v>
      </c>
      <c r="K254" s="26">
        <v>2.7E-2</v>
      </c>
      <c r="L254" s="26">
        <v>-1.0000000000000009E-3</v>
      </c>
      <c r="M254" s="26">
        <v>0</v>
      </c>
      <c r="N254" s="26">
        <v>0</v>
      </c>
    </row>
    <row r="255" spans="8:14" x14ac:dyDescent="0.3">
      <c r="H255" s="25" t="s">
        <v>303</v>
      </c>
      <c r="I255" s="26">
        <v>0</v>
      </c>
      <c r="J255" s="26">
        <v>-7.0000000000000001E-3</v>
      </c>
      <c r="K255" s="26">
        <v>0</v>
      </c>
      <c r="L255" s="26">
        <v>-7.0000000000000001E-3</v>
      </c>
      <c r="M255" s="26">
        <v>0</v>
      </c>
      <c r="N255" s="26">
        <v>0</v>
      </c>
    </row>
    <row r="256" spans="8:14" x14ac:dyDescent="0.3">
      <c r="H256" s="24" t="s">
        <v>57</v>
      </c>
      <c r="I256" s="26">
        <v>0.374</v>
      </c>
      <c r="J256" s="26">
        <v>0</v>
      </c>
      <c r="K256" s="26">
        <v>0.34899999999999998</v>
      </c>
      <c r="L256" s="26">
        <v>-2.8000000000000001E-2</v>
      </c>
      <c r="M256" s="26">
        <v>0.44970732541260305</v>
      </c>
      <c r="N256" s="26">
        <v>0.37557052963308635</v>
      </c>
    </row>
    <row r="257" spans="8:14" x14ac:dyDescent="0.3">
      <c r="H257" s="25" t="s">
        <v>289</v>
      </c>
      <c r="I257" s="26">
        <v>5.6999999999999995E-2</v>
      </c>
      <c r="J257" s="26">
        <v>1.8999999999999996E-2</v>
      </c>
      <c r="K257" s="26">
        <v>5.1999999999999998E-2</v>
      </c>
      <c r="L257" s="26">
        <v>1.2999999999999998E-2</v>
      </c>
      <c r="M257" s="26">
        <v>4.6826126039753203E-2</v>
      </c>
      <c r="N257" s="26">
        <v>2.5488817338611899E-2</v>
      </c>
    </row>
    <row r="258" spans="8:14" x14ac:dyDescent="0.3">
      <c r="H258" s="25" t="s">
        <v>286</v>
      </c>
      <c r="I258" s="26">
        <v>0.11799999999999999</v>
      </c>
      <c r="J258" s="26">
        <v>-3.9E-2</v>
      </c>
      <c r="K258" s="26">
        <v>0.108</v>
      </c>
      <c r="L258" s="26">
        <v>-4.9000000000000002E-2</v>
      </c>
      <c r="M258" s="26">
        <v>0.108765258318773</v>
      </c>
      <c r="N258" s="26">
        <v>6.1718063583087998E-2</v>
      </c>
    </row>
    <row r="259" spans="8:14" x14ac:dyDescent="0.3">
      <c r="H259" s="25" t="s">
        <v>296</v>
      </c>
      <c r="I259" s="26">
        <v>0</v>
      </c>
      <c r="J259" s="26">
        <v>-6.0000000000000001E-3</v>
      </c>
      <c r="K259" s="26">
        <v>0</v>
      </c>
      <c r="L259" s="26">
        <v>-6.0000000000000001E-3</v>
      </c>
      <c r="M259" s="26">
        <v>0</v>
      </c>
      <c r="N259" s="26">
        <v>0</v>
      </c>
    </row>
    <row r="260" spans="8:14" x14ac:dyDescent="0.3">
      <c r="H260" s="25" t="s">
        <v>278</v>
      </c>
      <c r="I260" s="26">
        <v>6.8000000000000005E-2</v>
      </c>
      <c r="J260" s="26">
        <v>-8.9999999999999941E-3</v>
      </c>
      <c r="K260" s="26">
        <v>6.8000000000000005E-2</v>
      </c>
      <c r="L260" s="26">
        <v>-8.9999999999999976E-3</v>
      </c>
      <c r="M260" s="26">
        <v>0.14935667157363811</v>
      </c>
      <c r="N260" s="26">
        <v>0.1901899275540303</v>
      </c>
    </row>
    <row r="261" spans="8:14" x14ac:dyDescent="0.3">
      <c r="H261" s="25" t="s">
        <v>297</v>
      </c>
      <c r="I261" s="26">
        <v>1.9E-2</v>
      </c>
      <c r="J261" s="26">
        <v>3.9999999999999992E-3</v>
      </c>
      <c r="K261" s="26">
        <v>1.9E-2</v>
      </c>
      <c r="L261" s="26">
        <v>3.0000000000000001E-3</v>
      </c>
      <c r="M261" s="26">
        <v>0</v>
      </c>
      <c r="N261" s="26">
        <v>1.6730993243305001E-2</v>
      </c>
    </row>
    <row r="262" spans="8:14" x14ac:dyDescent="0.3">
      <c r="H262" s="25" t="s">
        <v>299</v>
      </c>
      <c r="I262" s="26">
        <v>3.7999999999999999E-2</v>
      </c>
      <c r="J262" s="26">
        <v>1.0999999999999999E-2</v>
      </c>
      <c r="K262" s="26">
        <v>3.7999999999999999E-2</v>
      </c>
      <c r="L262" s="26">
        <v>1.0999999999999999E-2</v>
      </c>
      <c r="M262" s="26">
        <v>8.1669708565292806E-2</v>
      </c>
      <c r="N262" s="26">
        <v>6.2975261973117896E-2</v>
      </c>
    </row>
    <row r="263" spans="8:14" x14ac:dyDescent="0.3">
      <c r="H263" s="25" t="s">
        <v>294</v>
      </c>
      <c r="I263" s="26">
        <v>3.9E-2</v>
      </c>
      <c r="J263" s="26">
        <v>2.1000000000000001E-2</v>
      </c>
      <c r="K263" s="26">
        <v>3.4000000000000002E-2</v>
      </c>
      <c r="L263" s="26">
        <v>1.5000000000000003E-2</v>
      </c>
      <c r="M263" s="26">
        <v>4.0785259116309501E-2</v>
      </c>
      <c r="N263" s="26">
        <v>1.8467465940933198E-2</v>
      </c>
    </row>
    <row r="264" spans="8:14" x14ac:dyDescent="0.3">
      <c r="H264" s="25" t="s">
        <v>291</v>
      </c>
      <c r="I264" s="26">
        <v>5.0000000000000001E-3</v>
      </c>
      <c r="J264" s="26">
        <v>5.0000000000000001E-3</v>
      </c>
      <c r="K264" s="26">
        <v>0</v>
      </c>
      <c r="L264" s="26">
        <v>0</v>
      </c>
      <c r="M264" s="26">
        <v>0</v>
      </c>
      <c r="N264" s="26">
        <v>0</v>
      </c>
    </row>
    <row r="265" spans="8:14" x14ac:dyDescent="0.3">
      <c r="H265" s="25" t="s">
        <v>285</v>
      </c>
      <c r="I265" s="26">
        <v>0.03</v>
      </c>
      <c r="J265" s="26">
        <v>-5.9999999999999993E-3</v>
      </c>
      <c r="K265" s="26">
        <v>0.03</v>
      </c>
      <c r="L265" s="26">
        <v>-5.9999999999999993E-3</v>
      </c>
      <c r="M265" s="26">
        <v>2.2304301798836398E-2</v>
      </c>
      <c r="N265" s="26">
        <v>0</v>
      </c>
    </row>
    <row r="266" spans="8:14" x14ac:dyDescent="0.3">
      <c r="H266" s="24" t="s">
        <v>602</v>
      </c>
      <c r="I266" s="26"/>
      <c r="J266" s="26"/>
      <c r="K266" s="26"/>
      <c r="L266" s="26"/>
      <c r="M266" s="26"/>
      <c r="N266" s="26"/>
    </row>
    <row r="267" spans="8:14" x14ac:dyDescent="0.3">
      <c r="H267" s="25" t="s">
        <v>602</v>
      </c>
      <c r="I267" s="26"/>
      <c r="J267" s="26"/>
      <c r="K267" s="26"/>
      <c r="L267" s="26"/>
      <c r="M267" s="26"/>
      <c r="N267" s="26"/>
    </row>
    <row r="268" spans="8:14" x14ac:dyDescent="0.3">
      <c r="H268" s="24" t="s">
        <v>309</v>
      </c>
      <c r="I268" s="26">
        <v>1.038</v>
      </c>
      <c r="J268" s="26">
        <v>3.5000000000000003E-2</v>
      </c>
      <c r="K268" s="26">
        <v>1.0030000000000001</v>
      </c>
      <c r="L268" s="26">
        <v>-3.0000000000000243E-3</v>
      </c>
      <c r="M268" s="26">
        <v>0.99999999999999978</v>
      </c>
      <c r="N268" s="26">
        <v>0.99999999999999967</v>
      </c>
    </row>
  </sheetData>
  <autoFilter ref="A8:BK226" xr:uid="{16D9FD78-13E4-460E-A5A8-DA49117156E1}">
    <sortState xmlns:xlrd2="http://schemas.microsoft.com/office/spreadsheetml/2017/richdata2" ref="A9:BK226">
      <sortCondition descending="1" ref="F8:F226"/>
    </sortState>
  </autoFilter>
  <mergeCells count="3">
    <mergeCell ref="R1:AD3"/>
    <mergeCell ref="AE1:AJ3"/>
    <mergeCell ref="AK1:BK3"/>
  </mergeCells>
  <conditionalFormatting sqref="F220:F226">
    <cfRule type="colorScale" priority="1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220:K226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0:L226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0:Q226">
    <cfRule type="colorScale" priority="2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220:Q226">
    <cfRule type="colorScale" priority="2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7:BK7 M7 O7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0:R226">
    <cfRule type="colorScale" priority="2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20:S226">
    <cfRule type="colorScale" priority="2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220:T226">
    <cfRule type="colorScale" priority="2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220:U226">
    <cfRule type="colorScale" priority="2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220:V226">
    <cfRule type="colorScale" priority="2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220:W226">
    <cfRule type="colorScale" priority="2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220:X226">
    <cfRule type="colorScale" priority="2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220:Y226">
    <cfRule type="colorScale" priority="2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220:Z226">
    <cfRule type="colorScale" priority="2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220:AA226">
    <cfRule type="colorScale" priority="2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220:AB226">
    <cfRule type="colorScale" priority="2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220:AC226">
    <cfRule type="colorScale" priority="2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220:AD226">
    <cfRule type="colorScale" priority="2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220:AE226">
    <cfRule type="colorScale" priority="2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220:AF226">
    <cfRule type="colorScale" priority="2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220:AG226">
    <cfRule type="colorScale" priority="2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220:AH226">
    <cfRule type="colorScale" priority="2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220:AI226">
    <cfRule type="colorScale" priority="2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220:AJ226">
    <cfRule type="colorScale" priority="2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220:AK226">
    <cfRule type="colorScale" priority="2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220:AL226">
    <cfRule type="colorScale" priority="2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220:AM226">
    <cfRule type="colorScale" priority="2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220:AN226">
    <cfRule type="colorScale" priority="2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220:AO226">
    <cfRule type="colorScale" priority="2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220:AP226">
    <cfRule type="colorScale" priority="2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220:AQ226">
    <cfRule type="colorScale" priority="1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220:AR226">
    <cfRule type="colorScale" priority="1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220:AS226">
    <cfRule type="colorScale" priority="1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220:AT226">
    <cfRule type="colorScale" priority="1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220:AU226">
    <cfRule type="colorScale" priority="1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220:AV226">
    <cfRule type="colorScale" priority="1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220:AW226">
    <cfRule type="colorScale" priority="1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220:AX226">
    <cfRule type="colorScale" priority="1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220:AY226">
    <cfRule type="colorScale" priority="1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220:AZ226">
    <cfRule type="colorScale" priority="1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220:BA226">
    <cfRule type="colorScale" priority="1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220:BB226">
    <cfRule type="colorScale" priority="1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220:BC226">
    <cfRule type="colorScale" priority="1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220:BD226"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220:BE226">
    <cfRule type="colorScale" priority="1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220:BF226">
    <cfRule type="colorScale" priority="1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220:BG226">
    <cfRule type="colorScale" priority="1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220:BH226">
    <cfRule type="colorScale" priority="1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220:BI226"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220:BJ226">
    <cfRule type="colorScale" priority="1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220:BK226">
    <cfRule type="colorScale" priority="1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238:L268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R6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BK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G6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0:C222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:D222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0:E222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BK4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239:J242 J238 J243 J244:J246 J247 J248:J251 J252 J253:J255 J256 J257:J265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:F60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9:F219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9:K2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:L219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:M219 Q9:R2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8:S60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9:S219">
    <cfRule type="colorScale" priority="9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8">
    <cfRule type="colorScale" priority="1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60">
    <cfRule type="colorScale" priority="9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T9:T219">
    <cfRule type="colorScale" priority="9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8">
    <cfRule type="colorScale" priority="1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60"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U9:U219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8">
    <cfRule type="colorScale" priority="1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6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9:V219"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8">
    <cfRule type="colorScale" priority="1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60"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9:W219"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8">
    <cfRule type="colorScale" priority="1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60">
    <cfRule type="colorScale" priority="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9:X219">
    <cfRule type="colorScale" priority="8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8">
    <cfRule type="colorScale" priority="1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60">
    <cfRule type="colorScale" priority="8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Y9:Y219">
    <cfRule type="colorScale" priority="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8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60">
    <cfRule type="colorScale" priority="8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Z9:Z219">
    <cfRule type="colorScale" priority="8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8">
    <cfRule type="colorScale" priority="1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60">
    <cfRule type="colorScale" priority="8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A9:AA219">
    <cfRule type="colorScale" priority="8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8">
    <cfRule type="colorScale" priority="1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60">
    <cfRule type="colorScale" priority="8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9:AB219">
    <cfRule type="colorScale" priority="8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8">
    <cfRule type="colorScale" priority="1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60">
    <cfRule type="colorScale" priority="8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C9:AC219">
    <cfRule type="colorScale" priority="7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8">
    <cfRule type="colorScale" priority="1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60">
    <cfRule type="colorScale" priority="7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9:AD219">
    <cfRule type="colorScale" priority="7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8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60">
    <cfRule type="colorScale" priority="7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E9:AE219">
    <cfRule type="colorScale" priority="7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8">
    <cfRule type="colorScale" priority="1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60">
    <cfRule type="colorScale" priority="7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9:AF219">
    <cfRule type="colorScale" priority="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8">
    <cfRule type="colorScale" priority="1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60">
    <cfRule type="colorScale" priority="7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9:AG219">
    <cfRule type="colorScale" priority="7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8">
    <cfRule type="colorScale" priority="1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60">
    <cfRule type="colorScale" priority="7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H9:AH219">
    <cfRule type="colorScale" priority="6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8">
    <cfRule type="colorScale" priority="1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60"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I9:AI219">
    <cfRule type="colorScale" priority="6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8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60">
    <cfRule type="colorScale" priority="6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9:AJ219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8">
    <cfRule type="colorScale" priority="1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60"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K9:AK219">
    <cfRule type="colorScale" priority="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8">
    <cfRule type="colorScale" priority="1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60">
    <cfRule type="colorScale" priority="6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L9:AL219">
    <cfRule type="colorScale" priority="6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8">
    <cfRule type="colorScale" priority="1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60">
    <cfRule type="colorScale" priority="6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M9:AM219">
    <cfRule type="colorScale" priority="5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8">
    <cfRule type="colorScale" priority="1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60">
    <cfRule type="colorScale" priority="5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9:AN219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8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60"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9:AO219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8">
    <cfRule type="colorScale" priority="1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60">
    <cfRule type="colorScale" priority="5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9:AP219">
    <cfRule type="colorScale" priority="5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8">
    <cfRule type="colorScale" priority="1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60">
    <cfRule type="colorScale" priority="5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Q9:AQ219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8">
    <cfRule type="colorScale" priority="1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60">
    <cfRule type="colorScale" priority="5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R9:AR219">
    <cfRule type="colorScale" priority="4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8">
    <cfRule type="colorScale" priority="1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60">
    <cfRule type="colorScale" priority="4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S9:AS219"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8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60">
    <cfRule type="colorScale" priority="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T9:AT219">
    <cfRule type="colorScale" priority="4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8">
    <cfRule type="colorScale" priority="1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60">
    <cfRule type="colorScale" priority="4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U9:AU219">
    <cfRule type="colorScale" priority="4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8">
    <cfRule type="colorScale" priority="1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60">
    <cfRule type="colorScale" priority="4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V9:AV219">
    <cfRule type="colorScale" priority="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8">
    <cfRule type="colorScale" priority="1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60">
    <cfRule type="colorScale" priority="4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9:AW219">
    <cfRule type="colorScale" priority="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8">
    <cfRule type="colorScale" priority="1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60">
    <cfRule type="colorScale" priority="3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X9:AX219">
    <cfRule type="colorScale" priority="3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8">
    <cfRule type="colorScale" priority="10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60">
    <cfRule type="colorScale" priority="3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Y9:AY219">
    <cfRule type="colorScale" priority="3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8">
    <cfRule type="colorScale" priority="10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60">
    <cfRule type="colorScale" priority="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9:AZ219">
    <cfRule type="colorScale" priority="3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8">
    <cfRule type="colorScale" priority="10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60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A9:BA219">
    <cfRule type="colorScale" priority="3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8">
    <cfRule type="colorScale" priority="1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60">
    <cfRule type="colorScale" priority="3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B9:BB219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8">
    <cfRule type="colorScale" priority="10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60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C9:BC219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8">
    <cfRule type="colorScale" priority="10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60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D9:BD219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8">
    <cfRule type="colorScale" priority="10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60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E9:BE219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8">
    <cfRule type="colorScale" priority="10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60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F9:BF219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8">
    <cfRule type="colorScale" priority="10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60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G9:BG219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8">
    <cfRule type="colorScale" priority="10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60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H9:BH219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60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I9:BI219"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60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J9:BJ219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60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K9:BK219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60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L9:BL219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9:D2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P2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E2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A8E83-1FCF-4C5D-9E0A-5135EEB3FF10}">
  <dimension ref="A1:BH212"/>
  <sheetViews>
    <sheetView workbookViewId="0">
      <selection activeCell="D21" sqref="D21"/>
    </sheetView>
  </sheetViews>
  <sheetFormatPr defaultRowHeight="14.4" x14ac:dyDescent="0.3"/>
  <sheetData>
    <row r="1" spans="1:60" x14ac:dyDescent="0.3">
      <c r="A1" t="s">
        <v>306</v>
      </c>
      <c r="B1" t="s">
        <v>305</v>
      </c>
      <c r="C1" t="s">
        <v>304</v>
      </c>
    </row>
    <row r="2" spans="1:60" x14ac:dyDescent="0.3">
      <c r="A2" t="s">
        <v>192</v>
      </c>
      <c r="B2" t="s">
        <v>286</v>
      </c>
      <c r="C2" t="s">
        <v>283</v>
      </c>
    </row>
    <row r="3" spans="1:60" x14ac:dyDescent="0.3">
      <c r="A3" t="s">
        <v>72</v>
      </c>
      <c r="B3" t="s">
        <v>289</v>
      </c>
      <c r="C3" t="s">
        <v>281</v>
      </c>
    </row>
    <row r="4" spans="1:60" x14ac:dyDescent="0.3">
      <c r="A4" t="s">
        <v>98</v>
      </c>
      <c r="B4" t="s">
        <v>303</v>
      </c>
      <c r="C4" t="s">
        <v>282</v>
      </c>
    </row>
    <row r="5" spans="1:60" x14ac:dyDescent="0.3">
      <c r="A5" t="s">
        <v>63</v>
      </c>
      <c r="B5" t="s">
        <v>289</v>
      </c>
      <c r="C5" t="s">
        <v>282</v>
      </c>
    </row>
    <row r="6" spans="1:60" x14ac:dyDescent="0.3">
      <c r="A6" t="s">
        <v>164</v>
      </c>
      <c r="B6" t="s">
        <v>293</v>
      </c>
      <c r="C6" t="s">
        <v>283</v>
      </c>
    </row>
    <row r="7" spans="1:60" x14ac:dyDescent="0.3">
      <c r="A7" t="s">
        <v>73</v>
      </c>
      <c r="B7" t="s">
        <v>286</v>
      </c>
      <c r="C7" t="s">
        <v>283</v>
      </c>
    </row>
    <row r="8" spans="1:60" ht="15" thickBot="1" x14ac:dyDescent="0.35">
      <c r="A8" t="s">
        <v>263</v>
      </c>
      <c r="B8" t="s">
        <v>293</v>
      </c>
      <c r="C8" t="s">
        <v>279</v>
      </c>
      <c r="BE8" s="20"/>
      <c r="BF8" s="21"/>
      <c r="BG8" s="21"/>
      <c r="BH8" s="21"/>
    </row>
    <row r="9" spans="1:60" ht="15" thickBot="1" x14ac:dyDescent="0.35">
      <c r="A9" t="s">
        <v>177</v>
      </c>
      <c r="B9" t="s">
        <v>284</v>
      </c>
      <c r="C9" t="s">
        <v>282</v>
      </c>
      <c r="BE9" s="20"/>
      <c r="BF9" s="21"/>
      <c r="BG9" s="21"/>
      <c r="BH9" s="21"/>
    </row>
    <row r="10" spans="1:60" ht="15" thickBot="1" x14ac:dyDescent="0.35">
      <c r="A10" t="s">
        <v>159</v>
      </c>
      <c r="B10" t="s">
        <v>284</v>
      </c>
      <c r="C10" t="s">
        <v>282</v>
      </c>
      <c r="BE10" s="20"/>
      <c r="BF10" s="21"/>
      <c r="BG10" s="21"/>
      <c r="BH10" s="21"/>
    </row>
    <row r="11" spans="1:60" ht="15" thickBot="1" x14ac:dyDescent="0.35">
      <c r="A11" t="s">
        <v>172</v>
      </c>
      <c r="B11" t="s">
        <v>284</v>
      </c>
      <c r="C11" t="s">
        <v>282</v>
      </c>
      <c r="BE11" s="20"/>
      <c r="BF11" s="21"/>
      <c r="BG11" s="21"/>
      <c r="BH11" s="21"/>
    </row>
    <row r="12" spans="1:60" ht="15" thickBot="1" x14ac:dyDescent="0.35">
      <c r="A12" t="s">
        <v>145</v>
      </c>
      <c r="B12" t="s">
        <v>286</v>
      </c>
      <c r="C12" t="s">
        <v>281</v>
      </c>
      <c r="BE12" s="20"/>
      <c r="BF12" s="21"/>
      <c r="BG12" s="21"/>
      <c r="BH12" s="21"/>
    </row>
    <row r="13" spans="1:60" ht="15" thickBot="1" x14ac:dyDescent="0.35">
      <c r="A13" t="s">
        <v>256</v>
      </c>
      <c r="B13" t="s">
        <v>298</v>
      </c>
      <c r="C13" t="s">
        <v>279</v>
      </c>
      <c r="BE13" s="20"/>
      <c r="BF13" s="21"/>
      <c r="BG13" s="21"/>
      <c r="BH13" s="21"/>
    </row>
    <row r="14" spans="1:60" ht="15" thickBot="1" x14ac:dyDescent="0.35">
      <c r="A14" t="s">
        <v>222</v>
      </c>
      <c r="B14" t="s">
        <v>284</v>
      </c>
      <c r="C14" t="s">
        <v>279</v>
      </c>
      <c r="BE14" s="20"/>
      <c r="BF14" s="21"/>
      <c r="BG14" s="21"/>
      <c r="BH14" s="21"/>
    </row>
    <row r="15" spans="1:60" ht="15" thickBot="1" x14ac:dyDescent="0.35">
      <c r="A15" t="s">
        <v>253</v>
      </c>
      <c r="B15" t="s">
        <v>293</v>
      </c>
      <c r="C15" t="s">
        <v>287</v>
      </c>
      <c r="BE15" s="20"/>
      <c r="BF15" s="21"/>
      <c r="BG15" s="21"/>
      <c r="BH15" s="21"/>
    </row>
    <row r="16" spans="1:60" ht="15" thickBot="1" x14ac:dyDescent="0.35">
      <c r="A16" t="s">
        <v>185</v>
      </c>
      <c r="B16" t="s">
        <v>280</v>
      </c>
      <c r="C16" t="s">
        <v>283</v>
      </c>
      <c r="BE16" s="20"/>
      <c r="BF16" s="21"/>
      <c r="BG16" s="21"/>
      <c r="BH16" s="21"/>
    </row>
    <row r="17" spans="1:60" ht="15" thickBot="1" x14ac:dyDescent="0.35">
      <c r="A17" t="s">
        <v>165</v>
      </c>
      <c r="B17" t="s">
        <v>284</v>
      </c>
      <c r="C17" t="s">
        <v>283</v>
      </c>
      <c r="BE17" s="20"/>
      <c r="BF17" s="21"/>
      <c r="BG17" s="21"/>
      <c r="BH17" s="21"/>
    </row>
    <row r="18" spans="1:60" ht="15" thickBot="1" x14ac:dyDescent="0.35">
      <c r="A18" t="s">
        <v>179</v>
      </c>
      <c r="B18" t="s">
        <v>284</v>
      </c>
      <c r="C18" t="s">
        <v>283</v>
      </c>
      <c r="BE18" s="20"/>
      <c r="BF18" s="21"/>
      <c r="BG18" s="21"/>
      <c r="BH18" s="21"/>
    </row>
    <row r="19" spans="1:60" ht="15" thickBot="1" x14ac:dyDescent="0.35">
      <c r="A19" t="s">
        <v>204</v>
      </c>
      <c r="B19" t="s">
        <v>280</v>
      </c>
      <c r="C19" t="s">
        <v>282</v>
      </c>
      <c r="BE19" s="20"/>
      <c r="BF19" s="21"/>
      <c r="BG19" s="21"/>
      <c r="BH19" s="21"/>
    </row>
    <row r="20" spans="1:60" ht="15" thickBot="1" x14ac:dyDescent="0.35">
      <c r="A20" t="s">
        <v>194</v>
      </c>
      <c r="B20" t="s">
        <v>294</v>
      </c>
      <c r="C20" t="s">
        <v>287</v>
      </c>
      <c r="BE20" s="20"/>
      <c r="BF20" s="21"/>
      <c r="BG20" s="21"/>
      <c r="BH20" s="21"/>
    </row>
    <row r="21" spans="1:60" ht="15" thickBot="1" x14ac:dyDescent="0.35">
      <c r="A21" t="s">
        <v>169</v>
      </c>
      <c r="B21" t="s">
        <v>294</v>
      </c>
      <c r="C21" t="s">
        <v>287</v>
      </c>
      <c r="BE21" s="20"/>
      <c r="BF21" s="21"/>
      <c r="BG21" s="21"/>
      <c r="BH21" s="21"/>
    </row>
    <row r="22" spans="1:60" ht="15" thickBot="1" x14ac:dyDescent="0.35">
      <c r="A22" t="s">
        <v>100</v>
      </c>
      <c r="B22" t="s">
        <v>293</v>
      </c>
      <c r="C22" t="s">
        <v>282</v>
      </c>
      <c r="BE22" s="20"/>
      <c r="BF22" s="21"/>
      <c r="BG22" s="21"/>
      <c r="BH22" s="21"/>
    </row>
    <row r="23" spans="1:60" ht="15" thickBot="1" x14ac:dyDescent="0.35">
      <c r="A23" t="s">
        <v>175</v>
      </c>
      <c r="B23" t="s">
        <v>288</v>
      </c>
      <c r="C23" t="s">
        <v>287</v>
      </c>
      <c r="BE23" s="20"/>
      <c r="BF23" s="21"/>
      <c r="BG23" s="21"/>
      <c r="BH23" s="21"/>
    </row>
    <row r="24" spans="1:60" ht="15" thickBot="1" x14ac:dyDescent="0.35">
      <c r="A24" t="s">
        <v>193</v>
      </c>
      <c r="B24" t="s">
        <v>280</v>
      </c>
      <c r="C24" t="s">
        <v>283</v>
      </c>
      <c r="BE24" s="20"/>
      <c r="BF24" s="21"/>
      <c r="BG24" s="21"/>
      <c r="BH24" s="21"/>
    </row>
    <row r="25" spans="1:60" ht="15" thickBot="1" x14ac:dyDescent="0.35">
      <c r="A25" t="s">
        <v>259</v>
      </c>
      <c r="B25" t="s">
        <v>294</v>
      </c>
      <c r="C25" t="s">
        <v>282</v>
      </c>
      <c r="BE25" s="20"/>
      <c r="BF25" s="21"/>
      <c r="BG25" s="21"/>
      <c r="BH25" s="21"/>
    </row>
    <row r="26" spans="1:60" ht="15" thickBot="1" x14ac:dyDescent="0.35">
      <c r="A26" t="s">
        <v>127</v>
      </c>
      <c r="B26" t="s">
        <v>301</v>
      </c>
      <c r="C26" t="s">
        <v>279</v>
      </c>
      <c r="BE26" s="20"/>
      <c r="BF26" s="21"/>
      <c r="BG26" s="21"/>
      <c r="BH26" s="21"/>
    </row>
    <row r="27" spans="1:60" ht="15" thickBot="1" x14ac:dyDescent="0.35">
      <c r="A27" t="s">
        <v>173</v>
      </c>
      <c r="B27" t="s">
        <v>280</v>
      </c>
      <c r="C27" t="s">
        <v>282</v>
      </c>
      <c r="BE27" s="20"/>
      <c r="BF27" s="21"/>
      <c r="BG27" s="21"/>
      <c r="BH27" s="21"/>
    </row>
    <row r="28" spans="1:60" ht="15" thickBot="1" x14ac:dyDescent="0.35">
      <c r="A28" t="s">
        <v>241</v>
      </c>
      <c r="B28" t="s">
        <v>285</v>
      </c>
      <c r="C28" t="s">
        <v>283</v>
      </c>
      <c r="BE28" s="20"/>
      <c r="BF28" s="21"/>
      <c r="BG28" s="21"/>
      <c r="BH28" s="21"/>
    </row>
    <row r="29" spans="1:60" ht="15" thickBot="1" x14ac:dyDescent="0.35">
      <c r="A29" t="s">
        <v>123</v>
      </c>
      <c r="B29" t="s">
        <v>302</v>
      </c>
      <c r="C29" t="s">
        <v>279</v>
      </c>
      <c r="BE29" s="20"/>
      <c r="BF29" s="21"/>
      <c r="BG29" s="21"/>
      <c r="BH29" s="21"/>
    </row>
    <row r="30" spans="1:60" ht="15" thickBot="1" x14ac:dyDescent="0.35">
      <c r="A30" t="s">
        <v>102</v>
      </c>
      <c r="B30" t="s">
        <v>297</v>
      </c>
      <c r="C30" t="s">
        <v>281</v>
      </c>
      <c r="BE30" s="20"/>
      <c r="BF30" s="21"/>
      <c r="BG30" s="21"/>
      <c r="BH30" s="21"/>
    </row>
    <row r="31" spans="1:60" ht="15" thickBot="1" x14ac:dyDescent="0.35">
      <c r="A31" t="s">
        <v>144</v>
      </c>
      <c r="B31" t="s">
        <v>280</v>
      </c>
      <c r="C31" t="s">
        <v>282</v>
      </c>
      <c r="BE31" s="20"/>
      <c r="BF31" s="21"/>
      <c r="BG31" s="21"/>
      <c r="BH31" s="21"/>
    </row>
    <row r="32" spans="1:60" ht="15" thickBot="1" x14ac:dyDescent="0.35">
      <c r="A32" t="s">
        <v>153</v>
      </c>
      <c r="B32" t="s">
        <v>278</v>
      </c>
      <c r="C32" t="s">
        <v>279</v>
      </c>
      <c r="BE32" s="20"/>
      <c r="BF32" s="21"/>
      <c r="BG32" s="21"/>
      <c r="BH32" s="21"/>
    </row>
    <row r="33" spans="1:60" ht="15" thickBot="1" x14ac:dyDescent="0.35">
      <c r="A33" t="s">
        <v>64</v>
      </c>
      <c r="B33" t="s">
        <v>280</v>
      </c>
      <c r="C33" t="s">
        <v>281</v>
      </c>
      <c r="BE33" s="20"/>
      <c r="BF33" s="21"/>
      <c r="BG33" s="21"/>
      <c r="BH33" s="21"/>
    </row>
    <row r="34" spans="1:60" ht="15" thickBot="1" x14ac:dyDescent="0.35">
      <c r="A34" t="s">
        <v>56</v>
      </c>
      <c r="B34" t="s">
        <v>280</v>
      </c>
      <c r="C34" t="s">
        <v>283</v>
      </c>
      <c r="BE34" s="20"/>
      <c r="BF34" s="21"/>
      <c r="BG34" s="21"/>
      <c r="BH34" s="21"/>
    </row>
    <row r="35" spans="1:60" ht="15" thickBot="1" x14ac:dyDescent="0.35">
      <c r="A35" t="s">
        <v>62</v>
      </c>
      <c r="B35" t="s">
        <v>280</v>
      </c>
      <c r="C35" t="s">
        <v>283</v>
      </c>
      <c r="BE35" s="20"/>
      <c r="BF35" s="21"/>
      <c r="BG35" s="21"/>
      <c r="BH35" s="21"/>
    </row>
    <row r="36" spans="1:60" ht="15" thickBot="1" x14ac:dyDescent="0.35">
      <c r="A36" t="s">
        <v>117</v>
      </c>
      <c r="B36" t="s">
        <v>280</v>
      </c>
      <c r="C36" t="s">
        <v>283</v>
      </c>
      <c r="BE36" s="20"/>
      <c r="BF36" s="21"/>
      <c r="BG36" s="21"/>
      <c r="BH36" s="21"/>
    </row>
    <row r="37" spans="1:60" ht="15" thickBot="1" x14ac:dyDescent="0.35">
      <c r="A37" t="s">
        <v>70</v>
      </c>
      <c r="B37" t="s">
        <v>284</v>
      </c>
      <c r="C37" t="s">
        <v>282</v>
      </c>
      <c r="BE37" s="20"/>
      <c r="BF37" s="21"/>
      <c r="BG37" s="21"/>
      <c r="BH37" s="21"/>
    </row>
    <row r="38" spans="1:60" ht="15" thickBot="1" x14ac:dyDescent="0.35">
      <c r="A38" t="s">
        <v>82</v>
      </c>
      <c r="B38" t="s">
        <v>284</v>
      </c>
      <c r="C38" t="s">
        <v>283</v>
      </c>
      <c r="BE38" s="20"/>
      <c r="BF38" s="21"/>
      <c r="BG38" s="21"/>
      <c r="BH38" s="21"/>
    </row>
    <row r="39" spans="1:60" ht="15" thickBot="1" x14ac:dyDescent="0.35">
      <c r="A39" t="s">
        <v>200</v>
      </c>
      <c r="B39" t="s">
        <v>285</v>
      </c>
      <c r="C39" t="s">
        <v>281</v>
      </c>
      <c r="BE39" s="20"/>
      <c r="BF39" s="21"/>
      <c r="BG39" s="21"/>
      <c r="BH39" s="21"/>
    </row>
    <row r="40" spans="1:60" ht="15" thickBot="1" x14ac:dyDescent="0.35">
      <c r="A40" t="s">
        <v>601</v>
      </c>
      <c r="B40" t="s">
        <v>290</v>
      </c>
      <c r="C40" t="s">
        <v>283</v>
      </c>
      <c r="BE40" s="20"/>
      <c r="BF40" s="21"/>
      <c r="BG40" s="21"/>
      <c r="BH40" s="21"/>
    </row>
    <row r="41" spans="1:60" ht="15" thickBot="1" x14ac:dyDescent="0.35">
      <c r="A41" t="s">
        <v>110</v>
      </c>
      <c r="B41" t="s">
        <v>286</v>
      </c>
      <c r="C41" t="s">
        <v>282</v>
      </c>
      <c r="BE41" s="20"/>
      <c r="BF41" s="21"/>
      <c r="BG41" s="21"/>
      <c r="BH41" s="21"/>
    </row>
    <row r="42" spans="1:60" ht="15" thickBot="1" x14ac:dyDescent="0.35">
      <c r="A42" t="s">
        <v>135</v>
      </c>
      <c r="B42" t="s">
        <v>286</v>
      </c>
      <c r="C42" t="s">
        <v>283</v>
      </c>
      <c r="BE42" s="20"/>
      <c r="BF42" s="21"/>
      <c r="BG42" s="21"/>
      <c r="BH42" s="21"/>
    </row>
    <row r="43" spans="1:60" ht="15" thickBot="1" x14ac:dyDescent="0.35">
      <c r="A43" t="s">
        <v>112</v>
      </c>
      <c r="B43" t="s">
        <v>280</v>
      </c>
      <c r="C43" t="s">
        <v>282</v>
      </c>
      <c r="BE43" s="20"/>
      <c r="BF43" s="21"/>
      <c r="BG43" s="21"/>
      <c r="BH43" s="21"/>
    </row>
    <row r="44" spans="1:60" ht="15" thickBot="1" x14ac:dyDescent="0.35">
      <c r="A44" t="s">
        <v>156</v>
      </c>
      <c r="B44" t="s">
        <v>285</v>
      </c>
      <c r="C44" t="s">
        <v>287</v>
      </c>
      <c r="BE44" s="20"/>
      <c r="BF44" s="21"/>
      <c r="BG44" s="21"/>
      <c r="BH44" s="21"/>
    </row>
    <row r="45" spans="1:60" ht="15" thickBot="1" x14ac:dyDescent="0.35">
      <c r="A45" t="s">
        <v>246</v>
      </c>
      <c r="B45" t="s">
        <v>288</v>
      </c>
      <c r="C45" t="s">
        <v>281</v>
      </c>
      <c r="BE45" s="20"/>
      <c r="BF45" s="21"/>
      <c r="BG45" s="21"/>
      <c r="BH45" s="21"/>
    </row>
    <row r="46" spans="1:60" ht="15" thickBot="1" x14ac:dyDescent="0.35">
      <c r="A46" t="s">
        <v>58</v>
      </c>
      <c r="B46" t="s">
        <v>289</v>
      </c>
      <c r="C46" t="s">
        <v>279</v>
      </c>
      <c r="BE46" s="20"/>
      <c r="BF46" s="21"/>
      <c r="BG46" s="21"/>
      <c r="BH46" s="21"/>
    </row>
    <row r="47" spans="1:60" ht="15" thickBot="1" x14ac:dyDescent="0.35">
      <c r="A47" t="s">
        <v>207</v>
      </c>
      <c r="B47" t="s">
        <v>290</v>
      </c>
      <c r="C47" t="s">
        <v>287</v>
      </c>
      <c r="BE47" s="20"/>
      <c r="BF47" s="21"/>
      <c r="BG47" s="21"/>
      <c r="BH47" s="21"/>
    </row>
    <row r="48" spans="1:60" ht="15" thickBot="1" x14ac:dyDescent="0.35">
      <c r="A48" t="s">
        <v>220</v>
      </c>
      <c r="B48" t="s">
        <v>278</v>
      </c>
      <c r="C48" t="s">
        <v>287</v>
      </c>
      <c r="BE48" s="20"/>
      <c r="BF48" s="21"/>
      <c r="BG48" s="21"/>
      <c r="BH48" s="21"/>
    </row>
    <row r="49" spans="1:60" ht="15" thickBot="1" x14ac:dyDescent="0.35">
      <c r="A49" t="s">
        <v>217</v>
      </c>
      <c r="B49" t="s">
        <v>278</v>
      </c>
      <c r="C49" t="s">
        <v>287</v>
      </c>
      <c r="BE49" s="20"/>
      <c r="BF49" s="21"/>
      <c r="BG49" s="21"/>
      <c r="BH49" s="21"/>
    </row>
    <row r="50" spans="1:60" ht="15" thickBot="1" x14ac:dyDescent="0.35">
      <c r="A50" t="s">
        <v>254</v>
      </c>
      <c r="B50" t="s">
        <v>278</v>
      </c>
      <c r="C50" t="s">
        <v>287</v>
      </c>
      <c r="BE50" s="20"/>
      <c r="BF50" s="21"/>
      <c r="BG50" s="21"/>
      <c r="BH50" s="21"/>
    </row>
    <row r="51" spans="1:60" ht="15" thickBot="1" x14ac:dyDescent="0.35">
      <c r="A51" t="s">
        <v>155</v>
      </c>
      <c r="B51" t="s">
        <v>280</v>
      </c>
      <c r="C51" t="s">
        <v>282</v>
      </c>
      <c r="BE51" s="20"/>
      <c r="BF51" s="21"/>
      <c r="BG51" s="21"/>
      <c r="BH51" s="21"/>
    </row>
    <row r="52" spans="1:60" ht="15" thickBot="1" x14ac:dyDescent="0.35">
      <c r="A52" t="s">
        <v>213</v>
      </c>
      <c r="B52" t="s">
        <v>291</v>
      </c>
      <c r="C52" t="s">
        <v>283</v>
      </c>
      <c r="BE52" s="20"/>
      <c r="BF52" s="21"/>
      <c r="BG52" s="21"/>
      <c r="BH52" s="21"/>
    </row>
    <row r="53" spans="1:60" ht="15" thickBot="1" x14ac:dyDescent="0.35">
      <c r="A53" t="s">
        <v>218</v>
      </c>
      <c r="B53" t="s">
        <v>280</v>
      </c>
      <c r="C53" t="s">
        <v>281</v>
      </c>
      <c r="BE53" s="20"/>
      <c r="BF53" s="21"/>
      <c r="BG53" s="21"/>
      <c r="BH53" s="21"/>
    </row>
    <row r="54" spans="1:60" ht="15" thickBot="1" x14ac:dyDescent="0.35">
      <c r="A54" t="s">
        <v>80</v>
      </c>
      <c r="B54" t="s">
        <v>291</v>
      </c>
      <c r="C54" t="s">
        <v>279</v>
      </c>
      <c r="BE54" s="20"/>
      <c r="BF54" s="21"/>
      <c r="BG54" s="21"/>
      <c r="BH54" s="21"/>
    </row>
    <row r="55" spans="1:60" ht="15" thickBot="1" x14ac:dyDescent="0.35">
      <c r="A55" t="s">
        <v>191</v>
      </c>
      <c r="B55" t="s">
        <v>292</v>
      </c>
      <c r="C55" t="s">
        <v>279</v>
      </c>
      <c r="BE55" s="20"/>
      <c r="BF55" s="21"/>
      <c r="BG55" s="21"/>
      <c r="BH55" s="21"/>
    </row>
    <row r="56" spans="1:60" ht="15" thickBot="1" x14ac:dyDescent="0.35">
      <c r="A56" t="s">
        <v>597</v>
      </c>
      <c r="B56" t="s">
        <v>299</v>
      </c>
      <c r="C56" t="s">
        <v>279</v>
      </c>
      <c r="BE56" s="20"/>
      <c r="BF56" s="21"/>
      <c r="BG56" s="21"/>
      <c r="BH56" s="21"/>
    </row>
    <row r="57" spans="1:60" ht="15" thickBot="1" x14ac:dyDescent="0.35">
      <c r="A57" t="s">
        <v>181</v>
      </c>
      <c r="B57" t="s">
        <v>293</v>
      </c>
      <c r="C57" t="s">
        <v>287</v>
      </c>
      <c r="BE57" s="20"/>
      <c r="BF57" s="21"/>
      <c r="BG57" s="21"/>
      <c r="BH57" s="21"/>
    </row>
    <row r="58" spans="1:60" ht="15" thickBot="1" x14ac:dyDescent="0.35">
      <c r="A58" t="s">
        <v>598</v>
      </c>
      <c r="B58" t="s">
        <v>290</v>
      </c>
      <c r="C58" t="s">
        <v>282</v>
      </c>
      <c r="BE58" s="20"/>
      <c r="BF58" s="21"/>
      <c r="BG58" s="21"/>
      <c r="BH58" s="21"/>
    </row>
    <row r="59" spans="1:60" ht="15" thickBot="1" x14ac:dyDescent="0.35">
      <c r="A59" t="s">
        <v>108</v>
      </c>
      <c r="B59" t="s">
        <v>280</v>
      </c>
      <c r="C59" t="s">
        <v>279</v>
      </c>
      <c r="BE59" s="20"/>
      <c r="BF59" s="21"/>
      <c r="BG59" s="21"/>
      <c r="BH59" s="21"/>
    </row>
    <row r="60" spans="1:60" ht="15" thickBot="1" x14ac:dyDescent="0.35">
      <c r="A60" t="s">
        <v>104</v>
      </c>
      <c r="B60" t="s">
        <v>280</v>
      </c>
      <c r="C60" t="s">
        <v>282</v>
      </c>
      <c r="BE60" s="20"/>
      <c r="BF60" s="21"/>
      <c r="BG60" s="21"/>
      <c r="BH60" s="21"/>
    </row>
    <row r="61" spans="1:60" ht="15" thickBot="1" x14ac:dyDescent="0.35">
      <c r="A61" t="s">
        <v>124</v>
      </c>
      <c r="B61" t="s">
        <v>280</v>
      </c>
      <c r="C61" t="s">
        <v>282</v>
      </c>
      <c r="BE61" s="20"/>
      <c r="BF61" s="21"/>
      <c r="BG61" s="21"/>
      <c r="BH61" s="21"/>
    </row>
    <row r="62" spans="1:60" ht="15" thickBot="1" x14ac:dyDescent="0.35">
      <c r="A62" t="s">
        <v>142</v>
      </c>
      <c r="B62" t="s">
        <v>288</v>
      </c>
      <c r="C62" t="s">
        <v>282</v>
      </c>
      <c r="BE62" s="20"/>
      <c r="BF62" s="21"/>
      <c r="BG62" s="21"/>
      <c r="BH62" s="21"/>
    </row>
    <row r="63" spans="1:60" ht="15" thickBot="1" x14ac:dyDescent="0.35">
      <c r="A63" t="s">
        <v>74</v>
      </c>
      <c r="B63" t="s">
        <v>290</v>
      </c>
      <c r="C63" t="s">
        <v>281</v>
      </c>
      <c r="BE63" s="20"/>
      <c r="BF63" s="21"/>
      <c r="BG63" s="21"/>
      <c r="BH63" s="21"/>
    </row>
    <row r="64" spans="1:60" ht="15" thickBot="1" x14ac:dyDescent="0.35">
      <c r="A64" t="s">
        <v>106</v>
      </c>
      <c r="B64" t="s">
        <v>291</v>
      </c>
      <c r="C64" t="s">
        <v>283</v>
      </c>
      <c r="BE64" s="20"/>
      <c r="BF64" s="21"/>
      <c r="BG64" s="21"/>
      <c r="BH64" s="21"/>
    </row>
    <row r="65" spans="1:60" ht="15" thickBot="1" x14ac:dyDescent="0.35">
      <c r="A65" t="s">
        <v>229</v>
      </c>
      <c r="B65" t="s">
        <v>292</v>
      </c>
      <c r="C65" t="s">
        <v>279</v>
      </c>
      <c r="BE65" s="20"/>
      <c r="BF65" s="21"/>
      <c r="BG65" s="21"/>
      <c r="BH65" s="21"/>
    </row>
    <row r="66" spans="1:60" ht="15" thickBot="1" x14ac:dyDescent="0.35">
      <c r="A66" t="s">
        <v>99</v>
      </c>
      <c r="B66" t="s">
        <v>294</v>
      </c>
      <c r="C66" t="s">
        <v>283</v>
      </c>
      <c r="BE66" s="20"/>
      <c r="BF66" s="21"/>
      <c r="BG66" s="21"/>
      <c r="BH66" s="21"/>
    </row>
    <row r="67" spans="1:60" ht="15" thickBot="1" x14ac:dyDescent="0.35">
      <c r="A67" t="s">
        <v>161</v>
      </c>
      <c r="B67" t="s">
        <v>286</v>
      </c>
      <c r="C67" t="s">
        <v>283</v>
      </c>
      <c r="BE67" s="20"/>
      <c r="BF67" s="21"/>
      <c r="BG67" s="21"/>
      <c r="BH67" s="21"/>
    </row>
    <row r="68" spans="1:60" ht="15" thickBot="1" x14ac:dyDescent="0.35">
      <c r="A68" t="s">
        <v>162</v>
      </c>
      <c r="B68" t="s">
        <v>286</v>
      </c>
      <c r="C68" t="s">
        <v>283</v>
      </c>
      <c r="BE68" s="20"/>
      <c r="BF68" s="21"/>
      <c r="BG68" s="21"/>
      <c r="BH68" s="21"/>
    </row>
    <row r="69" spans="1:60" ht="15" thickBot="1" x14ac:dyDescent="0.35">
      <c r="A69" t="s">
        <v>171</v>
      </c>
      <c r="B69" t="s">
        <v>286</v>
      </c>
      <c r="C69" t="s">
        <v>283</v>
      </c>
      <c r="BE69" s="20"/>
      <c r="BF69" s="21"/>
      <c r="BG69" s="21"/>
      <c r="BH69" s="21"/>
    </row>
    <row r="70" spans="1:60" ht="15" thickBot="1" x14ac:dyDescent="0.35">
      <c r="A70" t="s">
        <v>84</v>
      </c>
      <c r="B70" t="s">
        <v>286</v>
      </c>
      <c r="C70" t="s">
        <v>283</v>
      </c>
      <c r="BE70" s="20"/>
      <c r="BF70" s="21"/>
      <c r="BG70" s="21"/>
      <c r="BH70" s="21"/>
    </row>
    <row r="71" spans="1:60" ht="15" thickBot="1" x14ac:dyDescent="0.35">
      <c r="A71" t="s">
        <v>91</v>
      </c>
      <c r="B71" t="s">
        <v>294</v>
      </c>
      <c r="C71" t="s">
        <v>287</v>
      </c>
      <c r="BE71" s="20"/>
      <c r="BF71" s="21"/>
      <c r="BG71" s="21"/>
      <c r="BH71" s="21"/>
    </row>
    <row r="72" spans="1:60" ht="15" thickBot="1" x14ac:dyDescent="0.35">
      <c r="A72" t="s">
        <v>158</v>
      </c>
      <c r="B72" t="s">
        <v>292</v>
      </c>
      <c r="C72" t="s">
        <v>279</v>
      </c>
      <c r="BE72" s="20"/>
      <c r="BF72" s="21"/>
      <c r="BG72" s="21"/>
      <c r="BH72" s="21"/>
    </row>
    <row r="73" spans="1:60" ht="15" thickBot="1" x14ac:dyDescent="0.35">
      <c r="A73" t="s">
        <v>119</v>
      </c>
      <c r="B73" t="s">
        <v>294</v>
      </c>
      <c r="C73" t="s">
        <v>281</v>
      </c>
      <c r="BE73" s="20"/>
      <c r="BF73" s="21"/>
      <c r="BG73" s="21"/>
      <c r="BH73" s="21"/>
    </row>
    <row r="74" spans="1:60" ht="15" thickBot="1" x14ac:dyDescent="0.35">
      <c r="A74" t="s">
        <v>140</v>
      </c>
      <c r="B74" t="s">
        <v>292</v>
      </c>
      <c r="C74" t="s">
        <v>279</v>
      </c>
      <c r="BE74" s="20"/>
      <c r="BF74" s="21"/>
      <c r="BG74" s="21"/>
      <c r="BH74" s="21"/>
    </row>
    <row r="75" spans="1:60" ht="15" thickBot="1" x14ac:dyDescent="0.35">
      <c r="A75" t="s">
        <v>78</v>
      </c>
      <c r="B75" t="s">
        <v>285</v>
      </c>
      <c r="C75" t="s">
        <v>283</v>
      </c>
      <c r="BE75" s="20"/>
      <c r="BF75" s="21"/>
      <c r="BG75" s="21"/>
      <c r="BH75" s="21"/>
    </row>
    <row r="76" spans="1:60" ht="15" thickBot="1" x14ac:dyDescent="0.35">
      <c r="A76" t="s">
        <v>129</v>
      </c>
      <c r="B76" t="s">
        <v>294</v>
      </c>
      <c r="C76" t="s">
        <v>287</v>
      </c>
      <c r="BE76" s="20"/>
      <c r="BF76" s="21"/>
      <c r="BG76" s="21"/>
      <c r="BH76" s="21"/>
    </row>
    <row r="77" spans="1:60" ht="15" thickBot="1" x14ac:dyDescent="0.35">
      <c r="A77" t="s">
        <v>248</v>
      </c>
      <c r="B77" t="s">
        <v>294</v>
      </c>
      <c r="C77" t="s">
        <v>281</v>
      </c>
      <c r="BE77" s="20"/>
      <c r="BF77" s="21"/>
      <c r="BG77" s="21"/>
      <c r="BH77" s="21"/>
    </row>
    <row r="78" spans="1:60" ht="15" thickBot="1" x14ac:dyDescent="0.35">
      <c r="A78" t="s">
        <v>225</v>
      </c>
      <c r="B78" t="s">
        <v>292</v>
      </c>
      <c r="C78" t="s">
        <v>282</v>
      </c>
      <c r="BE78" s="20"/>
      <c r="BF78" s="21"/>
      <c r="BG78" s="21"/>
      <c r="BH78" s="21"/>
    </row>
    <row r="79" spans="1:60" ht="15" thickBot="1" x14ac:dyDescent="0.35">
      <c r="A79" t="s">
        <v>97</v>
      </c>
      <c r="B79" t="s">
        <v>286</v>
      </c>
      <c r="C79" t="s">
        <v>282</v>
      </c>
      <c r="BE79" s="20"/>
      <c r="BF79" s="21"/>
      <c r="BG79" s="21"/>
      <c r="BH79" s="21"/>
    </row>
    <row r="80" spans="1:60" ht="15" thickBot="1" x14ac:dyDescent="0.35">
      <c r="A80" t="s">
        <v>125</v>
      </c>
      <c r="B80" t="s">
        <v>295</v>
      </c>
      <c r="C80" t="s">
        <v>281</v>
      </c>
      <c r="BE80" s="20"/>
      <c r="BF80" s="21"/>
      <c r="BG80" s="21"/>
      <c r="BH80" s="21"/>
    </row>
    <row r="81" spans="1:60" ht="15" thickBot="1" x14ac:dyDescent="0.35">
      <c r="A81" t="s">
        <v>244</v>
      </c>
      <c r="B81" t="s">
        <v>296</v>
      </c>
      <c r="C81" t="s">
        <v>281</v>
      </c>
      <c r="BE81" s="20"/>
      <c r="BF81" s="21"/>
      <c r="BG81" s="21"/>
      <c r="BH81" s="21"/>
    </row>
    <row r="82" spans="1:60" ht="15" thickBot="1" x14ac:dyDescent="0.35">
      <c r="A82" t="s">
        <v>141</v>
      </c>
      <c r="B82" t="s">
        <v>297</v>
      </c>
      <c r="C82" t="s">
        <v>281</v>
      </c>
      <c r="BE82" s="20"/>
      <c r="BF82" s="21"/>
      <c r="BG82" s="21"/>
      <c r="BH82" s="21"/>
    </row>
    <row r="83" spans="1:60" ht="15" thickBot="1" x14ac:dyDescent="0.35">
      <c r="A83" t="s">
        <v>66</v>
      </c>
      <c r="B83" t="s">
        <v>295</v>
      </c>
      <c r="C83" t="s">
        <v>282</v>
      </c>
      <c r="BE83" s="20"/>
      <c r="BF83" s="21"/>
      <c r="BG83" s="21"/>
      <c r="BH83" s="21"/>
    </row>
    <row r="84" spans="1:60" ht="15" thickBot="1" x14ac:dyDescent="0.35">
      <c r="A84" t="s">
        <v>118</v>
      </c>
      <c r="B84" t="s">
        <v>294</v>
      </c>
      <c r="C84" t="s">
        <v>287</v>
      </c>
      <c r="BE84" s="20"/>
      <c r="BF84" s="21"/>
      <c r="BG84" s="21"/>
      <c r="BH84" s="21"/>
    </row>
    <row r="85" spans="1:60" ht="15" thickBot="1" x14ac:dyDescent="0.35">
      <c r="A85" t="s">
        <v>236</v>
      </c>
      <c r="B85" t="s">
        <v>298</v>
      </c>
      <c r="C85" t="s">
        <v>287</v>
      </c>
      <c r="BE85" s="20"/>
      <c r="BF85" s="21"/>
      <c r="BG85" s="21"/>
      <c r="BH85" s="21"/>
    </row>
    <row r="86" spans="1:60" ht="15" thickBot="1" x14ac:dyDescent="0.35">
      <c r="A86" t="s">
        <v>76</v>
      </c>
      <c r="B86" t="s">
        <v>294</v>
      </c>
      <c r="C86" t="s">
        <v>287</v>
      </c>
      <c r="BE86" s="20"/>
      <c r="BF86" s="21"/>
      <c r="BG86" s="21"/>
      <c r="BH86" s="21"/>
    </row>
    <row r="87" spans="1:60" ht="15" thickBot="1" x14ac:dyDescent="0.35">
      <c r="A87" t="s">
        <v>152</v>
      </c>
      <c r="B87" t="s">
        <v>294</v>
      </c>
      <c r="C87" t="s">
        <v>281</v>
      </c>
      <c r="BE87" s="20"/>
      <c r="BF87" s="21"/>
      <c r="BG87" s="21"/>
      <c r="BH87" s="21"/>
    </row>
    <row r="88" spans="1:60" ht="15" thickBot="1" x14ac:dyDescent="0.35">
      <c r="A88" t="s">
        <v>226</v>
      </c>
      <c r="B88" t="s">
        <v>280</v>
      </c>
      <c r="C88" t="s">
        <v>281</v>
      </c>
      <c r="BE88" s="20"/>
      <c r="BF88" s="21"/>
      <c r="BG88" s="21"/>
      <c r="BH88" s="21"/>
    </row>
    <row r="89" spans="1:60" ht="15" thickBot="1" x14ac:dyDescent="0.35">
      <c r="A89" t="s">
        <v>151</v>
      </c>
      <c r="B89" t="s">
        <v>294</v>
      </c>
      <c r="C89" t="s">
        <v>287</v>
      </c>
      <c r="BE89" s="20"/>
      <c r="BF89" s="21"/>
      <c r="BG89" s="21"/>
      <c r="BH89" s="21"/>
    </row>
    <row r="90" spans="1:60" ht="15" thickBot="1" x14ac:dyDescent="0.35">
      <c r="A90" t="s">
        <v>203</v>
      </c>
      <c r="B90" t="s">
        <v>290</v>
      </c>
      <c r="C90" t="s">
        <v>279</v>
      </c>
      <c r="BE90" s="20"/>
      <c r="BF90" s="21"/>
      <c r="BG90" s="21"/>
      <c r="BH90" s="21"/>
    </row>
    <row r="91" spans="1:60" ht="15" thickBot="1" x14ac:dyDescent="0.35">
      <c r="A91" t="s">
        <v>114</v>
      </c>
      <c r="B91" t="s">
        <v>280</v>
      </c>
      <c r="C91" t="s">
        <v>282</v>
      </c>
      <c r="BE91" s="20"/>
      <c r="BF91" s="21"/>
      <c r="BG91" s="21"/>
      <c r="BH91" s="21"/>
    </row>
    <row r="92" spans="1:60" ht="15" thickBot="1" x14ac:dyDescent="0.35">
      <c r="A92" t="s">
        <v>184</v>
      </c>
      <c r="B92" t="s">
        <v>299</v>
      </c>
      <c r="C92" t="s">
        <v>287</v>
      </c>
      <c r="BE92" s="20"/>
      <c r="BF92" s="21"/>
      <c r="BG92" s="21"/>
      <c r="BH92" s="21"/>
    </row>
    <row r="93" spans="1:60" ht="15" thickBot="1" x14ac:dyDescent="0.35">
      <c r="A93" t="s">
        <v>143</v>
      </c>
      <c r="B93" t="s">
        <v>290</v>
      </c>
      <c r="C93" t="s">
        <v>282</v>
      </c>
      <c r="BE93" s="20"/>
      <c r="BF93" s="21"/>
      <c r="BG93" s="21"/>
      <c r="BH93" s="21"/>
    </row>
    <row r="94" spans="1:60" ht="15" thickBot="1" x14ac:dyDescent="0.35">
      <c r="A94" t="s">
        <v>163</v>
      </c>
      <c r="B94" t="s">
        <v>298</v>
      </c>
      <c r="C94" t="s">
        <v>283</v>
      </c>
      <c r="BE94" s="20"/>
      <c r="BF94" s="21"/>
      <c r="BG94" s="21"/>
      <c r="BH94" s="21"/>
    </row>
    <row r="95" spans="1:60" ht="15" thickBot="1" x14ac:dyDescent="0.35">
      <c r="A95" t="s">
        <v>105</v>
      </c>
      <c r="B95" t="s">
        <v>285</v>
      </c>
      <c r="C95" t="s">
        <v>287</v>
      </c>
      <c r="BE95" s="20"/>
      <c r="BF95" s="21"/>
      <c r="BG95" s="21"/>
      <c r="BH95" s="21"/>
    </row>
    <row r="96" spans="1:60" ht="15" thickBot="1" x14ac:dyDescent="0.35">
      <c r="A96" t="s">
        <v>240</v>
      </c>
      <c r="B96" t="s">
        <v>300</v>
      </c>
      <c r="C96" t="s">
        <v>279</v>
      </c>
      <c r="BE96" s="20"/>
      <c r="BF96" s="21"/>
      <c r="BG96" s="21"/>
      <c r="BH96" s="21"/>
    </row>
    <row r="97" spans="1:60" ht="15" thickBot="1" x14ac:dyDescent="0.35">
      <c r="A97" t="s">
        <v>232</v>
      </c>
      <c r="B97" t="s">
        <v>289</v>
      </c>
      <c r="C97" t="s">
        <v>282</v>
      </c>
      <c r="BE97" s="20"/>
      <c r="BF97" s="21"/>
      <c r="BG97" s="21"/>
      <c r="BH97" s="21"/>
    </row>
    <row r="98" spans="1:60" ht="15" thickBot="1" x14ac:dyDescent="0.35">
      <c r="A98" t="s">
        <v>93</v>
      </c>
      <c r="B98" t="s">
        <v>295</v>
      </c>
      <c r="C98" t="s">
        <v>281</v>
      </c>
      <c r="BE98" s="20"/>
      <c r="BF98" s="21"/>
      <c r="BG98" s="21"/>
      <c r="BH98" s="21"/>
    </row>
    <row r="99" spans="1:60" ht="15" thickBot="1" x14ac:dyDescent="0.35">
      <c r="A99" t="s">
        <v>157</v>
      </c>
      <c r="B99" t="s">
        <v>296</v>
      </c>
      <c r="C99" t="s">
        <v>281</v>
      </c>
      <c r="BE99" s="20"/>
      <c r="BF99" s="21"/>
      <c r="BG99" s="21"/>
      <c r="BH99" s="21"/>
    </row>
    <row r="100" spans="1:60" ht="15" thickBot="1" x14ac:dyDescent="0.35">
      <c r="A100" t="s">
        <v>149</v>
      </c>
      <c r="B100" t="s">
        <v>290</v>
      </c>
      <c r="C100" t="s">
        <v>287</v>
      </c>
      <c r="BE100" s="20"/>
      <c r="BF100" s="21"/>
      <c r="BG100" s="21"/>
      <c r="BH100" s="21"/>
    </row>
    <row r="101" spans="1:60" ht="15" thickBot="1" x14ac:dyDescent="0.35">
      <c r="A101" t="s">
        <v>132</v>
      </c>
      <c r="B101" t="s">
        <v>290</v>
      </c>
      <c r="C101" t="s">
        <v>281</v>
      </c>
      <c r="BE101" s="20"/>
      <c r="BF101" s="21"/>
      <c r="BG101" s="21"/>
      <c r="BH101" s="21"/>
    </row>
    <row r="102" spans="1:60" ht="15" thickBot="1" x14ac:dyDescent="0.35">
      <c r="A102" t="s">
        <v>211</v>
      </c>
      <c r="B102" t="s">
        <v>286</v>
      </c>
      <c r="C102" t="s">
        <v>281</v>
      </c>
      <c r="BE102" s="20"/>
      <c r="BF102" s="21"/>
      <c r="BG102" s="21"/>
      <c r="BH102" s="21"/>
    </row>
    <row r="103" spans="1:60" ht="15" thickBot="1" x14ac:dyDescent="0.35">
      <c r="A103" t="s">
        <v>202</v>
      </c>
      <c r="B103" t="s">
        <v>285</v>
      </c>
      <c r="C103" t="s">
        <v>283</v>
      </c>
      <c r="BE103" s="20"/>
      <c r="BF103" s="21"/>
      <c r="BG103" s="21"/>
      <c r="BH103" s="21"/>
    </row>
    <row r="104" spans="1:60" ht="15" thickBot="1" x14ac:dyDescent="0.35">
      <c r="A104" t="s">
        <v>95</v>
      </c>
      <c r="B104" t="s">
        <v>301</v>
      </c>
      <c r="C104" t="s">
        <v>279</v>
      </c>
      <c r="BE104" s="20"/>
      <c r="BF104" s="21"/>
      <c r="BG104" s="21"/>
      <c r="BH104" s="21"/>
    </row>
    <row r="105" spans="1:60" ht="15" thickBot="1" x14ac:dyDescent="0.35">
      <c r="A105" t="s">
        <v>137</v>
      </c>
      <c r="B105" t="s">
        <v>297</v>
      </c>
      <c r="C105" t="s">
        <v>281</v>
      </c>
      <c r="BE105" s="20"/>
      <c r="BF105" s="21"/>
      <c r="BG105" s="21"/>
      <c r="BH105" s="21"/>
    </row>
    <row r="106" spans="1:60" ht="15" thickBot="1" x14ac:dyDescent="0.35">
      <c r="A106" t="s">
        <v>196</v>
      </c>
      <c r="B106" t="s">
        <v>297</v>
      </c>
      <c r="C106" t="s">
        <v>287</v>
      </c>
      <c r="BE106" s="20"/>
      <c r="BF106" s="21"/>
      <c r="BG106" s="21"/>
      <c r="BH106" s="21"/>
    </row>
    <row r="107" spans="1:60" ht="15" thickBot="1" x14ac:dyDescent="0.35">
      <c r="A107" t="s">
        <v>83</v>
      </c>
      <c r="B107" t="s">
        <v>288</v>
      </c>
      <c r="C107" t="s">
        <v>282</v>
      </c>
      <c r="BE107" s="20"/>
      <c r="BF107" s="21"/>
      <c r="BG107" s="21"/>
      <c r="BH107" s="21"/>
    </row>
    <row r="108" spans="1:60" ht="15" thickBot="1" x14ac:dyDescent="0.35">
      <c r="A108" t="s">
        <v>87</v>
      </c>
      <c r="B108" t="s">
        <v>295</v>
      </c>
      <c r="C108" t="s">
        <v>283</v>
      </c>
      <c r="BE108" s="20"/>
      <c r="BF108" s="21"/>
      <c r="BG108" s="21"/>
      <c r="BH108" s="21"/>
    </row>
    <row r="109" spans="1:60" ht="15" thickBot="1" x14ac:dyDescent="0.35">
      <c r="A109" t="s">
        <v>198</v>
      </c>
      <c r="B109" t="s">
        <v>278</v>
      </c>
      <c r="C109" t="s">
        <v>281</v>
      </c>
      <c r="BE109" s="20"/>
      <c r="BF109" s="21"/>
      <c r="BG109" s="21"/>
      <c r="BH109" s="21"/>
    </row>
    <row r="110" spans="1:60" ht="15" thickBot="1" x14ac:dyDescent="0.35">
      <c r="A110" t="s">
        <v>52</v>
      </c>
      <c r="B110" t="s">
        <v>299</v>
      </c>
      <c r="C110" t="s">
        <v>279</v>
      </c>
      <c r="BE110" s="20"/>
      <c r="BF110" s="21"/>
      <c r="BG110" s="21"/>
      <c r="BH110" s="21"/>
    </row>
    <row r="111" spans="1:60" ht="15" thickBot="1" x14ac:dyDescent="0.35">
      <c r="A111" t="s">
        <v>107</v>
      </c>
      <c r="B111" t="s">
        <v>301</v>
      </c>
      <c r="C111" t="s">
        <v>279</v>
      </c>
      <c r="BE111" s="20"/>
      <c r="BF111" s="21"/>
      <c r="BG111" s="21"/>
      <c r="BH111" s="21"/>
    </row>
    <row r="112" spans="1:60" ht="15" thickBot="1" x14ac:dyDescent="0.35">
      <c r="A112" t="s">
        <v>208</v>
      </c>
      <c r="B112" t="s">
        <v>278</v>
      </c>
      <c r="C112" t="s">
        <v>287</v>
      </c>
      <c r="BE112" s="20"/>
      <c r="BF112" s="21"/>
      <c r="BG112" s="21"/>
      <c r="BH112" s="21"/>
    </row>
    <row r="113" spans="1:60" ht="15" thickBot="1" x14ac:dyDescent="0.35">
      <c r="A113" t="s">
        <v>214</v>
      </c>
      <c r="B113" t="s">
        <v>301</v>
      </c>
      <c r="C113" t="s">
        <v>282</v>
      </c>
      <c r="BE113" s="20"/>
      <c r="BF113" s="21"/>
      <c r="BG113" s="21"/>
      <c r="BH113" s="21"/>
    </row>
    <row r="114" spans="1:60" ht="15" thickBot="1" x14ac:dyDescent="0.35">
      <c r="A114" t="s">
        <v>111</v>
      </c>
      <c r="B114" t="s">
        <v>288</v>
      </c>
      <c r="C114" t="s">
        <v>287</v>
      </c>
      <c r="BE114" s="20"/>
      <c r="BF114" s="21"/>
      <c r="BG114" s="21"/>
      <c r="BH114" s="21"/>
    </row>
    <row r="115" spans="1:60" ht="15" thickBot="1" x14ac:dyDescent="0.35">
      <c r="A115" t="s">
        <v>223</v>
      </c>
      <c r="B115" t="s">
        <v>293</v>
      </c>
      <c r="C115" t="s">
        <v>281</v>
      </c>
      <c r="BE115" s="20"/>
      <c r="BF115" s="21"/>
      <c r="BG115" s="21"/>
      <c r="BH115" s="21"/>
    </row>
    <row r="116" spans="1:60" ht="15" thickBot="1" x14ac:dyDescent="0.35">
      <c r="A116" t="s">
        <v>221</v>
      </c>
      <c r="B116" t="s">
        <v>278</v>
      </c>
      <c r="C116" t="s">
        <v>283</v>
      </c>
      <c r="BE116" s="20"/>
      <c r="BF116" s="21"/>
      <c r="BG116" s="21"/>
      <c r="BH116" s="21"/>
    </row>
    <row r="117" spans="1:60" ht="15" thickBot="1" x14ac:dyDescent="0.35">
      <c r="A117" t="s">
        <v>205</v>
      </c>
      <c r="B117" t="s">
        <v>278</v>
      </c>
      <c r="C117" t="s">
        <v>282</v>
      </c>
      <c r="BE117" s="20"/>
      <c r="BF117" s="21"/>
      <c r="BG117" s="21"/>
      <c r="BH117" s="21"/>
    </row>
    <row r="118" spans="1:60" ht="15" thickBot="1" x14ac:dyDescent="0.35">
      <c r="A118" t="s">
        <v>88</v>
      </c>
      <c r="B118" t="s">
        <v>288</v>
      </c>
      <c r="C118" t="s">
        <v>279</v>
      </c>
      <c r="BE118" s="20"/>
      <c r="BF118" s="21"/>
      <c r="BG118" s="21"/>
      <c r="BH118" s="21"/>
    </row>
    <row r="119" spans="1:60" ht="15" thickBot="1" x14ac:dyDescent="0.35">
      <c r="A119" t="s">
        <v>243</v>
      </c>
      <c r="B119" t="s">
        <v>290</v>
      </c>
      <c r="C119" t="s">
        <v>287</v>
      </c>
      <c r="BE119" s="20"/>
      <c r="BF119" s="21"/>
      <c r="BG119" s="21"/>
      <c r="BH119" s="21"/>
    </row>
    <row r="120" spans="1:60" ht="15" thickBot="1" x14ac:dyDescent="0.35">
      <c r="A120" t="s">
        <v>210</v>
      </c>
      <c r="B120" t="s">
        <v>280</v>
      </c>
      <c r="C120" t="s">
        <v>281</v>
      </c>
      <c r="BE120" s="20"/>
      <c r="BF120" s="21"/>
      <c r="BG120" s="21"/>
      <c r="BH120" s="21"/>
    </row>
    <row r="121" spans="1:60" ht="15" thickBot="1" x14ac:dyDescent="0.35">
      <c r="A121" t="s">
        <v>188</v>
      </c>
      <c r="B121" t="s">
        <v>280</v>
      </c>
      <c r="C121" t="s">
        <v>281</v>
      </c>
      <c r="BE121" s="20"/>
      <c r="BF121" s="21"/>
      <c r="BG121" s="21"/>
      <c r="BH121" s="21"/>
    </row>
    <row r="122" spans="1:60" ht="15" thickBot="1" x14ac:dyDescent="0.35">
      <c r="A122" t="s">
        <v>209</v>
      </c>
      <c r="B122" t="s">
        <v>280</v>
      </c>
      <c r="C122" t="s">
        <v>281</v>
      </c>
      <c r="BE122" s="20"/>
      <c r="BF122" s="21"/>
      <c r="BG122" s="21"/>
      <c r="BH122" s="21"/>
    </row>
    <row r="123" spans="1:60" ht="15" thickBot="1" x14ac:dyDescent="0.35">
      <c r="A123" t="s">
        <v>166</v>
      </c>
      <c r="B123" t="s">
        <v>280</v>
      </c>
      <c r="C123" t="s">
        <v>279</v>
      </c>
      <c r="BE123" s="20"/>
      <c r="BF123" s="21"/>
      <c r="BG123" s="21"/>
      <c r="BH123" s="21"/>
    </row>
    <row r="124" spans="1:60" ht="15" thickBot="1" x14ac:dyDescent="0.35">
      <c r="A124" t="s">
        <v>154</v>
      </c>
      <c r="B124" t="s">
        <v>280</v>
      </c>
      <c r="C124" t="s">
        <v>282</v>
      </c>
      <c r="BE124" s="20"/>
      <c r="BF124" s="21"/>
      <c r="BG124" s="21"/>
      <c r="BH124" s="21"/>
    </row>
    <row r="125" spans="1:60" ht="15" thickBot="1" x14ac:dyDescent="0.35">
      <c r="A125" t="s">
        <v>69</v>
      </c>
      <c r="B125" t="s">
        <v>286</v>
      </c>
      <c r="C125" t="s">
        <v>281</v>
      </c>
      <c r="BE125" s="20"/>
      <c r="BF125" s="21"/>
      <c r="BG125" s="21"/>
      <c r="BH125" s="21"/>
    </row>
    <row r="126" spans="1:60" ht="15" thickBot="1" x14ac:dyDescent="0.35">
      <c r="A126" t="s">
        <v>150</v>
      </c>
      <c r="B126" t="s">
        <v>290</v>
      </c>
      <c r="C126" t="s">
        <v>282</v>
      </c>
      <c r="BE126" s="20"/>
      <c r="BF126" s="21"/>
      <c r="BG126" s="21"/>
      <c r="BH126" s="21"/>
    </row>
    <row r="127" spans="1:60" ht="15" thickBot="1" x14ac:dyDescent="0.35">
      <c r="A127" t="s">
        <v>170</v>
      </c>
      <c r="B127" t="s">
        <v>296</v>
      </c>
      <c r="C127" t="s">
        <v>287</v>
      </c>
      <c r="BE127" s="20"/>
      <c r="BF127" s="21"/>
      <c r="BG127" s="21"/>
      <c r="BH127" s="21"/>
    </row>
    <row r="128" spans="1:60" ht="15" thickBot="1" x14ac:dyDescent="0.35">
      <c r="A128" t="s">
        <v>257</v>
      </c>
      <c r="B128" t="s">
        <v>285</v>
      </c>
      <c r="C128" t="s">
        <v>287</v>
      </c>
      <c r="BE128" s="20"/>
      <c r="BF128" s="21"/>
      <c r="BG128" s="21"/>
      <c r="BH128" s="21"/>
    </row>
    <row r="129" spans="1:60" ht="15" thickBot="1" x14ac:dyDescent="0.35">
      <c r="A129" t="s">
        <v>235</v>
      </c>
      <c r="B129" t="s">
        <v>289</v>
      </c>
      <c r="C129" t="s">
        <v>283</v>
      </c>
      <c r="BE129" s="20"/>
      <c r="BF129" s="21"/>
      <c r="BG129" s="21"/>
      <c r="BH129" s="21"/>
    </row>
    <row r="130" spans="1:60" ht="15" thickBot="1" x14ac:dyDescent="0.35">
      <c r="A130" t="s">
        <v>197</v>
      </c>
      <c r="B130" t="s">
        <v>290</v>
      </c>
      <c r="C130" t="s">
        <v>282</v>
      </c>
      <c r="BE130" s="20"/>
      <c r="BF130" s="21"/>
      <c r="BG130" s="21"/>
      <c r="BH130" s="21"/>
    </row>
    <row r="131" spans="1:60" ht="15" thickBot="1" x14ac:dyDescent="0.35">
      <c r="A131" t="s">
        <v>176</v>
      </c>
      <c r="B131" t="s">
        <v>289</v>
      </c>
      <c r="C131" t="s">
        <v>287</v>
      </c>
      <c r="BE131" s="20"/>
      <c r="BF131" s="21"/>
      <c r="BG131" s="21"/>
      <c r="BH131" s="21"/>
    </row>
    <row r="132" spans="1:60" ht="15" thickBot="1" x14ac:dyDescent="0.35">
      <c r="A132" t="s">
        <v>86</v>
      </c>
      <c r="B132" t="s">
        <v>294</v>
      </c>
      <c r="C132" t="s">
        <v>282</v>
      </c>
      <c r="BE132" s="20"/>
      <c r="BF132" s="21"/>
      <c r="BG132" s="21"/>
      <c r="BH132" s="21"/>
    </row>
    <row r="133" spans="1:60" ht="15" thickBot="1" x14ac:dyDescent="0.35">
      <c r="A133" t="s">
        <v>250</v>
      </c>
      <c r="B133" t="s">
        <v>291</v>
      </c>
      <c r="C133" t="s">
        <v>281</v>
      </c>
      <c r="BE133" s="20"/>
      <c r="BF133" s="21"/>
      <c r="BG133" s="21"/>
      <c r="BH133" s="21"/>
    </row>
    <row r="134" spans="1:60" ht="15" thickBot="1" x14ac:dyDescent="0.35">
      <c r="A134" t="s">
        <v>81</v>
      </c>
      <c r="B134" t="s">
        <v>302</v>
      </c>
      <c r="C134" t="s">
        <v>279</v>
      </c>
      <c r="BE134" s="20"/>
      <c r="BF134" s="21"/>
      <c r="BG134" s="21"/>
      <c r="BH134" s="21"/>
    </row>
    <row r="135" spans="1:60" ht="15" thickBot="1" x14ac:dyDescent="0.35">
      <c r="A135" t="s">
        <v>251</v>
      </c>
      <c r="B135" t="s">
        <v>280</v>
      </c>
      <c r="C135" t="s">
        <v>283</v>
      </c>
      <c r="BE135" s="20"/>
      <c r="BF135" s="21"/>
      <c r="BG135" s="21"/>
      <c r="BH135" s="21"/>
    </row>
    <row r="136" spans="1:60" ht="15" thickBot="1" x14ac:dyDescent="0.35">
      <c r="A136" t="s">
        <v>245</v>
      </c>
      <c r="B136" t="s">
        <v>278</v>
      </c>
      <c r="C136" t="s">
        <v>287</v>
      </c>
      <c r="BE136" s="20"/>
      <c r="BF136" s="21"/>
      <c r="BG136" s="21"/>
      <c r="BH136" s="21"/>
    </row>
    <row r="137" spans="1:60" ht="15" thickBot="1" x14ac:dyDescent="0.35">
      <c r="A137" t="s">
        <v>258</v>
      </c>
      <c r="B137" t="s">
        <v>296</v>
      </c>
      <c r="C137" t="s">
        <v>287</v>
      </c>
      <c r="BE137" s="20"/>
      <c r="BF137" s="21"/>
      <c r="BG137" s="21"/>
      <c r="BH137" s="21"/>
    </row>
    <row r="138" spans="1:60" ht="15" thickBot="1" x14ac:dyDescent="0.35">
      <c r="A138" t="s">
        <v>61</v>
      </c>
      <c r="B138" t="s">
        <v>294</v>
      </c>
      <c r="C138" t="s">
        <v>281</v>
      </c>
      <c r="BE138" s="20"/>
      <c r="BF138" s="21"/>
      <c r="BG138" s="21"/>
      <c r="BH138" s="21"/>
    </row>
    <row r="139" spans="1:60" ht="15" thickBot="1" x14ac:dyDescent="0.35">
      <c r="A139" t="s">
        <v>212</v>
      </c>
      <c r="B139" t="s">
        <v>294</v>
      </c>
      <c r="C139" t="s">
        <v>282</v>
      </c>
      <c r="BE139" s="20"/>
      <c r="BF139" s="21"/>
      <c r="BG139" s="21"/>
      <c r="BH139" s="21"/>
    </row>
    <row r="140" spans="1:60" ht="15" thickBot="1" x14ac:dyDescent="0.35">
      <c r="A140" t="s">
        <v>96</v>
      </c>
      <c r="B140" t="s">
        <v>294</v>
      </c>
      <c r="C140" t="s">
        <v>283</v>
      </c>
      <c r="BE140" s="20"/>
      <c r="BF140" s="21"/>
      <c r="BG140" s="21"/>
      <c r="BH140" s="21"/>
    </row>
    <row r="141" spans="1:60" ht="15" thickBot="1" x14ac:dyDescent="0.35">
      <c r="A141" t="s">
        <v>65</v>
      </c>
      <c r="B141" t="s">
        <v>294</v>
      </c>
      <c r="C141" t="s">
        <v>282</v>
      </c>
      <c r="BE141" s="20"/>
      <c r="BF141" s="21"/>
      <c r="BG141" s="21"/>
      <c r="BH141" s="21"/>
    </row>
    <row r="142" spans="1:60" ht="15" thickBot="1" x14ac:dyDescent="0.35">
      <c r="A142" t="s">
        <v>187</v>
      </c>
      <c r="B142" t="s">
        <v>288</v>
      </c>
      <c r="C142" t="s">
        <v>279</v>
      </c>
      <c r="BE142" s="20"/>
      <c r="BF142" s="21"/>
      <c r="BG142" s="21"/>
      <c r="BH142" s="21"/>
    </row>
    <row r="143" spans="1:60" ht="15" thickBot="1" x14ac:dyDescent="0.35">
      <c r="A143" t="s">
        <v>180</v>
      </c>
      <c r="B143" t="s">
        <v>289</v>
      </c>
      <c r="C143" t="s">
        <v>281</v>
      </c>
      <c r="BE143" s="20"/>
      <c r="BF143" s="21"/>
      <c r="BG143" s="21"/>
      <c r="BH143" s="21"/>
    </row>
    <row r="144" spans="1:60" ht="15" thickBot="1" x14ac:dyDescent="0.35">
      <c r="A144" t="s">
        <v>239</v>
      </c>
      <c r="B144" t="s">
        <v>291</v>
      </c>
      <c r="C144" t="s">
        <v>281</v>
      </c>
      <c r="BE144" s="20"/>
      <c r="BF144" s="21"/>
      <c r="BG144" s="21"/>
      <c r="BH144" s="21"/>
    </row>
    <row r="145" spans="1:60" ht="15" thickBot="1" x14ac:dyDescent="0.35">
      <c r="A145" t="s">
        <v>233</v>
      </c>
      <c r="B145" t="s">
        <v>300</v>
      </c>
      <c r="C145" t="s">
        <v>279</v>
      </c>
      <c r="BE145" s="20"/>
      <c r="BF145" s="21"/>
      <c r="BG145" s="21"/>
      <c r="BH145" s="21"/>
    </row>
    <row r="146" spans="1:60" ht="15" thickBot="1" x14ac:dyDescent="0.35">
      <c r="A146" t="s">
        <v>59</v>
      </c>
      <c r="B146" t="s">
        <v>296</v>
      </c>
      <c r="C146" t="s">
        <v>279</v>
      </c>
      <c r="BE146" s="20"/>
      <c r="BF146" s="21"/>
      <c r="BG146" s="21"/>
      <c r="BH146" s="21"/>
    </row>
    <row r="147" spans="1:60" ht="15" thickBot="1" x14ac:dyDescent="0.35">
      <c r="A147" t="s">
        <v>252</v>
      </c>
      <c r="B147" t="s">
        <v>288</v>
      </c>
      <c r="C147" t="s">
        <v>287</v>
      </c>
      <c r="BE147" s="20"/>
      <c r="BF147" s="21"/>
      <c r="BG147" s="21"/>
      <c r="BH147" s="21"/>
    </row>
    <row r="148" spans="1:60" ht="15" thickBot="1" x14ac:dyDescent="0.35">
      <c r="A148" t="s">
        <v>75</v>
      </c>
      <c r="B148" t="s">
        <v>295</v>
      </c>
      <c r="C148" t="s">
        <v>287</v>
      </c>
      <c r="BE148" s="20"/>
      <c r="BF148" s="21"/>
      <c r="BG148" s="21"/>
      <c r="BH148" s="21"/>
    </row>
    <row r="149" spans="1:60" ht="15" thickBot="1" x14ac:dyDescent="0.35">
      <c r="A149" t="s">
        <v>599</v>
      </c>
      <c r="B149" t="s">
        <v>278</v>
      </c>
      <c r="C149" t="s">
        <v>279</v>
      </c>
      <c r="BE149" s="20"/>
      <c r="BF149" s="21"/>
      <c r="BG149" s="21"/>
      <c r="BH149" s="21"/>
    </row>
    <row r="150" spans="1:60" ht="15" thickBot="1" x14ac:dyDescent="0.35">
      <c r="A150" t="s">
        <v>167</v>
      </c>
      <c r="B150" t="s">
        <v>291</v>
      </c>
      <c r="C150" t="s">
        <v>281</v>
      </c>
      <c r="BE150" s="20"/>
      <c r="BF150" s="21"/>
      <c r="BG150" s="21"/>
      <c r="BH150" s="21"/>
    </row>
    <row r="151" spans="1:60" ht="15" thickBot="1" x14ac:dyDescent="0.35">
      <c r="A151" t="s">
        <v>201</v>
      </c>
      <c r="B151" t="s">
        <v>292</v>
      </c>
      <c r="C151" t="s">
        <v>279</v>
      </c>
      <c r="BE151" s="20"/>
      <c r="BF151" s="21"/>
      <c r="BG151" s="21"/>
      <c r="BH151" s="21"/>
    </row>
    <row r="152" spans="1:60" ht="15" thickBot="1" x14ac:dyDescent="0.35">
      <c r="A152" t="s">
        <v>92</v>
      </c>
      <c r="B152" t="s">
        <v>291</v>
      </c>
      <c r="C152" t="s">
        <v>283</v>
      </c>
      <c r="BE152" s="20"/>
      <c r="BF152" s="21"/>
      <c r="BG152" s="21"/>
      <c r="BH152" s="21"/>
    </row>
    <row r="153" spans="1:60" ht="15" thickBot="1" x14ac:dyDescent="0.35">
      <c r="A153" t="s">
        <v>77</v>
      </c>
      <c r="B153" t="s">
        <v>297</v>
      </c>
      <c r="C153" t="s">
        <v>287</v>
      </c>
      <c r="BE153" s="20"/>
      <c r="BF153" s="21"/>
      <c r="BG153" s="21"/>
      <c r="BH153" s="21"/>
    </row>
    <row r="154" spans="1:60" ht="15" thickBot="1" x14ac:dyDescent="0.35">
      <c r="A154" t="s">
        <v>101</v>
      </c>
      <c r="B154" t="s">
        <v>300</v>
      </c>
      <c r="C154" t="s">
        <v>279</v>
      </c>
      <c r="BE154" s="20"/>
      <c r="BF154" s="21"/>
      <c r="BG154" s="21"/>
      <c r="BH154" s="21"/>
    </row>
    <row r="155" spans="1:60" ht="15" thickBot="1" x14ac:dyDescent="0.35">
      <c r="A155" t="s">
        <v>199</v>
      </c>
      <c r="B155" t="s">
        <v>280</v>
      </c>
      <c r="C155" t="s">
        <v>287</v>
      </c>
      <c r="BE155" s="20"/>
      <c r="BF155" s="21"/>
      <c r="BG155" s="21"/>
      <c r="BH155" s="21"/>
    </row>
    <row r="156" spans="1:60" ht="15" thickBot="1" x14ac:dyDescent="0.35">
      <c r="A156" t="s">
        <v>139</v>
      </c>
      <c r="B156" t="s">
        <v>284</v>
      </c>
      <c r="C156" t="s">
        <v>283</v>
      </c>
      <c r="BE156" s="20"/>
      <c r="BF156" s="21"/>
      <c r="BG156" s="21"/>
      <c r="BH156" s="21"/>
    </row>
    <row r="157" spans="1:60" ht="15" thickBot="1" x14ac:dyDescent="0.35">
      <c r="A157" t="s">
        <v>237</v>
      </c>
      <c r="B157" t="s">
        <v>290</v>
      </c>
      <c r="C157" t="s">
        <v>287</v>
      </c>
      <c r="BE157" s="20"/>
      <c r="BF157" s="21"/>
      <c r="BG157" s="21"/>
      <c r="BH157" s="21"/>
    </row>
    <row r="158" spans="1:60" ht="15" thickBot="1" x14ac:dyDescent="0.35">
      <c r="A158" t="s">
        <v>224</v>
      </c>
      <c r="B158" t="s">
        <v>292</v>
      </c>
      <c r="C158" t="s">
        <v>279</v>
      </c>
      <c r="BE158" s="20"/>
      <c r="BF158" s="21"/>
      <c r="BG158" s="21"/>
      <c r="BH158" s="21"/>
    </row>
    <row r="159" spans="1:60" ht="15" thickBot="1" x14ac:dyDescent="0.35">
      <c r="A159" t="s">
        <v>183</v>
      </c>
      <c r="B159" t="s">
        <v>293</v>
      </c>
      <c r="C159" t="s">
        <v>283</v>
      </c>
      <c r="BE159" s="20"/>
      <c r="BF159" s="21"/>
      <c r="BG159" s="21"/>
      <c r="BH159" s="21"/>
    </row>
    <row r="160" spans="1:60" ht="15" thickBot="1" x14ac:dyDescent="0.35">
      <c r="A160" t="s">
        <v>276</v>
      </c>
      <c r="B160" t="s">
        <v>303</v>
      </c>
      <c r="C160" t="s">
        <v>287</v>
      </c>
      <c r="BE160" s="20"/>
      <c r="BF160" s="21"/>
      <c r="BG160" s="21"/>
      <c r="BH160" s="21"/>
    </row>
    <row r="161" spans="1:60" ht="15" thickBot="1" x14ac:dyDescent="0.35">
      <c r="A161" t="s">
        <v>131</v>
      </c>
      <c r="B161" t="s">
        <v>300</v>
      </c>
      <c r="C161" t="s">
        <v>279</v>
      </c>
      <c r="BE161" s="20"/>
      <c r="BF161" s="21"/>
      <c r="BG161" s="21"/>
      <c r="BH161" s="21"/>
    </row>
    <row r="162" spans="1:60" ht="15" thickBot="1" x14ac:dyDescent="0.35">
      <c r="A162" t="s">
        <v>122</v>
      </c>
      <c r="B162" t="s">
        <v>286</v>
      </c>
      <c r="C162" t="s">
        <v>279</v>
      </c>
      <c r="BE162" s="20"/>
      <c r="BF162" s="21"/>
      <c r="BG162" s="21"/>
      <c r="BH162" s="21"/>
    </row>
    <row r="163" spans="1:60" ht="15" thickBot="1" x14ac:dyDescent="0.35">
      <c r="A163" t="s">
        <v>260</v>
      </c>
      <c r="B163" t="s">
        <v>278</v>
      </c>
      <c r="C163" t="s">
        <v>281</v>
      </c>
      <c r="BE163" s="20"/>
      <c r="BF163" s="21"/>
      <c r="BG163" s="21"/>
      <c r="BH163" s="21"/>
    </row>
    <row r="164" spans="1:60" ht="15" thickBot="1" x14ac:dyDescent="0.35">
      <c r="A164" t="s">
        <v>231</v>
      </c>
      <c r="B164" t="s">
        <v>292</v>
      </c>
      <c r="C164" t="s">
        <v>279</v>
      </c>
      <c r="BE164" s="20"/>
      <c r="BF164" s="21"/>
      <c r="BG164" s="21"/>
      <c r="BH164" s="21"/>
    </row>
    <row r="165" spans="1:60" ht="15" thickBot="1" x14ac:dyDescent="0.35">
      <c r="A165" t="s">
        <v>216</v>
      </c>
      <c r="B165" t="s">
        <v>284</v>
      </c>
      <c r="C165" t="s">
        <v>279</v>
      </c>
      <c r="BE165" s="20"/>
      <c r="BF165" s="21"/>
      <c r="BG165" s="21"/>
      <c r="BH165" s="21"/>
    </row>
    <row r="166" spans="1:60" ht="15" thickBot="1" x14ac:dyDescent="0.35">
      <c r="A166" t="s">
        <v>215</v>
      </c>
      <c r="B166" t="s">
        <v>302</v>
      </c>
      <c r="C166" t="s">
        <v>282</v>
      </c>
      <c r="BE166" s="20"/>
      <c r="BF166" s="21"/>
      <c r="BG166" s="21"/>
      <c r="BH166" s="21"/>
    </row>
    <row r="167" spans="1:60" ht="15" thickBot="1" x14ac:dyDescent="0.35">
      <c r="A167" t="s">
        <v>126</v>
      </c>
      <c r="B167" t="s">
        <v>291</v>
      </c>
      <c r="C167" t="s">
        <v>281</v>
      </c>
      <c r="BE167" s="20"/>
      <c r="BF167" s="21"/>
      <c r="BG167" s="21"/>
      <c r="BH167" s="21"/>
    </row>
    <row r="168" spans="1:60" ht="15" thickBot="1" x14ac:dyDescent="0.35">
      <c r="A168" t="s">
        <v>54</v>
      </c>
      <c r="B168" t="s">
        <v>302</v>
      </c>
      <c r="C168" t="s">
        <v>282</v>
      </c>
      <c r="BE168" s="20"/>
      <c r="BF168" s="21"/>
      <c r="BG168" s="21"/>
      <c r="BH168" s="21"/>
    </row>
    <row r="169" spans="1:60" ht="15" thickBot="1" x14ac:dyDescent="0.35">
      <c r="A169" t="s">
        <v>190</v>
      </c>
      <c r="B169" t="s">
        <v>293</v>
      </c>
      <c r="C169" t="s">
        <v>287</v>
      </c>
      <c r="BE169" s="20"/>
      <c r="BF169" s="21"/>
      <c r="BG169" s="21"/>
      <c r="BH169" s="21"/>
    </row>
    <row r="170" spans="1:60" ht="15" thickBot="1" x14ac:dyDescent="0.35">
      <c r="A170" t="s">
        <v>277</v>
      </c>
      <c r="B170" t="s">
        <v>302</v>
      </c>
      <c r="C170" t="s">
        <v>282</v>
      </c>
      <c r="BE170" s="20"/>
      <c r="BF170" s="21"/>
      <c r="BG170" s="21"/>
      <c r="BH170" s="21"/>
    </row>
    <row r="171" spans="1:60" ht="15" thickBot="1" x14ac:dyDescent="0.35">
      <c r="A171" t="s">
        <v>267</v>
      </c>
      <c r="B171" t="s">
        <v>290</v>
      </c>
      <c r="C171" t="s">
        <v>287</v>
      </c>
      <c r="BE171" s="20"/>
      <c r="BF171" s="21"/>
      <c r="BG171" s="21"/>
      <c r="BH171" s="21"/>
    </row>
    <row r="172" spans="1:60" ht="15" thickBot="1" x14ac:dyDescent="0.35">
      <c r="A172" t="s">
        <v>234</v>
      </c>
      <c r="B172" t="s">
        <v>280</v>
      </c>
      <c r="C172" t="s">
        <v>281</v>
      </c>
      <c r="BE172" s="20"/>
      <c r="BF172" s="21"/>
      <c r="BG172" s="21"/>
      <c r="BH172" s="21"/>
    </row>
    <row r="173" spans="1:60" ht="15" thickBot="1" x14ac:dyDescent="0.35">
      <c r="A173" t="s">
        <v>85</v>
      </c>
      <c r="B173" t="s">
        <v>297</v>
      </c>
      <c r="C173" t="s">
        <v>283</v>
      </c>
      <c r="BE173" s="20"/>
      <c r="BF173" s="21"/>
      <c r="BG173" s="21"/>
      <c r="BH173" s="21"/>
    </row>
    <row r="174" spans="1:60" ht="15" thickBot="1" x14ac:dyDescent="0.35">
      <c r="A174" t="s">
        <v>228</v>
      </c>
      <c r="B174" t="s">
        <v>296</v>
      </c>
      <c r="C174" t="s">
        <v>281</v>
      </c>
      <c r="BE174" s="20"/>
      <c r="BF174" s="21"/>
      <c r="BG174" s="21"/>
      <c r="BH174" s="21"/>
    </row>
    <row r="175" spans="1:60" ht="15" thickBot="1" x14ac:dyDescent="0.35">
      <c r="A175" t="s">
        <v>255</v>
      </c>
      <c r="B175" t="s">
        <v>297</v>
      </c>
      <c r="C175" t="s">
        <v>283</v>
      </c>
      <c r="BE175" s="20"/>
      <c r="BF175" s="21"/>
      <c r="BG175" s="21"/>
      <c r="BH175" s="21"/>
    </row>
    <row r="176" spans="1:60" ht="15" thickBot="1" x14ac:dyDescent="0.35">
      <c r="A176" t="s">
        <v>138</v>
      </c>
      <c r="B176" t="s">
        <v>284</v>
      </c>
      <c r="C176" t="s">
        <v>282</v>
      </c>
      <c r="BE176" s="20"/>
      <c r="BF176" s="21"/>
      <c r="BG176" s="21"/>
      <c r="BH176" s="21"/>
    </row>
    <row r="177" spans="1:60" ht="15" thickBot="1" x14ac:dyDescent="0.35">
      <c r="A177" t="s">
        <v>186</v>
      </c>
      <c r="B177" t="s">
        <v>284</v>
      </c>
      <c r="C177" t="s">
        <v>282</v>
      </c>
      <c r="BE177" s="20"/>
      <c r="BF177" s="21"/>
      <c r="BG177" s="21"/>
      <c r="BH177" s="21"/>
    </row>
    <row r="178" spans="1:60" ht="15" thickBot="1" x14ac:dyDescent="0.35">
      <c r="A178" t="s">
        <v>230</v>
      </c>
      <c r="B178" t="s">
        <v>284</v>
      </c>
      <c r="C178" t="s">
        <v>287</v>
      </c>
      <c r="BE178" s="20"/>
      <c r="BF178" s="21"/>
      <c r="BG178" s="21"/>
      <c r="BH178" s="21"/>
    </row>
    <row r="179" spans="1:60" ht="15" thickBot="1" x14ac:dyDescent="0.35">
      <c r="A179" t="s">
        <v>182</v>
      </c>
      <c r="B179" t="s">
        <v>284</v>
      </c>
      <c r="C179" t="s">
        <v>282</v>
      </c>
      <c r="BE179" s="20"/>
      <c r="BF179" s="21"/>
      <c r="BG179" s="21"/>
      <c r="BH179" s="21"/>
    </row>
    <row r="180" spans="1:60" ht="15" thickBot="1" x14ac:dyDescent="0.35">
      <c r="A180" t="s">
        <v>60</v>
      </c>
      <c r="B180" t="s">
        <v>289</v>
      </c>
      <c r="C180" t="s">
        <v>287</v>
      </c>
      <c r="BE180" s="20"/>
      <c r="BF180" s="21"/>
      <c r="BG180" s="21"/>
      <c r="BH180" s="21"/>
    </row>
    <row r="181" spans="1:60" ht="15" thickBot="1" x14ac:dyDescent="0.35">
      <c r="A181" t="s">
        <v>261</v>
      </c>
      <c r="B181" t="s">
        <v>303</v>
      </c>
      <c r="C181" t="s">
        <v>279</v>
      </c>
      <c r="BE181" s="20"/>
      <c r="BF181" s="21"/>
      <c r="BG181" s="21"/>
      <c r="BH181" s="21"/>
    </row>
    <row r="182" spans="1:60" ht="15" thickBot="1" x14ac:dyDescent="0.35">
      <c r="A182" t="s">
        <v>178</v>
      </c>
      <c r="B182" t="s">
        <v>290</v>
      </c>
      <c r="C182" t="s">
        <v>282</v>
      </c>
      <c r="BE182" s="20"/>
      <c r="BF182" s="21"/>
      <c r="BG182" s="21"/>
      <c r="BH182" s="21"/>
    </row>
    <row r="183" spans="1:60" ht="15" thickBot="1" x14ac:dyDescent="0.35">
      <c r="A183" t="s">
        <v>168</v>
      </c>
      <c r="B183" t="s">
        <v>293</v>
      </c>
      <c r="C183" t="s">
        <v>279</v>
      </c>
      <c r="BE183" s="20"/>
      <c r="BF183" s="21"/>
      <c r="BG183" s="21"/>
      <c r="BH183" s="21"/>
    </row>
    <row r="184" spans="1:60" ht="15" thickBot="1" x14ac:dyDescent="0.35">
      <c r="A184" t="s">
        <v>600</v>
      </c>
      <c r="B184" t="s">
        <v>298</v>
      </c>
      <c r="C184" t="s">
        <v>279</v>
      </c>
      <c r="BE184" s="20"/>
      <c r="BF184" s="21"/>
      <c r="BG184" s="21"/>
      <c r="BH184" s="21"/>
    </row>
    <row r="185" spans="1:60" ht="15" thickBot="1" x14ac:dyDescent="0.35">
      <c r="A185" t="s">
        <v>128</v>
      </c>
      <c r="B185" t="s">
        <v>293</v>
      </c>
      <c r="C185" t="s">
        <v>279</v>
      </c>
      <c r="BE185" s="20"/>
      <c r="BF185" s="21"/>
      <c r="BG185" s="21"/>
      <c r="BH185" s="21"/>
    </row>
    <row r="186" spans="1:60" ht="15" thickBot="1" x14ac:dyDescent="0.35">
      <c r="A186" t="s">
        <v>189</v>
      </c>
      <c r="B186" t="s">
        <v>293</v>
      </c>
      <c r="C186" t="s">
        <v>282</v>
      </c>
      <c r="BE186" s="20"/>
      <c r="BF186" s="21"/>
      <c r="BG186" s="21"/>
      <c r="BH186" s="21"/>
    </row>
    <row r="187" spans="1:60" ht="15" thickBot="1" x14ac:dyDescent="0.35">
      <c r="A187" t="s">
        <v>238</v>
      </c>
      <c r="B187" t="s">
        <v>293</v>
      </c>
      <c r="C187" t="s">
        <v>281</v>
      </c>
      <c r="BE187" s="20"/>
      <c r="BF187" s="21"/>
      <c r="BG187" s="21"/>
      <c r="BH187" s="21"/>
    </row>
    <row r="188" spans="1:60" x14ac:dyDescent="0.3">
      <c r="A188" t="s">
        <v>242</v>
      </c>
      <c r="B188" t="s">
        <v>296</v>
      </c>
      <c r="C188" t="s">
        <v>287</v>
      </c>
    </row>
    <row r="189" spans="1:60" x14ac:dyDescent="0.3">
      <c r="A189" t="s">
        <v>133</v>
      </c>
      <c r="B189" t="s">
        <v>293</v>
      </c>
      <c r="C189" t="s">
        <v>279</v>
      </c>
    </row>
    <row r="190" spans="1:60" x14ac:dyDescent="0.3">
      <c r="A190" t="s">
        <v>109</v>
      </c>
      <c r="B190" t="s">
        <v>286</v>
      </c>
      <c r="C190" t="s">
        <v>283</v>
      </c>
    </row>
    <row r="191" spans="1:60" x14ac:dyDescent="0.3">
      <c r="A191" t="s">
        <v>121</v>
      </c>
      <c r="B191" t="s">
        <v>286</v>
      </c>
      <c r="C191" t="s">
        <v>283</v>
      </c>
    </row>
    <row r="192" spans="1:60" x14ac:dyDescent="0.3">
      <c r="A192" t="s">
        <v>148</v>
      </c>
      <c r="B192" t="s">
        <v>293</v>
      </c>
      <c r="C192" t="s">
        <v>281</v>
      </c>
    </row>
    <row r="193" spans="1:3" x14ac:dyDescent="0.3">
      <c r="A193" t="s">
        <v>130</v>
      </c>
      <c r="B193" t="s">
        <v>284</v>
      </c>
      <c r="C193" t="s">
        <v>287</v>
      </c>
    </row>
    <row r="194" spans="1:3" x14ac:dyDescent="0.3">
      <c r="A194" t="s">
        <v>219</v>
      </c>
      <c r="B194" t="s">
        <v>286</v>
      </c>
      <c r="C194" t="s">
        <v>283</v>
      </c>
    </row>
    <row r="195" spans="1:3" x14ac:dyDescent="0.3">
      <c r="A195" t="s">
        <v>227</v>
      </c>
      <c r="B195" t="s">
        <v>292</v>
      </c>
      <c r="C195" t="s">
        <v>279</v>
      </c>
    </row>
    <row r="196" spans="1:3" x14ac:dyDescent="0.3">
      <c r="A196" t="s">
        <v>147</v>
      </c>
      <c r="B196" t="s">
        <v>289</v>
      </c>
      <c r="C196" t="s">
        <v>283</v>
      </c>
    </row>
    <row r="197" spans="1:3" x14ac:dyDescent="0.3">
      <c r="A197" t="s">
        <v>67</v>
      </c>
      <c r="B197" t="s">
        <v>293</v>
      </c>
      <c r="C197" t="s">
        <v>283</v>
      </c>
    </row>
    <row r="198" spans="1:3" x14ac:dyDescent="0.3">
      <c r="A198" t="s">
        <v>90</v>
      </c>
      <c r="B198" t="s">
        <v>293</v>
      </c>
      <c r="C198" t="s">
        <v>281</v>
      </c>
    </row>
    <row r="199" spans="1:3" x14ac:dyDescent="0.3">
      <c r="A199" t="s">
        <v>79</v>
      </c>
      <c r="B199" t="s">
        <v>293</v>
      </c>
      <c r="C199" t="s">
        <v>279</v>
      </c>
    </row>
    <row r="200" spans="1:3" x14ac:dyDescent="0.3">
      <c r="A200" t="s">
        <v>120</v>
      </c>
      <c r="B200" t="s">
        <v>284</v>
      </c>
      <c r="C200" t="s">
        <v>282</v>
      </c>
    </row>
    <row r="201" spans="1:3" x14ac:dyDescent="0.3">
      <c r="A201" t="s">
        <v>94</v>
      </c>
      <c r="B201" t="s">
        <v>295</v>
      </c>
      <c r="C201" t="s">
        <v>281</v>
      </c>
    </row>
    <row r="202" spans="1:3" x14ac:dyDescent="0.3">
      <c r="A202" t="s">
        <v>113</v>
      </c>
      <c r="B202" t="s">
        <v>286</v>
      </c>
      <c r="C202" t="s">
        <v>283</v>
      </c>
    </row>
    <row r="203" spans="1:3" x14ac:dyDescent="0.3">
      <c r="A203" t="s">
        <v>134</v>
      </c>
      <c r="B203" t="s">
        <v>286</v>
      </c>
      <c r="C203" t="s">
        <v>283</v>
      </c>
    </row>
    <row r="204" spans="1:3" x14ac:dyDescent="0.3">
      <c r="A204" t="s">
        <v>116</v>
      </c>
      <c r="B204" t="s">
        <v>290</v>
      </c>
      <c r="C204" t="s">
        <v>281</v>
      </c>
    </row>
    <row r="205" spans="1:3" x14ac:dyDescent="0.3">
      <c r="A205" t="s">
        <v>268</v>
      </c>
      <c r="B205" t="s">
        <v>284</v>
      </c>
      <c r="C205" t="s">
        <v>281</v>
      </c>
    </row>
    <row r="206" spans="1:3" x14ac:dyDescent="0.3">
      <c r="A206" t="s">
        <v>146</v>
      </c>
      <c r="B206" t="s">
        <v>300</v>
      </c>
      <c r="C206" t="s">
        <v>279</v>
      </c>
    </row>
    <row r="207" spans="1:3" x14ac:dyDescent="0.3">
      <c r="A207" t="s">
        <v>136</v>
      </c>
      <c r="B207" t="s">
        <v>300</v>
      </c>
      <c r="C207" t="s">
        <v>279</v>
      </c>
    </row>
    <row r="208" spans="1:3" x14ac:dyDescent="0.3">
      <c r="A208" t="s">
        <v>195</v>
      </c>
      <c r="B208" t="s">
        <v>286</v>
      </c>
      <c r="C208" t="s">
        <v>279</v>
      </c>
    </row>
    <row r="209" spans="1:3" x14ac:dyDescent="0.3">
      <c r="A209" t="s">
        <v>160</v>
      </c>
      <c r="B209" t="s">
        <v>299</v>
      </c>
      <c r="C209" t="s">
        <v>283</v>
      </c>
    </row>
    <row r="210" spans="1:3" x14ac:dyDescent="0.3">
      <c r="A210" t="s">
        <v>247</v>
      </c>
      <c r="B210" t="s">
        <v>299</v>
      </c>
      <c r="C210" t="s">
        <v>281</v>
      </c>
    </row>
    <row r="211" spans="1:3" x14ac:dyDescent="0.3">
      <c r="A211" t="s">
        <v>206</v>
      </c>
      <c r="B211" t="s">
        <v>299</v>
      </c>
      <c r="C211" t="s">
        <v>287</v>
      </c>
    </row>
    <row r="212" spans="1:3" x14ac:dyDescent="0.3">
      <c r="A212" t="s">
        <v>249</v>
      </c>
      <c r="B212" t="s">
        <v>284</v>
      </c>
      <c r="C212" t="s">
        <v>287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6B5A-2D59-493C-965F-DC6BDF7C28DC}">
  <dimension ref="A1:BI214"/>
  <sheetViews>
    <sheetView topLeftCell="A199" workbookViewId="0">
      <selection activeCell="A213" sqref="A213:D215"/>
    </sheetView>
  </sheetViews>
  <sheetFormatPr defaultRowHeight="14.4" x14ac:dyDescent="0.3"/>
  <sheetData>
    <row r="1" spans="1:61" x14ac:dyDescent="0.3">
      <c r="A1" t="s">
        <v>311</v>
      </c>
      <c r="B1" t="s">
        <v>306</v>
      </c>
      <c r="C1" s="28" t="s">
        <v>312</v>
      </c>
      <c r="D1" s="28" t="s">
        <v>313</v>
      </c>
      <c r="J1" t="s">
        <v>275</v>
      </c>
    </row>
    <row r="2" spans="1:61" x14ac:dyDescent="0.3">
      <c r="A2">
        <v>1</v>
      </c>
      <c r="B2" t="s">
        <v>192</v>
      </c>
      <c r="C2">
        <v>0</v>
      </c>
      <c r="D2">
        <v>0</v>
      </c>
    </row>
    <row r="3" spans="1:61" x14ac:dyDescent="0.3">
      <c r="A3">
        <v>2</v>
      </c>
      <c r="B3" t="s">
        <v>72</v>
      </c>
      <c r="C3">
        <v>9.0014530795023799E-3</v>
      </c>
      <c r="D3">
        <v>6.4494607091336396E-3</v>
      </c>
      <c r="J3" t="s">
        <v>0</v>
      </c>
      <c r="K3" t="s">
        <v>1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V3" t="s">
        <v>12</v>
      </c>
      <c r="W3" t="s">
        <v>13</v>
      </c>
      <c r="X3" t="s">
        <v>14</v>
      </c>
      <c r="Y3" t="s">
        <v>15</v>
      </c>
      <c r="Z3" t="s">
        <v>16</v>
      </c>
      <c r="AA3" t="s">
        <v>17</v>
      </c>
      <c r="AB3" t="s">
        <v>18</v>
      </c>
      <c r="AC3" t="s">
        <v>19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25</v>
      </c>
      <c r="AJ3" t="s">
        <v>26</v>
      </c>
      <c r="AK3" t="s">
        <v>27</v>
      </c>
      <c r="AL3" t="s">
        <v>28</v>
      </c>
      <c r="AM3" t="s">
        <v>29</v>
      </c>
      <c r="AN3" t="s">
        <v>30</v>
      </c>
      <c r="AO3" t="s">
        <v>31</v>
      </c>
      <c r="AP3" t="s">
        <v>32</v>
      </c>
      <c r="AQ3" t="s">
        <v>33</v>
      </c>
      <c r="AR3" t="s">
        <v>34</v>
      </c>
      <c r="AS3" t="s">
        <v>35</v>
      </c>
      <c r="AT3" t="s">
        <v>36</v>
      </c>
      <c r="AU3" t="s">
        <v>37</v>
      </c>
      <c r="AV3" t="s">
        <v>38</v>
      </c>
      <c r="AW3" t="s">
        <v>39</v>
      </c>
      <c r="AX3" t="s">
        <v>40</v>
      </c>
      <c r="AY3" t="s">
        <v>41</v>
      </c>
      <c r="AZ3" t="s">
        <v>42</v>
      </c>
      <c r="BA3" t="s">
        <v>43</v>
      </c>
      <c r="BB3" t="s">
        <v>44</v>
      </c>
      <c r="BC3" t="s">
        <v>45</v>
      </c>
      <c r="BD3" t="s">
        <v>46</v>
      </c>
      <c r="BE3" t="s">
        <v>47</v>
      </c>
      <c r="BF3" t="s">
        <v>48</v>
      </c>
      <c r="BG3" t="s">
        <v>49</v>
      </c>
      <c r="BH3" t="s">
        <v>50</v>
      </c>
      <c r="BI3" t="s">
        <v>51</v>
      </c>
    </row>
    <row r="4" spans="1:61" x14ac:dyDescent="0.3">
      <c r="A4">
        <v>3</v>
      </c>
      <c r="B4" t="s">
        <v>98</v>
      </c>
      <c r="C4">
        <v>0</v>
      </c>
      <c r="D4">
        <v>0</v>
      </c>
      <c r="J4" t="s">
        <v>87</v>
      </c>
      <c r="K4">
        <v>3.6120000000000001</v>
      </c>
      <c r="L4">
        <v>3.907</v>
      </c>
      <c r="M4" t="s">
        <v>55</v>
      </c>
      <c r="N4">
        <v>0.01</v>
      </c>
      <c r="O4">
        <v>0.01</v>
      </c>
      <c r="P4">
        <v>0.753</v>
      </c>
      <c r="Q4">
        <v>1</v>
      </c>
      <c r="R4">
        <v>0.51100000000000001</v>
      </c>
      <c r="S4">
        <v>0.89600000000000002</v>
      </c>
      <c r="T4">
        <v>0.88200000000000001</v>
      </c>
      <c r="U4">
        <v>0.996</v>
      </c>
      <c r="V4">
        <v>1</v>
      </c>
      <c r="W4">
        <v>1</v>
      </c>
      <c r="X4">
        <v>0.53500000000000003</v>
      </c>
      <c r="Y4">
        <v>0.54</v>
      </c>
      <c r="Z4">
        <v>1</v>
      </c>
      <c r="AA4">
        <v>0.99099999999999999</v>
      </c>
      <c r="AB4">
        <v>1</v>
      </c>
      <c r="AC4">
        <v>1</v>
      </c>
      <c r="AD4">
        <v>9.1999999999999998E-2</v>
      </c>
      <c r="AE4">
        <v>0.79700000000000004</v>
      </c>
      <c r="AF4">
        <v>0.29799999999999999</v>
      </c>
      <c r="AG4">
        <v>0.91800000000000004</v>
      </c>
      <c r="AH4">
        <v>-0.122</v>
      </c>
      <c r="AI4">
        <v>-0.20399999999999999</v>
      </c>
      <c r="AJ4">
        <v>0.32700000000000001</v>
      </c>
      <c r="AK4">
        <v>-0.17</v>
      </c>
      <c r="AL4">
        <v>3.3000000000000002E-2</v>
      </c>
      <c r="AM4">
        <v>0.439</v>
      </c>
      <c r="AN4">
        <v>2.3E-2</v>
      </c>
      <c r="AO4">
        <v>-7.1999999999999995E-2</v>
      </c>
      <c r="AP4">
        <v>0.52700000000000002</v>
      </c>
      <c r="AQ4">
        <v>0.52</v>
      </c>
      <c r="AR4">
        <v>-0.109</v>
      </c>
      <c r="AS4">
        <v>0.75900000000000001</v>
      </c>
      <c r="AT4">
        <v>0.41899999999999998</v>
      </c>
      <c r="AU4">
        <v>0.34399999999999997</v>
      </c>
      <c r="AV4">
        <v>-0.73499999999999999</v>
      </c>
      <c r="AW4">
        <v>0.03</v>
      </c>
      <c r="AX4">
        <v>-0.26200000000000001</v>
      </c>
      <c r="AY4">
        <v>-0.245</v>
      </c>
      <c r="AZ4">
        <v>0.13500000000000001</v>
      </c>
      <c r="BA4">
        <v>0.59299999999999997</v>
      </c>
      <c r="BB4">
        <v>0.51</v>
      </c>
      <c r="BC4">
        <v>-0.35099999999999998</v>
      </c>
      <c r="BD4">
        <v>-0.122</v>
      </c>
      <c r="BE4">
        <v>0.72799999999999998</v>
      </c>
      <c r="BF4">
        <v>-0.41599999999999998</v>
      </c>
      <c r="BG4">
        <v>0.223</v>
      </c>
      <c r="BH4">
        <v>0.36899999999999999</v>
      </c>
      <c r="BI4">
        <v>0.29699999999999999</v>
      </c>
    </row>
    <row r="5" spans="1:61" x14ac:dyDescent="0.3">
      <c r="A5">
        <v>4</v>
      </c>
      <c r="B5" t="s">
        <v>63</v>
      </c>
      <c r="C5">
        <v>5.9259027203233802E-3</v>
      </c>
      <c r="D5">
        <v>0</v>
      </c>
      <c r="J5" t="s">
        <v>54</v>
      </c>
      <c r="K5">
        <v>3.6120000000000001</v>
      </c>
      <c r="L5">
        <v>3.66</v>
      </c>
      <c r="M5" t="s">
        <v>55</v>
      </c>
      <c r="N5">
        <v>1.0999999999999999E-2</v>
      </c>
      <c r="O5">
        <v>1.0999999999999999E-2</v>
      </c>
      <c r="P5">
        <v>1</v>
      </c>
      <c r="Q5">
        <v>1</v>
      </c>
      <c r="R5">
        <v>0.64200000000000002</v>
      </c>
      <c r="S5">
        <v>1</v>
      </c>
      <c r="T5">
        <v>0.93799999999999994</v>
      </c>
      <c r="U5">
        <v>1</v>
      </c>
      <c r="V5">
        <v>1</v>
      </c>
      <c r="W5">
        <v>1</v>
      </c>
      <c r="X5">
        <v>0.68700000000000006</v>
      </c>
      <c r="Y5">
        <v>0.68899999999999995</v>
      </c>
      <c r="Z5">
        <v>1</v>
      </c>
      <c r="AA5">
        <v>1</v>
      </c>
      <c r="AB5">
        <v>1</v>
      </c>
      <c r="AC5">
        <v>0.55700000000000005</v>
      </c>
      <c r="AD5">
        <v>2E-3</v>
      </c>
      <c r="AE5">
        <v>0.80500000000000005</v>
      </c>
      <c r="AF5">
        <v>-0.26100000000000001</v>
      </c>
      <c r="AG5">
        <v>1</v>
      </c>
      <c r="AH5">
        <v>0.752</v>
      </c>
      <c r="AI5">
        <v>-0.20499999999999999</v>
      </c>
      <c r="AJ5">
        <v>0.13300000000000001</v>
      </c>
      <c r="AK5">
        <v>-0.80500000000000005</v>
      </c>
      <c r="AL5">
        <v>6.4000000000000001E-2</v>
      </c>
      <c r="AM5">
        <v>0.751</v>
      </c>
      <c r="AN5">
        <v>1</v>
      </c>
      <c r="AO5">
        <v>0.29299999999999998</v>
      </c>
      <c r="AP5">
        <v>0.40500000000000003</v>
      </c>
      <c r="AQ5">
        <v>0.47499999999999998</v>
      </c>
      <c r="AR5">
        <v>0.41699999999999998</v>
      </c>
      <c r="AS5">
        <v>0.26</v>
      </c>
      <c r="AT5">
        <v>0.76700000000000002</v>
      </c>
      <c r="AU5">
        <v>0.42599999999999999</v>
      </c>
      <c r="AV5">
        <v>0.17899999999999999</v>
      </c>
      <c r="AW5">
        <v>0.88500000000000001</v>
      </c>
      <c r="AX5">
        <v>0.104</v>
      </c>
      <c r="AY5">
        <v>0.58299999999999996</v>
      </c>
      <c r="AZ5">
        <v>-0.29899999999999999</v>
      </c>
      <c r="BA5">
        <v>-0.20100000000000001</v>
      </c>
      <c r="BB5">
        <v>0.29299999999999998</v>
      </c>
      <c r="BC5">
        <v>-0.371</v>
      </c>
      <c r="BD5">
        <v>0.371</v>
      </c>
      <c r="BE5">
        <v>0.68200000000000005</v>
      </c>
      <c r="BF5">
        <v>-0.52700000000000002</v>
      </c>
      <c r="BG5">
        <v>-0.40100000000000002</v>
      </c>
      <c r="BH5">
        <v>0.71699999999999997</v>
      </c>
      <c r="BI5">
        <v>0.495</v>
      </c>
    </row>
    <row r="6" spans="1:61" x14ac:dyDescent="0.3">
      <c r="A6">
        <v>5</v>
      </c>
      <c r="B6" t="s">
        <v>164</v>
      </c>
      <c r="C6">
        <v>0</v>
      </c>
      <c r="D6">
        <v>0</v>
      </c>
      <c r="J6" t="s">
        <v>69</v>
      </c>
      <c r="K6">
        <v>3.6120000000000001</v>
      </c>
      <c r="L6">
        <v>3.6339999999999999</v>
      </c>
      <c r="M6" t="s">
        <v>57</v>
      </c>
      <c r="N6">
        <v>1.2E-2</v>
      </c>
      <c r="O6">
        <v>1.2E-2</v>
      </c>
      <c r="P6">
        <v>0.90200000000000002</v>
      </c>
      <c r="Q6">
        <v>1</v>
      </c>
      <c r="R6">
        <v>0.81699999999999995</v>
      </c>
      <c r="S6">
        <v>0.91100000000000003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0.19400000000000001</v>
      </c>
      <c r="AD6">
        <v>1</v>
      </c>
      <c r="AE6">
        <v>1</v>
      </c>
      <c r="AF6">
        <v>0.251</v>
      </c>
      <c r="AG6">
        <v>1</v>
      </c>
      <c r="AH6">
        <v>0.23</v>
      </c>
      <c r="AI6">
        <v>7.2999999999999995E-2</v>
      </c>
      <c r="AJ6">
        <v>0.54</v>
      </c>
      <c r="AK6">
        <v>0.42</v>
      </c>
      <c r="AL6">
        <v>0.223</v>
      </c>
      <c r="AM6">
        <v>0.56100000000000005</v>
      </c>
      <c r="AN6">
        <v>0.81299999999999994</v>
      </c>
      <c r="AO6">
        <v>0.55700000000000005</v>
      </c>
      <c r="AP6">
        <v>0.25</v>
      </c>
      <c r="AQ6">
        <v>-0.13900000000000001</v>
      </c>
      <c r="AR6">
        <v>2E-3</v>
      </c>
      <c r="AS6">
        <v>-0.26700000000000002</v>
      </c>
      <c r="AT6">
        <v>-0.13100000000000001</v>
      </c>
      <c r="AU6">
        <v>0.51500000000000001</v>
      </c>
      <c r="AV6">
        <v>-0.09</v>
      </c>
      <c r="AW6">
        <v>0.65500000000000003</v>
      </c>
      <c r="AX6">
        <v>0.249</v>
      </c>
      <c r="AY6">
        <v>-3.0000000000000001E-3</v>
      </c>
      <c r="AZ6">
        <v>0.126</v>
      </c>
      <c r="BA6">
        <v>0.215</v>
      </c>
      <c r="BB6">
        <v>-0.73199999999999998</v>
      </c>
      <c r="BC6">
        <v>-0.36299999999999999</v>
      </c>
      <c r="BD6">
        <v>0.186</v>
      </c>
      <c r="BE6">
        <v>0.93600000000000005</v>
      </c>
      <c r="BF6">
        <v>-0.81</v>
      </c>
      <c r="BG6">
        <v>8.2000000000000003E-2</v>
      </c>
      <c r="BH6">
        <v>0.64</v>
      </c>
      <c r="BI6">
        <v>0.67900000000000005</v>
      </c>
    </row>
    <row r="7" spans="1:61" x14ac:dyDescent="0.3">
      <c r="A7">
        <v>6</v>
      </c>
      <c r="B7" t="s">
        <v>73</v>
      </c>
      <c r="C7">
        <v>1.33957637248382E-2</v>
      </c>
      <c r="D7">
        <v>8.6331965293741098E-3</v>
      </c>
      <c r="J7" t="s">
        <v>52</v>
      </c>
      <c r="K7">
        <v>3.6120000000000001</v>
      </c>
      <c r="L7">
        <v>3.59</v>
      </c>
      <c r="M7" t="s">
        <v>53</v>
      </c>
      <c r="N7">
        <v>1.2999999999999999E-2</v>
      </c>
      <c r="O7">
        <v>1.2999999999999999E-2</v>
      </c>
      <c r="P7">
        <v>1</v>
      </c>
      <c r="Q7">
        <v>0.96599999999999997</v>
      </c>
      <c r="R7">
        <v>1</v>
      </c>
      <c r="S7">
        <v>1</v>
      </c>
      <c r="T7">
        <v>1</v>
      </c>
      <c r="U7">
        <v>1</v>
      </c>
      <c r="V7">
        <v>1</v>
      </c>
      <c r="W7">
        <v>0.63100000000000001</v>
      </c>
      <c r="X7">
        <v>0.72399999999999998</v>
      </c>
      <c r="Y7">
        <v>0.72299999999999998</v>
      </c>
      <c r="Z7">
        <v>1</v>
      </c>
      <c r="AA7">
        <v>1</v>
      </c>
      <c r="AB7">
        <v>0.99</v>
      </c>
      <c r="AC7">
        <v>1</v>
      </c>
      <c r="AD7">
        <v>0.20499999999999999</v>
      </c>
      <c r="AE7">
        <v>0.42099999999999999</v>
      </c>
      <c r="AF7">
        <v>0.54600000000000004</v>
      </c>
      <c r="AG7">
        <v>0.997</v>
      </c>
      <c r="AH7">
        <v>1</v>
      </c>
      <c r="AI7">
        <v>0.55100000000000005</v>
      </c>
      <c r="AJ7">
        <v>-0.187</v>
      </c>
      <c r="AK7">
        <v>-0.26300000000000001</v>
      </c>
      <c r="AL7">
        <v>5.5E-2</v>
      </c>
      <c r="AM7">
        <v>3.5999999999999997E-2</v>
      </c>
      <c r="AN7">
        <v>0.11799999999999999</v>
      </c>
      <c r="AO7">
        <v>0.27100000000000002</v>
      </c>
      <c r="AP7">
        <v>0.157</v>
      </c>
      <c r="AQ7">
        <v>-0.34599999999999997</v>
      </c>
      <c r="AR7">
        <v>0.72399999999999998</v>
      </c>
      <c r="AS7">
        <v>0.40300000000000002</v>
      </c>
      <c r="AT7">
        <v>1</v>
      </c>
      <c r="AU7">
        <v>0.36299999999999999</v>
      </c>
      <c r="AV7">
        <v>-6.2E-2</v>
      </c>
      <c r="AW7">
        <v>0.80400000000000005</v>
      </c>
      <c r="AX7">
        <v>0.496</v>
      </c>
      <c r="AY7">
        <v>-4.2999999999999997E-2</v>
      </c>
      <c r="AZ7">
        <v>0.05</v>
      </c>
      <c r="BA7">
        <v>0.06</v>
      </c>
      <c r="BB7">
        <v>0.53500000000000003</v>
      </c>
      <c r="BC7">
        <v>-2.1000000000000001E-2</v>
      </c>
      <c r="BD7">
        <v>1</v>
      </c>
      <c r="BE7">
        <v>0.64100000000000001</v>
      </c>
      <c r="BF7">
        <v>-0.36099999999999999</v>
      </c>
      <c r="BG7">
        <v>-0.36699999999999999</v>
      </c>
      <c r="BH7">
        <v>0.61399999999999999</v>
      </c>
      <c r="BI7">
        <v>0.69299999999999995</v>
      </c>
    </row>
    <row r="8" spans="1:61" x14ac:dyDescent="0.3">
      <c r="A8">
        <v>7</v>
      </c>
      <c r="B8" t="s">
        <v>263</v>
      </c>
      <c r="C8">
        <v>0</v>
      </c>
      <c r="D8">
        <v>0</v>
      </c>
      <c r="J8" t="s">
        <v>91</v>
      </c>
      <c r="K8">
        <v>3.6120000000000001</v>
      </c>
      <c r="L8">
        <v>3.4009999999999998</v>
      </c>
      <c r="M8" t="s">
        <v>57</v>
      </c>
      <c r="N8">
        <v>8.9999999999999993E-3</v>
      </c>
      <c r="O8">
        <v>8.9999999999999993E-3</v>
      </c>
      <c r="P8">
        <v>1</v>
      </c>
      <c r="Q8">
        <v>1</v>
      </c>
      <c r="R8">
        <v>0.60599999999999998</v>
      </c>
      <c r="S8">
        <v>1</v>
      </c>
      <c r="T8">
        <v>1</v>
      </c>
      <c r="U8">
        <v>1</v>
      </c>
      <c r="V8">
        <v>0.97299999999999998</v>
      </c>
      <c r="W8">
        <v>1</v>
      </c>
      <c r="X8">
        <v>0.69499999999999995</v>
      </c>
      <c r="Y8">
        <v>0.69099999999999995</v>
      </c>
      <c r="Z8">
        <v>0.92900000000000005</v>
      </c>
      <c r="AA8">
        <v>0.85899999999999999</v>
      </c>
      <c r="AB8">
        <v>1</v>
      </c>
      <c r="AC8">
        <v>1</v>
      </c>
      <c r="AD8">
        <v>0.93799999999999994</v>
      </c>
      <c r="AE8">
        <v>1</v>
      </c>
      <c r="AF8">
        <v>-0.41499999999999998</v>
      </c>
      <c r="AG8">
        <v>0.72799999999999998</v>
      </c>
      <c r="AH8">
        <v>0.253</v>
      </c>
      <c r="AI8">
        <v>0.29599999999999999</v>
      </c>
      <c r="AJ8">
        <v>-5.2999999999999999E-2</v>
      </c>
      <c r="AK8">
        <v>-0.41099999999999998</v>
      </c>
      <c r="AL8">
        <v>0.313</v>
      </c>
      <c r="AM8">
        <v>0.63200000000000001</v>
      </c>
      <c r="AN8">
        <v>0.92700000000000005</v>
      </c>
      <c r="AO8">
        <v>0.53200000000000003</v>
      </c>
      <c r="AP8">
        <v>0.182</v>
      </c>
      <c r="AQ8">
        <v>0.309</v>
      </c>
      <c r="AR8">
        <v>0.33</v>
      </c>
      <c r="AS8">
        <v>0.41399999999999998</v>
      </c>
      <c r="AT8">
        <v>0.90800000000000003</v>
      </c>
      <c r="AU8">
        <v>-4.4999999999999998E-2</v>
      </c>
      <c r="AV8">
        <v>0.13600000000000001</v>
      </c>
      <c r="AW8">
        <v>-0.17599999999999999</v>
      </c>
      <c r="AX8">
        <v>0.53700000000000003</v>
      </c>
      <c r="AY8">
        <v>-0.253</v>
      </c>
      <c r="AZ8">
        <v>8.0000000000000002E-3</v>
      </c>
      <c r="BA8">
        <v>0.54100000000000004</v>
      </c>
      <c r="BB8">
        <v>0.64700000000000002</v>
      </c>
      <c r="BC8">
        <v>0.217</v>
      </c>
      <c r="BD8">
        <v>0.151</v>
      </c>
      <c r="BE8">
        <v>0.14199999999999999</v>
      </c>
      <c r="BF8">
        <v>-0.85699999999999998</v>
      </c>
      <c r="BG8">
        <v>0.70399999999999996</v>
      </c>
      <c r="BH8">
        <v>-5.0999999999999997E-2</v>
      </c>
      <c r="BI8">
        <v>-0.25800000000000001</v>
      </c>
    </row>
    <row r="9" spans="1:61" x14ac:dyDescent="0.3">
      <c r="A9">
        <v>8</v>
      </c>
      <c r="B9" t="s">
        <v>177</v>
      </c>
      <c r="C9">
        <v>0</v>
      </c>
      <c r="D9">
        <v>0</v>
      </c>
      <c r="J9" t="s">
        <v>59</v>
      </c>
      <c r="K9">
        <v>3.6120000000000001</v>
      </c>
      <c r="L9">
        <v>2.7650000000000001</v>
      </c>
      <c r="M9" t="s">
        <v>57</v>
      </c>
      <c r="N9">
        <v>7.0000000000000001E-3</v>
      </c>
      <c r="O9">
        <v>7.0000000000000001E-3</v>
      </c>
      <c r="P9">
        <v>1</v>
      </c>
      <c r="Q9">
        <v>0.64600000000000002</v>
      </c>
      <c r="R9">
        <v>1</v>
      </c>
      <c r="S9">
        <v>1</v>
      </c>
      <c r="T9">
        <v>1</v>
      </c>
      <c r="U9">
        <v>1</v>
      </c>
      <c r="V9">
        <v>1</v>
      </c>
      <c r="W9">
        <v>0.73699999999999999</v>
      </c>
      <c r="X9">
        <v>1</v>
      </c>
      <c r="Y9">
        <v>1</v>
      </c>
      <c r="Z9">
        <v>0.73499999999999999</v>
      </c>
      <c r="AA9">
        <v>0.749</v>
      </c>
      <c r="AB9">
        <v>0.92800000000000005</v>
      </c>
      <c r="AC9">
        <v>1</v>
      </c>
      <c r="AD9">
        <v>1</v>
      </c>
      <c r="AE9">
        <v>-0.13800000000000001</v>
      </c>
      <c r="AF9">
        <v>1</v>
      </c>
      <c r="AG9">
        <v>-0.315</v>
      </c>
      <c r="AH9">
        <v>1</v>
      </c>
      <c r="AI9">
        <v>0.88200000000000001</v>
      </c>
      <c r="AJ9">
        <v>1</v>
      </c>
      <c r="AK9">
        <v>0.45100000000000001</v>
      </c>
      <c r="AL9">
        <v>0.65200000000000002</v>
      </c>
      <c r="AM9">
        <v>-0.80800000000000005</v>
      </c>
      <c r="AN9">
        <v>-0.66500000000000004</v>
      </c>
      <c r="AO9">
        <v>0.30299999999999999</v>
      </c>
      <c r="AP9">
        <v>0.59399999999999997</v>
      </c>
      <c r="AQ9">
        <v>9.7000000000000003E-2</v>
      </c>
      <c r="AR9">
        <v>0.69699999999999995</v>
      </c>
      <c r="AS9">
        <v>-0.54800000000000004</v>
      </c>
      <c r="AT9">
        <v>0.90800000000000003</v>
      </c>
      <c r="AU9">
        <v>0.32600000000000001</v>
      </c>
      <c r="AV9">
        <v>5.3999999999999999E-2</v>
      </c>
      <c r="AW9">
        <v>0.47</v>
      </c>
      <c r="AX9">
        <v>0.60399999999999998</v>
      </c>
      <c r="AY9">
        <v>0.25</v>
      </c>
      <c r="AZ9">
        <v>0.29199999999999998</v>
      </c>
      <c r="BA9">
        <v>0.30299999999999999</v>
      </c>
      <c r="BB9">
        <v>0.59399999999999997</v>
      </c>
      <c r="BC9">
        <v>4.2999999999999997E-2</v>
      </c>
      <c r="BD9">
        <v>9.7000000000000003E-2</v>
      </c>
      <c r="BE9">
        <v>0.90700000000000003</v>
      </c>
      <c r="BF9">
        <v>-0.34499999999999997</v>
      </c>
      <c r="BG9">
        <v>-0.437</v>
      </c>
      <c r="BH9">
        <v>0.52100000000000002</v>
      </c>
      <c r="BI9">
        <v>0.80200000000000005</v>
      </c>
    </row>
    <row r="10" spans="1:61" x14ac:dyDescent="0.3">
      <c r="A10">
        <v>9</v>
      </c>
      <c r="B10" t="s">
        <v>159</v>
      </c>
      <c r="C10">
        <v>0</v>
      </c>
      <c r="D10">
        <v>0</v>
      </c>
      <c r="J10" t="s">
        <v>60</v>
      </c>
      <c r="K10">
        <v>3.5289999999999999</v>
      </c>
      <c r="L10">
        <v>2.7269999999999999</v>
      </c>
      <c r="M10" t="s">
        <v>57</v>
      </c>
      <c r="N10">
        <v>0.01</v>
      </c>
      <c r="O10">
        <v>0.01</v>
      </c>
      <c r="P10">
        <v>0.99299999999999999</v>
      </c>
      <c r="Q10">
        <v>0.84899999999999998</v>
      </c>
      <c r="R10">
        <v>0.79700000000000004</v>
      </c>
      <c r="S10">
        <v>1</v>
      </c>
      <c r="T10">
        <v>0.96899999999999997</v>
      </c>
      <c r="U10">
        <v>0.78600000000000003</v>
      </c>
      <c r="V10">
        <v>0.51400000000000001</v>
      </c>
      <c r="W10">
        <v>0.755</v>
      </c>
      <c r="X10">
        <v>0.75700000000000001</v>
      </c>
      <c r="Y10">
        <v>0.752</v>
      </c>
      <c r="Z10">
        <v>0.77800000000000002</v>
      </c>
      <c r="AA10">
        <v>0.79800000000000004</v>
      </c>
      <c r="AB10">
        <v>0.95599999999999996</v>
      </c>
      <c r="AC10">
        <v>1</v>
      </c>
      <c r="AD10">
        <v>1</v>
      </c>
      <c r="AE10">
        <v>0.41799999999999998</v>
      </c>
      <c r="AF10">
        <v>0.13700000000000001</v>
      </c>
      <c r="AG10">
        <v>0.13300000000000001</v>
      </c>
      <c r="AH10">
        <v>0.61</v>
      </c>
      <c r="AI10">
        <v>0.55600000000000005</v>
      </c>
      <c r="AJ10">
        <v>9.0999999999999998E-2</v>
      </c>
      <c r="AK10">
        <v>-0.11799999999999999</v>
      </c>
      <c r="AL10">
        <v>0.47799999999999998</v>
      </c>
      <c r="AM10">
        <v>0.22700000000000001</v>
      </c>
      <c r="AN10">
        <v>-8.1000000000000003E-2</v>
      </c>
      <c r="AO10">
        <v>0.58399999999999996</v>
      </c>
      <c r="AP10">
        <v>0.76800000000000002</v>
      </c>
      <c r="AQ10">
        <v>0.38400000000000001</v>
      </c>
      <c r="AR10">
        <v>0.42799999999999999</v>
      </c>
      <c r="AS10">
        <v>-0.1</v>
      </c>
      <c r="AT10">
        <v>0.95799999999999996</v>
      </c>
      <c r="AU10">
        <v>-0.59099999999999997</v>
      </c>
      <c r="AV10">
        <v>7.6999999999999999E-2</v>
      </c>
      <c r="AW10">
        <v>0.42299999999999999</v>
      </c>
      <c r="AX10">
        <v>0.629</v>
      </c>
      <c r="AY10">
        <v>-0.314</v>
      </c>
      <c r="AZ10">
        <v>0.21099999999999999</v>
      </c>
      <c r="BA10">
        <v>1.9E-2</v>
      </c>
      <c r="BB10">
        <v>0.625</v>
      </c>
      <c r="BC10">
        <v>0.23400000000000001</v>
      </c>
      <c r="BD10">
        <v>-0.28799999999999998</v>
      </c>
      <c r="BE10">
        <v>0.20399999999999999</v>
      </c>
      <c r="BF10">
        <v>-0.48799999999999999</v>
      </c>
      <c r="BG10">
        <v>0.29199999999999998</v>
      </c>
      <c r="BH10">
        <v>0.253</v>
      </c>
      <c r="BI10">
        <v>0.20599999999999999</v>
      </c>
    </row>
    <row r="11" spans="1:61" x14ac:dyDescent="0.3">
      <c r="A11">
        <v>10</v>
      </c>
      <c r="B11" t="s">
        <v>172</v>
      </c>
      <c r="C11">
        <v>0</v>
      </c>
      <c r="D11">
        <v>0</v>
      </c>
      <c r="J11" t="s">
        <v>58</v>
      </c>
      <c r="K11">
        <v>3.4969999999999999</v>
      </c>
      <c r="L11">
        <v>3.76</v>
      </c>
      <c r="M11" t="s">
        <v>57</v>
      </c>
      <c r="N11">
        <v>1.2E-2</v>
      </c>
      <c r="O11">
        <v>1.2E-2</v>
      </c>
      <c r="P11">
        <v>0.73699999999999999</v>
      </c>
      <c r="Q11">
        <v>0.61</v>
      </c>
      <c r="R11">
        <v>0.67800000000000005</v>
      </c>
      <c r="S11">
        <v>0.68700000000000006</v>
      </c>
      <c r="T11">
        <v>0.67500000000000004</v>
      </c>
      <c r="U11">
        <v>1</v>
      </c>
      <c r="V11">
        <v>1</v>
      </c>
      <c r="W11">
        <v>0.97799999999999998</v>
      </c>
      <c r="X11">
        <v>0.55600000000000005</v>
      </c>
      <c r="Y11">
        <v>0.55900000000000005</v>
      </c>
      <c r="Z11">
        <v>0.89400000000000002</v>
      </c>
      <c r="AA11">
        <v>0.83899999999999997</v>
      </c>
      <c r="AB11">
        <v>0.89100000000000001</v>
      </c>
      <c r="AC11">
        <v>0.84699999999999998</v>
      </c>
      <c r="AD11">
        <v>6.3E-2</v>
      </c>
      <c r="AE11">
        <v>-0.123</v>
      </c>
      <c r="AF11">
        <v>2.7E-2</v>
      </c>
      <c r="AG11">
        <v>0.129</v>
      </c>
      <c r="AH11">
        <v>0.84699999999999998</v>
      </c>
      <c r="AI11">
        <v>0.13500000000000001</v>
      </c>
      <c r="AJ11">
        <v>0.94799999999999995</v>
      </c>
      <c r="AK11">
        <v>-0.47699999999999998</v>
      </c>
      <c r="AL11">
        <v>0.54</v>
      </c>
      <c r="AM11">
        <v>0.16900000000000001</v>
      </c>
      <c r="AN11">
        <v>-0.25800000000000001</v>
      </c>
      <c r="AO11">
        <v>-2.3E-2</v>
      </c>
      <c r="AP11">
        <v>0.29899999999999999</v>
      </c>
      <c r="AQ11">
        <v>-0.16800000000000001</v>
      </c>
      <c r="AR11">
        <v>0.20499999999999999</v>
      </c>
      <c r="AS11">
        <v>0.159</v>
      </c>
      <c r="AT11">
        <v>0.17</v>
      </c>
      <c r="AU11">
        <v>0.51800000000000002</v>
      </c>
      <c r="AV11">
        <v>0.77400000000000002</v>
      </c>
      <c r="AW11">
        <v>0.495</v>
      </c>
      <c r="AX11">
        <v>-4.9000000000000002E-2</v>
      </c>
      <c r="AY11">
        <v>0.10199999999999999</v>
      </c>
      <c r="AZ11">
        <v>0.55300000000000005</v>
      </c>
      <c r="BA11">
        <v>0.50700000000000001</v>
      </c>
      <c r="BB11">
        <v>0.54600000000000004</v>
      </c>
      <c r="BC11">
        <v>0.21099999999999999</v>
      </c>
      <c r="BD11">
        <v>4.8000000000000001E-2</v>
      </c>
      <c r="BE11">
        <v>0.82899999999999996</v>
      </c>
      <c r="BF11">
        <v>-7.4999999999999997E-2</v>
      </c>
      <c r="BG11">
        <v>-0.35799999999999998</v>
      </c>
      <c r="BH11">
        <v>0.19700000000000001</v>
      </c>
      <c r="BI11">
        <v>0.34699999999999998</v>
      </c>
    </row>
    <row r="12" spans="1:61" x14ac:dyDescent="0.3">
      <c r="A12">
        <v>11</v>
      </c>
      <c r="B12" t="s">
        <v>145</v>
      </c>
      <c r="C12">
        <v>8.0843904916714695E-3</v>
      </c>
      <c r="D12">
        <v>9.2208308592767099E-3</v>
      </c>
      <c r="J12" t="s">
        <v>75</v>
      </c>
      <c r="K12">
        <v>3.3780000000000001</v>
      </c>
      <c r="L12">
        <v>2.5790000000000002</v>
      </c>
      <c r="M12" t="s">
        <v>55</v>
      </c>
      <c r="N12">
        <v>8.0000000000000002E-3</v>
      </c>
      <c r="O12">
        <v>8.0000000000000002E-3</v>
      </c>
      <c r="P12">
        <v>1</v>
      </c>
      <c r="Q12">
        <v>1</v>
      </c>
      <c r="R12">
        <v>1</v>
      </c>
      <c r="S12">
        <v>0.70199999999999996</v>
      </c>
      <c r="T12">
        <v>1</v>
      </c>
      <c r="U12">
        <v>0.86</v>
      </c>
      <c r="V12">
        <v>0.81</v>
      </c>
      <c r="W12">
        <v>0.47</v>
      </c>
      <c r="X12">
        <v>0.55700000000000005</v>
      </c>
      <c r="Y12">
        <v>0.55600000000000005</v>
      </c>
      <c r="Z12">
        <v>0.64400000000000002</v>
      </c>
      <c r="AA12">
        <v>0.81</v>
      </c>
      <c r="AB12">
        <v>0.97799999999999998</v>
      </c>
      <c r="AC12">
        <v>0.23699999999999999</v>
      </c>
      <c r="AD12">
        <v>1</v>
      </c>
      <c r="AE12">
        <v>1</v>
      </c>
      <c r="AF12">
        <v>1</v>
      </c>
      <c r="AG12">
        <v>0.38400000000000001</v>
      </c>
      <c r="AH12">
        <v>-0.22500000000000001</v>
      </c>
      <c r="AI12">
        <v>0.75</v>
      </c>
      <c r="AJ12">
        <v>-0.02</v>
      </c>
      <c r="AK12">
        <v>1</v>
      </c>
      <c r="AL12">
        <v>0.77500000000000002</v>
      </c>
      <c r="AM12">
        <v>-9.7000000000000003E-2</v>
      </c>
      <c r="AN12">
        <v>-0.185</v>
      </c>
      <c r="AO12">
        <v>-0.221</v>
      </c>
      <c r="AP12">
        <v>0.34300000000000003</v>
      </c>
      <c r="AQ12">
        <v>0.114</v>
      </c>
      <c r="AR12">
        <v>-0.22800000000000001</v>
      </c>
      <c r="AS12">
        <v>0.47</v>
      </c>
      <c r="AT12">
        <v>-0.33600000000000002</v>
      </c>
      <c r="AU12">
        <v>-4.8000000000000001E-2</v>
      </c>
      <c r="AV12">
        <v>-0.71399999999999997</v>
      </c>
      <c r="AW12">
        <v>-0.34399999999999997</v>
      </c>
      <c r="AX12">
        <v>0.126</v>
      </c>
      <c r="AY12">
        <v>0.84699999999999998</v>
      </c>
      <c r="AZ12">
        <v>0.16600000000000001</v>
      </c>
      <c r="BA12">
        <v>0.73899999999999999</v>
      </c>
      <c r="BB12">
        <v>0.32600000000000001</v>
      </c>
      <c r="BC12">
        <v>-1E-3</v>
      </c>
      <c r="BD12">
        <v>0.315</v>
      </c>
      <c r="BE12">
        <v>0.28299999999999997</v>
      </c>
      <c r="BF12">
        <v>0.154</v>
      </c>
      <c r="BG12">
        <v>0.81899999999999995</v>
      </c>
      <c r="BH12">
        <v>0.621</v>
      </c>
      <c r="BI12">
        <v>0.97399999999999998</v>
      </c>
    </row>
    <row r="13" spans="1:61" x14ac:dyDescent="0.3">
      <c r="A13">
        <v>12</v>
      </c>
      <c r="B13" t="s">
        <v>256</v>
      </c>
      <c r="C13">
        <v>0</v>
      </c>
      <c r="D13">
        <v>0</v>
      </c>
      <c r="J13" t="s">
        <v>67</v>
      </c>
      <c r="K13">
        <v>3.3239999999999998</v>
      </c>
      <c r="L13">
        <v>2.9790000000000001</v>
      </c>
      <c r="M13" t="s">
        <v>68</v>
      </c>
      <c r="N13">
        <v>8.9999999999999993E-3</v>
      </c>
      <c r="O13">
        <v>8.9999999999999993E-3</v>
      </c>
      <c r="P13">
        <v>0.621</v>
      </c>
      <c r="Q13">
        <v>0.14000000000000001</v>
      </c>
      <c r="R13">
        <v>0.39700000000000002</v>
      </c>
      <c r="S13">
        <v>0.92300000000000004</v>
      </c>
      <c r="T13">
        <v>0.53900000000000003</v>
      </c>
      <c r="U13">
        <v>0.84799999999999998</v>
      </c>
      <c r="V13">
        <v>0.81599999999999995</v>
      </c>
      <c r="W13">
        <v>1</v>
      </c>
      <c r="X13">
        <v>0.63200000000000001</v>
      </c>
      <c r="Y13">
        <v>0.63300000000000001</v>
      </c>
      <c r="Z13">
        <v>0.94599999999999995</v>
      </c>
      <c r="AA13">
        <v>0.86</v>
      </c>
      <c r="AB13">
        <v>0.85399999999999998</v>
      </c>
      <c r="AC13">
        <v>1</v>
      </c>
      <c r="AD13">
        <v>0.59</v>
      </c>
      <c r="AE13">
        <v>0.154</v>
      </c>
      <c r="AF13">
        <v>-0.45400000000000001</v>
      </c>
      <c r="AG13">
        <v>-0.03</v>
      </c>
      <c r="AH13">
        <v>9.6000000000000002E-2</v>
      </c>
      <c r="AI13">
        <v>-3.5000000000000003E-2</v>
      </c>
      <c r="AJ13">
        <v>0.628</v>
      </c>
      <c r="AK13">
        <v>-0.68500000000000005</v>
      </c>
      <c r="AL13">
        <v>0.375</v>
      </c>
      <c r="AM13">
        <v>0.28699999999999998</v>
      </c>
      <c r="AN13">
        <v>0.44800000000000001</v>
      </c>
      <c r="AO13">
        <v>0.59899999999999998</v>
      </c>
      <c r="AP13">
        <v>0.28299999999999997</v>
      </c>
      <c r="AQ13">
        <v>-0.498</v>
      </c>
      <c r="AR13">
        <v>0.61399999999999999</v>
      </c>
      <c r="AS13">
        <v>-0.33700000000000002</v>
      </c>
      <c r="AT13">
        <v>0.64400000000000002</v>
      </c>
      <c r="AU13">
        <v>0.41</v>
      </c>
      <c r="AV13">
        <v>0.114</v>
      </c>
      <c r="AW13">
        <v>0.84299999999999997</v>
      </c>
      <c r="AX13">
        <v>0.74099999999999999</v>
      </c>
      <c r="AY13">
        <v>0.22600000000000001</v>
      </c>
      <c r="AZ13">
        <v>-0.159</v>
      </c>
      <c r="BA13">
        <v>-0.188</v>
      </c>
      <c r="BB13">
        <v>0.438</v>
      </c>
      <c r="BC13">
        <v>-0.41699999999999998</v>
      </c>
      <c r="BD13">
        <v>0.14599999999999999</v>
      </c>
      <c r="BE13">
        <v>0.34599999999999997</v>
      </c>
      <c r="BF13">
        <v>-0.96099999999999997</v>
      </c>
      <c r="BG13">
        <v>0.17199999999999999</v>
      </c>
      <c r="BH13">
        <v>0.73</v>
      </c>
      <c r="BI13">
        <v>-0.151</v>
      </c>
    </row>
    <row r="14" spans="1:61" x14ac:dyDescent="0.3">
      <c r="A14">
        <v>13</v>
      </c>
      <c r="B14" t="s">
        <v>222</v>
      </c>
      <c r="C14">
        <v>0</v>
      </c>
      <c r="D14">
        <v>0</v>
      </c>
      <c r="J14" t="s">
        <v>86</v>
      </c>
      <c r="K14">
        <v>3.23</v>
      </c>
      <c r="L14">
        <v>3.5329999999999999</v>
      </c>
      <c r="M14" t="s">
        <v>57</v>
      </c>
      <c r="N14">
        <v>1.7000000000000001E-2</v>
      </c>
      <c r="O14">
        <v>1.7000000000000001E-2</v>
      </c>
      <c r="P14">
        <v>0.68799999999999994</v>
      </c>
      <c r="Q14">
        <v>0.79400000000000004</v>
      </c>
      <c r="R14">
        <v>0.80100000000000005</v>
      </c>
      <c r="S14">
        <v>0.52</v>
      </c>
      <c r="T14">
        <v>0.76700000000000002</v>
      </c>
      <c r="U14">
        <v>0.68799999999999994</v>
      </c>
      <c r="V14">
        <v>0.66700000000000004</v>
      </c>
      <c r="W14">
        <v>0.60199999999999998</v>
      </c>
      <c r="X14">
        <v>0.67600000000000005</v>
      </c>
      <c r="Y14">
        <v>0.67200000000000004</v>
      </c>
      <c r="Z14">
        <v>1</v>
      </c>
      <c r="AA14">
        <v>0.93400000000000005</v>
      </c>
      <c r="AB14">
        <v>0.93700000000000006</v>
      </c>
      <c r="AC14">
        <v>-2.5999999999999999E-2</v>
      </c>
      <c r="AD14">
        <v>1</v>
      </c>
      <c r="AE14">
        <v>0.53500000000000003</v>
      </c>
      <c r="AF14">
        <v>1</v>
      </c>
      <c r="AG14">
        <v>0.45600000000000002</v>
      </c>
      <c r="AH14">
        <v>1.6E-2</v>
      </c>
      <c r="AI14">
        <v>0.14699999999999999</v>
      </c>
      <c r="AJ14">
        <v>0.69899999999999995</v>
      </c>
      <c r="AK14">
        <v>0.31900000000000001</v>
      </c>
      <c r="AL14">
        <v>0.41599999999999998</v>
      </c>
      <c r="AM14">
        <v>-0.13100000000000001</v>
      </c>
      <c r="AN14">
        <v>-0.245</v>
      </c>
      <c r="AO14">
        <v>0.252</v>
      </c>
      <c r="AP14">
        <v>0.54600000000000004</v>
      </c>
      <c r="AQ14">
        <v>0.17100000000000001</v>
      </c>
      <c r="AR14">
        <v>-3.1E-2</v>
      </c>
      <c r="AS14">
        <v>-0.32700000000000001</v>
      </c>
      <c r="AT14">
        <v>-0.23899999999999999</v>
      </c>
      <c r="AU14">
        <v>-1.4999999999999999E-2</v>
      </c>
      <c r="AV14">
        <v>-0.32600000000000001</v>
      </c>
      <c r="AW14">
        <v>0.67800000000000005</v>
      </c>
      <c r="AX14">
        <v>0.185</v>
      </c>
      <c r="AY14">
        <v>5.8000000000000003E-2</v>
      </c>
      <c r="AZ14">
        <v>-0.186</v>
      </c>
      <c r="BA14">
        <v>-7.0000000000000007E-2</v>
      </c>
      <c r="BB14">
        <v>0.24399999999999999</v>
      </c>
      <c r="BC14">
        <v>-0.151</v>
      </c>
      <c r="BD14">
        <v>0.36699999999999999</v>
      </c>
      <c r="BE14">
        <v>0.85299999999999998</v>
      </c>
      <c r="BF14">
        <v>-6.0999999999999999E-2</v>
      </c>
      <c r="BG14">
        <v>0.12</v>
      </c>
      <c r="BH14">
        <v>0.60899999999999999</v>
      </c>
      <c r="BI14">
        <v>0.875</v>
      </c>
    </row>
    <row r="15" spans="1:61" x14ac:dyDescent="0.3">
      <c r="A15">
        <v>14</v>
      </c>
      <c r="B15" t="s">
        <v>253</v>
      </c>
      <c r="C15">
        <v>0</v>
      </c>
      <c r="D15">
        <v>0</v>
      </c>
      <c r="J15" t="s">
        <v>126</v>
      </c>
      <c r="K15">
        <v>2.9369999999999998</v>
      </c>
      <c r="L15">
        <v>2.169</v>
      </c>
      <c r="M15" t="s">
        <v>57</v>
      </c>
      <c r="N15">
        <v>6.0000000000000001E-3</v>
      </c>
      <c r="O15">
        <v>6.0000000000000001E-3</v>
      </c>
      <c r="P15">
        <v>1</v>
      </c>
      <c r="Q15">
        <v>1</v>
      </c>
      <c r="R15">
        <v>1</v>
      </c>
      <c r="S15">
        <v>1</v>
      </c>
      <c r="T15">
        <v>1</v>
      </c>
      <c r="U15">
        <v>0.184</v>
      </c>
      <c r="V15">
        <v>-0.57499999999999996</v>
      </c>
      <c r="W15">
        <v>0.38900000000000001</v>
      </c>
      <c r="X15">
        <v>0.34799999999999998</v>
      </c>
      <c r="Y15">
        <v>0.34699999999999998</v>
      </c>
      <c r="Z15">
        <v>0.76600000000000001</v>
      </c>
      <c r="AA15">
        <v>0.79300000000000004</v>
      </c>
      <c r="AB15">
        <v>1</v>
      </c>
      <c r="AC15">
        <v>1</v>
      </c>
      <c r="AD15">
        <v>1</v>
      </c>
      <c r="AE15">
        <v>1</v>
      </c>
      <c r="AF15">
        <v>0.58799999999999997</v>
      </c>
      <c r="AG15">
        <v>0.89800000000000002</v>
      </c>
      <c r="AH15">
        <v>1</v>
      </c>
      <c r="AI15">
        <v>0.42399999999999999</v>
      </c>
      <c r="AJ15">
        <v>-0.80900000000000005</v>
      </c>
      <c r="AK15">
        <v>0.44500000000000001</v>
      </c>
      <c r="AL15">
        <v>0.34100000000000003</v>
      </c>
      <c r="AM15">
        <v>0.35499999999999998</v>
      </c>
      <c r="AN15">
        <v>0.38200000000000001</v>
      </c>
      <c r="AO15">
        <v>0.7</v>
      </c>
      <c r="AP15">
        <v>0.66400000000000003</v>
      </c>
      <c r="AQ15">
        <v>0.36599999999999999</v>
      </c>
      <c r="AR15">
        <v>0.13700000000000001</v>
      </c>
      <c r="AS15">
        <v>-0.44500000000000001</v>
      </c>
      <c r="AT15">
        <v>0.85799999999999998</v>
      </c>
      <c r="AU15">
        <v>-0.52800000000000002</v>
      </c>
      <c r="AV15">
        <v>0.35799999999999998</v>
      </c>
      <c r="AW15">
        <v>0.41299999999999998</v>
      </c>
      <c r="AX15">
        <v>-0.318</v>
      </c>
      <c r="AY15">
        <v>0.93200000000000005</v>
      </c>
      <c r="AZ15">
        <v>0.33600000000000002</v>
      </c>
      <c r="BA15">
        <v>0.23400000000000001</v>
      </c>
      <c r="BB15">
        <v>0.79900000000000004</v>
      </c>
      <c r="BC15">
        <v>-1</v>
      </c>
      <c r="BD15">
        <v>-0.38200000000000001</v>
      </c>
      <c r="BE15">
        <v>-1</v>
      </c>
      <c r="BF15">
        <v>0.53300000000000003</v>
      </c>
      <c r="BG15">
        <v>-0.127</v>
      </c>
      <c r="BH15">
        <v>0.91700000000000004</v>
      </c>
      <c r="BI15">
        <v>0.46400000000000002</v>
      </c>
    </row>
    <row r="16" spans="1:61" x14ac:dyDescent="0.3">
      <c r="A16">
        <v>15</v>
      </c>
      <c r="B16" t="s">
        <v>185</v>
      </c>
      <c r="C16">
        <v>0</v>
      </c>
      <c r="D16">
        <v>3.4397874562385501E-2</v>
      </c>
      <c r="J16" t="s">
        <v>70</v>
      </c>
      <c r="K16">
        <v>2.92</v>
      </c>
      <c r="L16">
        <v>3.7149999999999999</v>
      </c>
      <c r="M16" t="s">
        <v>71</v>
      </c>
      <c r="N16">
        <v>0</v>
      </c>
      <c r="O16">
        <v>0</v>
      </c>
      <c r="P16">
        <v>8.6999999999999994E-2</v>
      </c>
      <c r="Q16">
        <v>0.432</v>
      </c>
      <c r="R16">
        <v>-0.19</v>
      </c>
      <c r="S16">
        <v>0.2</v>
      </c>
      <c r="T16">
        <v>0.191</v>
      </c>
      <c r="U16">
        <v>0.58199999999999996</v>
      </c>
      <c r="V16">
        <v>0.73</v>
      </c>
      <c r="W16">
        <v>0.879</v>
      </c>
      <c r="X16">
        <v>0.97299999999999998</v>
      </c>
      <c r="Y16">
        <v>0.96799999999999997</v>
      </c>
      <c r="Z16">
        <v>0.78900000000000003</v>
      </c>
      <c r="AA16">
        <v>0.78700000000000003</v>
      </c>
      <c r="AB16">
        <v>1</v>
      </c>
      <c r="AC16">
        <v>-0.129</v>
      </c>
      <c r="AD16">
        <v>-0.58699999999999997</v>
      </c>
      <c r="AE16">
        <v>0.44400000000000001</v>
      </c>
      <c r="AF16">
        <v>-0.63800000000000001</v>
      </c>
      <c r="AG16">
        <v>0.17100000000000001</v>
      </c>
      <c r="AH16">
        <v>-0.49099999999999999</v>
      </c>
      <c r="AI16">
        <v>-0.30599999999999999</v>
      </c>
      <c r="AJ16">
        <v>0.66</v>
      </c>
      <c r="AK16">
        <v>-0.439</v>
      </c>
      <c r="AL16">
        <v>-0.48899999999999999</v>
      </c>
      <c r="AM16">
        <v>0.79900000000000004</v>
      </c>
      <c r="AN16">
        <v>0.125</v>
      </c>
      <c r="AO16">
        <v>-0.77600000000000002</v>
      </c>
      <c r="AP16">
        <v>0.68600000000000005</v>
      </c>
      <c r="AQ16">
        <v>0.40699999999999997</v>
      </c>
      <c r="AR16">
        <v>4.3999999999999997E-2</v>
      </c>
      <c r="AS16">
        <v>7.1999999999999995E-2</v>
      </c>
      <c r="AT16">
        <v>0.11899999999999999</v>
      </c>
      <c r="AU16">
        <v>0.67600000000000005</v>
      </c>
      <c r="AV16">
        <v>8.5999999999999993E-2</v>
      </c>
      <c r="AW16">
        <v>0.61399999999999999</v>
      </c>
      <c r="AX16">
        <v>-0.94099999999999995</v>
      </c>
      <c r="AY16">
        <v>0.86699999999999999</v>
      </c>
      <c r="AZ16">
        <v>-9.0999999999999998E-2</v>
      </c>
      <c r="BA16">
        <v>0.377</v>
      </c>
      <c r="BB16">
        <v>0.58299999999999996</v>
      </c>
      <c r="BC16">
        <v>-0.45700000000000002</v>
      </c>
      <c r="BD16">
        <v>-4.0000000000000001E-3</v>
      </c>
      <c r="BE16">
        <v>0.71799999999999997</v>
      </c>
      <c r="BF16">
        <v>-0.34899999999999998</v>
      </c>
      <c r="BG16">
        <v>-0.53200000000000003</v>
      </c>
      <c r="BH16">
        <v>1</v>
      </c>
      <c r="BI16">
        <v>9.6000000000000002E-2</v>
      </c>
    </row>
    <row r="17" spans="1:61" x14ac:dyDescent="0.3">
      <c r="A17">
        <v>16</v>
      </c>
      <c r="B17" t="s">
        <v>165</v>
      </c>
      <c r="C17">
        <v>0</v>
      </c>
      <c r="D17">
        <v>0</v>
      </c>
      <c r="J17" t="s">
        <v>66</v>
      </c>
      <c r="K17">
        <v>2.9009999999999998</v>
      </c>
      <c r="L17">
        <v>2.258</v>
      </c>
      <c r="M17" t="s">
        <v>55</v>
      </c>
      <c r="N17">
        <v>8.9999999999999993E-3</v>
      </c>
      <c r="O17">
        <v>8.9999999999999993E-3</v>
      </c>
      <c r="P17">
        <v>0.61099999999999999</v>
      </c>
      <c r="Q17">
        <v>-4.0000000000000001E-3</v>
      </c>
      <c r="R17">
        <v>1</v>
      </c>
      <c r="S17">
        <v>0.67100000000000004</v>
      </c>
      <c r="T17">
        <v>0.65800000000000003</v>
      </c>
      <c r="U17">
        <v>0.82</v>
      </c>
      <c r="V17">
        <v>0.98299999999999998</v>
      </c>
      <c r="W17">
        <v>0.42399999999999999</v>
      </c>
      <c r="X17">
        <v>0.42</v>
      </c>
      <c r="Y17">
        <v>0.41899999999999998</v>
      </c>
      <c r="Z17">
        <v>0.89400000000000002</v>
      </c>
      <c r="AA17">
        <v>0.81499999999999995</v>
      </c>
      <c r="AB17">
        <v>0.751</v>
      </c>
      <c r="AC17">
        <v>1</v>
      </c>
      <c r="AD17">
        <v>1</v>
      </c>
      <c r="AE17">
        <v>-0.63500000000000001</v>
      </c>
      <c r="AF17">
        <v>1</v>
      </c>
      <c r="AG17">
        <v>-0.185</v>
      </c>
      <c r="AH17">
        <v>1</v>
      </c>
      <c r="AI17">
        <v>0.377</v>
      </c>
      <c r="AJ17">
        <v>1</v>
      </c>
      <c r="AK17">
        <v>0.215</v>
      </c>
      <c r="AL17">
        <v>-0.28199999999999997</v>
      </c>
      <c r="AM17">
        <v>-0.56499999999999995</v>
      </c>
      <c r="AN17">
        <v>-0.497</v>
      </c>
      <c r="AO17">
        <v>0.69499999999999995</v>
      </c>
      <c r="AP17">
        <v>-0.375</v>
      </c>
      <c r="AQ17">
        <v>-2.7E-2</v>
      </c>
      <c r="AR17">
        <v>-0.11899999999999999</v>
      </c>
      <c r="AS17">
        <v>0.14599999999999999</v>
      </c>
      <c r="AT17">
        <v>0.379</v>
      </c>
      <c r="AU17">
        <v>0.23799999999999999</v>
      </c>
      <c r="AV17">
        <v>-0.35799999999999998</v>
      </c>
      <c r="AW17">
        <v>5.2999999999999999E-2</v>
      </c>
      <c r="AX17">
        <v>-0.182</v>
      </c>
      <c r="AY17">
        <v>7.0000000000000001E-3</v>
      </c>
      <c r="AZ17">
        <v>0.60199999999999998</v>
      </c>
      <c r="BA17">
        <v>0.73</v>
      </c>
      <c r="BB17">
        <v>0.622</v>
      </c>
      <c r="BC17">
        <v>-0.114</v>
      </c>
      <c r="BD17">
        <v>-0.53700000000000003</v>
      </c>
      <c r="BE17">
        <v>0.54200000000000004</v>
      </c>
      <c r="BF17">
        <v>-0.85199999999999998</v>
      </c>
      <c r="BG17">
        <v>9.9000000000000005E-2</v>
      </c>
      <c r="BH17">
        <v>0.66900000000000004</v>
      </c>
      <c r="BI17">
        <v>0.82199999999999995</v>
      </c>
    </row>
    <row r="18" spans="1:61" x14ac:dyDescent="0.3">
      <c r="A18">
        <v>17</v>
      </c>
      <c r="B18" t="s">
        <v>179</v>
      </c>
      <c r="C18">
        <v>0</v>
      </c>
      <c r="D18">
        <v>0</v>
      </c>
      <c r="J18" t="s">
        <v>73</v>
      </c>
      <c r="K18">
        <v>2.8340000000000001</v>
      </c>
      <c r="L18">
        <v>3.0070000000000001</v>
      </c>
      <c r="M18" t="s">
        <v>57</v>
      </c>
      <c r="N18">
        <v>1.2E-2</v>
      </c>
      <c r="O18">
        <v>1.2E-2</v>
      </c>
      <c r="P18">
        <v>0.249</v>
      </c>
      <c r="Q18">
        <v>0.52800000000000002</v>
      </c>
      <c r="R18">
        <v>-3.1E-2</v>
      </c>
      <c r="S18">
        <v>0.371</v>
      </c>
      <c r="T18">
        <v>0.36099999999999999</v>
      </c>
      <c r="U18">
        <v>0.53400000000000003</v>
      </c>
      <c r="V18">
        <v>0.67200000000000004</v>
      </c>
      <c r="W18">
        <v>0.57099999999999995</v>
      </c>
      <c r="X18">
        <v>0.91200000000000003</v>
      </c>
      <c r="Y18">
        <v>0.91100000000000003</v>
      </c>
      <c r="Z18">
        <v>0.86299999999999999</v>
      </c>
      <c r="AA18">
        <v>0.91400000000000003</v>
      </c>
      <c r="AB18">
        <v>0.94499999999999995</v>
      </c>
      <c r="AC18">
        <v>-7.6999999999999999E-2</v>
      </c>
      <c r="AD18">
        <v>0.65100000000000002</v>
      </c>
      <c r="AE18">
        <v>0.92400000000000004</v>
      </c>
      <c r="AF18">
        <v>-3.7999999999999999E-2</v>
      </c>
      <c r="AG18">
        <v>-0.27300000000000002</v>
      </c>
      <c r="AH18">
        <v>-0.625</v>
      </c>
      <c r="AI18">
        <v>-5.8000000000000003E-2</v>
      </c>
      <c r="AJ18">
        <v>0.32</v>
      </c>
      <c r="AK18">
        <v>0.58299999999999996</v>
      </c>
      <c r="AL18">
        <v>0.34200000000000003</v>
      </c>
      <c r="AM18">
        <v>0.114</v>
      </c>
      <c r="AN18">
        <v>-0.51400000000000001</v>
      </c>
      <c r="AO18">
        <v>0.13800000000000001</v>
      </c>
      <c r="AP18">
        <v>0.32100000000000001</v>
      </c>
      <c r="AQ18">
        <v>0.24099999999999999</v>
      </c>
      <c r="AR18">
        <v>-0.16200000000000001</v>
      </c>
      <c r="AS18">
        <v>-0.23799999999999999</v>
      </c>
      <c r="AT18">
        <v>-0.21199999999999999</v>
      </c>
      <c r="AU18">
        <v>0.442</v>
      </c>
      <c r="AV18">
        <v>-0.39300000000000002</v>
      </c>
      <c r="AW18">
        <v>0.67</v>
      </c>
      <c r="AX18">
        <v>0.39300000000000002</v>
      </c>
      <c r="AY18">
        <v>0.65700000000000003</v>
      </c>
      <c r="AZ18">
        <v>-0.40899999999999997</v>
      </c>
      <c r="BA18">
        <v>-0.23400000000000001</v>
      </c>
      <c r="BB18">
        <v>0.34</v>
      </c>
      <c r="BC18">
        <v>-4.3999999999999997E-2</v>
      </c>
      <c r="BD18">
        <v>0.29099999999999998</v>
      </c>
      <c r="BE18">
        <v>0.95799999999999996</v>
      </c>
      <c r="BF18">
        <v>-0.47799999999999998</v>
      </c>
      <c r="BG18">
        <v>-8.8999999999999996E-2</v>
      </c>
      <c r="BH18">
        <v>0.20300000000000001</v>
      </c>
      <c r="BI18">
        <v>0.42599999999999999</v>
      </c>
    </row>
    <row r="19" spans="1:61" x14ac:dyDescent="0.3">
      <c r="A19">
        <v>18</v>
      </c>
      <c r="B19" t="s">
        <v>204</v>
      </c>
      <c r="C19">
        <v>0</v>
      </c>
      <c r="D19">
        <v>0</v>
      </c>
      <c r="J19" t="s">
        <v>163</v>
      </c>
      <c r="K19">
        <v>2.64</v>
      </c>
      <c r="L19">
        <v>3.3180000000000001</v>
      </c>
      <c r="M19" t="s">
        <v>68</v>
      </c>
      <c r="N19">
        <v>1.4E-2</v>
      </c>
      <c r="O19">
        <v>1.4E-2</v>
      </c>
      <c r="P19">
        <v>0.499</v>
      </c>
      <c r="Q19">
        <v>0.28100000000000003</v>
      </c>
      <c r="R19">
        <v>0.11</v>
      </c>
      <c r="S19">
        <v>0.375</v>
      </c>
      <c r="T19">
        <v>0.126</v>
      </c>
      <c r="U19">
        <v>0.67300000000000004</v>
      </c>
      <c r="V19">
        <v>0.95299999999999996</v>
      </c>
      <c r="W19">
        <v>0.191</v>
      </c>
      <c r="X19">
        <v>0.70199999999999996</v>
      </c>
      <c r="Y19">
        <v>0.69699999999999995</v>
      </c>
      <c r="Z19">
        <v>0.90400000000000003</v>
      </c>
      <c r="AA19">
        <v>0.88800000000000001</v>
      </c>
      <c r="AB19">
        <v>0.84499999999999997</v>
      </c>
      <c r="AC19">
        <v>2.1999999999999999E-2</v>
      </c>
      <c r="AD19">
        <v>0.11600000000000001</v>
      </c>
      <c r="AE19">
        <v>-0.16500000000000001</v>
      </c>
      <c r="AF19">
        <v>-0.34100000000000003</v>
      </c>
      <c r="AG19">
        <v>0.34599999999999997</v>
      </c>
      <c r="AH19">
        <v>6.0000000000000001E-3</v>
      </c>
      <c r="AI19">
        <v>-5.6000000000000001E-2</v>
      </c>
      <c r="AJ19">
        <v>-0.23599999999999999</v>
      </c>
      <c r="AK19">
        <v>-0.61699999999999999</v>
      </c>
      <c r="AL19">
        <v>0.82499999999999996</v>
      </c>
      <c r="AM19">
        <v>0.20899999999999999</v>
      </c>
      <c r="AN19">
        <v>-0.249</v>
      </c>
      <c r="AO19">
        <v>0.34</v>
      </c>
      <c r="AP19">
        <v>0.86399999999999999</v>
      </c>
      <c r="AQ19">
        <v>0.25800000000000001</v>
      </c>
      <c r="AR19">
        <v>0.436</v>
      </c>
      <c r="AS19">
        <v>0.442</v>
      </c>
      <c r="AT19">
        <v>0.32500000000000001</v>
      </c>
      <c r="AU19">
        <v>0.39700000000000002</v>
      </c>
      <c r="AV19">
        <v>4.3999999999999997E-2</v>
      </c>
      <c r="AW19">
        <v>0.38400000000000001</v>
      </c>
      <c r="AX19">
        <v>0.60699999999999998</v>
      </c>
      <c r="AY19">
        <v>0.46600000000000003</v>
      </c>
      <c r="AZ19">
        <v>-0.29299999999999998</v>
      </c>
      <c r="BA19">
        <v>-0.375</v>
      </c>
      <c r="BB19">
        <v>0.39900000000000002</v>
      </c>
      <c r="BC19">
        <v>-0.373</v>
      </c>
      <c r="BD19">
        <v>-0.309</v>
      </c>
      <c r="BE19">
        <v>0.80800000000000005</v>
      </c>
      <c r="BF19">
        <v>-0.48299999999999998</v>
      </c>
      <c r="BG19">
        <v>0.215</v>
      </c>
      <c r="BH19">
        <v>0.29499999999999998</v>
      </c>
      <c r="BI19">
        <v>4.7E-2</v>
      </c>
    </row>
    <row r="20" spans="1:61" x14ac:dyDescent="0.3">
      <c r="A20">
        <v>19</v>
      </c>
      <c r="B20" t="s">
        <v>194</v>
      </c>
      <c r="C20">
        <v>0</v>
      </c>
      <c r="D20">
        <v>0</v>
      </c>
      <c r="J20" t="s">
        <v>130</v>
      </c>
      <c r="K20">
        <v>2.6240000000000001</v>
      </c>
      <c r="L20">
        <v>1.869</v>
      </c>
      <c r="M20" t="s">
        <v>71</v>
      </c>
      <c r="N20">
        <v>5.0000000000000001E-3</v>
      </c>
      <c r="O20">
        <v>5.0000000000000001E-3</v>
      </c>
      <c r="P20">
        <v>0.33</v>
      </c>
      <c r="Q20">
        <v>0.65800000000000003</v>
      </c>
      <c r="R20">
        <v>-0.46700000000000003</v>
      </c>
      <c r="S20">
        <v>0.58899999999999997</v>
      </c>
      <c r="T20">
        <v>0.20300000000000001</v>
      </c>
      <c r="U20">
        <v>0.22700000000000001</v>
      </c>
      <c r="V20">
        <v>-0.08</v>
      </c>
      <c r="W20">
        <v>0.47</v>
      </c>
      <c r="X20">
        <v>1</v>
      </c>
      <c r="Y20">
        <v>1</v>
      </c>
      <c r="Z20">
        <v>0.871</v>
      </c>
      <c r="AA20">
        <v>0.996</v>
      </c>
      <c r="AB20">
        <v>0.96599999999999997</v>
      </c>
      <c r="AC20">
        <v>-0.26500000000000001</v>
      </c>
      <c r="AD20">
        <v>-0.50800000000000001</v>
      </c>
      <c r="AE20">
        <v>1</v>
      </c>
      <c r="AF20">
        <v>-0.754</v>
      </c>
      <c r="AG20">
        <v>4.1000000000000002E-2</v>
      </c>
      <c r="AH20">
        <v>-0.67800000000000005</v>
      </c>
      <c r="AI20">
        <v>0.10100000000000001</v>
      </c>
      <c r="AJ20">
        <v>-0.54600000000000004</v>
      </c>
      <c r="AK20">
        <v>-0.20200000000000001</v>
      </c>
      <c r="AL20">
        <v>-0.54300000000000004</v>
      </c>
      <c r="AM20">
        <v>0.83399999999999996</v>
      </c>
      <c r="AN20">
        <v>0.81100000000000005</v>
      </c>
      <c r="AO20">
        <v>0.495</v>
      </c>
      <c r="AP20">
        <v>0.92200000000000004</v>
      </c>
      <c r="AQ20">
        <v>0.36299999999999999</v>
      </c>
      <c r="AR20">
        <v>0.95599999999999996</v>
      </c>
      <c r="AS20">
        <v>0.373</v>
      </c>
      <c r="AT20">
        <v>0.83499999999999996</v>
      </c>
      <c r="AU20">
        <v>4.5999999999999999E-2</v>
      </c>
      <c r="AV20">
        <v>0.16700000000000001</v>
      </c>
      <c r="AW20">
        <v>-0.35299999999999998</v>
      </c>
      <c r="AX20">
        <v>0.14099999999999999</v>
      </c>
      <c r="AY20">
        <v>0.65700000000000003</v>
      </c>
      <c r="AZ20">
        <v>-0.28199999999999997</v>
      </c>
      <c r="BA20">
        <v>0.33</v>
      </c>
      <c r="BB20">
        <v>0.64600000000000002</v>
      </c>
      <c r="BC20">
        <v>1</v>
      </c>
      <c r="BD20">
        <v>-0.36399999999999999</v>
      </c>
      <c r="BE20">
        <v>-0.78600000000000003</v>
      </c>
      <c r="BF20">
        <v>-1</v>
      </c>
      <c r="BG20">
        <v>0.36099999999999999</v>
      </c>
      <c r="BH20">
        <v>-1.9E-2</v>
      </c>
      <c r="BI20">
        <v>-0.45500000000000002</v>
      </c>
    </row>
    <row r="21" spans="1:61" x14ac:dyDescent="0.3">
      <c r="A21">
        <v>20</v>
      </c>
      <c r="B21" t="s">
        <v>169</v>
      </c>
      <c r="C21">
        <v>0</v>
      </c>
      <c r="D21">
        <v>0</v>
      </c>
      <c r="J21" t="s">
        <v>82</v>
      </c>
      <c r="K21">
        <v>2.61</v>
      </c>
      <c r="L21">
        <v>3.5169999999999999</v>
      </c>
      <c r="M21" t="s">
        <v>71</v>
      </c>
      <c r="N21">
        <v>0</v>
      </c>
      <c r="O21">
        <v>-2E-3</v>
      </c>
      <c r="P21">
        <v>-0.11700000000000001</v>
      </c>
      <c r="Q21">
        <v>0.40799999999999997</v>
      </c>
      <c r="R21">
        <v>-0.56599999999999995</v>
      </c>
      <c r="S21">
        <v>0.127</v>
      </c>
      <c r="T21">
        <v>5.5E-2</v>
      </c>
      <c r="U21">
        <v>0.433</v>
      </c>
      <c r="V21">
        <v>0.59299999999999997</v>
      </c>
      <c r="W21">
        <v>0.84799999999999998</v>
      </c>
      <c r="X21">
        <v>0.81299999999999994</v>
      </c>
      <c r="Y21">
        <v>0.80900000000000005</v>
      </c>
      <c r="Z21">
        <v>0.86499999999999999</v>
      </c>
      <c r="AA21">
        <v>0.76700000000000002</v>
      </c>
      <c r="AB21">
        <v>0.93899999999999995</v>
      </c>
      <c r="AC21">
        <v>-0.158</v>
      </c>
      <c r="AD21">
        <v>-0.60499999999999998</v>
      </c>
      <c r="AE21">
        <v>0.57399999999999995</v>
      </c>
      <c r="AF21">
        <v>-0.65</v>
      </c>
      <c r="AG21">
        <v>0.29799999999999999</v>
      </c>
      <c r="AH21">
        <v>-0.49099999999999999</v>
      </c>
      <c r="AI21">
        <v>-0.30599999999999999</v>
      </c>
      <c r="AJ21">
        <v>0.621</v>
      </c>
      <c r="AK21">
        <v>-0.439</v>
      </c>
      <c r="AL21">
        <v>-0.49099999999999999</v>
      </c>
      <c r="AM21">
        <v>0.871</v>
      </c>
      <c r="AN21">
        <v>0.22500000000000001</v>
      </c>
      <c r="AO21">
        <v>-0.77200000000000002</v>
      </c>
      <c r="AP21">
        <v>0.68600000000000005</v>
      </c>
      <c r="AQ21">
        <v>0.40300000000000002</v>
      </c>
      <c r="AR21">
        <v>4.3999999999999997E-2</v>
      </c>
      <c r="AS21">
        <v>0.12</v>
      </c>
      <c r="AT21">
        <v>0.11899999999999999</v>
      </c>
      <c r="AU21">
        <v>0.56299999999999994</v>
      </c>
      <c r="AV21">
        <v>0.02</v>
      </c>
      <c r="AW21">
        <v>0.55300000000000005</v>
      </c>
      <c r="AX21">
        <v>-0.78700000000000003</v>
      </c>
      <c r="AY21">
        <v>0.34100000000000003</v>
      </c>
      <c r="AZ21">
        <v>-9.0999999999999998E-2</v>
      </c>
      <c r="BA21">
        <v>0.377</v>
      </c>
      <c r="BB21">
        <v>0.60199999999999998</v>
      </c>
      <c r="BC21">
        <v>-0.32700000000000001</v>
      </c>
      <c r="BD21">
        <v>0.33500000000000002</v>
      </c>
      <c r="BE21">
        <v>0.67300000000000004</v>
      </c>
      <c r="BF21">
        <v>-0.40300000000000002</v>
      </c>
      <c r="BG21">
        <v>-0.36</v>
      </c>
      <c r="BH21">
        <v>-0.27700000000000002</v>
      </c>
      <c r="BI21">
        <v>9.6000000000000002E-2</v>
      </c>
    </row>
    <row r="22" spans="1:61" x14ac:dyDescent="0.3">
      <c r="A22">
        <v>21</v>
      </c>
      <c r="B22" t="s">
        <v>100</v>
      </c>
      <c r="C22">
        <v>9.4175449693149199E-3</v>
      </c>
      <c r="D22">
        <v>6.6476974681346501E-3</v>
      </c>
      <c r="J22" t="s">
        <v>167</v>
      </c>
      <c r="K22">
        <v>2.6019999999999999</v>
      </c>
      <c r="L22">
        <v>2.2549999999999999</v>
      </c>
      <c r="M22" t="s">
        <v>57</v>
      </c>
      <c r="N22">
        <v>8.9999999999999993E-3</v>
      </c>
      <c r="O22">
        <v>8.9999999999999993E-3</v>
      </c>
      <c r="P22">
        <v>0.71299999999999997</v>
      </c>
      <c r="Q22">
        <v>0.61099999999999999</v>
      </c>
      <c r="R22">
        <v>0.23200000000000001</v>
      </c>
      <c r="S22">
        <v>0.68300000000000005</v>
      </c>
      <c r="T22">
        <v>0.433</v>
      </c>
      <c r="U22">
        <v>0.27500000000000002</v>
      </c>
      <c r="V22">
        <v>-7.0000000000000001E-3</v>
      </c>
      <c r="W22">
        <v>0.34300000000000003</v>
      </c>
      <c r="X22">
        <v>0.23300000000000001</v>
      </c>
      <c r="Y22">
        <v>0.23599999999999999</v>
      </c>
      <c r="Z22">
        <v>0.99399999999999999</v>
      </c>
      <c r="AA22">
        <v>0.89</v>
      </c>
      <c r="AB22">
        <v>0.877</v>
      </c>
      <c r="AC22">
        <v>0.83399999999999996</v>
      </c>
      <c r="AD22">
        <v>-0.13900000000000001</v>
      </c>
      <c r="AE22">
        <v>0.11600000000000001</v>
      </c>
      <c r="AF22">
        <v>-0.40100000000000002</v>
      </c>
      <c r="AG22">
        <v>0.13900000000000001</v>
      </c>
      <c r="AH22">
        <v>0.27800000000000002</v>
      </c>
      <c r="AI22">
        <v>0.113</v>
      </c>
      <c r="AJ22">
        <v>-0.28799999999999998</v>
      </c>
      <c r="AK22">
        <v>-0.69799999999999995</v>
      </c>
      <c r="AL22">
        <v>0.72099999999999997</v>
      </c>
      <c r="AM22">
        <v>0.29199999999999998</v>
      </c>
      <c r="AN22">
        <v>0.79100000000000004</v>
      </c>
      <c r="AO22">
        <v>7.5999999999999998E-2</v>
      </c>
      <c r="AP22">
        <v>0.81499999999999995</v>
      </c>
      <c r="AQ22">
        <v>0.80400000000000005</v>
      </c>
      <c r="AR22">
        <v>0.59399999999999997</v>
      </c>
      <c r="AS22">
        <v>-0.22900000000000001</v>
      </c>
      <c r="AT22">
        <v>0.84199999999999997</v>
      </c>
      <c r="AU22">
        <v>0.182</v>
      </c>
      <c r="AV22">
        <v>0.495</v>
      </c>
      <c r="AW22">
        <v>0.755</v>
      </c>
      <c r="AX22">
        <v>-0.27100000000000002</v>
      </c>
      <c r="AY22">
        <v>0.61799999999999999</v>
      </c>
      <c r="AZ22">
        <v>8.6999999999999994E-2</v>
      </c>
      <c r="BA22">
        <v>0.41299999999999998</v>
      </c>
      <c r="BB22">
        <v>0.44400000000000001</v>
      </c>
      <c r="BC22">
        <v>-0.99399999999999999</v>
      </c>
      <c r="BD22">
        <v>-1</v>
      </c>
      <c r="BE22">
        <v>-0.44700000000000001</v>
      </c>
      <c r="BF22">
        <v>0.16500000000000001</v>
      </c>
      <c r="BG22">
        <v>3.7999999999999999E-2</v>
      </c>
      <c r="BH22">
        <v>2.5000000000000001E-2</v>
      </c>
      <c r="BI22">
        <v>-0.151</v>
      </c>
    </row>
    <row r="23" spans="1:61" x14ac:dyDescent="0.3">
      <c r="A23">
        <v>22</v>
      </c>
      <c r="B23" t="s">
        <v>175</v>
      </c>
      <c r="C23">
        <v>0</v>
      </c>
      <c r="D23">
        <v>0</v>
      </c>
      <c r="J23" t="s">
        <v>137</v>
      </c>
      <c r="K23">
        <v>2.593</v>
      </c>
      <c r="L23">
        <v>1.861</v>
      </c>
      <c r="M23" t="s">
        <v>57</v>
      </c>
      <c r="N23">
        <v>7.0000000000000001E-3</v>
      </c>
      <c r="O23">
        <v>7.0000000000000001E-3</v>
      </c>
      <c r="P23">
        <v>0.79900000000000004</v>
      </c>
      <c r="Q23">
        <v>0.628</v>
      </c>
      <c r="R23">
        <v>0.58799999999999997</v>
      </c>
      <c r="S23">
        <v>0.72499999999999998</v>
      </c>
      <c r="T23">
        <v>0.60099999999999998</v>
      </c>
      <c r="U23">
        <v>0.41299999999999998</v>
      </c>
      <c r="V23">
        <v>0.161</v>
      </c>
      <c r="W23">
        <v>0.16400000000000001</v>
      </c>
      <c r="X23">
        <v>0.2</v>
      </c>
      <c r="Y23">
        <v>0.2</v>
      </c>
      <c r="Z23">
        <v>0.82199999999999995</v>
      </c>
      <c r="AA23">
        <v>0.58299999999999996</v>
      </c>
      <c r="AB23">
        <v>0.88800000000000001</v>
      </c>
      <c r="AC23">
        <v>0.877</v>
      </c>
      <c r="AD23">
        <v>0.45700000000000002</v>
      </c>
      <c r="AE23">
        <v>0.33700000000000002</v>
      </c>
      <c r="AF23">
        <v>-3.4000000000000002E-2</v>
      </c>
      <c r="AG23">
        <v>1</v>
      </c>
      <c r="AH23">
        <v>1</v>
      </c>
      <c r="AI23">
        <v>0.184</v>
      </c>
      <c r="AJ23">
        <v>-0.76</v>
      </c>
      <c r="AK23">
        <v>-0.52800000000000002</v>
      </c>
      <c r="AL23">
        <v>0.45700000000000002</v>
      </c>
      <c r="AM23">
        <v>0.25</v>
      </c>
      <c r="AN23">
        <v>0.47199999999999998</v>
      </c>
      <c r="AO23">
        <v>0.47199999999999998</v>
      </c>
      <c r="AP23">
        <v>0.55900000000000005</v>
      </c>
      <c r="AQ23">
        <v>3.7999999999999999E-2</v>
      </c>
      <c r="AR23">
        <v>0.45900000000000002</v>
      </c>
      <c r="AS23">
        <v>0.08</v>
      </c>
      <c r="AT23">
        <v>0.998</v>
      </c>
      <c r="AU23">
        <v>-0.629</v>
      </c>
      <c r="AV23">
        <v>2E-3</v>
      </c>
      <c r="AW23">
        <v>0.747</v>
      </c>
      <c r="AX23">
        <v>0.52500000000000002</v>
      </c>
      <c r="AY23">
        <v>0.27300000000000002</v>
      </c>
      <c r="AZ23">
        <v>-8.0000000000000002E-3</v>
      </c>
      <c r="BA23">
        <v>4.9000000000000002E-2</v>
      </c>
      <c r="BB23">
        <v>0.52600000000000002</v>
      </c>
      <c r="BC23">
        <v>-0.13500000000000001</v>
      </c>
      <c r="BD23">
        <v>0.54400000000000004</v>
      </c>
      <c r="BE23">
        <v>0.223</v>
      </c>
      <c r="BF23">
        <v>-0.623</v>
      </c>
      <c r="BG23">
        <v>0.27300000000000002</v>
      </c>
      <c r="BH23">
        <v>-4.9000000000000002E-2</v>
      </c>
      <c r="BI23">
        <v>0.54700000000000004</v>
      </c>
    </row>
    <row r="24" spans="1:61" x14ac:dyDescent="0.3">
      <c r="A24">
        <v>23</v>
      </c>
      <c r="B24" t="s">
        <v>193</v>
      </c>
      <c r="C24">
        <v>0</v>
      </c>
      <c r="D24">
        <v>0</v>
      </c>
      <c r="J24" t="s">
        <v>136</v>
      </c>
      <c r="K24">
        <v>2.5590000000000002</v>
      </c>
      <c r="L24">
        <v>5.077</v>
      </c>
      <c r="M24" t="s">
        <v>71</v>
      </c>
      <c r="N24">
        <v>0.03</v>
      </c>
      <c r="O24">
        <v>-0.05</v>
      </c>
      <c r="P24">
        <v>-0.29399999999999998</v>
      </c>
      <c r="Q24">
        <v>0.28000000000000003</v>
      </c>
      <c r="R24">
        <v>-0.85299999999999998</v>
      </c>
      <c r="S24">
        <v>0.315</v>
      </c>
      <c r="T24">
        <v>-0.04</v>
      </c>
      <c r="U24">
        <v>0.44700000000000001</v>
      </c>
      <c r="V24">
        <v>0.53100000000000003</v>
      </c>
      <c r="W24">
        <v>1</v>
      </c>
      <c r="X24">
        <v>1</v>
      </c>
      <c r="Y24">
        <v>1</v>
      </c>
      <c r="Z24">
        <v>0.56100000000000005</v>
      </c>
      <c r="AA24">
        <v>0.73</v>
      </c>
      <c r="AB24">
        <v>0.88900000000000001</v>
      </c>
      <c r="AC24">
        <v>-1.7999999999999999E-2</v>
      </c>
      <c r="AD24">
        <v>-0.745</v>
      </c>
      <c r="AE24">
        <v>1</v>
      </c>
      <c r="AF24">
        <v>-0.93500000000000005</v>
      </c>
      <c r="AG24">
        <v>-0.54400000000000004</v>
      </c>
      <c r="AH24">
        <v>-0.92200000000000004</v>
      </c>
      <c r="AI24">
        <v>0.151</v>
      </c>
      <c r="AJ24">
        <v>0.432</v>
      </c>
      <c r="AK24">
        <v>-0.54200000000000004</v>
      </c>
      <c r="AL24">
        <v>-0.64700000000000002</v>
      </c>
      <c r="AM24">
        <v>0.94399999999999995</v>
      </c>
      <c r="AN24">
        <v>1</v>
      </c>
      <c r="AO24">
        <v>-0.33500000000000002</v>
      </c>
      <c r="AP24">
        <v>0.14499999999999999</v>
      </c>
      <c r="AQ24">
        <v>3.5000000000000003E-2</v>
      </c>
      <c r="AR24">
        <v>0.41199999999999998</v>
      </c>
      <c r="AS24">
        <v>0.26900000000000002</v>
      </c>
      <c r="AT24">
        <v>0.23</v>
      </c>
      <c r="AU24">
        <v>0.503</v>
      </c>
      <c r="AV24">
        <v>-0.21199999999999999</v>
      </c>
      <c r="AW24">
        <v>0.74299999999999999</v>
      </c>
      <c r="AX24">
        <v>0.38900000000000001</v>
      </c>
      <c r="AY24">
        <v>0.39100000000000001</v>
      </c>
      <c r="AZ24">
        <v>-0.151</v>
      </c>
      <c r="BA24">
        <v>-0.21299999999999999</v>
      </c>
      <c r="BB24">
        <v>0.60099999999999998</v>
      </c>
      <c r="BC24">
        <v>-0.67900000000000005</v>
      </c>
      <c r="BD24">
        <v>0.29299999999999998</v>
      </c>
      <c r="BE24">
        <v>0.39200000000000002</v>
      </c>
      <c r="BF24">
        <v>-0.90700000000000003</v>
      </c>
      <c r="BG24">
        <v>-1</v>
      </c>
      <c r="BH24">
        <v>-0.247</v>
      </c>
      <c r="BI24">
        <v>-0.89800000000000002</v>
      </c>
    </row>
    <row r="25" spans="1:61" x14ac:dyDescent="0.3">
      <c r="A25">
        <v>24</v>
      </c>
      <c r="B25" t="s">
        <v>259</v>
      </c>
      <c r="C25">
        <v>0</v>
      </c>
      <c r="D25">
        <v>0</v>
      </c>
      <c r="J25" t="s">
        <v>84</v>
      </c>
      <c r="K25">
        <v>2.5230000000000001</v>
      </c>
      <c r="L25">
        <v>1.9339999999999999</v>
      </c>
      <c r="M25" t="s">
        <v>57</v>
      </c>
      <c r="N25">
        <v>8.0000000000000002E-3</v>
      </c>
      <c r="O25">
        <v>8.0000000000000002E-3</v>
      </c>
      <c r="P25">
        <v>0.32600000000000001</v>
      </c>
      <c r="Q25">
        <v>0.39200000000000002</v>
      </c>
      <c r="R25">
        <v>0.23499999999999999</v>
      </c>
      <c r="S25">
        <v>0.47599999999999998</v>
      </c>
      <c r="T25">
        <v>0.39900000000000002</v>
      </c>
      <c r="U25">
        <v>0.13800000000000001</v>
      </c>
      <c r="V25">
        <v>-4.8000000000000001E-2</v>
      </c>
      <c r="W25">
        <v>0.49299999999999999</v>
      </c>
      <c r="X25">
        <v>0.47299999999999998</v>
      </c>
      <c r="Y25">
        <v>0.47</v>
      </c>
      <c r="Z25">
        <v>0.88400000000000001</v>
      </c>
      <c r="AA25">
        <v>0.92400000000000004</v>
      </c>
      <c r="AB25">
        <v>0.94599999999999995</v>
      </c>
      <c r="AC25">
        <v>-0.17499999999999999</v>
      </c>
      <c r="AD25">
        <v>0.65700000000000003</v>
      </c>
      <c r="AE25">
        <v>0.65500000000000003</v>
      </c>
      <c r="AF25">
        <v>-0.40300000000000002</v>
      </c>
      <c r="AG25">
        <v>1</v>
      </c>
      <c r="AH25">
        <v>0.65300000000000002</v>
      </c>
      <c r="AI25">
        <v>-0.112</v>
      </c>
      <c r="AJ25">
        <v>-7.0000000000000007E-2</v>
      </c>
      <c r="AK25">
        <v>-0.40699999999999997</v>
      </c>
      <c r="AL25">
        <v>5.8000000000000003E-2</v>
      </c>
      <c r="AM25">
        <v>0.54300000000000004</v>
      </c>
      <c r="AN25">
        <v>0.46600000000000003</v>
      </c>
      <c r="AO25">
        <v>0.99199999999999999</v>
      </c>
      <c r="AP25">
        <v>0.51200000000000001</v>
      </c>
      <c r="AQ25">
        <v>-0.16300000000000001</v>
      </c>
      <c r="AR25">
        <v>0.192</v>
      </c>
      <c r="AS25">
        <v>-0.23200000000000001</v>
      </c>
      <c r="AT25">
        <v>8.5000000000000006E-2</v>
      </c>
      <c r="AU25">
        <v>0.36399999999999999</v>
      </c>
      <c r="AV25">
        <v>-0.14099999999999999</v>
      </c>
      <c r="AW25">
        <v>0.47599999999999998</v>
      </c>
      <c r="AX25">
        <v>0.44400000000000001</v>
      </c>
      <c r="AY25">
        <v>0.33300000000000002</v>
      </c>
      <c r="AZ25">
        <v>-0.502</v>
      </c>
      <c r="BA25">
        <v>-2.3E-2</v>
      </c>
      <c r="BB25">
        <v>-0.60299999999999998</v>
      </c>
      <c r="BC25">
        <v>-0.496</v>
      </c>
      <c r="BD25">
        <v>0.188</v>
      </c>
      <c r="BE25">
        <v>-0.108</v>
      </c>
      <c r="BF25">
        <v>-1</v>
      </c>
      <c r="BG25">
        <v>-0.20399999999999999</v>
      </c>
      <c r="BH25">
        <v>0.437</v>
      </c>
      <c r="BI25">
        <v>0.63800000000000001</v>
      </c>
    </row>
    <row r="26" spans="1:61" x14ac:dyDescent="0.3">
      <c r="A26">
        <v>25</v>
      </c>
      <c r="B26" t="s">
        <v>127</v>
      </c>
      <c r="C26">
        <v>1.1170637864297899E-2</v>
      </c>
      <c r="D26">
        <v>1.1771553987967099E-2</v>
      </c>
      <c r="J26" t="s">
        <v>90</v>
      </c>
      <c r="K26">
        <v>2.5179999999999998</v>
      </c>
      <c r="L26">
        <v>2.4710000000000001</v>
      </c>
      <c r="M26" t="s">
        <v>68</v>
      </c>
      <c r="N26">
        <v>1.0999999999999999E-2</v>
      </c>
      <c r="O26">
        <v>8.9999999999999993E-3</v>
      </c>
      <c r="P26">
        <v>0.34</v>
      </c>
      <c r="Q26">
        <v>-0.216</v>
      </c>
      <c r="R26">
        <v>-7.0000000000000001E-3</v>
      </c>
      <c r="S26">
        <v>0.64300000000000002</v>
      </c>
      <c r="T26">
        <v>0.16800000000000001</v>
      </c>
      <c r="U26">
        <v>0.67900000000000005</v>
      </c>
      <c r="V26">
        <v>0.75700000000000001</v>
      </c>
      <c r="W26">
        <v>0.58099999999999996</v>
      </c>
      <c r="X26">
        <v>0.311</v>
      </c>
      <c r="Y26">
        <v>0.313</v>
      </c>
      <c r="Z26">
        <v>0.79800000000000004</v>
      </c>
      <c r="AA26">
        <v>0.77900000000000003</v>
      </c>
      <c r="AB26">
        <v>0.69299999999999995</v>
      </c>
      <c r="AC26">
        <v>1</v>
      </c>
      <c r="AD26">
        <v>0.57499999999999996</v>
      </c>
      <c r="AE26">
        <v>-0.214</v>
      </c>
      <c r="AF26">
        <v>-0.45900000000000002</v>
      </c>
      <c r="AG26">
        <v>-0.30599999999999999</v>
      </c>
      <c r="AH26">
        <v>8.7999999999999995E-2</v>
      </c>
      <c r="AI26">
        <v>-3.5000000000000003E-2</v>
      </c>
      <c r="AJ26">
        <v>0.433</v>
      </c>
      <c r="AK26">
        <v>-0.68500000000000005</v>
      </c>
      <c r="AL26">
        <v>0.42799999999999999</v>
      </c>
      <c r="AM26">
        <v>5.7000000000000002E-2</v>
      </c>
      <c r="AN26">
        <v>0.312</v>
      </c>
      <c r="AO26">
        <v>0.59899999999999998</v>
      </c>
      <c r="AP26">
        <v>0.28299999999999997</v>
      </c>
      <c r="AQ26">
        <v>-0.498</v>
      </c>
      <c r="AR26">
        <v>0.61399999999999999</v>
      </c>
      <c r="AS26">
        <v>-0.33700000000000002</v>
      </c>
      <c r="AT26">
        <v>0.63900000000000001</v>
      </c>
      <c r="AU26">
        <v>0.41399999999999998</v>
      </c>
      <c r="AV26">
        <v>0.114</v>
      </c>
      <c r="AW26">
        <v>0.84299999999999997</v>
      </c>
      <c r="AX26">
        <v>0.56100000000000005</v>
      </c>
      <c r="AY26">
        <v>0.44800000000000001</v>
      </c>
      <c r="AZ26">
        <v>-0.159</v>
      </c>
      <c r="BA26">
        <v>-0.188</v>
      </c>
      <c r="BB26">
        <v>0.3</v>
      </c>
      <c r="BC26">
        <v>-0.187</v>
      </c>
      <c r="BD26">
        <v>2.7E-2</v>
      </c>
      <c r="BE26">
        <v>0.58799999999999997</v>
      </c>
      <c r="BF26">
        <v>-0.85399999999999998</v>
      </c>
      <c r="BG26">
        <v>0.34599999999999997</v>
      </c>
      <c r="BH26">
        <v>-0.38200000000000001</v>
      </c>
      <c r="BI26">
        <v>-0.151</v>
      </c>
    </row>
    <row r="27" spans="1:61" x14ac:dyDescent="0.3">
      <c r="A27">
        <v>26</v>
      </c>
      <c r="B27" t="s">
        <v>173</v>
      </c>
      <c r="C27">
        <v>0</v>
      </c>
      <c r="D27">
        <v>0</v>
      </c>
      <c r="J27" t="s">
        <v>146</v>
      </c>
      <c r="K27">
        <v>2.4710000000000001</v>
      </c>
      <c r="L27">
        <v>4.4909999999999997</v>
      </c>
      <c r="M27" t="s">
        <v>71</v>
      </c>
      <c r="N27">
        <v>0.03</v>
      </c>
      <c r="O27">
        <v>-1.4E-2</v>
      </c>
      <c r="P27">
        <v>-0.308</v>
      </c>
      <c r="Q27">
        <v>0.26300000000000001</v>
      </c>
      <c r="R27">
        <v>-0.84799999999999998</v>
      </c>
      <c r="S27">
        <v>0.26500000000000001</v>
      </c>
      <c r="T27">
        <v>-6.7000000000000004E-2</v>
      </c>
      <c r="U27">
        <v>0.35799999999999998</v>
      </c>
      <c r="V27">
        <v>0.39600000000000002</v>
      </c>
      <c r="W27">
        <v>0.94599999999999995</v>
      </c>
      <c r="X27">
        <v>1</v>
      </c>
      <c r="Y27">
        <v>1</v>
      </c>
      <c r="Z27">
        <v>0.59599999999999997</v>
      </c>
      <c r="AA27">
        <v>0.75600000000000001</v>
      </c>
      <c r="AB27">
        <v>0.88500000000000001</v>
      </c>
      <c r="AC27">
        <v>-8.8999999999999996E-2</v>
      </c>
      <c r="AD27">
        <v>-0.77100000000000002</v>
      </c>
      <c r="AE27">
        <v>1</v>
      </c>
      <c r="AF27">
        <v>-0.94399999999999995</v>
      </c>
      <c r="AG27">
        <v>-0.56799999999999995</v>
      </c>
      <c r="AH27">
        <v>-0.92600000000000005</v>
      </c>
      <c r="AI27">
        <v>0.151</v>
      </c>
      <c r="AJ27">
        <v>0.35699999999999998</v>
      </c>
      <c r="AK27">
        <v>-0.54200000000000004</v>
      </c>
      <c r="AL27">
        <v>-0.65800000000000003</v>
      </c>
      <c r="AM27">
        <v>0.93500000000000005</v>
      </c>
      <c r="AN27">
        <v>1</v>
      </c>
      <c r="AO27">
        <v>-0.33500000000000002</v>
      </c>
      <c r="AP27">
        <v>0.14499999999999999</v>
      </c>
      <c r="AQ27">
        <v>3.5000000000000003E-2</v>
      </c>
      <c r="AR27">
        <v>0.41199999999999998</v>
      </c>
      <c r="AS27">
        <v>0.26900000000000002</v>
      </c>
      <c r="AT27">
        <v>0.223</v>
      </c>
      <c r="AU27">
        <v>0.40899999999999997</v>
      </c>
      <c r="AV27">
        <v>-0.21199999999999999</v>
      </c>
      <c r="AW27">
        <v>0.74299999999999999</v>
      </c>
      <c r="AX27">
        <v>0.438</v>
      </c>
      <c r="AY27">
        <v>0.498</v>
      </c>
      <c r="AZ27">
        <v>-0.151</v>
      </c>
      <c r="BA27">
        <v>-0.21299999999999999</v>
      </c>
      <c r="BB27">
        <v>0.624</v>
      </c>
      <c r="BC27">
        <v>-0.70499999999999996</v>
      </c>
      <c r="BD27">
        <v>0.311</v>
      </c>
      <c r="BE27">
        <v>0.27</v>
      </c>
      <c r="BF27">
        <v>-0.89300000000000002</v>
      </c>
      <c r="BG27">
        <v>-1</v>
      </c>
      <c r="BH27">
        <v>-8.5000000000000006E-2</v>
      </c>
      <c r="BI27">
        <v>-0.89800000000000002</v>
      </c>
    </row>
    <row r="28" spans="1:61" x14ac:dyDescent="0.3">
      <c r="A28">
        <v>27</v>
      </c>
      <c r="B28" t="s">
        <v>241</v>
      </c>
      <c r="C28">
        <v>0</v>
      </c>
      <c r="D28">
        <v>0</v>
      </c>
      <c r="J28" t="s">
        <v>77</v>
      </c>
      <c r="K28">
        <v>2.4249999999999998</v>
      </c>
      <c r="L28">
        <v>1.8420000000000001</v>
      </c>
      <c r="M28" t="s">
        <v>57</v>
      </c>
      <c r="N28">
        <v>8.9999999999999993E-3</v>
      </c>
      <c r="O28">
        <v>8.9999999999999993E-3</v>
      </c>
      <c r="P28">
        <v>0.69099999999999995</v>
      </c>
      <c r="Q28">
        <v>-1.4E-2</v>
      </c>
      <c r="R28">
        <v>0.99</v>
      </c>
      <c r="S28">
        <v>0.68799999999999994</v>
      </c>
      <c r="T28">
        <v>0.60299999999999998</v>
      </c>
      <c r="U28">
        <v>0.48699999999999999</v>
      </c>
      <c r="V28">
        <v>0.433</v>
      </c>
      <c r="W28">
        <v>0.112</v>
      </c>
      <c r="X28">
        <v>0.14899999999999999</v>
      </c>
      <c r="Y28">
        <v>0.14799999999999999</v>
      </c>
      <c r="Z28">
        <v>0.90500000000000003</v>
      </c>
      <c r="AA28">
        <v>0.70099999999999996</v>
      </c>
      <c r="AB28">
        <v>0.64300000000000002</v>
      </c>
      <c r="AC28">
        <v>1</v>
      </c>
      <c r="AD28">
        <v>1</v>
      </c>
      <c r="AE28">
        <v>-0.46100000000000002</v>
      </c>
      <c r="AF28">
        <v>0.72799999999999998</v>
      </c>
      <c r="AG28">
        <v>-0.22800000000000001</v>
      </c>
      <c r="AH28">
        <v>1</v>
      </c>
      <c r="AI28">
        <v>0.63300000000000001</v>
      </c>
      <c r="AJ28">
        <v>0.309</v>
      </c>
      <c r="AK28">
        <v>-0.39200000000000002</v>
      </c>
      <c r="AL28">
        <v>0.60899999999999999</v>
      </c>
      <c r="AM28">
        <v>-0.624</v>
      </c>
      <c r="AN28">
        <v>-0.60399999999999998</v>
      </c>
      <c r="AO28">
        <v>0.73399999999999999</v>
      </c>
      <c r="AP28">
        <v>2.1000000000000001E-2</v>
      </c>
      <c r="AQ28">
        <v>-0.56699999999999995</v>
      </c>
      <c r="AR28">
        <v>0.41</v>
      </c>
      <c r="AS28">
        <v>0.08</v>
      </c>
      <c r="AT28">
        <v>0.89700000000000002</v>
      </c>
      <c r="AU28">
        <v>-0.28599999999999998</v>
      </c>
      <c r="AV28">
        <v>0.03</v>
      </c>
      <c r="AW28">
        <v>0.74399999999999999</v>
      </c>
      <c r="AX28">
        <v>0.218</v>
      </c>
      <c r="AY28">
        <v>0.45</v>
      </c>
      <c r="AZ28">
        <v>9.8000000000000004E-2</v>
      </c>
      <c r="BA28">
        <v>0.17100000000000001</v>
      </c>
      <c r="BB28">
        <v>0.26800000000000002</v>
      </c>
      <c r="BC28">
        <v>1</v>
      </c>
      <c r="BD28">
        <v>1</v>
      </c>
      <c r="BE28">
        <v>5.6000000000000001E-2</v>
      </c>
      <c r="BF28">
        <v>-0.29499999999999998</v>
      </c>
      <c r="BG28">
        <v>0.28499999999999998</v>
      </c>
      <c r="BH28">
        <v>0.73399999999999999</v>
      </c>
      <c r="BI28">
        <v>0.55700000000000005</v>
      </c>
    </row>
    <row r="29" spans="1:61" x14ac:dyDescent="0.3">
      <c r="A29">
        <v>28</v>
      </c>
      <c r="B29" t="s">
        <v>123</v>
      </c>
      <c r="C29">
        <v>1.5823875519093901E-2</v>
      </c>
      <c r="D29">
        <v>0</v>
      </c>
      <c r="J29" t="s">
        <v>101</v>
      </c>
      <c r="K29">
        <v>2.3660000000000001</v>
      </c>
      <c r="L29">
        <v>2.5790000000000002</v>
      </c>
      <c r="M29" t="s">
        <v>71</v>
      </c>
      <c r="N29">
        <v>1.2999999999999999E-2</v>
      </c>
      <c r="O29">
        <v>1.2999999999999999E-2</v>
      </c>
      <c r="P29">
        <v>0.33100000000000002</v>
      </c>
      <c r="Q29">
        <v>0.40899999999999997</v>
      </c>
      <c r="R29">
        <v>-0.13100000000000001</v>
      </c>
      <c r="S29">
        <v>0.32400000000000001</v>
      </c>
      <c r="T29">
        <v>0.11899999999999999</v>
      </c>
      <c r="U29">
        <v>0.48399999999999999</v>
      </c>
      <c r="V29">
        <v>0.35</v>
      </c>
      <c r="W29">
        <v>6.2E-2</v>
      </c>
      <c r="X29">
        <v>0.72299999999999998</v>
      </c>
      <c r="Y29">
        <v>0.71799999999999997</v>
      </c>
      <c r="Z29">
        <v>0.75</v>
      </c>
      <c r="AA29">
        <v>0.86</v>
      </c>
      <c r="AB29">
        <v>0.99099999999999999</v>
      </c>
      <c r="AC29">
        <v>-0.318</v>
      </c>
      <c r="AD29">
        <v>-8.4000000000000005E-2</v>
      </c>
      <c r="AE29">
        <v>0.57399999999999995</v>
      </c>
      <c r="AF29">
        <v>-0.499</v>
      </c>
      <c r="AG29">
        <v>1</v>
      </c>
      <c r="AH29">
        <v>0.28999999999999998</v>
      </c>
      <c r="AI29">
        <v>-0.30499999999999999</v>
      </c>
      <c r="AJ29">
        <v>-0.94299999999999995</v>
      </c>
      <c r="AK29">
        <v>-0.72199999999999998</v>
      </c>
      <c r="AL29">
        <v>0.55600000000000005</v>
      </c>
      <c r="AM29">
        <v>0.76500000000000001</v>
      </c>
      <c r="AN29">
        <v>0.74</v>
      </c>
      <c r="AO29">
        <v>0.81299999999999994</v>
      </c>
      <c r="AP29">
        <v>0.69599999999999995</v>
      </c>
      <c r="AQ29">
        <v>0.12</v>
      </c>
      <c r="AR29">
        <v>0.191</v>
      </c>
      <c r="AS29">
        <v>-0.28899999999999998</v>
      </c>
      <c r="AT29">
        <v>0.54600000000000004</v>
      </c>
      <c r="AU29">
        <v>0.503</v>
      </c>
      <c r="AV29">
        <v>-0.16300000000000001</v>
      </c>
      <c r="AW29">
        <v>0.67100000000000004</v>
      </c>
      <c r="AX29">
        <v>-0.49</v>
      </c>
      <c r="AY29">
        <v>0.96599999999999997</v>
      </c>
      <c r="AZ29">
        <v>-0.371</v>
      </c>
      <c r="BA29">
        <v>-0.73</v>
      </c>
      <c r="BB29">
        <v>0.54600000000000004</v>
      </c>
      <c r="BC29">
        <v>-0.59299999999999997</v>
      </c>
      <c r="BD29">
        <v>0.24099999999999999</v>
      </c>
      <c r="BE29">
        <v>0.80900000000000005</v>
      </c>
      <c r="BF29">
        <v>-0.61499999999999999</v>
      </c>
      <c r="BG29">
        <v>-0.83799999999999997</v>
      </c>
      <c r="BH29">
        <v>0.66</v>
      </c>
      <c r="BI29">
        <v>0.64500000000000002</v>
      </c>
    </row>
    <row r="30" spans="1:61" x14ac:dyDescent="0.3">
      <c r="A30">
        <v>29</v>
      </c>
      <c r="B30" t="s">
        <v>102</v>
      </c>
      <c r="C30">
        <v>0</v>
      </c>
      <c r="D30">
        <v>0</v>
      </c>
      <c r="J30" t="s">
        <v>599</v>
      </c>
      <c r="K30">
        <v>2.359</v>
      </c>
      <c r="L30">
        <v>1.7470000000000001</v>
      </c>
      <c r="M30" t="s">
        <v>57</v>
      </c>
      <c r="N30">
        <v>0.01</v>
      </c>
      <c r="O30">
        <v>0.01</v>
      </c>
      <c r="P30">
        <v>0.84699999999999998</v>
      </c>
      <c r="Q30">
        <v>0.872</v>
      </c>
      <c r="R30">
        <v>1</v>
      </c>
      <c r="S30">
        <v>0.53700000000000003</v>
      </c>
      <c r="T30">
        <v>0.86299999999999999</v>
      </c>
      <c r="U30">
        <v>0.23100000000000001</v>
      </c>
      <c r="V30">
        <v>-0.08</v>
      </c>
      <c r="W30">
        <v>-0.224</v>
      </c>
      <c r="X30">
        <v>0.215</v>
      </c>
      <c r="Y30">
        <v>0.214</v>
      </c>
      <c r="Z30">
        <v>0.80700000000000005</v>
      </c>
      <c r="AA30">
        <v>0.76600000000000001</v>
      </c>
      <c r="AB30">
        <v>0.79200000000000004</v>
      </c>
      <c r="AC30">
        <v>0.96399999999999997</v>
      </c>
      <c r="AD30">
        <v>1</v>
      </c>
      <c r="AE30">
        <v>0.189</v>
      </c>
      <c r="AF30">
        <v>1</v>
      </c>
      <c r="AG30">
        <v>0.64900000000000002</v>
      </c>
      <c r="AH30">
        <v>0.61699999999999999</v>
      </c>
      <c r="AI30">
        <v>0.17599999999999999</v>
      </c>
      <c r="AJ30">
        <v>-0.72299999999999998</v>
      </c>
      <c r="AK30">
        <v>0.64100000000000001</v>
      </c>
      <c r="AL30">
        <v>0.60099999999999998</v>
      </c>
      <c r="AM30">
        <v>-0.32200000000000001</v>
      </c>
      <c r="AN30">
        <v>0.13600000000000001</v>
      </c>
      <c r="AO30">
        <v>0.47099999999999997</v>
      </c>
      <c r="AP30">
        <v>0.252</v>
      </c>
      <c r="AQ30">
        <v>-0.14299999999999999</v>
      </c>
      <c r="AR30">
        <v>-4.1000000000000002E-2</v>
      </c>
      <c r="AS30">
        <v>-0.28199999999999997</v>
      </c>
      <c r="AT30">
        <v>0.46200000000000002</v>
      </c>
      <c r="AU30">
        <v>-0.19400000000000001</v>
      </c>
      <c r="AV30">
        <v>-0.33</v>
      </c>
      <c r="AW30">
        <v>0.94299999999999995</v>
      </c>
      <c r="AX30">
        <v>-0.35899999999999999</v>
      </c>
      <c r="AY30">
        <v>0.98499999999999999</v>
      </c>
      <c r="AZ30">
        <v>0.14799999999999999</v>
      </c>
      <c r="BA30">
        <v>3.5000000000000003E-2</v>
      </c>
      <c r="BB30">
        <v>0.35</v>
      </c>
      <c r="BC30">
        <v>1</v>
      </c>
      <c r="BD30">
        <v>0.46800000000000003</v>
      </c>
      <c r="BE30">
        <v>0.3</v>
      </c>
      <c r="BF30">
        <v>0.64500000000000002</v>
      </c>
      <c r="BG30">
        <v>-0.68</v>
      </c>
      <c r="BH30">
        <v>0.81499999999999995</v>
      </c>
      <c r="BI30">
        <v>1</v>
      </c>
    </row>
    <row r="31" spans="1:61" x14ac:dyDescent="0.3">
      <c r="A31">
        <v>30</v>
      </c>
      <c r="B31" t="s">
        <v>144</v>
      </c>
      <c r="C31">
        <v>0</v>
      </c>
      <c r="D31">
        <v>0</v>
      </c>
      <c r="J31" t="s">
        <v>85</v>
      </c>
      <c r="K31">
        <v>2.3580000000000001</v>
      </c>
      <c r="L31">
        <v>1.8360000000000001</v>
      </c>
      <c r="M31" t="s">
        <v>57</v>
      </c>
      <c r="N31">
        <v>7.0000000000000001E-3</v>
      </c>
      <c r="O31">
        <v>7.0000000000000001E-3</v>
      </c>
      <c r="P31">
        <v>0.55000000000000004</v>
      </c>
      <c r="Q31">
        <v>0.58799999999999997</v>
      </c>
      <c r="R31">
        <v>0.40200000000000002</v>
      </c>
      <c r="S31">
        <v>0.60199999999999998</v>
      </c>
      <c r="T31">
        <v>0.54700000000000004</v>
      </c>
      <c r="U31">
        <v>0.17</v>
      </c>
      <c r="V31">
        <v>0.128</v>
      </c>
      <c r="W31">
        <v>-0.11700000000000001</v>
      </c>
      <c r="X31">
        <v>0.56399999999999995</v>
      </c>
      <c r="Y31">
        <v>0.56499999999999995</v>
      </c>
      <c r="Z31">
        <v>0.92600000000000005</v>
      </c>
      <c r="AA31">
        <v>0.91100000000000003</v>
      </c>
      <c r="AB31">
        <v>0.88200000000000001</v>
      </c>
      <c r="AC31">
        <v>0.504</v>
      </c>
      <c r="AD31">
        <v>1</v>
      </c>
      <c r="AE31">
        <v>0.47199999999999998</v>
      </c>
      <c r="AF31">
        <v>0.10199999999999999</v>
      </c>
      <c r="AG31">
        <v>0.19500000000000001</v>
      </c>
      <c r="AH31">
        <v>0.47899999999999998</v>
      </c>
      <c r="AI31">
        <v>-0.04</v>
      </c>
      <c r="AJ31">
        <v>-0.91200000000000003</v>
      </c>
      <c r="AK31">
        <v>0.17199999999999999</v>
      </c>
      <c r="AL31">
        <v>0.36699999999999999</v>
      </c>
      <c r="AM31">
        <v>-5.6000000000000001E-2</v>
      </c>
      <c r="AN31">
        <v>-0.22500000000000001</v>
      </c>
      <c r="AO31">
        <v>0.61699999999999999</v>
      </c>
      <c r="AP31">
        <v>1</v>
      </c>
      <c r="AQ31">
        <v>0.251</v>
      </c>
      <c r="AR31">
        <v>0.432</v>
      </c>
      <c r="AS31">
        <v>0.65900000000000003</v>
      </c>
      <c r="AT31">
        <v>0.51800000000000002</v>
      </c>
      <c r="AU31">
        <v>-0.34</v>
      </c>
      <c r="AV31">
        <v>-0.29799999999999999</v>
      </c>
      <c r="AW31">
        <v>0.58299999999999996</v>
      </c>
      <c r="AX31">
        <v>0.23799999999999999</v>
      </c>
      <c r="AY31">
        <v>0.65</v>
      </c>
      <c r="AZ31">
        <v>-0.21</v>
      </c>
      <c r="BA31">
        <v>-0.64600000000000002</v>
      </c>
      <c r="BB31">
        <v>0.42399999999999999</v>
      </c>
      <c r="BC31">
        <v>-0.81299999999999994</v>
      </c>
      <c r="BD31">
        <v>0.372</v>
      </c>
      <c r="BE31">
        <v>-7.4999999999999997E-2</v>
      </c>
      <c r="BF31">
        <v>-0.44</v>
      </c>
      <c r="BG31">
        <v>-0.157</v>
      </c>
      <c r="BH31">
        <v>0.34699999999999998</v>
      </c>
      <c r="BI31">
        <v>0.38700000000000001</v>
      </c>
    </row>
    <row r="32" spans="1:61" x14ac:dyDescent="0.3">
      <c r="A32">
        <v>31</v>
      </c>
      <c r="B32" t="s">
        <v>153</v>
      </c>
      <c r="C32">
        <v>1.9311292481536999E-2</v>
      </c>
      <c r="D32">
        <v>2.4527827659646399E-2</v>
      </c>
      <c r="J32" t="s">
        <v>109</v>
      </c>
      <c r="K32">
        <v>2.34</v>
      </c>
      <c r="L32">
        <v>3.177</v>
      </c>
      <c r="M32" t="s">
        <v>57</v>
      </c>
      <c r="N32">
        <v>2.4E-2</v>
      </c>
      <c r="O32">
        <v>2.4E-2</v>
      </c>
      <c r="P32">
        <v>-0.02</v>
      </c>
      <c r="Q32">
        <v>-0.124</v>
      </c>
      <c r="R32">
        <v>-0.47699999999999998</v>
      </c>
      <c r="S32">
        <v>0.216</v>
      </c>
      <c r="T32">
        <v>-0.156</v>
      </c>
      <c r="U32">
        <v>0.42499999999999999</v>
      </c>
      <c r="V32">
        <v>0.67</v>
      </c>
      <c r="W32">
        <v>0.54</v>
      </c>
      <c r="X32">
        <v>0.67600000000000005</v>
      </c>
      <c r="Y32">
        <v>0.67500000000000004</v>
      </c>
      <c r="Z32">
        <v>0.872</v>
      </c>
      <c r="AA32">
        <v>0.84499999999999997</v>
      </c>
      <c r="AB32">
        <v>0.86399999999999999</v>
      </c>
      <c r="AC32">
        <v>0.14699999999999999</v>
      </c>
      <c r="AD32">
        <v>-0.222</v>
      </c>
      <c r="AE32">
        <v>0.09</v>
      </c>
      <c r="AF32">
        <v>-0.96399999999999997</v>
      </c>
      <c r="AG32">
        <v>-0.75800000000000001</v>
      </c>
      <c r="AH32">
        <v>-0.81599999999999995</v>
      </c>
      <c r="AI32">
        <v>-0.17399999999999999</v>
      </c>
      <c r="AJ32">
        <v>0.21099999999999999</v>
      </c>
      <c r="AK32">
        <v>-0.67900000000000005</v>
      </c>
      <c r="AL32">
        <v>-0.20799999999999999</v>
      </c>
      <c r="AM32">
        <v>0.498</v>
      </c>
      <c r="AN32">
        <v>-5.6000000000000001E-2</v>
      </c>
      <c r="AO32">
        <v>8.9999999999999993E-3</v>
      </c>
      <c r="AP32">
        <v>0.30599999999999999</v>
      </c>
      <c r="AQ32">
        <v>0.41299999999999998</v>
      </c>
      <c r="AR32">
        <v>-1E-3</v>
      </c>
      <c r="AS32">
        <v>-2E-3</v>
      </c>
      <c r="AT32">
        <v>0.40300000000000002</v>
      </c>
      <c r="AU32">
        <v>0.499</v>
      </c>
      <c r="AV32">
        <v>-0.40100000000000002</v>
      </c>
      <c r="AW32">
        <v>0.91</v>
      </c>
      <c r="AX32">
        <v>0.66800000000000004</v>
      </c>
      <c r="AY32">
        <v>0.96699999999999997</v>
      </c>
      <c r="AZ32">
        <v>-0.20699999999999999</v>
      </c>
      <c r="BA32">
        <v>1.4E-2</v>
      </c>
      <c r="BB32">
        <v>0.55700000000000005</v>
      </c>
      <c r="BC32">
        <v>-0.215</v>
      </c>
      <c r="BD32">
        <v>-0.33900000000000002</v>
      </c>
      <c r="BE32">
        <v>0.84099999999999997</v>
      </c>
      <c r="BF32">
        <v>-0.65600000000000003</v>
      </c>
      <c r="BG32">
        <v>-0.14599999999999999</v>
      </c>
      <c r="BH32">
        <v>0.90300000000000002</v>
      </c>
      <c r="BI32">
        <v>-0.70899999999999996</v>
      </c>
    </row>
    <row r="33" spans="1:61" x14ac:dyDescent="0.3">
      <c r="A33">
        <v>32</v>
      </c>
      <c r="B33" t="s">
        <v>64</v>
      </c>
      <c r="C33">
        <v>9.7034553948081199E-3</v>
      </c>
      <c r="D33">
        <v>0</v>
      </c>
      <c r="J33" t="s">
        <v>97</v>
      </c>
      <c r="K33">
        <v>2.2639999999999998</v>
      </c>
      <c r="L33">
        <v>2.9649999999999999</v>
      </c>
      <c r="M33" t="s">
        <v>57</v>
      </c>
      <c r="N33">
        <v>1.6E-2</v>
      </c>
      <c r="O33">
        <v>1.6E-2</v>
      </c>
      <c r="P33">
        <v>-0.02</v>
      </c>
      <c r="Q33">
        <v>0.153</v>
      </c>
      <c r="R33">
        <v>-0.27700000000000002</v>
      </c>
      <c r="S33">
        <v>-1.7000000000000001E-2</v>
      </c>
      <c r="T33">
        <v>-4.9000000000000002E-2</v>
      </c>
      <c r="U33">
        <v>0.30599999999999999</v>
      </c>
      <c r="V33">
        <v>0.439</v>
      </c>
      <c r="W33">
        <v>0.38400000000000001</v>
      </c>
      <c r="X33">
        <v>0.75700000000000001</v>
      </c>
      <c r="Y33">
        <v>0.753</v>
      </c>
      <c r="Z33">
        <v>0.84799999999999998</v>
      </c>
      <c r="AA33">
        <v>0.874</v>
      </c>
      <c r="AB33">
        <v>0.90300000000000002</v>
      </c>
      <c r="AC33">
        <v>-0.61099999999999999</v>
      </c>
      <c r="AD33">
        <v>0.41199999999999998</v>
      </c>
      <c r="AE33">
        <v>0.61799999999999999</v>
      </c>
      <c r="AF33">
        <v>-0.28499999999999998</v>
      </c>
      <c r="AG33">
        <v>5.2999999999999999E-2</v>
      </c>
      <c r="AH33">
        <v>-0.77900000000000003</v>
      </c>
      <c r="AI33">
        <v>-0.11899999999999999</v>
      </c>
      <c r="AJ33">
        <v>0.26100000000000001</v>
      </c>
      <c r="AK33">
        <v>-9.1999999999999998E-2</v>
      </c>
      <c r="AL33">
        <v>0.16900000000000001</v>
      </c>
      <c r="AM33">
        <v>0.27700000000000002</v>
      </c>
      <c r="AN33">
        <v>-0.112</v>
      </c>
      <c r="AO33">
        <v>4.2999999999999997E-2</v>
      </c>
      <c r="AP33">
        <v>0.20799999999999999</v>
      </c>
      <c r="AQ33">
        <v>-0.34</v>
      </c>
      <c r="AR33">
        <v>-0.13500000000000001</v>
      </c>
      <c r="AS33">
        <v>-0.27700000000000002</v>
      </c>
      <c r="AT33">
        <v>-0.55100000000000005</v>
      </c>
      <c r="AU33">
        <v>0.64800000000000002</v>
      </c>
      <c r="AV33">
        <v>9.7000000000000003E-2</v>
      </c>
      <c r="AW33">
        <v>0.80700000000000005</v>
      </c>
      <c r="AX33">
        <v>0.58399999999999996</v>
      </c>
      <c r="AY33">
        <v>0.52</v>
      </c>
      <c r="AZ33">
        <v>-0.33700000000000002</v>
      </c>
      <c r="BA33">
        <v>-0.107</v>
      </c>
      <c r="BB33">
        <v>0.47199999999999998</v>
      </c>
      <c r="BC33">
        <v>-0.17599999999999999</v>
      </c>
      <c r="BD33">
        <v>0.84799999999999998</v>
      </c>
      <c r="BE33">
        <v>0.92100000000000004</v>
      </c>
      <c r="BF33">
        <v>-0.59399999999999997</v>
      </c>
      <c r="BG33">
        <v>-0.251</v>
      </c>
      <c r="BH33">
        <v>0.41899999999999998</v>
      </c>
      <c r="BI33">
        <v>0.433</v>
      </c>
    </row>
    <row r="34" spans="1:61" x14ac:dyDescent="0.3">
      <c r="A34">
        <v>33</v>
      </c>
      <c r="B34" t="s">
        <v>56</v>
      </c>
      <c r="C34">
        <v>8.9446895074581107E-3</v>
      </c>
      <c r="D34">
        <v>0</v>
      </c>
      <c r="J34" t="s">
        <v>65</v>
      </c>
      <c r="K34">
        <v>2.2480000000000002</v>
      </c>
      <c r="L34">
        <v>2.456</v>
      </c>
      <c r="M34" t="s">
        <v>57</v>
      </c>
      <c r="N34">
        <v>1.4E-2</v>
      </c>
      <c r="O34">
        <v>1.4E-2</v>
      </c>
      <c r="P34">
        <v>5.8999999999999997E-2</v>
      </c>
      <c r="Q34">
        <v>-7.4999999999999997E-2</v>
      </c>
      <c r="R34">
        <v>0.40300000000000002</v>
      </c>
      <c r="S34">
        <v>2.9000000000000001E-2</v>
      </c>
      <c r="T34">
        <v>0.16800000000000001</v>
      </c>
      <c r="U34">
        <v>0.28799999999999998</v>
      </c>
      <c r="V34">
        <v>0.45600000000000002</v>
      </c>
      <c r="W34">
        <v>0.35</v>
      </c>
      <c r="X34">
        <v>0.56799999999999995</v>
      </c>
      <c r="Y34">
        <v>0.56599999999999995</v>
      </c>
      <c r="Z34">
        <v>0.85399999999999998</v>
      </c>
      <c r="AA34">
        <v>0.90800000000000003</v>
      </c>
      <c r="AB34">
        <v>0.77100000000000002</v>
      </c>
      <c r="AC34">
        <v>0.13700000000000001</v>
      </c>
      <c r="AD34">
        <v>0.11700000000000001</v>
      </c>
      <c r="AE34">
        <v>-0.40699999999999997</v>
      </c>
      <c r="AF34">
        <v>0.85299999999999998</v>
      </c>
      <c r="AG34">
        <v>6.8000000000000005E-2</v>
      </c>
      <c r="AH34">
        <v>-2.1999999999999999E-2</v>
      </c>
      <c r="AI34">
        <v>-0.36099999999999999</v>
      </c>
      <c r="AJ34">
        <v>0.97799999999999998</v>
      </c>
      <c r="AK34">
        <v>-3.5999999999999997E-2</v>
      </c>
      <c r="AL34">
        <v>-0.10299999999999999</v>
      </c>
      <c r="AM34">
        <v>-0.28199999999999997</v>
      </c>
      <c r="AN34">
        <v>-0.55100000000000005</v>
      </c>
      <c r="AO34">
        <v>6.0000000000000001E-3</v>
      </c>
      <c r="AP34">
        <v>0.55400000000000005</v>
      </c>
      <c r="AQ34">
        <v>0.47599999999999998</v>
      </c>
      <c r="AR34">
        <v>-0.105</v>
      </c>
      <c r="AS34">
        <v>-0.44600000000000001</v>
      </c>
      <c r="AT34">
        <v>-0.04</v>
      </c>
      <c r="AU34">
        <v>0.59099999999999997</v>
      </c>
      <c r="AV34">
        <v>-0.29299999999999998</v>
      </c>
      <c r="AW34">
        <v>0.53400000000000003</v>
      </c>
      <c r="AX34">
        <v>0.36599999999999999</v>
      </c>
      <c r="AY34">
        <v>-3.4000000000000002E-2</v>
      </c>
      <c r="AZ34">
        <v>-0.38300000000000001</v>
      </c>
      <c r="BA34">
        <v>-0.69199999999999995</v>
      </c>
      <c r="BB34">
        <v>-0.154</v>
      </c>
      <c r="BC34">
        <v>-0.43</v>
      </c>
      <c r="BD34">
        <v>-0.33600000000000002</v>
      </c>
      <c r="BE34">
        <v>0.78800000000000003</v>
      </c>
      <c r="BF34">
        <v>-0.27800000000000002</v>
      </c>
      <c r="BG34">
        <v>0.104</v>
      </c>
      <c r="BH34">
        <v>0.73699999999999999</v>
      </c>
      <c r="BI34">
        <v>0.69299999999999995</v>
      </c>
    </row>
    <row r="35" spans="1:61" x14ac:dyDescent="0.3">
      <c r="A35">
        <v>34</v>
      </c>
      <c r="B35" t="s">
        <v>62</v>
      </c>
      <c r="C35">
        <v>7.5780777522443899E-3</v>
      </c>
      <c r="D35">
        <v>0</v>
      </c>
      <c r="J35" t="s">
        <v>92</v>
      </c>
      <c r="K35">
        <v>2.2050000000000001</v>
      </c>
      <c r="L35">
        <v>2.1509999999999998</v>
      </c>
      <c r="M35" t="s">
        <v>57</v>
      </c>
      <c r="N35">
        <v>1.4E-2</v>
      </c>
      <c r="O35">
        <v>1.4E-2</v>
      </c>
      <c r="P35">
        <v>0.41599999999999998</v>
      </c>
      <c r="Q35">
        <v>0.14599999999999999</v>
      </c>
      <c r="R35">
        <v>0.371</v>
      </c>
      <c r="S35">
        <v>0.23599999999999999</v>
      </c>
      <c r="T35">
        <v>0.13500000000000001</v>
      </c>
      <c r="U35">
        <v>0.38100000000000001</v>
      </c>
      <c r="V35">
        <v>0.26</v>
      </c>
      <c r="W35">
        <v>0.126</v>
      </c>
      <c r="X35">
        <v>0.14399999999999999</v>
      </c>
      <c r="Y35">
        <v>0.14099999999999999</v>
      </c>
      <c r="Z35">
        <v>0.77700000000000002</v>
      </c>
      <c r="AA35">
        <v>0.93799999999999994</v>
      </c>
      <c r="AB35">
        <v>0.84399999999999997</v>
      </c>
      <c r="AC35">
        <v>0.222</v>
      </c>
      <c r="AD35">
        <v>-0.113</v>
      </c>
      <c r="AE35">
        <v>-0.27400000000000002</v>
      </c>
      <c r="AF35">
        <v>-0.377</v>
      </c>
      <c r="AG35">
        <v>0.998</v>
      </c>
      <c r="AH35">
        <v>1</v>
      </c>
      <c r="AI35">
        <v>-0.34200000000000003</v>
      </c>
      <c r="AJ35">
        <v>-0.16300000000000001</v>
      </c>
      <c r="AK35">
        <v>-0.86599999999999999</v>
      </c>
      <c r="AL35">
        <v>-7.4999999999999997E-2</v>
      </c>
      <c r="AM35">
        <v>0.182</v>
      </c>
      <c r="AN35">
        <v>0.68300000000000005</v>
      </c>
      <c r="AO35">
        <v>0.432</v>
      </c>
      <c r="AP35">
        <v>0.36699999999999999</v>
      </c>
      <c r="AQ35">
        <v>0.39100000000000001</v>
      </c>
      <c r="AR35">
        <v>0.38100000000000001</v>
      </c>
      <c r="AS35">
        <v>-0.434</v>
      </c>
      <c r="AT35">
        <v>0.66300000000000003</v>
      </c>
      <c r="AU35">
        <v>0.22</v>
      </c>
      <c r="AV35">
        <v>0.51700000000000002</v>
      </c>
      <c r="AW35">
        <v>0.92800000000000005</v>
      </c>
      <c r="AX35">
        <v>0.55100000000000005</v>
      </c>
      <c r="AY35">
        <v>0.90200000000000002</v>
      </c>
      <c r="AZ35">
        <v>-3.2000000000000001E-2</v>
      </c>
      <c r="BA35">
        <v>-5.1999999999999998E-2</v>
      </c>
      <c r="BB35">
        <v>-0.78200000000000003</v>
      </c>
      <c r="BC35">
        <v>-0.45</v>
      </c>
      <c r="BD35">
        <v>0.56799999999999995</v>
      </c>
      <c r="BE35">
        <v>0.69</v>
      </c>
      <c r="BF35">
        <v>-0.58299999999999996</v>
      </c>
      <c r="BG35">
        <v>-9.8000000000000004E-2</v>
      </c>
      <c r="BH35">
        <v>0.30399999999999999</v>
      </c>
      <c r="BI35">
        <v>0.20799999999999999</v>
      </c>
    </row>
    <row r="36" spans="1:61" x14ac:dyDescent="0.3">
      <c r="A36">
        <v>35</v>
      </c>
      <c r="B36" t="s">
        <v>117</v>
      </c>
      <c r="C36">
        <v>0</v>
      </c>
      <c r="D36">
        <v>0</v>
      </c>
      <c r="J36" t="s">
        <v>79</v>
      </c>
      <c r="K36">
        <v>2.1789999999999998</v>
      </c>
      <c r="L36">
        <v>2.5619999999999998</v>
      </c>
      <c r="M36" t="s">
        <v>68</v>
      </c>
      <c r="N36">
        <v>1.2E-2</v>
      </c>
      <c r="O36">
        <v>1.2E-2</v>
      </c>
      <c r="P36">
        <v>0.03</v>
      </c>
      <c r="Q36">
        <v>-0.222</v>
      </c>
      <c r="R36">
        <v>-3.6999999999999998E-2</v>
      </c>
      <c r="S36">
        <v>0.252</v>
      </c>
      <c r="T36">
        <v>-2.3E-2</v>
      </c>
      <c r="U36">
        <v>0.34</v>
      </c>
      <c r="V36">
        <v>0.51</v>
      </c>
      <c r="W36">
        <v>0.33300000000000002</v>
      </c>
      <c r="X36">
        <v>0.71499999999999997</v>
      </c>
      <c r="Y36">
        <v>0.71399999999999997</v>
      </c>
      <c r="Z36">
        <v>0.83599999999999997</v>
      </c>
      <c r="AA36">
        <v>0.76500000000000001</v>
      </c>
      <c r="AB36">
        <v>0.73599999999999999</v>
      </c>
      <c r="AC36">
        <v>0.22800000000000001</v>
      </c>
      <c r="AD36">
        <v>-0.32900000000000001</v>
      </c>
      <c r="AE36">
        <v>-0.27500000000000002</v>
      </c>
      <c r="AF36">
        <v>-0.49</v>
      </c>
      <c r="AG36">
        <v>6.3E-2</v>
      </c>
      <c r="AH36">
        <v>0.27300000000000002</v>
      </c>
      <c r="AI36">
        <v>-0.14599999999999999</v>
      </c>
      <c r="AJ36">
        <v>0.28000000000000003</v>
      </c>
      <c r="AK36">
        <v>-0.88600000000000001</v>
      </c>
      <c r="AL36">
        <v>1.9E-2</v>
      </c>
      <c r="AM36">
        <v>8.7999999999999995E-2</v>
      </c>
      <c r="AN36">
        <v>0.33100000000000002</v>
      </c>
      <c r="AO36">
        <v>0.23699999999999999</v>
      </c>
      <c r="AP36">
        <v>0.377</v>
      </c>
      <c r="AQ36">
        <v>-7.6999999999999999E-2</v>
      </c>
      <c r="AR36">
        <v>0.995</v>
      </c>
      <c r="AS36">
        <v>-0.30599999999999999</v>
      </c>
      <c r="AT36">
        <v>0.54200000000000004</v>
      </c>
      <c r="AU36">
        <v>0.65400000000000003</v>
      </c>
      <c r="AV36">
        <v>-4.8000000000000001E-2</v>
      </c>
      <c r="AW36">
        <v>0.71</v>
      </c>
      <c r="AX36">
        <v>0.69599999999999995</v>
      </c>
      <c r="AY36">
        <v>-0.58399999999999996</v>
      </c>
      <c r="AZ36">
        <v>-0.23799999999999999</v>
      </c>
      <c r="BA36">
        <v>-0.55800000000000005</v>
      </c>
      <c r="BB36">
        <v>7.5999999999999998E-2</v>
      </c>
      <c r="BC36">
        <v>-0.56899999999999995</v>
      </c>
      <c r="BD36">
        <v>8.5999999999999993E-2</v>
      </c>
      <c r="BE36">
        <v>0.66400000000000003</v>
      </c>
      <c r="BF36">
        <v>-0.47199999999999998</v>
      </c>
      <c r="BG36">
        <v>-0.04</v>
      </c>
      <c r="BH36">
        <v>0.47199999999999998</v>
      </c>
      <c r="BI36">
        <v>3.4000000000000002E-2</v>
      </c>
    </row>
    <row r="37" spans="1:61" x14ac:dyDescent="0.3">
      <c r="A37">
        <v>36</v>
      </c>
      <c r="B37" t="s">
        <v>70</v>
      </c>
      <c r="C37">
        <v>1.3805492359958199E-2</v>
      </c>
      <c r="D37">
        <v>8.7249884552245208E-3</v>
      </c>
      <c r="J37" t="s">
        <v>600</v>
      </c>
      <c r="K37">
        <v>2.1739999999999999</v>
      </c>
      <c r="L37">
        <v>2.3370000000000002</v>
      </c>
      <c r="M37" t="s">
        <v>68</v>
      </c>
      <c r="N37">
        <v>8.9999999999999993E-3</v>
      </c>
      <c r="O37">
        <v>8.9999999999999993E-3</v>
      </c>
      <c r="P37">
        <v>0.28499999999999998</v>
      </c>
      <c r="Q37">
        <v>9.8000000000000004E-2</v>
      </c>
      <c r="R37">
        <v>0.184</v>
      </c>
      <c r="S37">
        <v>0.26900000000000002</v>
      </c>
      <c r="T37">
        <v>0.104</v>
      </c>
      <c r="U37">
        <v>7.3999999999999996E-2</v>
      </c>
      <c r="V37">
        <v>-1.4E-2</v>
      </c>
      <c r="W37">
        <v>2.3E-2</v>
      </c>
      <c r="X37">
        <v>0.77200000000000002</v>
      </c>
      <c r="Y37">
        <v>0.76800000000000002</v>
      </c>
      <c r="Z37">
        <v>1</v>
      </c>
      <c r="AA37">
        <v>0.91200000000000003</v>
      </c>
      <c r="AB37">
        <v>0.89700000000000002</v>
      </c>
      <c r="AC37">
        <v>7.0000000000000007E-2</v>
      </c>
      <c r="AD37">
        <v>-5.1999999999999998E-2</v>
      </c>
      <c r="AE37">
        <v>-0.122</v>
      </c>
      <c r="AF37">
        <v>-0.22800000000000001</v>
      </c>
      <c r="AG37">
        <v>-2.5999999999999999E-2</v>
      </c>
      <c r="AH37">
        <v>0.157</v>
      </c>
      <c r="AI37">
        <v>0.14399999999999999</v>
      </c>
      <c r="AJ37">
        <v>-0.28000000000000003</v>
      </c>
      <c r="AK37">
        <v>-0.20100000000000001</v>
      </c>
      <c r="AL37">
        <v>-0.51100000000000001</v>
      </c>
      <c r="AM37">
        <v>0.13900000000000001</v>
      </c>
      <c r="AN37">
        <v>3.5000000000000003E-2</v>
      </c>
      <c r="AO37">
        <v>0.33400000000000002</v>
      </c>
      <c r="AP37">
        <v>0.63600000000000001</v>
      </c>
      <c r="AQ37">
        <v>0.34200000000000003</v>
      </c>
      <c r="AR37">
        <v>0.36099999999999999</v>
      </c>
      <c r="AS37">
        <v>-0.13300000000000001</v>
      </c>
      <c r="AT37">
        <v>0.34599999999999997</v>
      </c>
      <c r="AU37">
        <v>0.61</v>
      </c>
      <c r="AV37">
        <v>0.124</v>
      </c>
      <c r="AW37">
        <v>0.76200000000000001</v>
      </c>
      <c r="AX37">
        <v>0.51100000000000001</v>
      </c>
      <c r="AY37">
        <v>0.66300000000000003</v>
      </c>
      <c r="AZ37">
        <v>-0.26700000000000002</v>
      </c>
      <c r="BA37">
        <v>-0.32200000000000001</v>
      </c>
      <c r="BB37">
        <v>0.68200000000000005</v>
      </c>
      <c r="BC37">
        <v>-1</v>
      </c>
      <c r="BD37">
        <v>-2.4E-2</v>
      </c>
      <c r="BE37">
        <v>-6.9000000000000006E-2</v>
      </c>
      <c r="BF37">
        <v>-0.69299999999999995</v>
      </c>
      <c r="BG37">
        <v>-2.5000000000000001E-2</v>
      </c>
      <c r="BH37">
        <v>0.97899999999999998</v>
      </c>
      <c r="BI37">
        <v>0.14000000000000001</v>
      </c>
    </row>
    <row r="38" spans="1:61" x14ac:dyDescent="0.3">
      <c r="A38">
        <v>37</v>
      </c>
      <c r="B38" t="s">
        <v>82</v>
      </c>
      <c r="C38">
        <v>1.47029891631534E-2</v>
      </c>
      <c r="D38">
        <v>1.0668914485443E-2</v>
      </c>
      <c r="J38" t="s">
        <v>597</v>
      </c>
      <c r="K38">
        <v>2.1589999999999998</v>
      </c>
      <c r="L38">
        <v>2.298</v>
      </c>
      <c r="M38" t="s">
        <v>57</v>
      </c>
      <c r="N38">
        <v>1.2999999999999999E-2</v>
      </c>
      <c r="O38">
        <v>1.2999999999999999E-2</v>
      </c>
      <c r="P38">
        <v>0.23</v>
      </c>
      <c r="Q38">
        <v>-0.16900000000000001</v>
      </c>
      <c r="R38">
        <v>0.54100000000000004</v>
      </c>
      <c r="S38">
        <v>0.184</v>
      </c>
      <c r="T38">
        <v>0.20599999999999999</v>
      </c>
      <c r="U38">
        <v>0.29799999999999999</v>
      </c>
      <c r="V38">
        <v>0.46700000000000003</v>
      </c>
      <c r="W38">
        <v>0.17</v>
      </c>
      <c r="X38">
        <v>0.41</v>
      </c>
      <c r="Y38">
        <v>0.41099999999999998</v>
      </c>
      <c r="Z38">
        <v>0.78500000000000003</v>
      </c>
      <c r="AA38">
        <v>0.70899999999999996</v>
      </c>
      <c r="AB38">
        <v>0.752</v>
      </c>
      <c r="AC38">
        <v>0.52700000000000002</v>
      </c>
      <c r="AD38">
        <v>-0.121</v>
      </c>
      <c r="AE38">
        <v>-0.72199999999999998</v>
      </c>
      <c r="AF38">
        <v>0.47599999999999998</v>
      </c>
      <c r="AG38">
        <v>2.8000000000000001E-2</v>
      </c>
      <c r="AH38">
        <v>1</v>
      </c>
      <c r="AI38">
        <v>-7.1999999999999995E-2</v>
      </c>
      <c r="AJ38">
        <v>0.32500000000000001</v>
      </c>
      <c r="AK38">
        <v>-0.60399999999999998</v>
      </c>
      <c r="AL38">
        <v>0.36399999999999999</v>
      </c>
      <c r="AM38">
        <v>-0.13100000000000001</v>
      </c>
      <c r="AN38">
        <v>-0.33700000000000002</v>
      </c>
      <c r="AO38">
        <v>6.0000000000000001E-3</v>
      </c>
      <c r="AP38">
        <v>9.6000000000000002E-2</v>
      </c>
      <c r="AQ38">
        <v>-0.35</v>
      </c>
      <c r="AR38">
        <v>0.57199999999999995</v>
      </c>
      <c r="AS38">
        <v>2.3E-2</v>
      </c>
      <c r="AT38">
        <v>0.43</v>
      </c>
      <c r="AU38">
        <v>0.64600000000000002</v>
      </c>
      <c r="AV38">
        <v>-7.8E-2</v>
      </c>
      <c r="AW38">
        <v>0.88900000000000001</v>
      </c>
      <c r="AX38">
        <v>0.36699999999999999</v>
      </c>
      <c r="AY38">
        <v>0.90700000000000003</v>
      </c>
      <c r="AZ38">
        <v>-0.3</v>
      </c>
      <c r="BA38">
        <v>-0.32</v>
      </c>
      <c r="BB38">
        <v>-9.6000000000000002E-2</v>
      </c>
      <c r="BC38">
        <v>-0.63200000000000001</v>
      </c>
      <c r="BD38">
        <v>4.3999999999999997E-2</v>
      </c>
      <c r="BE38">
        <v>0.376</v>
      </c>
      <c r="BF38">
        <v>-0.39400000000000002</v>
      </c>
      <c r="BG38">
        <v>-0.68</v>
      </c>
      <c r="BH38">
        <v>0.874</v>
      </c>
      <c r="BI38">
        <v>0.90300000000000002</v>
      </c>
    </row>
    <row r="39" spans="1:61" x14ac:dyDescent="0.3">
      <c r="A39">
        <v>38</v>
      </c>
      <c r="B39" t="s">
        <v>200</v>
      </c>
      <c r="C39">
        <v>0</v>
      </c>
      <c r="D39">
        <v>0</v>
      </c>
      <c r="J39" t="s">
        <v>116</v>
      </c>
      <c r="K39">
        <v>2.105</v>
      </c>
      <c r="L39">
        <v>2.21</v>
      </c>
      <c r="M39" t="s">
        <v>53</v>
      </c>
      <c r="N39">
        <v>1.0999999999999999E-2</v>
      </c>
      <c r="O39">
        <v>1.0999999999999999E-2</v>
      </c>
      <c r="P39">
        <v>0.29699999999999999</v>
      </c>
      <c r="Q39">
        <v>0.32900000000000001</v>
      </c>
      <c r="R39">
        <v>6.6000000000000003E-2</v>
      </c>
      <c r="S39">
        <v>0.16700000000000001</v>
      </c>
      <c r="T39">
        <v>8.5000000000000006E-2</v>
      </c>
      <c r="U39">
        <v>0.188</v>
      </c>
      <c r="V39">
        <v>0.156</v>
      </c>
      <c r="W39">
        <v>2.1999999999999999E-2</v>
      </c>
      <c r="X39">
        <v>0.41499999999999998</v>
      </c>
      <c r="Y39">
        <v>0.40899999999999997</v>
      </c>
      <c r="Z39">
        <v>0.85299999999999998</v>
      </c>
      <c r="AA39">
        <v>0.91300000000000003</v>
      </c>
      <c r="AB39">
        <v>0.88200000000000001</v>
      </c>
      <c r="AC39">
        <v>-0.127</v>
      </c>
      <c r="AD39">
        <v>-0.36899999999999999</v>
      </c>
      <c r="AE39">
        <v>0.111</v>
      </c>
      <c r="AF39">
        <v>-0.34499999999999997</v>
      </c>
      <c r="AG39">
        <v>1</v>
      </c>
      <c r="AH39">
        <v>0.24199999999999999</v>
      </c>
      <c r="AI39">
        <v>-6.8000000000000005E-2</v>
      </c>
      <c r="AJ39">
        <v>-0.58099999999999996</v>
      </c>
      <c r="AK39">
        <v>-0.56899999999999995</v>
      </c>
      <c r="AL39">
        <v>0.23100000000000001</v>
      </c>
      <c r="AM39">
        <v>0.47199999999999998</v>
      </c>
      <c r="AN39">
        <v>-0.38600000000000001</v>
      </c>
      <c r="AO39">
        <v>0.245</v>
      </c>
      <c r="AP39">
        <v>0.36699999999999999</v>
      </c>
      <c r="AQ39">
        <v>0.42299999999999999</v>
      </c>
      <c r="AR39">
        <v>0.436</v>
      </c>
      <c r="AS39">
        <v>-0.443</v>
      </c>
      <c r="AT39">
        <v>0.51400000000000001</v>
      </c>
      <c r="AU39">
        <v>0.33400000000000002</v>
      </c>
      <c r="AV39">
        <v>-0.16800000000000001</v>
      </c>
      <c r="AW39">
        <v>0.997</v>
      </c>
      <c r="AX39">
        <v>0.65200000000000002</v>
      </c>
      <c r="AY39">
        <v>0.69699999999999995</v>
      </c>
      <c r="AZ39">
        <v>-0.255</v>
      </c>
      <c r="BA39">
        <v>-0.24399999999999999</v>
      </c>
      <c r="BB39">
        <v>0.46300000000000002</v>
      </c>
      <c r="BC39">
        <v>0.33200000000000002</v>
      </c>
      <c r="BD39">
        <v>0.45800000000000002</v>
      </c>
      <c r="BE39">
        <v>0.55800000000000005</v>
      </c>
      <c r="BF39">
        <v>-0.17199999999999999</v>
      </c>
      <c r="BG39">
        <v>4.3999999999999997E-2</v>
      </c>
      <c r="BH39">
        <v>0.23599999999999999</v>
      </c>
      <c r="BI39">
        <v>0.44600000000000001</v>
      </c>
    </row>
    <row r="40" spans="1:61" x14ac:dyDescent="0.3">
      <c r="A40">
        <v>39</v>
      </c>
      <c r="B40" t="s">
        <v>601</v>
      </c>
      <c r="C40">
        <v>0</v>
      </c>
      <c r="D40">
        <v>0</v>
      </c>
      <c r="J40" t="s">
        <v>64</v>
      </c>
      <c r="K40">
        <v>2.0529999999999999</v>
      </c>
      <c r="L40">
        <v>1.708</v>
      </c>
      <c r="M40" t="s">
        <v>55</v>
      </c>
      <c r="N40">
        <v>8.0000000000000002E-3</v>
      </c>
      <c r="O40">
        <v>8.0000000000000002E-3</v>
      </c>
      <c r="P40">
        <v>-2.4E-2</v>
      </c>
      <c r="Q40">
        <v>-4.5999999999999999E-2</v>
      </c>
      <c r="R40">
        <v>-0.154</v>
      </c>
      <c r="S40">
        <v>0.249</v>
      </c>
      <c r="T40">
        <v>0.06</v>
      </c>
      <c r="U40">
        <v>0.17</v>
      </c>
      <c r="V40">
        <v>0.28699999999999998</v>
      </c>
      <c r="W40">
        <v>0.30399999999999999</v>
      </c>
      <c r="X40">
        <v>0.505</v>
      </c>
      <c r="Y40">
        <v>0.50800000000000001</v>
      </c>
      <c r="Z40">
        <v>0.85599999999999998</v>
      </c>
      <c r="AA40">
        <v>0.78700000000000003</v>
      </c>
      <c r="AB40">
        <v>0.78800000000000003</v>
      </c>
      <c r="AC40">
        <v>0.36299999999999999</v>
      </c>
      <c r="AD40">
        <v>-0.16</v>
      </c>
      <c r="AE40">
        <v>0.621</v>
      </c>
      <c r="AF40">
        <v>-0.56100000000000005</v>
      </c>
      <c r="AG40">
        <v>-0.47599999999999998</v>
      </c>
      <c r="AH40">
        <v>-0.40699999999999997</v>
      </c>
      <c r="AI40">
        <v>0.40799999999999997</v>
      </c>
      <c r="AJ40">
        <v>-0.32500000000000001</v>
      </c>
      <c r="AK40">
        <v>-0.34300000000000003</v>
      </c>
      <c r="AL40">
        <v>-0.32</v>
      </c>
      <c r="AM40">
        <v>0.28999999999999998</v>
      </c>
      <c r="AN40">
        <v>-0.624</v>
      </c>
      <c r="AO40">
        <v>-1.4E-2</v>
      </c>
      <c r="AP40">
        <v>-0.52400000000000002</v>
      </c>
      <c r="AQ40">
        <v>-0.79100000000000004</v>
      </c>
      <c r="AR40">
        <v>0.17199999999999999</v>
      </c>
      <c r="AS40">
        <v>0.26400000000000001</v>
      </c>
      <c r="AT40">
        <v>0.44</v>
      </c>
      <c r="AU40">
        <v>0.60899999999999999</v>
      </c>
      <c r="AV40">
        <v>-9.5000000000000001E-2</v>
      </c>
      <c r="AW40">
        <v>-0.214</v>
      </c>
      <c r="AX40">
        <v>0.70199999999999996</v>
      </c>
      <c r="AY40">
        <v>0.76</v>
      </c>
      <c r="AZ40">
        <v>1.7999999999999999E-2</v>
      </c>
      <c r="BA40">
        <v>0.47699999999999998</v>
      </c>
      <c r="BB40">
        <v>0.502</v>
      </c>
      <c r="BC40">
        <v>-0.107</v>
      </c>
      <c r="BD40">
        <v>0.72</v>
      </c>
      <c r="BE40">
        <v>9.8000000000000004E-2</v>
      </c>
      <c r="BF40">
        <v>-0.79100000000000004</v>
      </c>
      <c r="BG40">
        <v>0.16400000000000001</v>
      </c>
      <c r="BH40">
        <v>0.98099999999999998</v>
      </c>
      <c r="BI40">
        <v>0.109</v>
      </c>
    </row>
    <row r="41" spans="1:61" x14ac:dyDescent="0.3">
      <c r="A41">
        <v>40</v>
      </c>
      <c r="B41" t="s">
        <v>110</v>
      </c>
      <c r="C41">
        <v>5.6328167415824202E-3</v>
      </c>
      <c r="D41">
        <v>7.7314623861190401E-3</v>
      </c>
      <c r="J41" t="s">
        <v>118</v>
      </c>
      <c r="K41">
        <v>2.016</v>
      </c>
      <c r="L41">
        <v>1.5589999999999999</v>
      </c>
      <c r="M41" t="s">
        <v>57</v>
      </c>
      <c r="N41">
        <v>7.0000000000000001E-3</v>
      </c>
      <c r="O41">
        <v>7.0000000000000001E-3</v>
      </c>
      <c r="P41">
        <v>0.16900000000000001</v>
      </c>
      <c r="Q41">
        <v>-0.09</v>
      </c>
      <c r="R41">
        <v>-2.7E-2</v>
      </c>
      <c r="S41">
        <v>0.28699999999999998</v>
      </c>
      <c r="T41">
        <v>0.05</v>
      </c>
      <c r="U41">
        <v>0.20799999999999999</v>
      </c>
      <c r="V41">
        <v>9.8000000000000004E-2</v>
      </c>
      <c r="W41">
        <v>0.30199999999999999</v>
      </c>
      <c r="X41">
        <v>0.182</v>
      </c>
      <c r="Y41">
        <v>0.17699999999999999</v>
      </c>
      <c r="Z41">
        <v>0.877</v>
      </c>
      <c r="AA41">
        <v>0.78100000000000003</v>
      </c>
      <c r="AB41">
        <v>0.755</v>
      </c>
      <c r="AC41">
        <v>0.35499999999999998</v>
      </c>
      <c r="AD41">
        <v>0.69499999999999995</v>
      </c>
      <c r="AE41">
        <v>-4.7E-2</v>
      </c>
      <c r="AF41">
        <v>-0.11899999999999999</v>
      </c>
      <c r="AG41">
        <v>0.69099999999999995</v>
      </c>
      <c r="AH41">
        <v>-0.13900000000000001</v>
      </c>
      <c r="AI41">
        <v>-0.27</v>
      </c>
      <c r="AJ41">
        <v>0.255</v>
      </c>
      <c r="AK41">
        <v>-0.56200000000000006</v>
      </c>
      <c r="AL41">
        <v>0.21</v>
      </c>
      <c r="AM41">
        <v>0.114</v>
      </c>
      <c r="AN41">
        <v>8.8999999999999996E-2</v>
      </c>
      <c r="AO41">
        <v>0.48499999999999999</v>
      </c>
      <c r="AP41">
        <v>0.55700000000000005</v>
      </c>
      <c r="AQ41">
        <v>0.38</v>
      </c>
      <c r="AR41">
        <v>0.14000000000000001</v>
      </c>
      <c r="AS41">
        <v>-0.23899999999999999</v>
      </c>
      <c r="AT41">
        <v>0.26</v>
      </c>
      <c r="AU41">
        <v>-0.30599999999999999</v>
      </c>
      <c r="AV41">
        <v>4.4999999999999998E-2</v>
      </c>
      <c r="AW41">
        <v>0.80400000000000005</v>
      </c>
      <c r="AX41">
        <v>0.91800000000000004</v>
      </c>
      <c r="AY41">
        <v>-7.8E-2</v>
      </c>
      <c r="AZ41">
        <v>-0.78200000000000003</v>
      </c>
      <c r="BA41">
        <v>-0.47899999999999998</v>
      </c>
      <c r="BB41">
        <v>0.123</v>
      </c>
      <c r="BC41">
        <v>0.26600000000000001</v>
      </c>
      <c r="BD41">
        <v>0.27600000000000002</v>
      </c>
      <c r="BE41">
        <v>0.27600000000000002</v>
      </c>
      <c r="BF41">
        <v>-0.98699999999999999</v>
      </c>
      <c r="BG41">
        <v>0.90400000000000003</v>
      </c>
      <c r="BH41">
        <v>-0.56499999999999995</v>
      </c>
      <c r="BI41">
        <v>0.113</v>
      </c>
    </row>
    <row r="42" spans="1:61" x14ac:dyDescent="0.3">
      <c r="A42">
        <v>41</v>
      </c>
      <c r="B42" t="s">
        <v>135</v>
      </c>
      <c r="C42">
        <v>0</v>
      </c>
      <c r="D42">
        <v>0</v>
      </c>
      <c r="J42" t="s">
        <v>100</v>
      </c>
      <c r="K42">
        <v>1.992</v>
      </c>
      <c r="L42">
        <v>2.4249999999999998</v>
      </c>
      <c r="M42" t="s">
        <v>68</v>
      </c>
      <c r="N42">
        <v>1.2E-2</v>
      </c>
      <c r="O42">
        <v>1.2E-2</v>
      </c>
      <c r="P42">
        <v>5.8999999999999997E-2</v>
      </c>
      <c r="Q42">
        <v>4.0000000000000001E-3</v>
      </c>
      <c r="R42">
        <v>7.9000000000000001E-2</v>
      </c>
      <c r="S42">
        <v>-0.23499999999999999</v>
      </c>
      <c r="T42">
        <v>-0.13900000000000001</v>
      </c>
      <c r="U42">
        <v>0.152</v>
      </c>
      <c r="V42">
        <v>0.215</v>
      </c>
      <c r="W42">
        <v>0.223</v>
      </c>
      <c r="X42">
        <v>0.58899999999999997</v>
      </c>
      <c r="Y42">
        <v>0.58499999999999996</v>
      </c>
      <c r="Z42">
        <v>0.79200000000000004</v>
      </c>
      <c r="AA42">
        <v>0.69799999999999995</v>
      </c>
      <c r="AB42">
        <v>0.80600000000000005</v>
      </c>
      <c r="AC42">
        <v>-0.42499999999999999</v>
      </c>
      <c r="AD42">
        <v>-0.64</v>
      </c>
      <c r="AE42">
        <v>-0.22800000000000001</v>
      </c>
      <c r="AF42">
        <v>5.1999999999999998E-2</v>
      </c>
      <c r="AG42">
        <v>0.23200000000000001</v>
      </c>
      <c r="AH42">
        <v>-0.252</v>
      </c>
      <c r="AI42">
        <v>-6.9000000000000006E-2</v>
      </c>
      <c r="AJ42">
        <v>0.32900000000000001</v>
      </c>
      <c r="AK42">
        <v>-0.48699999999999999</v>
      </c>
      <c r="AL42">
        <v>0.34200000000000003</v>
      </c>
      <c r="AM42">
        <v>0.26200000000000001</v>
      </c>
      <c r="AN42">
        <v>-0.161</v>
      </c>
      <c r="AO42">
        <v>-0.32200000000000001</v>
      </c>
      <c r="AP42">
        <v>6.4000000000000001E-2</v>
      </c>
      <c r="AQ42">
        <v>-0.52400000000000002</v>
      </c>
      <c r="AR42">
        <v>0.20699999999999999</v>
      </c>
      <c r="AS42">
        <v>-0.32900000000000001</v>
      </c>
      <c r="AT42">
        <v>-0.20899999999999999</v>
      </c>
      <c r="AU42">
        <v>0.69</v>
      </c>
      <c r="AV42">
        <v>0.51</v>
      </c>
      <c r="AW42">
        <v>0.90800000000000003</v>
      </c>
      <c r="AX42">
        <v>0.90200000000000002</v>
      </c>
      <c r="AY42">
        <v>0.61299999999999999</v>
      </c>
      <c r="AZ42">
        <v>-2.5999999999999999E-2</v>
      </c>
      <c r="BA42">
        <v>-8.8999999999999996E-2</v>
      </c>
      <c r="BB42">
        <v>0.36599999999999999</v>
      </c>
      <c r="BC42">
        <v>-0.43099999999999999</v>
      </c>
      <c r="BD42">
        <v>-9.8000000000000004E-2</v>
      </c>
      <c r="BE42">
        <v>0.51500000000000001</v>
      </c>
      <c r="BF42">
        <v>-0.28699999999999998</v>
      </c>
      <c r="BG42">
        <v>2.7E-2</v>
      </c>
      <c r="BH42">
        <v>0.88200000000000001</v>
      </c>
      <c r="BI42">
        <v>0.371</v>
      </c>
    </row>
    <row r="43" spans="1:61" x14ac:dyDescent="0.3">
      <c r="A43">
        <v>42</v>
      </c>
      <c r="B43" t="s">
        <v>112</v>
      </c>
      <c r="C43">
        <v>0</v>
      </c>
      <c r="D43">
        <v>1.1369582982315701E-2</v>
      </c>
      <c r="J43" t="s">
        <v>106</v>
      </c>
      <c r="K43">
        <v>1.9890000000000001</v>
      </c>
      <c r="L43">
        <v>1.6419999999999999</v>
      </c>
      <c r="M43" t="s">
        <v>57</v>
      </c>
      <c r="N43">
        <v>1.4E-2</v>
      </c>
      <c r="O43">
        <v>1.4E-2</v>
      </c>
      <c r="P43">
        <v>0.35</v>
      </c>
      <c r="Q43">
        <v>0.72399999999999998</v>
      </c>
      <c r="R43">
        <v>0.42399999999999999</v>
      </c>
      <c r="S43">
        <v>8.1000000000000003E-2</v>
      </c>
      <c r="T43">
        <v>0.435</v>
      </c>
      <c r="U43">
        <v>-0.189</v>
      </c>
      <c r="V43">
        <v>-0.51900000000000002</v>
      </c>
      <c r="W43">
        <v>-0.14799999999999999</v>
      </c>
      <c r="X43">
        <v>0.46600000000000003</v>
      </c>
      <c r="Y43">
        <v>0.46100000000000002</v>
      </c>
      <c r="Z43">
        <v>0.81399999999999995</v>
      </c>
      <c r="AA43">
        <v>0.89900000000000002</v>
      </c>
      <c r="AB43">
        <v>0.94</v>
      </c>
      <c r="AC43">
        <v>-0.11899999999999999</v>
      </c>
      <c r="AD43">
        <v>0.56799999999999995</v>
      </c>
      <c r="AE43">
        <v>0.60399999999999998</v>
      </c>
      <c r="AF43">
        <v>1</v>
      </c>
      <c r="AG43">
        <v>0.56999999999999995</v>
      </c>
      <c r="AH43">
        <v>-0.42099999999999999</v>
      </c>
      <c r="AI43">
        <v>0.75</v>
      </c>
      <c r="AJ43">
        <v>-0.17599999999999999</v>
      </c>
      <c r="AK43">
        <v>0.68899999999999995</v>
      </c>
      <c r="AL43">
        <v>-0.20399999999999999</v>
      </c>
      <c r="AM43">
        <v>-0.21099999999999999</v>
      </c>
      <c r="AN43">
        <v>0.38700000000000001</v>
      </c>
      <c r="AO43">
        <v>-0.48299999999999998</v>
      </c>
      <c r="AP43">
        <v>0.27100000000000002</v>
      </c>
      <c r="AQ43">
        <v>0.19900000000000001</v>
      </c>
      <c r="AR43">
        <v>6.0000000000000001E-3</v>
      </c>
      <c r="AS43">
        <v>-0.434</v>
      </c>
      <c r="AT43">
        <v>-0.26200000000000001</v>
      </c>
      <c r="AU43">
        <v>-0.13200000000000001</v>
      </c>
      <c r="AV43">
        <v>-0.109</v>
      </c>
      <c r="AW43">
        <v>0.59599999999999997</v>
      </c>
      <c r="AX43">
        <v>-0.17699999999999999</v>
      </c>
      <c r="AY43">
        <v>0.45500000000000002</v>
      </c>
      <c r="AZ43">
        <v>0.17799999999999999</v>
      </c>
      <c r="BA43">
        <v>0.504</v>
      </c>
      <c r="BB43">
        <v>0.29599999999999999</v>
      </c>
      <c r="BC43">
        <v>7.2999999999999995E-2</v>
      </c>
      <c r="BD43">
        <v>0.41799999999999998</v>
      </c>
      <c r="BE43">
        <v>-0.05</v>
      </c>
      <c r="BF43">
        <v>0.17899999999999999</v>
      </c>
      <c r="BG43">
        <v>-7.0000000000000001E-3</v>
      </c>
      <c r="BH43">
        <v>0.21199999999999999</v>
      </c>
      <c r="BI43">
        <v>0.85099999999999998</v>
      </c>
    </row>
    <row r="44" spans="1:61" x14ac:dyDescent="0.3">
      <c r="A44">
        <v>43</v>
      </c>
      <c r="B44" t="s">
        <v>156</v>
      </c>
      <c r="C44">
        <v>0</v>
      </c>
      <c r="D44">
        <v>0</v>
      </c>
      <c r="J44" t="s">
        <v>74</v>
      </c>
      <c r="K44">
        <v>1.97</v>
      </c>
      <c r="L44">
        <v>1.5469999999999999</v>
      </c>
      <c r="M44" t="s">
        <v>53</v>
      </c>
      <c r="N44">
        <v>8.9999999999999993E-3</v>
      </c>
      <c r="O44">
        <v>8.9999999999999993E-3</v>
      </c>
      <c r="P44">
        <v>0.23499999999999999</v>
      </c>
      <c r="Q44">
        <v>-9.9000000000000005E-2</v>
      </c>
      <c r="R44">
        <v>0.58599999999999997</v>
      </c>
      <c r="S44">
        <v>0.27400000000000002</v>
      </c>
      <c r="T44">
        <v>0.33300000000000002</v>
      </c>
      <c r="U44">
        <v>0.125</v>
      </c>
      <c r="V44">
        <v>5.0000000000000001E-3</v>
      </c>
      <c r="W44">
        <v>1.9E-2</v>
      </c>
      <c r="X44">
        <v>0.45300000000000001</v>
      </c>
      <c r="Y44">
        <v>0.45200000000000001</v>
      </c>
      <c r="Z44">
        <v>0.64100000000000001</v>
      </c>
      <c r="AA44">
        <v>0.754</v>
      </c>
      <c r="AB44">
        <v>0.72299999999999998</v>
      </c>
      <c r="AC44">
        <v>0.61899999999999999</v>
      </c>
      <c r="AD44">
        <v>0.497</v>
      </c>
      <c r="AE44">
        <v>-0.12</v>
      </c>
      <c r="AF44">
        <v>1</v>
      </c>
      <c r="AG44">
        <v>2.5000000000000001E-2</v>
      </c>
      <c r="AH44">
        <v>0.158</v>
      </c>
      <c r="AI44">
        <v>0.78600000000000003</v>
      </c>
      <c r="AJ44">
        <v>0.155</v>
      </c>
      <c r="AK44">
        <v>0.13600000000000001</v>
      </c>
      <c r="AL44">
        <v>0.14499999999999999</v>
      </c>
      <c r="AM44">
        <v>-0.30599999999999999</v>
      </c>
      <c r="AN44">
        <v>-0.23799999999999999</v>
      </c>
      <c r="AO44">
        <v>0.186</v>
      </c>
      <c r="AP44">
        <v>-0.23200000000000001</v>
      </c>
      <c r="AQ44">
        <v>-0.62</v>
      </c>
      <c r="AR44">
        <v>0.33</v>
      </c>
      <c r="AS44">
        <v>-0.60699999999999998</v>
      </c>
      <c r="AT44">
        <v>0.21299999999999999</v>
      </c>
      <c r="AU44">
        <v>0.23400000000000001</v>
      </c>
      <c r="AV44">
        <v>-0.128</v>
      </c>
      <c r="AW44">
        <v>0.878</v>
      </c>
      <c r="AX44">
        <v>0.28599999999999998</v>
      </c>
      <c r="AY44">
        <v>0.16200000000000001</v>
      </c>
      <c r="AZ44">
        <v>-6.7000000000000004E-2</v>
      </c>
      <c r="BA44">
        <v>4.2999999999999997E-2</v>
      </c>
      <c r="BB44">
        <v>0.16400000000000001</v>
      </c>
      <c r="BC44">
        <v>0.34200000000000003</v>
      </c>
      <c r="BD44">
        <v>-0.14199999999999999</v>
      </c>
      <c r="BE44">
        <v>0.24099999999999999</v>
      </c>
      <c r="BF44">
        <v>-0.70199999999999996</v>
      </c>
      <c r="BG44">
        <v>-0.11600000000000001</v>
      </c>
      <c r="BH44">
        <v>0.83199999999999996</v>
      </c>
      <c r="BI44">
        <v>0.745</v>
      </c>
    </row>
    <row r="45" spans="1:61" x14ac:dyDescent="0.3">
      <c r="A45">
        <v>44</v>
      </c>
      <c r="B45" t="s">
        <v>246</v>
      </c>
      <c r="C45">
        <v>0</v>
      </c>
      <c r="D45">
        <v>0</v>
      </c>
      <c r="J45" t="s">
        <v>120</v>
      </c>
      <c r="K45">
        <v>1.9690000000000001</v>
      </c>
      <c r="L45">
        <v>2.5529999999999999</v>
      </c>
      <c r="M45" t="s">
        <v>71</v>
      </c>
      <c r="N45">
        <v>1.2999999999999999E-2</v>
      </c>
      <c r="O45">
        <v>0.01</v>
      </c>
      <c r="P45">
        <v>-0.27500000000000002</v>
      </c>
      <c r="Q45">
        <v>0.45600000000000002</v>
      </c>
      <c r="R45">
        <v>-0.63400000000000001</v>
      </c>
      <c r="S45">
        <v>-2.1000000000000001E-2</v>
      </c>
      <c r="T45">
        <v>4.0000000000000001E-3</v>
      </c>
      <c r="U45">
        <v>-0.05</v>
      </c>
      <c r="V45">
        <v>-0.32600000000000001</v>
      </c>
      <c r="W45">
        <v>0.25800000000000001</v>
      </c>
      <c r="X45">
        <v>1</v>
      </c>
      <c r="Y45">
        <v>1</v>
      </c>
      <c r="Z45">
        <v>0.90500000000000003</v>
      </c>
      <c r="AA45">
        <v>0.97199999999999998</v>
      </c>
      <c r="AB45">
        <v>0.95699999999999996</v>
      </c>
      <c r="AC45">
        <v>-0.14399999999999999</v>
      </c>
      <c r="AD45">
        <v>-0.36399999999999999</v>
      </c>
      <c r="AE45">
        <v>1</v>
      </c>
      <c r="AF45">
        <v>-0.45500000000000002</v>
      </c>
      <c r="AG45">
        <v>-0.218</v>
      </c>
      <c r="AH45">
        <v>-0.874</v>
      </c>
      <c r="AI45">
        <v>0.55200000000000005</v>
      </c>
      <c r="AJ45">
        <v>-0.19800000000000001</v>
      </c>
      <c r="AK45">
        <v>0.55600000000000005</v>
      </c>
      <c r="AL45">
        <v>-0.623</v>
      </c>
      <c r="AM45">
        <v>0.55000000000000004</v>
      </c>
      <c r="AN45">
        <v>0.30099999999999999</v>
      </c>
      <c r="AO45">
        <v>-0.86</v>
      </c>
      <c r="AP45">
        <v>0.48</v>
      </c>
      <c r="AQ45">
        <v>0.40200000000000002</v>
      </c>
      <c r="AR45">
        <v>9.7000000000000003E-2</v>
      </c>
      <c r="AS45">
        <v>-0.53500000000000003</v>
      </c>
      <c r="AT45">
        <v>-0.152</v>
      </c>
      <c r="AU45">
        <v>0.41199999999999998</v>
      </c>
      <c r="AV45">
        <v>-6.0999999999999999E-2</v>
      </c>
      <c r="AW45">
        <v>0.8</v>
      </c>
      <c r="AX45">
        <v>-0.158</v>
      </c>
      <c r="AY45">
        <v>-9.5000000000000001E-2</v>
      </c>
      <c r="AZ45">
        <v>0.20100000000000001</v>
      </c>
      <c r="BA45">
        <v>7.2999999999999995E-2</v>
      </c>
      <c r="BB45">
        <v>0.69299999999999995</v>
      </c>
      <c r="BC45">
        <v>-1</v>
      </c>
      <c r="BD45">
        <v>-0.67</v>
      </c>
      <c r="BE45">
        <v>0.36499999999999999</v>
      </c>
      <c r="BF45">
        <v>-0.35099999999999998</v>
      </c>
      <c r="BG45">
        <v>-0.45900000000000002</v>
      </c>
      <c r="BH45">
        <v>-0.183</v>
      </c>
      <c r="BI45">
        <v>-7.9000000000000001E-2</v>
      </c>
    </row>
    <row r="46" spans="1:61" x14ac:dyDescent="0.3">
      <c r="A46">
        <v>45</v>
      </c>
      <c r="B46" t="s">
        <v>58</v>
      </c>
      <c r="C46">
        <v>1.6533418440866501E-2</v>
      </c>
      <c r="D46">
        <v>1.0017891708938799E-2</v>
      </c>
      <c r="J46" t="s">
        <v>121</v>
      </c>
      <c r="K46">
        <v>1.9079999999999999</v>
      </c>
      <c r="L46">
        <v>4.1550000000000002</v>
      </c>
      <c r="M46" t="s">
        <v>57</v>
      </c>
      <c r="N46">
        <v>2.7E-2</v>
      </c>
      <c r="O46">
        <v>-5.0000000000000001E-3</v>
      </c>
      <c r="P46">
        <v>-0.25</v>
      </c>
      <c r="Q46">
        <v>-0.26600000000000001</v>
      </c>
      <c r="R46">
        <v>-0.77200000000000002</v>
      </c>
      <c r="S46">
        <v>9.1999999999999998E-2</v>
      </c>
      <c r="T46">
        <v>-0.34300000000000003</v>
      </c>
      <c r="U46">
        <v>0.26100000000000001</v>
      </c>
      <c r="V46">
        <v>0.53300000000000003</v>
      </c>
      <c r="W46">
        <v>0.42899999999999999</v>
      </c>
      <c r="X46">
        <v>0.50800000000000001</v>
      </c>
      <c r="Y46">
        <v>0.50800000000000001</v>
      </c>
      <c r="Z46">
        <v>0.77700000000000002</v>
      </c>
      <c r="AA46">
        <v>0.83099999999999996</v>
      </c>
      <c r="AB46">
        <v>0.77100000000000002</v>
      </c>
      <c r="AC46">
        <v>0.123</v>
      </c>
      <c r="AD46">
        <v>-0.218</v>
      </c>
      <c r="AE46">
        <v>6.3E-2</v>
      </c>
      <c r="AF46">
        <v>-0.96399999999999997</v>
      </c>
      <c r="AG46">
        <v>-0.76200000000000001</v>
      </c>
      <c r="AH46">
        <v>-0.83</v>
      </c>
      <c r="AI46">
        <v>-0.17399999999999999</v>
      </c>
      <c r="AJ46">
        <v>0.221</v>
      </c>
      <c r="AK46">
        <v>-0.67900000000000005</v>
      </c>
      <c r="AL46">
        <v>-0.20599999999999999</v>
      </c>
      <c r="AM46">
        <v>0.46300000000000002</v>
      </c>
      <c r="AN46">
        <v>-4.5999999999999999E-2</v>
      </c>
      <c r="AO46">
        <v>8.9999999999999993E-3</v>
      </c>
      <c r="AP46">
        <v>0.30599999999999999</v>
      </c>
      <c r="AQ46">
        <v>0.41299999999999998</v>
      </c>
      <c r="AR46">
        <v>-1E-3</v>
      </c>
      <c r="AS46">
        <v>-2E-3</v>
      </c>
      <c r="AT46">
        <v>0.379</v>
      </c>
      <c r="AU46">
        <v>0.436</v>
      </c>
      <c r="AV46">
        <v>-0.40100000000000002</v>
      </c>
      <c r="AW46">
        <v>0.91</v>
      </c>
      <c r="AX46">
        <v>0.68799999999999994</v>
      </c>
      <c r="AY46">
        <v>0.65300000000000002</v>
      </c>
      <c r="AZ46">
        <v>-0.20699999999999999</v>
      </c>
      <c r="BA46">
        <v>1.4E-2</v>
      </c>
      <c r="BB46">
        <v>0.55000000000000004</v>
      </c>
      <c r="BC46">
        <v>-0.128</v>
      </c>
      <c r="BD46">
        <v>-0.39500000000000002</v>
      </c>
      <c r="BE46">
        <v>0.82399999999999995</v>
      </c>
      <c r="BF46">
        <v>-0.68</v>
      </c>
      <c r="BG46">
        <v>-0.08</v>
      </c>
      <c r="BH46">
        <v>-0.182</v>
      </c>
      <c r="BI46">
        <v>-0.70899999999999996</v>
      </c>
    </row>
    <row r="47" spans="1:61" x14ac:dyDescent="0.3">
      <c r="A47">
        <v>46</v>
      </c>
      <c r="B47" t="s">
        <v>207</v>
      </c>
      <c r="C47">
        <v>0</v>
      </c>
      <c r="D47">
        <v>0</v>
      </c>
      <c r="J47" t="s">
        <v>72</v>
      </c>
      <c r="K47">
        <v>1.9039999999999999</v>
      </c>
      <c r="L47">
        <v>1.56</v>
      </c>
      <c r="M47" t="s">
        <v>57</v>
      </c>
      <c r="N47">
        <v>8.9999999999999993E-3</v>
      </c>
      <c r="O47">
        <v>8.9999999999999993E-3</v>
      </c>
      <c r="P47">
        <v>0.26600000000000001</v>
      </c>
      <c r="Q47">
        <v>-0.21299999999999999</v>
      </c>
      <c r="R47">
        <v>0.12</v>
      </c>
      <c r="S47">
        <v>0.49299999999999999</v>
      </c>
      <c r="T47">
        <v>0.151</v>
      </c>
      <c r="U47">
        <v>0.20699999999999999</v>
      </c>
      <c r="V47">
        <v>0.20599999999999999</v>
      </c>
      <c r="W47">
        <v>9.1999999999999998E-2</v>
      </c>
      <c r="X47">
        <v>8.5999999999999993E-2</v>
      </c>
      <c r="Y47">
        <v>8.5000000000000006E-2</v>
      </c>
      <c r="Z47">
        <v>0.77600000000000002</v>
      </c>
      <c r="AA47">
        <v>0.75900000000000001</v>
      </c>
      <c r="AB47">
        <v>0.67200000000000004</v>
      </c>
      <c r="AC47">
        <v>0.90800000000000003</v>
      </c>
      <c r="AD47">
        <v>0.92500000000000004</v>
      </c>
      <c r="AE47">
        <v>-0.60099999999999998</v>
      </c>
      <c r="AF47">
        <v>-0.52400000000000002</v>
      </c>
      <c r="AG47">
        <v>-0.45600000000000002</v>
      </c>
      <c r="AH47">
        <v>0.24399999999999999</v>
      </c>
      <c r="AI47">
        <v>-0.34200000000000003</v>
      </c>
      <c r="AJ47">
        <v>-6.8000000000000005E-2</v>
      </c>
      <c r="AK47">
        <v>-0.79100000000000004</v>
      </c>
      <c r="AL47">
        <v>0.497</v>
      </c>
      <c r="AM47">
        <v>1.7999999999999999E-2</v>
      </c>
      <c r="AN47">
        <v>-0.70199999999999996</v>
      </c>
      <c r="AO47">
        <v>0.82099999999999995</v>
      </c>
      <c r="AP47">
        <v>0.55200000000000005</v>
      </c>
      <c r="AQ47">
        <v>0.51100000000000001</v>
      </c>
      <c r="AR47">
        <v>0.30299999999999999</v>
      </c>
      <c r="AS47">
        <v>-2.1000000000000001E-2</v>
      </c>
      <c r="AT47">
        <v>0.71399999999999997</v>
      </c>
      <c r="AU47">
        <v>-1.7000000000000001E-2</v>
      </c>
      <c r="AV47">
        <v>7.1999999999999995E-2</v>
      </c>
      <c r="AW47">
        <v>-5.2999999999999999E-2</v>
      </c>
      <c r="AX47">
        <v>6.0999999999999999E-2</v>
      </c>
      <c r="AY47">
        <v>0.35</v>
      </c>
      <c r="AZ47">
        <v>0.33800000000000002</v>
      </c>
      <c r="BA47">
        <v>-9.0999999999999998E-2</v>
      </c>
      <c r="BB47">
        <v>0.45600000000000002</v>
      </c>
      <c r="BC47">
        <v>-0.38400000000000001</v>
      </c>
      <c r="BD47">
        <v>-1.7999999999999999E-2</v>
      </c>
      <c r="BE47">
        <v>9.8000000000000004E-2</v>
      </c>
      <c r="BF47">
        <v>-8.0000000000000002E-3</v>
      </c>
      <c r="BG47">
        <v>0.219</v>
      </c>
      <c r="BH47">
        <v>0.221</v>
      </c>
      <c r="BI47">
        <v>-0.24099999999999999</v>
      </c>
    </row>
    <row r="48" spans="1:61" x14ac:dyDescent="0.3">
      <c r="A48">
        <v>47</v>
      </c>
      <c r="B48" t="s">
        <v>220</v>
      </c>
      <c r="C48">
        <v>0</v>
      </c>
      <c r="D48">
        <v>0</v>
      </c>
      <c r="J48" t="s">
        <v>56</v>
      </c>
      <c r="K48">
        <v>1.8919999999999999</v>
      </c>
      <c r="L48">
        <v>2.004</v>
      </c>
      <c r="M48" t="s">
        <v>55</v>
      </c>
      <c r="N48">
        <v>1.2E-2</v>
      </c>
      <c r="O48">
        <v>1.2E-2</v>
      </c>
      <c r="P48">
        <v>-7.0999999999999994E-2</v>
      </c>
      <c r="Q48">
        <v>-0.20300000000000001</v>
      </c>
      <c r="R48">
        <v>-0.26700000000000002</v>
      </c>
      <c r="S48">
        <v>0.17299999999999999</v>
      </c>
      <c r="T48">
        <v>-7.4999999999999997E-2</v>
      </c>
      <c r="U48">
        <v>0.26600000000000001</v>
      </c>
      <c r="V48">
        <v>0.48599999999999999</v>
      </c>
      <c r="W48">
        <v>0.17699999999999999</v>
      </c>
      <c r="X48">
        <v>0.436</v>
      </c>
      <c r="Y48">
        <v>0.438</v>
      </c>
      <c r="Z48">
        <v>0.88900000000000001</v>
      </c>
      <c r="AA48">
        <v>0.68200000000000005</v>
      </c>
      <c r="AB48">
        <v>0.73499999999999999</v>
      </c>
      <c r="AC48">
        <v>0.41399999999999998</v>
      </c>
      <c r="AD48">
        <v>-0.13300000000000001</v>
      </c>
      <c r="AE48">
        <v>0.26500000000000001</v>
      </c>
      <c r="AF48">
        <v>-0.54800000000000004</v>
      </c>
      <c r="AG48">
        <v>-0.58799999999999997</v>
      </c>
      <c r="AH48">
        <v>-0.40799999999999997</v>
      </c>
      <c r="AI48">
        <v>0.40799999999999997</v>
      </c>
      <c r="AJ48">
        <v>-0.20300000000000001</v>
      </c>
      <c r="AK48">
        <v>-0.34300000000000003</v>
      </c>
      <c r="AL48">
        <v>-0.254</v>
      </c>
      <c r="AM48">
        <v>0.109</v>
      </c>
      <c r="AN48">
        <v>-0.3</v>
      </c>
      <c r="AO48">
        <v>-1.4E-2</v>
      </c>
      <c r="AP48">
        <v>-0.52400000000000002</v>
      </c>
      <c r="AQ48">
        <v>-0.79100000000000004</v>
      </c>
      <c r="AR48">
        <v>0.17199999999999999</v>
      </c>
      <c r="AS48">
        <v>0.26400000000000001</v>
      </c>
      <c r="AT48">
        <v>0.44</v>
      </c>
      <c r="AU48">
        <v>0.73499999999999999</v>
      </c>
      <c r="AV48">
        <v>-9.5000000000000001E-2</v>
      </c>
      <c r="AW48">
        <v>-0.214</v>
      </c>
      <c r="AX48">
        <v>0.42599999999999999</v>
      </c>
      <c r="AY48">
        <v>1</v>
      </c>
      <c r="AZ48">
        <v>1.7999999999999999E-2</v>
      </c>
      <c r="BA48">
        <v>0.47699999999999998</v>
      </c>
      <c r="BB48">
        <v>0.39500000000000002</v>
      </c>
      <c r="BC48">
        <v>-0.25700000000000001</v>
      </c>
      <c r="BD48">
        <v>0.46100000000000002</v>
      </c>
      <c r="BE48">
        <v>0.374</v>
      </c>
      <c r="BF48">
        <v>-0.68400000000000005</v>
      </c>
      <c r="BG48">
        <v>-0.10299999999999999</v>
      </c>
      <c r="BH48">
        <v>0.621</v>
      </c>
      <c r="BI48">
        <v>0.109</v>
      </c>
    </row>
    <row r="49" spans="1:61" x14ac:dyDescent="0.3">
      <c r="A49">
        <v>48</v>
      </c>
      <c r="B49" t="s">
        <v>217</v>
      </c>
      <c r="C49">
        <v>0</v>
      </c>
      <c r="D49">
        <v>0</v>
      </c>
      <c r="J49" t="s">
        <v>81</v>
      </c>
      <c r="K49">
        <v>1.88</v>
      </c>
      <c r="L49">
        <v>2.726</v>
      </c>
      <c r="M49" t="s">
        <v>55</v>
      </c>
      <c r="N49">
        <v>2.5000000000000001E-2</v>
      </c>
      <c r="O49">
        <v>1.7999999999999999E-2</v>
      </c>
      <c r="P49">
        <v>2.5999999999999999E-2</v>
      </c>
      <c r="Q49">
        <v>-0.56200000000000006</v>
      </c>
      <c r="R49">
        <v>-0.47899999999999998</v>
      </c>
      <c r="S49">
        <v>0.40400000000000003</v>
      </c>
      <c r="T49">
        <v>-0.26100000000000001</v>
      </c>
      <c r="U49">
        <v>0.49099999999999999</v>
      </c>
      <c r="V49">
        <v>0.74</v>
      </c>
      <c r="W49">
        <v>0.122</v>
      </c>
      <c r="X49">
        <v>0.45</v>
      </c>
      <c r="Y49">
        <v>0.44700000000000001</v>
      </c>
      <c r="Z49">
        <v>0.81299999999999994</v>
      </c>
      <c r="AA49">
        <v>0.78900000000000003</v>
      </c>
      <c r="AB49">
        <v>0.63300000000000001</v>
      </c>
      <c r="AC49">
        <v>0.752</v>
      </c>
      <c r="AD49">
        <v>8.7999999999999995E-2</v>
      </c>
      <c r="AE49">
        <v>-0.53400000000000003</v>
      </c>
      <c r="AF49">
        <v>-0.90400000000000003</v>
      </c>
      <c r="AG49">
        <v>-0.86</v>
      </c>
      <c r="AH49">
        <v>-0.49199999999999999</v>
      </c>
      <c r="AI49">
        <v>0.32500000000000001</v>
      </c>
      <c r="AJ49">
        <v>-2.1000000000000001E-2</v>
      </c>
      <c r="AK49">
        <v>-0.82699999999999996</v>
      </c>
      <c r="AL49">
        <v>-0.128</v>
      </c>
      <c r="AM49">
        <v>-7.0999999999999994E-2</v>
      </c>
      <c r="AN49">
        <v>-0.251</v>
      </c>
      <c r="AO49">
        <v>0.53800000000000003</v>
      </c>
      <c r="AP49">
        <v>0.26400000000000001</v>
      </c>
      <c r="AQ49">
        <v>-0.314</v>
      </c>
      <c r="AR49">
        <v>0.433</v>
      </c>
      <c r="AS49">
        <v>0.246</v>
      </c>
      <c r="AT49">
        <v>1</v>
      </c>
      <c r="AU49">
        <v>0.72699999999999998</v>
      </c>
      <c r="AV49">
        <v>0.17299999999999999</v>
      </c>
      <c r="AW49">
        <v>0.77500000000000002</v>
      </c>
      <c r="AX49">
        <v>0.39300000000000002</v>
      </c>
      <c r="AY49">
        <v>0.89500000000000002</v>
      </c>
      <c r="AZ49">
        <v>0.28399999999999997</v>
      </c>
      <c r="BA49">
        <v>0.39700000000000002</v>
      </c>
      <c r="BB49">
        <v>0.61299999999999999</v>
      </c>
      <c r="BC49">
        <v>0.27</v>
      </c>
      <c r="BD49">
        <v>0.66300000000000003</v>
      </c>
      <c r="BE49">
        <v>0.35399999999999998</v>
      </c>
      <c r="BF49">
        <v>-0.70299999999999996</v>
      </c>
      <c r="BG49">
        <v>-0.36199999999999999</v>
      </c>
      <c r="BH49">
        <v>2.1000000000000001E-2</v>
      </c>
      <c r="BI49">
        <v>-0.53600000000000003</v>
      </c>
    </row>
    <row r="50" spans="1:61" x14ac:dyDescent="0.3">
      <c r="A50">
        <v>49</v>
      </c>
      <c r="B50" t="s">
        <v>254</v>
      </c>
      <c r="C50">
        <v>0</v>
      </c>
      <c r="D50">
        <v>0</v>
      </c>
      <c r="J50" t="s">
        <v>95</v>
      </c>
      <c r="K50">
        <v>1.865</v>
      </c>
      <c r="L50">
        <v>3.3719999999999999</v>
      </c>
      <c r="M50" t="s">
        <v>53</v>
      </c>
      <c r="N50">
        <v>2.3E-2</v>
      </c>
      <c r="O50">
        <v>1.4999999999999999E-2</v>
      </c>
      <c r="P50">
        <v>-0.41899999999999998</v>
      </c>
      <c r="Q50">
        <v>-0.45200000000000001</v>
      </c>
      <c r="R50">
        <v>-0.64400000000000002</v>
      </c>
      <c r="S50">
        <v>0.107</v>
      </c>
      <c r="T50">
        <v>-0.23699999999999999</v>
      </c>
      <c r="U50">
        <v>0.377</v>
      </c>
      <c r="V50">
        <v>0.89</v>
      </c>
      <c r="W50">
        <v>0.46200000000000002</v>
      </c>
      <c r="X50">
        <v>0.55200000000000005</v>
      </c>
      <c r="Y50">
        <v>0.55400000000000005</v>
      </c>
      <c r="Z50">
        <v>0.75700000000000001</v>
      </c>
      <c r="AA50">
        <v>0.75</v>
      </c>
      <c r="AB50">
        <v>0.61</v>
      </c>
      <c r="AC50">
        <v>8.4000000000000005E-2</v>
      </c>
      <c r="AD50">
        <v>0.68600000000000005</v>
      </c>
      <c r="AE50">
        <v>-0.183</v>
      </c>
      <c r="AF50">
        <v>-0.82499999999999996</v>
      </c>
      <c r="AG50">
        <v>-0.84799999999999998</v>
      </c>
      <c r="AH50">
        <v>-0.64900000000000002</v>
      </c>
      <c r="AI50">
        <v>-0.27900000000000003</v>
      </c>
      <c r="AJ50">
        <v>0.57599999999999996</v>
      </c>
      <c r="AK50">
        <v>-0.94199999999999995</v>
      </c>
      <c r="AL50">
        <v>0.26700000000000002</v>
      </c>
      <c r="AM50">
        <v>0.23</v>
      </c>
      <c r="AN50">
        <v>0.34300000000000003</v>
      </c>
      <c r="AO50">
        <v>5.0999999999999997E-2</v>
      </c>
      <c r="AP50">
        <v>0.26600000000000001</v>
      </c>
      <c r="AQ50">
        <v>-0.35399999999999998</v>
      </c>
      <c r="AR50">
        <v>0.71499999999999997</v>
      </c>
      <c r="AS50">
        <v>0.21</v>
      </c>
      <c r="AT50">
        <v>-0.185</v>
      </c>
      <c r="AU50">
        <v>0.95099999999999996</v>
      </c>
      <c r="AV50">
        <v>0.71899999999999997</v>
      </c>
      <c r="AW50">
        <v>0.71599999999999997</v>
      </c>
      <c r="AX50">
        <v>-0.23699999999999999</v>
      </c>
      <c r="AY50">
        <v>-0.64900000000000002</v>
      </c>
      <c r="AZ50">
        <v>-0.10299999999999999</v>
      </c>
      <c r="BA50">
        <v>0.02</v>
      </c>
      <c r="BB50">
        <v>-1</v>
      </c>
      <c r="BC50">
        <v>-0.63200000000000001</v>
      </c>
      <c r="BD50">
        <v>-7.0999999999999994E-2</v>
      </c>
      <c r="BE50">
        <v>0.92800000000000005</v>
      </c>
      <c r="BF50">
        <v>-0.40799999999999997</v>
      </c>
      <c r="BG50">
        <v>-0.628</v>
      </c>
      <c r="BH50">
        <v>-6.7000000000000004E-2</v>
      </c>
      <c r="BI50">
        <v>-0.60299999999999998</v>
      </c>
    </row>
    <row r="51" spans="1:61" x14ac:dyDescent="0.3">
      <c r="A51">
        <v>50</v>
      </c>
      <c r="B51" t="s">
        <v>155</v>
      </c>
      <c r="C51">
        <v>0</v>
      </c>
      <c r="D51">
        <v>0</v>
      </c>
      <c r="J51" t="s">
        <v>119</v>
      </c>
      <c r="K51">
        <v>1.851</v>
      </c>
      <c r="L51">
        <v>1.738</v>
      </c>
      <c r="M51" t="s">
        <v>57</v>
      </c>
      <c r="N51">
        <v>0.01</v>
      </c>
      <c r="O51">
        <v>0.01</v>
      </c>
      <c r="P51">
        <v>0.29699999999999999</v>
      </c>
      <c r="Q51">
        <v>9.5000000000000001E-2</v>
      </c>
      <c r="R51">
        <v>0.105</v>
      </c>
      <c r="S51">
        <v>0.20100000000000001</v>
      </c>
      <c r="T51">
        <v>5.5E-2</v>
      </c>
      <c r="U51">
        <v>0.22900000000000001</v>
      </c>
      <c r="V51">
        <v>0.28100000000000003</v>
      </c>
      <c r="W51">
        <v>-0.13900000000000001</v>
      </c>
      <c r="X51">
        <v>0.20799999999999999</v>
      </c>
      <c r="Y51">
        <v>0.20599999999999999</v>
      </c>
      <c r="Z51">
        <v>0.82199999999999995</v>
      </c>
      <c r="AA51">
        <v>0.88100000000000001</v>
      </c>
      <c r="AB51">
        <v>0.69699999999999995</v>
      </c>
      <c r="AC51">
        <v>0.40799999999999997</v>
      </c>
      <c r="AD51">
        <v>0.46700000000000003</v>
      </c>
      <c r="AE51">
        <v>-0.23499999999999999</v>
      </c>
      <c r="AF51">
        <v>-0.19400000000000001</v>
      </c>
      <c r="AG51">
        <v>-0.09</v>
      </c>
      <c r="AH51">
        <v>-2.1000000000000001E-2</v>
      </c>
      <c r="AI51">
        <v>-0.10199999999999999</v>
      </c>
      <c r="AJ51">
        <v>-0.21299999999999999</v>
      </c>
      <c r="AK51">
        <v>-0.186</v>
      </c>
      <c r="AL51">
        <v>0.74299999999999999</v>
      </c>
      <c r="AM51">
        <v>-0.309</v>
      </c>
      <c r="AN51">
        <v>-1.7000000000000001E-2</v>
      </c>
      <c r="AO51">
        <v>0.47899999999999998</v>
      </c>
      <c r="AP51">
        <v>0.39200000000000002</v>
      </c>
      <c r="AQ51">
        <v>0.35299999999999998</v>
      </c>
      <c r="AR51">
        <v>-5.3999999999999999E-2</v>
      </c>
      <c r="AS51">
        <v>0.432</v>
      </c>
      <c r="AT51">
        <v>0.34499999999999997</v>
      </c>
      <c r="AU51">
        <v>-0.111</v>
      </c>
      <c r="AV51">
        <v>0.186</v>
      </c>
      <c r="AW51">
        <v>0.442</v>
      </c>
      <c r="AX51">
        <v>0.63100000000000001</v>
      </c>
      <c r="AY51">
        <v>0</v>
      </c>
      <c r="AZ51">
        <v>-4.9000000000000002E-2</v>
      </c>
      <c r="BA51">
        <v>-8.5000000000000006E-2</v>
      </c>
      <c r="BB51">
        <v>0.24399999999999999</v>
      </c>
      <c r="BC51">
        <v>0.33500000000000002</v>
      </c>
      <c r="BD51">
        <v>-0.154</v>
      </c>
      <c r="BE51">
        <v>0.20300000000000001</v>
      </c>
      <c r="BF51">
        <v>-0.156</v>
      </c>
      <c r="BG51">
        <v>0.45700000000000002</v>
      </c>
      <c r="BH51">
        <v>-1.2E-2</v>
      </c>
      <c r="BI51">
        <v>0.03</v>
      </c>
    </row>
    <row r="52" spans="1:61" x14ac:dyDescent="0.3">
      <c r="A52">
        <v>51</v>
      </c>
      <c r="B52" t="s">
        <v>213</v>
      </c>
      <c r="C52">
        <v>0</v>
      </c>
      <c r="D52">
        <v>0</v>
      </c>
      <c r="J52" t="s">
        <v>94</v>
      </c>
      <c r="K52">
        <v>1.8089999999999999</v>
      </c>
      <c r="L52">
        <v>2.5550000000000002</v>
      </c>
      <c r="M52" t="s">
        <v>55</v>
      </c>
      <c r="N52">
        <v>1.4E-2</v>
      </c>
      <c r="O52">
        <v>1.2E-2</v>
      </c>
      <c r="P52">
        <v>0.253</v>
      </c>
      <c r="Q52">
        <v>4.2000000000000003E-2</v>
      </c>
      <c r="R52">
        <v>-0.32400000000000001</v>
      </c>
      <c r="S52">
        <v>0.22500000000000001</v>
      </c>
      <c r="T52">
        <v>-0.19500000000000001</v>
      </c>
      <c r="U52">
        <v>0.498</v>
      </c>
      <c r="V52">
        <v>0.81599999999999995</v>
      </c>
      <c r="W52">
        <v>-0.22</v>
      </c>
      <c r="X52">
        <v>0.249</v>
      </c>
      <c r="Y52">
        <v>0.247</v>
      </c>
      <c r="Z52">
        <v>0.81100000000000005</v>
      </c>
      <c r="AA52">
        <v>0.78</v>
      </c>
      <c r="AB52">
        <v>0.63</v>
      </c>
      <c r="AC52">
        <v>7.6999999999999999E-2</v>
      </c>
      <c r="AD52">
        <v>-5.1999999999999998E-2</v>
      </c>
      <c r="AE52">
        <v>-0.32100000000000001</v>
      </c>
      <c r="AF52">
        <v>-0.79100000000000004</v>
      </c>
      <c r="AG52">
        <v>-0.16200000000000001</v>
      </c>
      <c r="AH52">
        <v>2.8000000000000001E-2</v>
      </c>
      <c r="AI52">
        <v>-0.31</v>
      </c>
      <c r="AJ52">
        <v>-0.69599999999999995</v>
      </c>
      <c r="AK52">
        <v>-0.67900000000000005</v>
      </c>
      <c r="AL52">
        <v>-0.20899999999999999</v>
      </c>
      <c r="AM52">
        <v>6.2E-2</v>
      </c>
      <c r="AN52">
        <v>0.36299999999999999</v>
      </c>
      <c r="AO52">
        <v>0.80300000000000005</v>
      </c>
      <c r="AP52">
        <v>0.71599999999999997</v>
      </c>
      <c r="AQ52">
        <v>0.37</v>
      </c>
      <c r="AR52">
        <v>0.20399999999999999</v>
      </c>
      <c r="AS52">
        <v>0.92800000000000005</v>
      </c>
      <c r="AT52">
        <v>0.81100000000000005</v>
      </c>
      <c r="AU52">
        <v>0.224</v>
      </c>
      <c r="AV52">
        <v>-0.16300000000000001</v>
      </c>
      <c r="AW52">
        <v>0.48399999999999999</v>
      </c>
      <c r="AX52">
        <v>0.54900000000000004</v>
      </c>
      <c r="AY52">
        <v>0.51200000000000001</v>
      </c>
      <c r="AZ52">
        <v>0.40600000000000003</v>
      </c>
      <c r="BA52">
        <v>9.0999999999999998E-2</v>
      </c>
      <c r="BB52">
        <v>0.52200000000000002</v>
      </c>
      <c r="BC52">
        <v>-0.29599999999999999</v>
      </c>
      <c r="BD52">
        <v>-0.23300000000000001</v>
      </c>
      <c r="BE52">
        <v>0.55300000000000005</v>
      </c>
      <c r="BF52">
        <v>-0.4</v>
      </c>
      <c r="BG52">
        <v>0.46500000000000002</v>
      </c>
      <c r="BH52">
        <v>-0.23799999999999999</v>
      </c>
      <c r="BI52">
        <v>-0.17899999999999999</v>
      </c>
    </row>
    <row r="53" spans="1:61" x14ac:dyDescent="0.3">
      <c r="A53">
        <v>52</v>
      </c>
      <c r="B53" t="s">
        <v>218</v>
      </c>
      <c r="C53">
        <v>0</v>
      </c>
      <c r="D53">
        <v>0</v>
      </c>
      <c r="J53" t="s">
        <v>127</v>
      </c>
      <c r="K53">
        <v>1.7310000000000001</v>
      </c>
      <c r="L53">
        <v>2.2589999999999999</v>
      </c>
      <c r="M53" t="s">
        <v>53</v>
      </c>
      <c r="N53">
        <v>1.2999999999999999E-2</v>
      </c>
      <c r="O53">
        <v>8.9999999999999993E-3</v>
      </c>
      <c r="P53">
        <v>-6.3E-2</v>
      </c>
      <c r="Q53">
        <v>-0.33200000000000002</v>
      </c>
      <c r="R53">
        <v>-0.53900000000000003</v>
      </c>
      <c r="S53">
        <v>0.13600000000000001</v>
      </c>
      <c r="T53">
        <v>-0.34200000000000003</v>
      </c>
      <c r="U53">
        <v>0.36099999999999999</v>
      </c>
      <c r="V53">
        <v>0.59399999999999997</v>
      </c>
      <c r="W53">
        <v>2.5000000000000001E-2</v>
      </c>
      <c r="X53">
        <v>0.45700000000000002</v>
      </c>
      <c r="Y53">
        <v>0.45600000000000002</v>
      </c>
      <c r="Z53">
        <v>0.76900000000000002</v>
      </c>
      <c r="AA53">
        <v>0.80100000000000005</v>
      </c>
      <c r="AB53">
        <v>0.68200000000000005</v>
      </c>
      <c r="AC53">
        <v>-2.4E-2</v>
      </c>
      <c r="AD53">
        <v>0.21299999999999999</v>
      </c>
      <c r="AE53">
        <v>-0.29199999999999998</v>
      </c>
      <c r="AF53">
        <v>-0.874</v>
      </c>
      <c r="AG53">
        <v>-0.77400000000000002</v>
      </c>
      <c r="AH53">
        <v>-0.38400000000000001</v>
      </c>
      <c r="AI53">
        <v>-5.1999999999999998E-2</v>
      </c>
      <c r="AJ53">
        <v>-0.26200000000000001</v>
      </c>
      <c r="AK53">
        <v>-0.73699999999999999</v>
      </c>
      <c r="AL53">
        <v>0.19400000000000001</v>
      </c>
      <c r="AM53">
        <v>0.16</v>
      </c>
      <c r="AN53">
        <v>0.222</v>
      </c>
      <c r="AO53">
        <v>0.49099999999999999</v>
      </c>
      <c r="AP53">
        <v>0.36099999999999999</v>
      </c>
      <c r="AQ53">
        <v>0.12</v>
      </c>
      <c r="AR53">
        <v>0.37</v>
      </c>
      <c r="AS53">
        <v>0.13600000000000001</v>
      </c>
      <c r="AT53">
        <v>0.35399999999999998</v>
      </c>
      <c r="AU53">
        <v>0.78600000000000003</v>
      </c>
      <c r="AV53">
        <v>0.23799999999999999</v>
      </c>
      <c r="AW53">
        <v>0.90800000000000003</v>
      </c>
      <c r="AX53">
        <v>1</v>
      </c>
      <c r="AY53">
        <v>0.46700000000000003</v>
      </c>
      <c r="AZ53">
        <v>-0.13</v>
      </c>
      <c r="BA53">
        <v>9.6000000000000002E-2</v>
      </c>
      <c r="BB53">
        <v>-0.185</v>
      </c>
      <c r="BC53">
        <v>-0.39</v>
      </c>
      <c r="BD53">
        <v>0.441</v>
      </c>
      <c r="BE53">
        <v>0.58499999999999996</v>
      </c>
      <c r="BF53">
        <v>-0.73399999999999999</v>
      </c>
      <c r="BG53">
        <v>-0.39200000000000002</v>
      </c>
      <c r="BH53">
        <v>7.9000000000000001E-2</v>
      </c>
      <c r="BI53">
        <v>-0.26200000000000001</v>
      </c>
    </row>
    <row r="54" spans="1:61" x14ac:dyDescent="0.3">
      <c r="A54">
        <v>53</v>
      </c>
      <c r="B54" t="s">
        <v>80</v>
      </c>
      <c r="C54">
        <v>0</v>
      </c>
      <c r="D54">
        <v>0</v>
      </c>
      <c r="J54" t="s">
        <v>145</v>
      </c>
      <c r="K54">
        <v>1.71</v>
      </c>
      <c r="L54">
        <v>1.266</v>
      </c>
      <c r="M54" t="s">
        <v>57</v>
      </c>
      <c r="N54">
        <v>8.0000000000000002E-3</v>
      </c>
      <c r="O54">
        <v>8.0000000000000002E-3</v>
      </c>
      <c r="P54">
        <v>6.0000000000000001E-3</v>
      </c>
      <c r="Q54">
        <v>-9.4E-2</v>
      </c>
      <c r="R54">
        <v>-0.16</v>
      </c>
      <c r="S54">
        <v>-3.4000000000000002E-2</v>
      </c>
      <c r="T54">
        <v>-0.221</v>
      </c>
      <c r="U54">
        <v>-1.2999999999999999E-2</v>
      </c>
      <c r="V54">
        <v>-9.8000000000000004E-2</v>
      </c>
      <c r="W54">
        <v>-5.0999999999999997E-2</v>
      </c>
      <c r="X54">
        <v>0.50700000000000001</v>
      </c>
      <c r="Y54">
        <v>0.505</v>
      </c>
      <c r="Z54">
        <v>0.90200000000000002</v>
      </c>
      <c r="AA54">
        <v>0.85699999999999998</v>
      </c>
      <c r="AB54">
        <v>0.85199999999999998</v>
      </c>
      <c r="AC54">
        <v>-0.41</v>
      </c>
      <c r="AD54">
        <v>-0.11700000000000001</v>
      </c>
      <c r="AE54">
        <v>6.0999999999999999E-2</v>
      </c>
      <c r="AF54">
        <v>-0.72399999999999998</v>
      </c>
      <c r="AG54">
        <v>0.127</v>
      </c>
      <c r="AH54">
        <v>-0.04</v>
      </c>
      <c r="AI54">
        <v>-0.216</v>
      </c>
      <c r="AJ54">
        <v>-0.40200000000000002</v>
      </c>
      <c r="AK54">
        <v>-0.58799999999999997</v>
      </c>
      <c r="AL54">
        <v>-0.48099999999999998</v>
      </c>
      <c r="AM54">
        <v>0.26300000000000001</v>
      </c>
      <c r="AN54">
        <v>0.69199999999999995</v>
      </c>
      <c r="AO54">
        <v>0.432</v>
      </c>
      <c r="AP54">
        <v>0.57999999999999996</v>
      </c>
      <c r="AQ54">
        <v>0.41599999999999998</v>
      </c>
      <c r="AR54">
        <v>0.28999999999999998</v>
      </c>
      <c r="AS54">
        <v>-0.11</v>
      </c>
      <c r="AT54">
        <v>0.16600000000000001</v>
      </c>
      <c r="AU54">
        <v>0.34599999999999997</v>
      </c>
      <c r="AV54">
        <v>0.185</v>
      </c>
      <c r="AW54">
        <v>0.66800000000000004</v>
      </c>
      <c r="AX54">
        <v>1</v>
      </c>
      <c r="AY54">
        <v>0.48499999999999999</v>
      </c>
      <c r="AZ54">
        <v>-0.68200000000000005</v>
      </c>
      <c r="BA54">
        <v>-0.14699999999999999</v>
      </c>
      <c r="BB54">
        <v>-0.60399999999999998</v>
      </c>
      <c r="BC54">
        <v>0.25900000000000001</v>
      </c>
      <c r="BD54">
        <v>-0.67100000000000004</v>
      </c>
      <c r="BE54">
        <v>0.221</v>
      </c>
      <c r="BF54">
        <v>-1</v>
      </c>
      <c r="BG54">
        <v>0.27400000000000002</v>
      </c>
      <c r="BH54">
        <v>0.92300000000000004</v>
      </c>
      <c r="BI54">
        <v>0.38800000000000001</v>
      </c>
    </row>
    <row r="55" spans="1:61" x14ac:dyDescent="0.3">
      <c r="A55">
        <v>54</v>
      </c>
      <c r="B55" t="s">
        <v>191</v>
      </c>
      <c r="C55">
        <v>0</v>
      </c>
      <c r="D55">
        <v>0</v>
      </c>
      <c r="J55" t="s">
        <v>105</v>
      </c>
      <c r="K55">
        <v>1.71</v>
      </c>
      <c r="L55">
        <v>1.2569999999999999</v>
      </c>
      <c r="M55" t="s">
        <v>57</v>
      </c>
      <c r="N55">
        <v>5.0000000000000001E-3</v>
      </c>
      <c r="O55">
        <v>5.0000000000000001E-3</v>
      </c>
      <c r="P55">
        <v>-0.153</v>
      </c>
      <c r="Q55">
        <v>0.29399999999999998</v>
      </c>
      <c r="R55">
        <v>7.2999999999999995E-2</v>
      </c>
      <c r="S55">
        <v>-0.18</v>
      </c>
      <c r="T55">
        <v>0.22500000000000001</v>
      </c>
      <c r="U55">
        <v>-0.40799999999999997</v>
      </c>
      <c r="V55">
        <v>-0.51600000000000001</v>
      </c>
      <c r="W55">
        <v>0.44500000000000001</v>
      </c>
      <c r="X55">
        <v>7.0999999999999994E-2</v>
      </c>
      <c r="Y55">
        <v>7.0000000000000007E-2</v>
      </c>
      <c r="Z55">
        <v>0.58699999999999997</v>
      </c>
      <c r="AA55">
        <v>0.79800000000000004</v>
      </c>
      <c r="AB55">
        <v>0.78600000000000003</v>
      </c>
      <c r="AC55">
        <v>-0.443</v>
      </c>
      <c r="AD55">
        <v>-7.4999999999999997E-2</v>
      </c>
      <c r="AE55">
        <v>1</v>
      </c>
      <c r="AF55">
        <v>0.95299999999999996</v>
      </c>
      <c r="AG55">
        <v>0.97299999999999998</v>
      </c>
      <c r="AH55">
        <v>-0.73299999999999998</v>
      </c>
      <c r="AI55">
        <v>0.70499999999999996</v>
      </c>
      <c r="AJ55">
        <v>0.54100000000000004</v>
      </c>
      <c r="AK55">
        <v>-0.29899999999999999</v>
      </c>
      <c r="AL55">
        <v>8.6999999999999994E-2</v>
      </c>
      <c r="AM55">
        <v>0.52700000000000002</v>
      </c>
      <c r="AN55">
        <v>8.1000000000000003E-2</v>
      </c>
      <c r="AO55">
        <v>-0.33</v>
      </c>
      <c r="AP55">
        <v>-1</v>
      </c>
      <c r="AQ55">
        <v>-1</v>
      </c>
      <c r="AR55">
        <v>-9.8000000000000004E-2</v>
      </c>
      <c r="AS55">
        <v>-0.42199999999999999</v>
      </c>
      <c r="AT55">
        <v>-0.60499999999999998</v>
      </c>
      <c r="AU55">
        <v>-0.56799999999999995</v>
      </c>
      <c r="AV55">
        <v>-0.59299999999999997</v>
      </c>
      <c r="AW55">
        <v>0.109</v>
      </c>
      <c r="AX55">
        <v>-0.23499999999999999</v>
      </c>
      <c r="AY55">
        <v>4.4999999999999998E-2</v>
      </c>
      <c r="AZ55">
        <v>0.27700000000000002</v>
      </c>
      <c r="BA55">
        <v>0.41199999999999998</v>
      </c>
      <c r="BB55">
        <v>0.46899999999999997</v>
      </c>
      <c r="BC55">
        <v>0.56699999999999995</v>
      </c>
      <c r="BD55">
        <v>0.38600000000000001</v>
      </c>
      <c r="BE55">
        <v>3.6999999999999998E-2</v>
      </c>
      <c r="BF55">
        <v>-0.27</v>
      </c>
      <c r="BG55">
        <v>1</v>
      </c>
      <c r="BH55">
        <v>0.40500000000000003</v>
      </c>
      <c r="BI55">
        <v>0.626</v>
      </c>
    </row>
    <row r="56" spans="1:61" x14ac:dyDescent="0.3">
      <c r="A56">
        <v>55</v>
      </c>
      <c r="B56" t="s">
        <v>597</v>
      </c>
      <c r="C56">
        <v>1.0205891534610699E-2</v>
      </c>
      <c r="D56">
        <v>6.2863822606588999E-3</v>
      </c>
      <c r="J56" t="s">
        <v>62</v>
      </c>
      <c r="K56">
        <v>1.603</v>
      </c>
      <c r="L56">
        <v>1.6910000000000001</v>
      </c>
      <c r="M56" t="s">
        <v>55</v>
      </c>
      <c r="N56">
        <v>1.0999999999999999E-2</v>
      </c>
      <c r="O56">
        <v>1.0999999999999999E-2</v>
      </c>
      <c r="P56">
        <v>-0.30199999999999999</v>
      </c>
      <c r="Q56">
        <v>-0.313</v>
      </c>
      <c r="R56">
        <v>-0.52800000000000002</v>
      </c>
      <c r="S56">
        <v>9.5000000000000001E-2</v>
      </c>
      <c r="T56">
        <v>-0.189</v>
      </c>
      <c r="U56">
        <v>9.2999999999999999E-2</v>
      </c>
      <c r="V56">
        <v>0.35199999999999998</v>
      </c>
      <c r="W56">
        <v>0.125</v>
      </c>
      <c r="X56">
        <v>0.42099999999999999</v>
      </c>
      <c r="Y56">
        <v>0.42299999999999999</v>
      </c>
      <c r="Z56">
        <v>0.84099999999999997</v>
      </c>
      <c r="AA56">
        <v>0.78800000000000003</v>
      </c>
      <c r="AB56">
        <v>0.68</v>
      </c>
      <c r="AC56">
        <v>0.39800000000000002</v>
      </c>
      <c r="AD56">
        <v>-0.14000000000000001</v>
      </c>
      <c r="AE56">
        <v>0.35499999999999998</v>
      </c>
      <c r="AF56">
        <v>-0.55200000000000005</v>
      </c>
      <c r="AG56">
        <v>-0.55400000000000005</v>
      </c>
      <c r="AH56">
        <v>-0.41099999999999998</v>
      </c>
      <c r="AI56">
        <v>0.40799999999999997</v>
      </c>
      <c r="AJ56">
        <v>-0.222</v>
      </c>
      <c r="AK56">
        <v>-0.34300000000000003</v>
      </c>
      <c r="AL56">
        <v>-0.26900000000000002</v>
      </c>
      <c r="AM56">
        <v>0.13800000000000001</v>
      </c>
      <c r="AN56">
        <v>-0.39800000000000002</v>
      </c>
      <c r="AO56">
        <v>-1.4E-2</v>
      </c>
      <c r="AP56">
        <v>-0.52400000000000002</v>
      </c>
      <c r="AQ56">
        <v>-0.79100000000000004</v>
      </c>
      <c r="AR56">
        <v>0.17199999999999999</v>
      </c>
      <c r="AS56">
        <v>0.26400000000000001</v>
      </c>
      <c r="AT56">
        <v>0.438</v>
      </c>
      <c r="AU56">
        <v>0.71</v>
      </c>
      <c r="AV56">
        <v>-9.5000000000000001E-2</v>
      </c>
      <c r="AW56">
        <v>-0.214</v>
      </c>
      <c r="AX56">
        <v>0.36299999999999999</v>
      </c>
      <c r="AY56">
        <v>0.21</v>
      </c>
      <c r="AZ56">
        <v>1.7999999999999999E-2</v>
      </c>
      <c r="BA56">
        <v>0.47699999999999998</v>
      </c>
      <c r="BB56">
        <v>0.41099999999999998</v>
      </c>
      <c r="BC56">
        <v>-0.21</v>
      </c>
      <c r="BD56">
        <v>0.59099999999999997</v>
      </c>
      <c r="BE56">
        <v>0.379</v>
      </c>
      <c r="BF56">
        <v>-0.76700000000000002</v>
      </c>
      <c r="BG56">
        <v>-2E-3</v>
      </c>
      <c r="BH56">
        <v>-7.0000000000000007E-2</v>
      </c>
      <c r="BI56">
        <v>0.109</v>
      </c>
    </row>
    <row r="57" spans="1:61" x14ac:dyDescent="0.3">
      <c r="A57">
        <v>56</v>
      </c>
      <c r="B57" t="s">
        <v>181</v>
      </c>
      <c r="C57">
        <v>0</v>
      </c>
      <c r="D57">
        <v>0</v>
      </c>
      <c r="J57" t="s">
        <v>96</v>
      </c>
      <c r="K57">
        <v>1.573</v>
      </c>
      <c r="L57">
        <v>1.5569999999999999</v>
      </c>
      <c r="M57" t="s">
        <v>57</v>
      </c>
      <c r="N57">
        <v>8.9999999999999993E-3</v>
      </c>
      <c r="O57">
        <v>7.0000000000000001E-3</v>
      </c>
      <c r="P57">
        <v>-7.0999999999999994E-2</v>
      </c>
      <c r="Q57">
        <v>-0.74199999999999999</v>
      </c>
      <c r="R57">
        <v>-0.29099999999999998</v>
      </c>
      <c r="S57">
        <v>0.33</v>
      </c>
      <c r="T57">
        <v>-0.255</v>
      </c>
      <c r="U57">
        <v>0.19700000000000001</v>
      </c>
      <c r="V57">
        <v>0.27800000000000002</v>
      </c>
      <c r="W57">
        <v>0.13600000000000001</v>
      </c>
      <c r="X57">
        <v>0.29599999999999999</v>
      </c>
      <c r="Y57">
        <v>0.29599999999999999</v>
      </c>
      <c r="Z57">
        <v>0.76100000000000001</v>
      </c>
      <c r="AA57">
        <v>0.56399999999999995</v>
      </c>
      <c r="AB57">
        <v>0.54600000000000004</v>
      </c>
      <c r="AC57">
        <v>1</v>
      </c>
      <c r="AD57">
        <v>0.29799999999999999</v>
      </c>
      <c r="AE57">
        <v>-0.85799999999999998</v>
      </c>
      <c r="AF57">
        <v>-0.61699999999999999</v>
      </c>
      <c r="AG57">
        <v>-0.755</v>
      </c>
      <c r="AH57">
        <v>-3.0000000000000001E-3</v>
      </c>
      <c r="AI57">
        <v>-7.3999999999999996E-2</v>
      </c>
      <c r="AJ57">
        <v>0.39100000000000001</v>
      </c>
      <c r="AK57">
        <v>-0.874</v>
      </c>
      <c r="AL57">
        <v>0.27</v>
      </c>
      <c r="AM57">
        <v>-0.32900000000000001</v>
      </c>
      <c r="AN57">
        <v>-0.57299999999999995</v>
      </c>
      <c r="AO57">
        <v>0.38800000000000001</v>
      </c>
      <c r="AP57">
        <v>0.33400000000000002</v>
      </c>
      <c r="AQ57">
        <v>4.2999999999999997E-2</v>
      </c>
      <c r="AR57">
        <v>1</v>
      </c>
      <c r="AS57">
        <v>-5.2999999999999999E-2</v>
      </c>
      <c r="AT57">
        <v>0.85599999999999998</v>
      </c>
      <c r="AU57">
        <v>0.111</v>
      </c>
      <c r="AV57">
        <v>0.34</v>
      </c>
      <c r="AW57">
        <v>0.76900000000000002</v>
      </c>
      <c r="AX57">
        <v>0.98499999999999999</v>
      </c>
      <c r="AY57">
        <v>0.35499999999999998</v>
      </c>
      <c r="AZ57">
        <v>-0.81399999999999995</v>
      </c>
      <c r="BA57">
        <v>-0.158</v>
      </c>
      <c r="BB57">
        <v>0.20200000000000001</v>
      </c>
      <c r="BC57">
        <v>0.13300000000000001</v>
      </c>
      <c r="BD57">
        <v>-0.20699999999999999</v>
      </c>
      <c r="BE57">
        <v>1E-3</v>
      </c>
      <c r="BF57">
        <v>-0.94399999999999995</v>
      </c>
      <c r="BG57">
        <v>0.30399999999999999</v>
      </c>
      <c r="BH57">
        <v>-0.53100000000000003</v>
      </c>
      <c r="BI57">
        <v>-0.35799999999999998</v>
      </c>
    </row>
    <row r="58" spans="1:61" x14ac:dyDescent="0.3">
      <c r="A58">
        <v>57</v>
      </c>
      <c r="B58" t="s">
        <v>598</v>
      </c>
      <c r="C58">
        <v>5.4466529801277296E-3</v>
      </c>
      <c r="D58">
        <v>8.0269653214029395E-3</v>
      </c>
      <c r="J58" t="s">
        <v>188</v>
      </c>
      <c r="K58">
        <v>1.4990000000000001</v>
      </c>
      <c r="L58">
        <v>2.371</v>
      </c>
      <c r="M58" t="s">
        <v>55</v>
      </c>
      <c r="N58">
        <v>2.5999999999999999E-2</v>
      </c>
      <c r="O58">
        <v>1.9E-2</v>
      </c>
      <c r="P58">
        <v>-0.214</v>
      </c>
      <c r="Q58">
        <v>-0.21</v>
      </c>
      <c r="R58">
        <v>-0.80400000000000005</v>
      </c>
      <c r="S58">
        <v>-0.109</v>
      </c>
      <c r="T58">
        <v>-0.51500000000000001</v>
      </c>
      <c r="U58">
        <v>0.17399999999999999</v>
      </c>
      <c r="V58">
        <v>0.36199999999999999</v>
      </c>
      <c r="W58">
        <v>-2.9000000000000001E-2</v>
      </c>
      <c r="X58">
        <v>0.40500000000000003</v>
      </c>
      <c r="Y58">
        <v>0.40699999999999997</v>
      </c>
      <c r="Z58">
        <v>0.80400000000000005</v>
      </c>
      <c r="AA58">
        <v>0.81799999999999995</v>
      </c>
      <c r="AB58">
        <v>0.72799999999999998</v>
      </c>
      <c r="AC58">
        <v>-0.42899999999999999</v>
      </c>
      <c r="AD58">
        <v>-0.252</v>
      </c>
      <c r="AE58">
        <v>0.14899999999999999</v>
      </c>
      <c r="AF58">
        <v>-1</v>
      </c>
      <c r="AG58">
        <v>-0.65</v>
      </c>
      <c r="AH58">
        <v>-0.84599999999999997</v>
      </c>
      <c r="AI58">
        <v>-0.378</v>
      </c>
      <c r="AJ58">
        <v>-0.33600000000000002</v>
      </c>
      <c r="AK58">
        <v>-0.55300000000000005</v>
      </c>
      <c r="AL58">
        <v>-0.317</v>
      </c>
      <c r="AM58">
        <v>0.41299999999999998</v>
      </c>
      <c r="AN58">
        <v>0.52900000000000003</v>
      </c>
      <c r="AO58">
        <v>0.46899999999999997</v>
      </c>
      <c r="AP58">
        <v>1</v>
      </c>
      <c r="AQ58">
        <v>0.65</v>
      </c>
      <c r="AR58">
        <v>-0.216</v>
      </c>
      <c r="AS58">
        <v>2E-3</v>
      </c>
      <c r="AT58">
        <v>0.17899999999999999</v>
      </c>
      <c r="AU58">
        <v>0.33</v>
      </c>
      <c r="AV58">
        <v>-0.58199999999999996</v>
      </c>
      <c r="AW58">
        <v>0.63900000000000001</v>
      </c>
      <c r="AX58">
        <v>0.43</v>
      </c>
      <c r="AY58">
        <v>0.80500000000000005</v>
      </c>
      <c r="AZ58">
        <v>-7.3999999999999996E-2</v>
      </c>
      <c r="BA58">
        <v>-0.29499999999999998</v>
      </c>
      <c r="BB58">
        <v>0.70899999999999996</v>
      </c>
      <c r="BC58">
        <v>0.24199999999999999</v>
      </c>
      <c r="BD58">
        <v>0.61399999999999999</v>
      </c>
      <c r="BE58">
        <v>0.753</v>
      </c>
      <c r="BF58">
        <v>-0.71899999999999997</v>
      </c>
      <c r="BG58">
        <v>9.7000000000000003E-2</v>
      </c>
      <c r="BH58">
        <v>0.21299999999999999</v>
      </c>
      <c r="BI58">
        <v>-1</v>
      </c>
    </row>
    <row r="59" spans="1:61" x14ac:dyDescent="0.3">
      <c r="A59">
        <v>58</v>
      </c>
      <c r="B59" t="s">
        <v>108</v>
      </c>
      <c r="C59">
        <v>0</v>
      </c>
      <c r="D59">
        <v>0</v>
      </c>
      <c r="J59" t="s">
        <v>93</v>
      </c>
      <c r="K59">
        <v>1.488</v>
      </c>
      <c r="L59">
        <v>2.4790000000000001</v>
      </c>
      <c r="M59" t="s">
        <v>55</v>
      </c>
      <c r="N59">
        <v>1.6E-2</v>
      </c>
      <c r="O59">
        <v>0.01</v>
      </c>
      <c r="P59">
        <v>-0.26300000000000001</v>
      </c>
      <c r="Q59">
        <v>-0.16400000000000001</v>
      </c>
      <c r="R59">
        <v>-0.69699999999999995</v>
      </c>
      <c r="S59">
        <v>-0.217</v>
      </c>
      <c r="T59">
        <v>-0.44500000000000001</v>
      </c>
      <c r="U59">
        <v>0.25700000000000001</v>
      </c>
      <c r="V59">
        <v>0.68600000000000005</v>
      </c>
      <c r="W59">
        <v>-1.2999999999999999E-2</v>
      </c>
      <c r="X59">
        <v>0.314</v>
      </c>
      <c r="Y59">
        <v>0.313</v>
      </c>
      <c r="Z59">
        <v>0.77</v>
      </c>
      <c r="AA59">
        <v>0.76400000000000001</v>
      </c>
      <c r="AB59">
        <v>0.624</v>
      </c>
      <c r="AC59">
        <v>-8.5000000000000006E-2</v>
      </c>
      <c r="AD59">
        <v>-0.38500000000000001</v>
      </c>
      <c r="AE59">
        <v>-3.6999999999999998E-2</v>
      </c>
      <c r="AF59">
        <v>-0.76800000000000002</v>
      </c>
      <c r="AG59">
        <v>-0.25</v>
      </c>
      <c r="AH59">
        <v>-0.53100000000000003</v>
      </c>
      <c r="AI59">
        <v>-0.11700000000000001</v>
      </c>
      <c r="AJ59">
        <v>-0.122</v>
      </c>
      <c r="AK59">
        <v>-0.53400000000000003</v>
      </c>
      <c r="AL59">
        <v>0.129</v>
      </c>
      <c r="AM59">
        <v>0.129</v>
      </c>
      <c r="AN59">
        <v>0.32900000000000001</v>
      </c>
      <c r="AO59">
        <v>-0.251</v>
      </c>
      <c r="AP59">
        <v>0.27800000000000002</v>
      </c>
      <c r="AQ59">
        <v>-0.41399999999999998</v>
      </c>
      <c r="AR59">
        <v>-0.10299999999999999</v>
      </c>
      <c r="AS59">
        <v>0.81200000000000006</v>
      </c>
      <c r="AT59">
        <v>0.20599999999999999</v>
      </c>
      <c r="AU59">
        <v>0.316</v>
      </c>
      <c r="AV59">
        <v>0.29399999999999998</v>
      </c>
      <c r="AW59">
        <v>0.51</v>
      </c>
      <c r="AX59">
        <v>0.45300000000000001</v>
      </c>
      <c r="AY59">
        <v>-0.314</v>
      </c>
      <c r="AZ59">
        <v>0.216</v>
      </c>
      <c r="BA59">
        <v>0.216</v>
      </c>
      <c r="BB59">
        <v>0.503</v>
      </c>
      <c r="BC59">
        <v>-0.108</v>
      </c>
      <c r="BD59">
        <v>-0.22600000000000001</v>
      </c>
      <c r="BE59">
        <v>0.76100000000000001</v>
      </c>
      <c r="BF59">
        <v>-0.45700000000000002</v>
      </c>
      <c r="BG59">
        <v>0.38200000000000001</v>
      </c>
      <c r="BH59">
        <v>-0.60699999999999998</v>
      </c>
      <c r="BI59">
        <v>-0.40400000000000003</v>
      </c>
    </row>
    <row r="60" spans="1:61" x14ac:dyDescent="0.3">
      <c r="A60">
        <v>59</v>
      </c>
      <c r="B60" t="s">
        <v>104</v>
      </c>
      <c r="C60">
        <v>0</v>
      </c>
      <c r="D60">
        <v>0</v>
      </c>
      <c r="J60" t="s">
        <v>131</v>
      </c>
      <c r="K60">
        <v>1.4590000000000001</v>
      </c>
      <c r="L60">
        <v>1.506</v>
      </c>
      <c r="M60" t="s">
        <v>71</v>
      </c>
      <c r="N60">
        <v>1.6E-2</v>
      </c>
      <c r="O60">
        <v>1.4999999999999999E-2</v>
      </c>
      <c r="P60">
        <v>-0.62</v>
      </c>
      <c r="Q60">
        <v>0.30199999999999999</v>
      </c>
      <c r="R60">
        <v>-0.76900000000000002</v>
      </c>
      <c r="S60">
        <v>-0.52400000000000002</v>
      </c>
      <c r="T60">
        <v>-0.27400000000000002</v>
      </c>
      <c r="U60">
        <v>-0.13800000000000001</v>
      </c>
      <c r="V60">
        <v>-0.11700000000000001</v>
      </c>
      <c r="W60">
        <v>0.36699999999999999</v>
      </c>
      <c r="X60">
        <v>0.54200000000000004</v>
      </c>
      <c r="Y60">
        <v>0.54200000000000004</v>
      </c>
      <c r="Z60">
        <v>0.503</v>
      </c>
      <c r="AA60">
        <v>0.63200000000000001</v>
      </c>
      <c r="AB60">
        <v>0.76700000000000002</v>
      </c>
      <c r="AC60">
        <v>-0.84599999999999997</v>
      </c>
      <c r="AD60">
        <v>-0.82899999999999996</v>
      </c>
      <c r="AE60">
        <v>1</v>
      </c>
      <c r="AF60">
        <v>-0.27500000000000002</v>
      </c>
      <c r="AG60">
        <v>0.75</v>
      </c>
      <c r="AH60">
        <v>-0.72099999999999997</v>
      </c>
      <c r="AI60">
        <v>-0.316</v>
      </c>
      <c r="AJ60">
        <v>0.35799999999999998</v>
      </c>
      <c r="AK60">
        <v>-0.127</v>
      </c>
      <c r="AL60">
        <v>0.03</v>
      </c>
      <c r="AM60">
        <v>0.496</v>
      </c>
      <c r="AN60">
        <v>0.98299999999999998</v>
      </c>
      <c r="AO60">
        <v>-0.51100000000000001</v>
      </c>
      <c r="AP60">
        <v>-0.16</v>
      </c>
      <c r="AQ60">
        <v>-0.52100000000000002</v>
      </c>
      <c r="AR60">
        <v>2E-3</v>
      </c>
      <c r="AS60">
        <v>8.7999999999999995E-2</v>
      </c>
      <c r="AT60">
        <v>-0.79800000000000004</v>
      </c>
      <c r="AU60">
        <v>0.33800000000000002</v>
      </c>
      <c r="AV60">
        <v>0.156</v>
      </c>
      <c r="AW60">
        <v>0.80400000000000005</v>
      </c>
      <c r="AX60">
        <v>0.28100000000000003</v>
      </c>
      <c r="AY60">
        <v>-0.17499999999999999</v>
      </c>
      <c r="AZ60">
        <v>-8.1000000000000003E-2</v>
      </c>
      <c r="BA60">
        <v>-0.47399999999999998</v>
      </c>
      <c r="BB60">
        <v>-0.24199999999999999</v>
      </c>
      <c r="BC60">
        <v>-0.22900000000000001</v>
      </c>
      <c r="BD60">
        <v>2.8000000000000001E-2</v>
      </c>
      <c r="BE60">
        <v>0.48299999999999998</v>
      </c>
      <c r="BF60">
        <v>-0.13600000000000001</v>
      </c>
      <c r="BG60">
        <v>-0.95699999999999996</v>
      </c>
      <c r="BH60">
        <v>-0.49</v>
      </c>
      <c r="BI60">
        <v>0.46500000000000002</v>
      </c>
    </row>
    <row r="61" spans="1:61" x14ac:dyDescent="0.3">
      <c r="A61">
        <v>60</v>
      </c>
      <c r="B61" t="s">
        <v>124</v>
      </c>
      <c r="C61">
        <v>0</v>
      </c>
      <c r="D61">
        <v>8.6899096165727902E-3</v>
      </c>
      <c r="J61" t="s">
        <v>201</v>
      </c>
      <c r="K61">
        <v>1.44</v>
      </c>
      <c r="L61">
        <v>1.1120000000000001</v>
      </c>
      <c r="M61" t="s">
        <v>71</v>
      </c>
      <c r="N61">
        <v>1.4999999999999999E-2</v>
      </c>
      <c r="O61">
        <v>1.4999999999999999E-2</v>
      </c>
      <c r="P61">
        <v>2E-3</v>
      </c>
      <c r="Q61">
        <v>0.64300000000000002</v>
      </c>
      <c r="R61">
        <v>0.04</v>
      </c>
      <c r="S61">
        <v>-0.309</v>
      </c>
      <c r="T61">
        <v>0.13300000000000001</v>
      </c>
      <c r="U61">
        <v>-0.26200000000000001</v>
      </c>
      <c r="V61">
        <v>-0.55800000000000005</v>
      </c>
      <c r="W61">
        <v>-0.47699999999999998</v>
      </c>
      <c r="X61">
        <v>0.34100000000000003</v>
      </c>
      <c r="Y61">
        <v>0.34200000000000003</v>
      </c>
      <c r="Z61">
        <v>0.96299999999999997</v>
      </c>
      <c r="AA61">
        <v>1</v>
      </c>
      <c r="AB61">
        <v>0.90600000000000003</v>
      </c>
      <c r="AC61">
        <v>-0.151</v>
      </c>
      <c r="AD61">
        <v>-0.185</v>
      </c>
      <c r="AE61">
        <v>0.86899999999999999</v>
      </c>
      <c r="AF61">
        <v>0.80900000000000005</v>
      </c>
      <c r="AG61">
        <v>0.67</v>
      </c>
      <c r="AH61">
        <v>-0.65700000000000003</v>
      </c>
      <c r="AI61">
        <v>0.33100000000000002</v>
      </c>
      <c r="AJ61">
        <v>-0.86399999999999999</v>
      </c>
      <c r="AK61">
        <v>0.44900000000000001</v>
      </c>
      <c r="AL61">
        <v>-0.16700000000000001</v>
      </c>
      <c r="AM61">
        <v>-2.9000000000000001E-2</v>
      </c>
      <c r="AN61">
        <v>0.52200000000000002</v>
      </c>
      <c r="AO61">
        <v>-1</v>
      </c>
      <c r="AP61">
        <v>0.91700000000000004</v>
      </c>
      <c r="AQ61">
        <v>7.0000000000000007E-2</v>
      </c>
      <c r="AR61">
        <v>-0.21199999999999999</v>
      </c>
      <c r="AS61">
        <v>-0.39800000000000002</v>
      </c>
      <c r="AT61">
        <v>-0.26200000000000001</v>
      </c>
      <c r="AU61">
        <v>0.22600000000000001</v>
      </c>
      <c r="AV61">
        <v>-0.13200000000000001</v>
      </c>
      <c r="AW61">
        <v>-3.9E-2</v>
      </c>
      <c r="AX61">
        <v>-0.92500000000000004</v>
      </c>
      <c r="AY61">
        <v>0.72</v>
      </c>
      <c r="AZ61">
        <v>3.4000000000000002E-2</v>
      </c>
      <c r="BA61">
        <v>6.4000000000000001E-2</v>
      </c>
      <c r="BB61">
        <v>2.3E-2</v>
      </c>
      <c r="BC61">
        <v>1.7000000000000001E-2</v>
      </c>
      <c r="BD61">
        <v>0.33900000000000002</v>
      </c>
      <c r="BE61">
        <v>0.39700000000000002</v>
      </c>
      <c r="BF61">
        <v>0.44400000000000001</v>
      </c>
      <c r="BG61">
        <v>-0.56799999999999995</v>
      </c>
      <c r="BH61">
        <v>0.627</v>
      </c>
      <c r="BI61">
        <v>0.82799999999999996</v>
      </c>
    </row>
    <row r="62" spans="1:61" x14ac:dyDescent="0.3">
      <c r="A62">
        <v>61</v>
      </c>
      <c r="B62" t="s">
        <v>142</v>
      </c>
      <c r="C62">
        <v>0</v>
      </c>
      <c r="D62">
        <v>0</v>
      </c>
      <c r="J62" t="s">
        <v>184</v>
      </c>
      <c r="K62">
        <v>1.4330000000000001</v>
      </c>
      <c r="L62">
        <v>3.0430000000000001</v>
      </c>
      <c r="M62" t="s">
        <v>57</v>
      </c>
      <c r="N62">
        <v>1.7999999999999999E-2</v>
      </c>
      <c r="O62">
        <v>-1.6E-2</v>
      </c>
      <c r="P62">
        <v>-0.18099999999999999</v>
      </c>
      <c r="Q62">
        <v>-0.20100000000000001</v>
      </c>
      <c r="R62">
        <v>-0.82499999999999996</v>
      </c>
      <c r="S62">
        <v>-3.6999999999999998E-2</v>
      </c>
      <c r="T62">
        <v>-0.53400000000000003</v>
      </c>
      <c r="U62">
        <v>0.22600000000000001</v>
      </c>
      <c r="V62">
        <v>0.749</v>
      </c>
      <c r="W62">
        <v>-0.17499999999999999</v>
      </c>
      <c r="X62">
        <v>0.39500000000000002</v>
      </c>
      <c r="Y62">
        <v>0.39600000000000002</v>
      </c>
      <c r="Z62">
        <v>0.70099999999999996</v>
      </c>
      <c r="AA62">
        <v>0.72399999999999998</v>
      </c>
      <c r="AB62">
        <v>0.626</v>
      </c>
      <c r="AC62">
        <v>-3.1E-2</v>
      </c>
      <c r="AD62">
        <v>-0.59599999999999997</v>
      </c>
      <c r="AE62">
        <v>-0.32</v>
      </c>
      <c r="AF62">
        <v>-0.999</v>
      </c>
      <c r="AG62">
        <v>-0.751</v>
      </c>
      <c r="AH62">
        <v>-0.73599999999999999</v>
      </c>
      <c r="AI62">
        <v>-0.38</v>
      </c>
      <c r="AJ62">
        <v>-0.52900000000000003</v>
      </c>
      <c r="AK62">
        <v>-0.998</v>
      </c>
      <c r="AL62">
        <v>-0.20499999999999999</v>
      </c>
      <c r="AM62">
        <v>0.314</v>
      </c>
      <c r="AN62">
        <v>0.40799999999999997</v>
      </c>
      <c r="AO62">
        <v>0.22500000000000001</v>
      </c>
      <c r="AP62">
        <v>0.435</v>
      </c>
      <c r="AQ62">
        <v>0.78</v>
      </c>
      <c r="AR62">
        <v>0.45200000000000001</v>
      </c>
      <c r="AS62">
        <v>1</v>
      </c>
      <c r="AT62">
        <v>0.74</v>
      </c>
      <c r="AU62">
        <v>-2.1000000000000001E-2</v>
      </c>
      <c r="AV62">
        <v>0.161</v>
      </c>
      <c r="AW62">
        <v>0.17699999999999999</v>
      </c>
      <c r="AX62">
        <v>-6.9000000000000006E-2</v>
      </c>
      <c r="AY62">
        <v>0.44600000000000001</v>
      </c>
      <c r="AZ62">
        <v>0.23699999999999999</v>
      </c>
      <c r="BA62">
        <v>0.28000000000000003</v>
      </c>
      <c r="BB62">
        <v>0.41099999999999998</v>
      </c>
      <c r="BC62">
        <v>3.9E-2</v>
      </c>
      <c r="BD62">
        <v>0.23300000000000001</v>
      </c>
      <c r="BE62">
        <v>0.90600000000000003</v>
      </c>
      <c r="BF62">
        <v>-0.35799999999999998</v>
      </c>
      <c r="BG62">
        <v>0.315</v>
      </c>
      <c r="BH62">
        <v>-0.504</v>
      </c>
      <c r="BI62">
        <v>-0.78900000000000003</v>
      </c>
    </row>
    <row r="63" spans="1:61" x14ac:dyDescent="0.3">
      <c r="A63">
        <v>62</v>
      </c>
      <c r="B63" t="s">
        <v>74</v>
      </c>
      <c r="C63">
        <v>9.3139248144015092E-3</v>
      </c>
      <c r="D63">
        <v>7.1644842729701097E-3</v>
      </c>
      <c r="J63" t="s">
        <v>205</v>
      </c>
      <c r="K63">
        <v>1.381</v>
      </c>
      <c r="L63">
        <v>2.577</v>
      </c>
      <c r="M63" t="s">
        <v>57</v>
      </c>
      <c r="N63">
        <v>2.1999999999999999E-2</v>
      </c>
      <c r="O63">
        <v>6.0000000000000001E-3</v>
      </c>
      <c r="P63">
        <v>-0.39900000000000002</v>
      </c>
      <c r="Q63">
        <v>-0.157</v>
      </c>
      <c r="R63">
        <v>-0.88600000000000001</v>
      </c>
      <c r="S63">
        <v>-8.7999999999999995E-2</v>
      </c>
      <c r="T63">
        <v>-0.48199999999999998</v>
      </c>
      <c r="U63">
        <v>-0.26500000000000001</v>
      </c>
      <c r="V63">
        <v>-0.34799999999999998</v>
      </c>
      <c r="W63">
        <v>0.10299999999999999</v>
      </c>
      <c r="X63">
        <v>0.64300000000000002</v>
      </c>
      <c r="Y63">
        <v>0.64500000000000002</v>
      </c>
      <c r="Z63">
        <v>0.72599999999999998</v>
      </c>
      <c r="AA63">
        <v>0.8</v>
      </c>
      <c r="AB63">
        <v>0.81</v>
      </c>
      <c r="AC63">
        <v>-0.46899999999999997</v>
      </c>
      <c r="AD63">
        <v>-0.34799999999999998</v>
      </c>
      <c r="AE63">
        <v>0.52900000000000003</v>
      </c>
      <c r="AF63">
        <v>-0.92200000000000004</v>
      </c>
      <c r="AG63">
        <v>-0.39800000000000002</v>
      </c>
      <c r="AH63">
        <v>-0.97</v>
      </c>
      <c r="AI63">
        <v>-4.8000000000000001E-2</v>
      </c>
      <c r="AJ63">
        <v>-0.378</v>
      </c>
      <c r="AK63">
        <v>-0.65100000000000002</v>
      </c>
      <c r="AL63">
        <v>-0.28000000000000003</v>
      </c>
      <c r="AM63">
        <v>0.70699999999999996</v>
      </c>
      <c r="AN63">
        <v>0.44400000000000001</v>
      </c>
      <c r="AO63">
        <v>0.27800000000000002</v>
      </c>
      <c r="AP63">
        <v>0.88500000000000001</v>
      </c>
      <c r="AQ63">
        <v>0.39700000000000002</v>
      </c>
      <c r="AR63">
        <v>0.52900000000000003</v>
      </c>
      <c r="AS63">
        <v>-0.61599999999999999</v>
      </c>
      <c r="AT63">
        <v>-7.0000000000000001E-3</v>
      </c>
      <c r="AU63">
        <v>0.184</v>
      </c>
      <c r="AV63">
        <v>-0.36699999999999999</v>
      </c>
      <c r="AW63">
        <v>0.53200000000000003</v>
      </c>
      <c r="AX63">
        <v>0.57799999999999996</v>
      </c>
      <c r="AY63">
        <v>-4.2999999999999997E-2</v>
      </c>
      <c r="AZ63">
        <v>-0.11700000000000001</v>
      </c>
      <c r="BA63">
        <v>0.11899999999999999</v>
      </c>
      <c r="BB63">
        <v>0.78100000000000003</v>
      </c>
      <c r="BC63">
        <v>-0.87</v>
      </c>
      <c r="BD63">
        <v>-0.64600000000000002</v>
      </c>
      <c r="BE63">
        <v>0.41699999999999998</v>
      </c>
      <c r="BF63">
        <v>-0.70099999999999996</v>
      </c>
      <c r="BG63">
        <v>-0.314</v>
      </c>
      <c r="BH63">
        <v>-0.41099999999999998</v>
      </c>
      <c r="BI63">
        <v>-0.57699999999999996</v>
      </c>
    </row>
    <row r="64" spans="1:61" x14ac:dyDescent="0.3">
      <c r="A64">
        <v>63</v>
      </c>
      <c r="B64" t="s">
        <v>106</v>
      </c>
      <c r="C64">
        <v>9.4015787204751594E-3</v>
      </c>
      <c r="D64">
        <v>0</v>
      </c>
      <c r="J64" t="s">
        <v>153</v>
      </c>
      <c r="K64">
        <v>1.349</v>
      </c>
      <c r="L64">
        <v>2.1659999999999999</v>
      </c>
      <c r="M64" t="s">
        <v>57</v>
      </c>
      <c r="N64">
        <v>2.1000000000000001E-2</v>
      </c>
      <c r="O64">
        <v>8.0000000000000002E-3</v>
      </c>
      <c r="P64">
        <v>-0.41199999999999998</v>
      </c>
      <c r="Q64">
        <v>-8.7999999999999995E-2</v>
      </c>
      <c r="R64">
        <v>-0.88500000000000001</v>
      </c>
      <c r="S64">
        <v>-0.13400000000000001</v>
      </c>
      <c r="T64">
        <v>-0.45200000000000001</v>
      </c>
      <c r="U64">
        <v>-0.253</v>
      </c>
      <c r="V64">
        <v>-0.24299999999999999</v>
      </c>
      <c r="W64">
        <v>1.6E-2</v>
      </c>
      <c r="X64">
        <v>0.66700000000000004</v>
      </c>
      <c r="Y64">
        <v>0.66900000000000004</v>
      </c>
      <c r="Z64">
        <v>0.54100000000000004</v>
      </c>
      <c r="AA64">
        <v>0.83399999999999996</v>
      </c>
      <c r="AB64">
        <v>0.82899999999999996</v>
      </c>
      <c r="AC64">
        <v>-0.63800000000000001</v>
      </c>
      <c r="AD64">
        <v>-0.309</v>
      </c>
      <c r="AE64">
        <v>0.70699999999999996</v>
      </c>
      <c r="AF64">
        <v>-0.91300000000000003</v>
      </c>
      <c r="AG64">
        <v>-0.27600000000000002</v>
      </c>
      <c r="AH64">
        <v>-0.93300000000000005</v>
      </c>
      <c r="AI64">
        <v>-9.5000000000000001E-2</v>
      </c>
      <c r="AJ64">
        <v>-0.46300000000000002</v>
      </c>
      <c r="AK64">
        <v>-0.64400000000000002</v>
      </c>
      <c r="AL64">
        <v>0.10199999999999999</v>
      </c>
      <c r="AM64">
        <v>0.70599999999999996</v>
      </c>
      <c r="AN64">
        <v>0.65</v>
      </c>
      <c r="AO64">
        <v>0.315</v>
      </c>
      <c r="AP64">
        <v>0.71699999999999997</v>
      </c>
      <c r="AQ64">
        <v>0.41799999999999998</v>
      </c>
      <c r="AR64">
        <v>0.54700000000000004</v>
      </c>
      <c r="AS64">
        <v>-0.61899999999999999</v>
      </c>
      <c r="AT64">
        <v>-0.122</v>
      </c>
      <c r="AU64">
        <v>9.7000000000000003E-2</v>
      </c>
      <c r="AV64">
        <v>-0.154</v>
      </c>
      <c r="AW64">
        <v>0.89800000000000002</v>
      </c>
      <c r="AX64">
        <v>-0.25800000000000001</v>
      </c>
      <c r="AY64">
        <v>0.57999999999999996</v>
      </c>
      <c r="AZ64">
        <v>-0.51400000000000001</v>
      </c>
      <c r="BA64">
        <v>-0.501</v>
      </c>
      <c r="BB64">
        <v>0.52900000000000003</v>
      </c>
      <c r="BC64">
        <v>-0.70099999999999996</v>
      </c>
      <c r="BD64">
        <v>-0.16500000000000001</v>
      </c>
      <c r="BE64">
        <v>0.68600000000000005</v>
      </c>
      <c r="BF64">
        <v>-0.52900000000000003</v>
      </c>
      <c r="BG64">
        <v>-0.57899999999999996</v>
      </c>
      <c r="BH64">
        <v>-0.17799999999999999</v>
      </c>
      <c r="BI64">
        <v>-0.502</v>
      </c>
    </row>
    <row r="65" spans="1:61" x14ac:dyDescent="0.3">
      <c r="A65">
        <v>64</v>
      </c>
      <c r="B65" t="s">
        <v>229</v>
      </c>
      <c r="C65">
        <v>0</v>
      </c>
      <c r="D65">
        <v>7.1785641062755701E-3</v>
      </c>
      <c r="J65" t="s">
        <v>152</v>
      </c>
      <c r="K65">
        <v>1.3220000000000001</v>
      </c>
      <c r="L65">
        <v>1.004</v>
      </c>
      <c r="M65" t="s">
        <v>57</v>
      </c>
      <c r="N65">
        <v>8.9999999999999993E-3</v>
      </c>
      <c r="O65">
        <v>8.9999999999999993E-3</v>
      </c>
      <c r="P65">
        <v>0.19</v>
      </c>
      <c r="Q65">
        <v>-6.0999999999999999E-2</v>
      </c>
      <c r="R65">
        <v>-0.24199999999999999</v>
      </c>
      <c r="S65">
        <v>0.26500000000000001</v>
      </c>
      <c r="T65">
        <v>-9.6000000000000002E-2</v>
      </c>
      <c r="U65">
        <v>-0.20399999999999999</v>
      </c>
      <c r="V65">
        <v>-0.51</v>
      </c>
      <c r="W65">
        <v>-0.221</v>
      </c>
      <c r="X65">
        <v>2.7E-2</v>
      </c>
      <c r="Y65">
        <v>2.4E-2</v>
      </c>
      <c r="Z65">
        <v>0.82799999999999996</v>
      </c>
      <c r="AA65">
        <v>0.76500000000000001</v>
      </c>
      <c r="AB65">
        <v>0.57699999999999996</v>
      </c>
      <c r="AC65">
        <v>0.14399999999999999</v>
      </c>
      <c r="AD65">
        <v>0.40400000000000003</v>
      </c>
      <c r="AE65">
        <v>-3.4000000000000002E-2</v>
      </c>
      <c r="AF65">
        <v>-0.53</v>
      </c>
      <c r="AG65">
        <v>0.40400000000000003</v>
      </c>
      <c r="AH65">
        <v>0.371</v>
      </c>
      <c r="AI65">
        <v>-0.112</v>
      </c>
      <c r="AJ65">
        <v>-0.752</v>
      </c>
      <c r="AK65">
        <v>-0.73699999999999999</v>
      </c>
      <c r="AL65">
        <v>0.377</v>
      </c>
      <c r="AM65">
        <v>0.26700000000000002</v>
      </c>
      <c r="AN65">
        <v>0.214</v>
      </c>
      <c r="AO65">
        <v>1</v>
      </c>
      <c r="AP65">
        <v>0.58499999999999996</v>
      </c>
      <c r="AQ65">
        <v>0.29299999999999998</v>
      </c>
      <c r="AR65">
        <v>0.47199999999999998</v>
      </c>
      <c r="AS65">
        <v>-0.23499999999999999</v>
      </c>
      <c r="AT65">
        <v>0.70199999999999996</v>
      </c>
      <c r="AU65">
        <v>-0.30399999999999999</v>
      </c>
      <c r="AV65">
        <v>1.9E-2</v>
      </c>
      <c r="AW65">
        <v>-0.47599999999999998</v>
      </c>
      <c r="AX65">
        <v>0.85199999999999998</v>
      </c>
      <c r="AY65">
        <v>0.51900000000000002</v>
      </c>
      <c r="AZ65">
        <v>-0.496</v>
      </c>
      <c r="BA65">
        <v>-0.14199999999999999</v>
      </c>
      <c r="BB65">
        <v>0.47699999999999998</v>
      </c>
      <c r="BC65">
        <v>0.11</v>
      </c>
      <c r="BD65">
        <v>-0.52200000000000002</v>
      </c>
      <c r="BE65">
        <v>-0.433</v>
      </c>
      <c r="BF65">
        <v>-0.67</v>
      </c>
      <c r="BG65">
        <v>0.41799999999999998</v>
      </c>
      <c r="BH65">
        <v>-0.72899999999999998</v>
      </c>
      <c r="BI65">
        <v>2.5000000000000001E-2</v>
      </c>
    </row>
    <row r="66" spans="1:61" x14ac:dyDescent="0.3">
      <c r="A66">
        <v>65</v>
      </c>
      <c r="B66" t="s">
        <v>99</v>
      </c>
      <c r="C66">
        <v>0</v>
      </c>
      <c r="D66">
        <v>0</v>
      </c>
      <c r="J66" t="s">
        <v>107</v>
      </c>
      <c r="K66">
        <v>1.3080000000000001</v>
      </c>
      <c r="L66">
        <v>2.0059999999999998</v>
      </c>
      <c r="M66" t="s">
        <v>53</v>
      </c>
      <c r="N66">
        <v>1.7999999999999999E-2</v>
      </c>
      <c r="O66">
        <v>1.4E-2</v>
      </c>
      <c r="P66">
        <v>-0.64300000000000002</v>
      </c>
      <c r="Q66">
        <v>-0.5</v>
      </c>
      <c r="R66">
        <v>-0.81799999999999995</v>
      </c>
      <c r="S66">
        <v>-0.16900000000000001</v>
      </c>
      <c r="T66">
        <v>-0.45900000000000002</v>
      </c>
      <c r="U66">
        <v>-7.4999999999999997E-2</v>
      </c>
      <c r="V66">
        <v>0.45</v>
      </c>
      <c r="W66">
        <v>0.16500000000000001</v>
      </c>
      <c r="X66">
        <v>0.39</v>
      </c>
      <c r="Y66">
        <v>0.39400000000000002</v>
      </c>
      <c r="Z66">
        <v>0.755</v>
      </c>
      <c r="AA66">
        <v>0.77500000000000002</v>
      </c>
      <c r="AB66">
        <v>0.66100000000000003</v>
      </c>
      <c r="AC66">
        <v>-0.246</v>
      </c>
      <c r="AD66">
        <v>-0.112</v>
      </c>
      <c r="AE66">
        <v>0.11600000000000001</v>
      </c>
      <c r="AF66">
        <v>-0.91600000000000004</v>
      </c>
      <c r="AG66">
        <v>-0.57499999999999996</v>
      </c>
      <c r="AH66">
        <v>-0.57999999999999996</v>
      </c>
      <c r="AI66">
        <v>-0.23100000000000001</v>
      </c>
      <c r="AJ66">
        <v>9.4E-2</v>
      </c>
      <c r="AK66">
        <v>-0.9</v>
      </c>
      <c r="AL66">
        <v>-0.16500000000000001</v>
      </c>
      <c r="AM66">
        <v>0.49</v>
      </c>
      <c r="AN66">
        <v>0.34300000000000003</v>
      </c>
      <c r="AO66">
        <v>5.1999999999999998E-2</v>
      </c>
      <c r="AP66">
        <v>0.30499999999999999</v>
      </c>
      <c r="AQ66">
        <v>9.9000000000000005E-2</v>
      </c>
      <c r="AR66">
        <v>0.21199999999999999</v>
      </c>
      <c r="AS66">
        <v>0.156</v>
      </c>
      <c r="AT66">
        <v>5.0999999999999997E-2</v>
      </c>
      <c r="AU66">
        <v>0.81699999999999995</v>
      </c>
      <c r="AV66">
        <v>-0.15</v>
      </c>
      <c r="AW66">
        <v>0.85699999999999998</v>
      </c>
      <c r="AX66">
        <v>-0.66600000000000004</v>
      </c>
      <c r="AY66">
        <v>-0.157</v>
      </c>
      <c r="AZ66">
        <v>-0.17799999999999999</v>
      </c>
      <c r="BA66">
        <v>-0.03</v>
      </c>
      <c r="BB66">
        <v>-0.89400000000000002</v>
      </c>
      <c r="BC66">
        <v>-0.27200000000000002</v>
      </c>
      <c r="BD66">
        <v>0.72599999999999998</v>
      </c>
      <c r="BE66">
        <v>0.84899999999999998</v>
      </c>
      <c r="BF66">
        <v>-0.63</v>
      </c>
      <c r="BG66">
        <v>-0.379</v>
      </c>
      <c r="BH66">
        <v>0.22700000000000001</v>
      </c>
      <c r="BI66">
        <v>-0.496</v>
      </c>
    </row>
    <row r="67" spans="1:61" x14ac:dyDescent="0.3">
      <c r="A67">
        <v>66</v>
      </c>
      <c r="B67" t="s">
        <v>161</v>
      </c>
      <c r="C67">
        <v>0</v>
      </c>
      <c r="D67">
        <v>0</v>
      </c>
      <c r="J67" t="s">
        <v>123</v>
      </c>
      <c r="K67">
        <v>1.306</v>
      </c>
      <c r="L67">
        <v>2.2490000000000001</v>
      </c>
      <c r="M67" t="s">
        <v>55</v>
      </c>
      <c r="N67">
        <v>0.02</v>
      </c>
      <c r="O67">
        <v>0.01</v>
      </c>
      <c r="P67">
        <v>-0.36099999999999999</v>
      </c>
      <c r="Q67">
        <v>-0.57299999999999995</v>
      </c>
      <c r="R67">
        <v>-0.79</v>
      </c>
      <c r="S67">
        <v>-5.5E-2</v>
      </c>
      <c r="T67">
        <v>-0.57699999999999996</v>
      </c>
      <c r="U67">
        <v>0.112</v>
      </c>
      <c r="V67">
        <v>0.38</v>
      </c>
      <c r="W67">
        <v>-0.19400000000000001</v>
      </c>
      <c r="X67">
        <v>0.60099999999999998</v>
      </c>
      <c r="Y67">
        <v>0.59699999999999998</v>
      </c>
      <c r="Z67">
        <v>0.77</v>
      </c>
      <c r="AA67">
        <v>0.83499999999999996</v>
      </c>
      <c r="AB67">
        <v>0.68700000000000006</v>
      </c>
      <c r="AC67">
        <v>6.0999999999999999E-2</v>
      </c>
      <c r="AD67">
        <v>-0.311</v>
      </c>
      <c r="AE67">
        <v>-0.376</v>
      </c>
      <c r="AF67">
        <v>-0.996</v>
      </c>
      <c r="AG67">
        <v>-0.84199999999999997</v>
      </c>
      <c r="AH67">
        <v>-0.74399999999999999</v>
      </c>
      <c r="AI67">
        <v>-0.20799999999999999</v>
      </c>
      <c r="AJ67">
        <v>-0.38400000000000001</v>
      </c>
      <c r="AK67">
        <v>-0.52500000000000002</v>
      </c>
      <c r="AL67">
        <v>-0.54</v>
      </c>
      <c r="AM67">
        <v>0.13400000000000001</v>
      </c>
      <c r="AN67">
        <v>-0.14699999999999999</v>
      </c>
      <c r="AO67">
        <v>0.32900000000000001</v>
      </c>
      <c r="AP67">
        <v>0.34899999999999998</v>
      </c>
      <c r="AQ67">
        <v>0.379</v>
      </c>
      <c r="AR67">
        <v>0.13500000000000001</v>
      </c>
      <c r="AS67">
        <v>0.03</v>
      </c>
      <c r="AT67">
        <v>0.77100000000000002</v>
      </c>
      <c r="AU67">
        <v>0.83699999999999997</v>
      </c>
      <c r="AV67">
        <v>-0.11</v>
      </c>
      <c r="AW67">
        <v>0.99399999999999999</v>
      </c>
      <c r="AX67">
        <v>0.40600000000000003</v>
      </c>
      <c r="AY67">
        <v>0.72399999999999998</v>
      </c>
      <c r="AZ67">
        <v>4.2000000000000003E-2</v>
      </c>
      <c r="BA67">
        <v>-3.5999999999999997E-2</v>
      </c>
      <c r="BB67">
        <v>0.54400000000000004</v>
      </c>
      <c r="BC67">
        <v>-3.5999999999999997E-2</v>
      </c>
      <c r="BD67">
        <v>0.59299999999999997</v>
      </c>
      <c r="BE67">
        <v>0.64300000000000002</v>
      </c>
      <c r="BF67">
        <v>-0.63800000000000001</v>
      </c>
      <c r="BG67">
        <v>-0.375</v>
      </c>
      <c r="BH67">
        <v>6.9000000000000006E-2</v>
      </c>
      <c r="BI67">
        <v>-0.79800000000000004</v>
      </c>
    </row>
    <row r="68" spans="1:61" x14ac:dyDescent="0.3">
      <c r="A68">
        <v>67</v>
      </c>
      <c r="B68" t="s">
        <v>162</v>
      </c>
      <c r="C68">
        <v>0</v>
      </c>
      <c r="D68">
        <v>0</v>
      </c>
      <c r="J68" t="s">
        <v>63</v>
      </c>
      <c r="K68">
        <v>1.2529999999999999</v>
      </c>
      <c r="L68">
        <v>1.4930000000000001</v>
      </c>
      <c r="M68" t="s">
        <v>57</v>
      </c>
      <c r="N68">
        <v>1.2999999999999999E-2</v>
      </c>
      <c r="O68">
        <v>1.2999999999999999E-2</v>
      </c>
      <c r="P68">
        <v>-0.44600000000000001</v>
      </c>
      <c r="Q68">
        <v>-0.81699999999999995</v>
      </c>
      <c r="R68">
        <v>-0.20100000000000001</v>
      </c>
      <c r="S68">
        <v>-0.23</v>
      </c>
      <c r="T68">
        <v>-0.438</v>
      </c>
      <c r="U68">
        <v>0.19800000000000001</v>
      </c>
      <c r="V68">
        <v>0.624</v>
      </c>
      <c r="W68">
        <v>0.05</v>
      </c>
      <c r="X68">
        <v>0.30499999999999999</v>
      </c>
      <c r="Y68">
        <v>0.308</v>
      </c>
      <c r="Z68">
        <v>0.63700000000000001</v>
      </c>
      <c r="AA68">
        <v>0.505</v>
      </c>
      <c r="AB68">
        <v>0.44</v>
      </c>
      <c r="AC68">
        <v>0.26800000000000002</v>
      </c>
      <c r="AD68">
        <v>7.0000000000000001E-3</v>
      </c>
      <c r="AE68">
        <v>-0.93300000000000005</v>
      </c>
      <c r="AF68">
        <v>-0.23100000000000001</v>
      </c>
      <c r="AG68">
        <v>-0.76600000000000001</v>
      </c>
      <c r="AH68">
        <v>0.24299999999999999</v>
      </c>
      <c r="AI68">
        <v>-0.251</v>
      </c>
      <c r="AJ68">
        <v>1</v>
      </c>
      <c r="AK68">
        <v>-0.74399999999999999</v>
      </c>
      <c r="AL68">
        <v>0.52700000000000002</v>
      </c>
      <c r="AM68">
        <v>-0.71099999999999997</v>
      </c>
      <c r="AN68">
        <v>-0.317</v>
      </c>
      <c r="AO68">
        <v>0.151</v>
      </c>
      <c r="AP68">
        <v>-5.6000000000000001E-2</v>
      </c>
      <c r="AQ68">
        <v>-0.5</v>
      </c>
      <c r="AR68">
        <v>0.67</v>
      </c>
      <c r="AS68">
        <v>0.114</v>
      </c>
      <c r="AT68">
        <v>-1.0999999999999999E-2</v>
      </c>
      <c r="AU68">
        <v>0.42199999999999999</v>
      </c>
      <c r="AV68">
        <v>3.1E-2</v>
      </c>
      <c r="AW68">
        <v>0.58299999999999996</v>
      </c>
      <c r="AX68">
        <v>1</v>
      </c>
      <c r="AY68">
        <v>-0.193</v>
      </c>
      <c r="AZ68">
        <v>-0.79900000000000004</v>
      </c>
      <c r="BA68">
        <v>-0.77700000000000002</v>
      </c>
      <c r="BB68">
        <v>-0.51900000000000002</v>
      </c>
      <c r="BC68">
        <v>6.4000000000000001E-2</v>
      </c>
      <c r="BD68">
        <v>0.23899999999999999</v>
      </c>
      <c r="BE68">
        <v>0.752</v>
      </c>
      <c r="BF68">
        <v>-0.60299999999999998</v>
      </c>
      <c r="BG68">
        <v>-0.17100000000000001</v>
      </c>
      <c r="BH68">
        <v>0.20899999999999999</v>
      </c>
      <c r="BI68">
        <v>0.115</v>
      </c>
    </row>
    <row r="69" spans="1:61" x14ac:dyDescent="0.3">
      <c r="A69">
        <v>68</v>
      </c>
      <c r="B69" t="s">
        <v>171</v>
      </c>
      <c r="C69">
        <v>0</v>
      </c>
      <c r="D69">
        <v>0</v>
      </c>
      <c r="J69" t="s">
        <v>76</v>
      </c>
      <c r="K69">
        <v>1.2310000000000001</v>
      </c>
      <c r="L69">
        <v>0.89700000000000002</v>
      </c>
      <c r="M69" t="s">
        <v>57</v>
      </c>
      <c r="N69">
        <v>5.0000000000000001E-3</v>
      </c>
      <c r="O69">
        <v>5.0000000000000001E-3</v>
      </c>
      <c r="P69">
        <v>5.5E-2</v>
      </c>
      <c r="Q69">
        <v>-0.45700000000000002</v>
      </c>
      <c r="R69">
        <v>0.45700000000000002</v>
      </c>
      <c r="S69">
        <v>-0.217</v>
      </c>
      <c r="T69">
        <v>-6.5000000000000002E-2</v>
      </c>
      <c r="U69">
        <v>-6.4000000000000001E-2</v>
      </c>
      <c r="V69">
        <v>-3.1E-2</v>
      </c>
      <c r="W69">
        <v>-0.34899999999999998</v>
      </c>
      <c r="X69">
        <v>4.2999999999999997E-2</v>
      </c>
      <c r="Y69">
        <v>4.1000000000000002E-2</v>
      </c>
      <c r="Z69">
        <v>0.79600000000000004</v>
      </c>
      <c r="AA69">
        <v>0.58199999999999996</v>
      </c>
      <c r="AB69">
        <v>0.52400000000000002</v>
      </c>
      <c r="AC69">
        <v>-9.2999999999999999E-2</v>
      </c>
      <c r="AD69">
        <v>0.84799999999999998</v>
      </c>
      <c r="AE69">
        <v>-0.68799999999999994</v>
      </c>
      <c r="AF69">
        <v>0.66100000000000003</v>
      </c>
      <c r="AG69">
        <v>-0.27200000000000002</v>
      </c>
      <c r="AH69">
        <v>0.29799999999999999</v>
      </c>
      <c r="AI69">
        <v>-2.8000000000000001E-2</v>
      </c>
      <c r="AJ69">
        <v>0.30199999999999999</v>
      </c>
      <c r="AK69">
        <v>-0.20599999999999999</v>
      </c>
      <c r="AL69">
        <v>0.70399999999999996</v>
      </c>
      <c r="AM69">
        <v>-0.47099999999999997</v>
      </c>
      <c r="AN69">
        <v>-1</v>
      </c>
      <c r="AO69">
        <v>0.42799999999999999</v>
      </c>
      <c r="AP69">
        <v>-1.7000000000000001E-2</v>
      </c>
      <c r="AQ69">
        <v>-0.37</v>
      </c>
      <c r="AR69">
        <v>-1.2E-2</v>
      </c>
      <c r="AS69">
        <v>-9.8000000000000004E-2</v>
      </c>
      <c r="AT69">
        <v>-0.28199999999999997</v>
      </c>
      <c r="AU69">
        <v>-0.32500000000000001</v>
      </c>
      <c r="AV69">
        <v>5.2999999999999999E-2</v>
      </c>
      <c r="AW69">
        <v>0.63</v>
      </c>
      <c r="AX69">
        <v>0.254</v>
      </c>
      <c r="AY69">
        <v>0.66600000000000004</v>
      </c>
      <c r="AZ69">
        <v>4.7E-2</v>
      </c>
      <c r="BA69">
        <v>-0.106</v>
      </c>
      <c r="BB69">
        <v>0.245</v>
      </c>
      <c r="BC69">
        <v>1</v>
      </c>
      <c r="BD69">
        <v>0.47299999999999998</v>
      </c>
      <c r="BE69">
        <v>0.32300000000000001</v>
      </c>
      <c r="BF69">
        <v>-0.38200000000000001</v>
      </c>
      <c r="BG69">
        <v>0.71399999999999997</v>
      </c>
      <c r="BH69">
        <v>0.79700000000000004</v>
      </c>
      <c r="BI69">
        <v>0.52500000000000002</v>
      </c>
    </row>
    <row r="70" spans="1:61" x14ac:dyDescent="0.3">
      <c r="A70">
        <v>69</v>
      </c>
      <c r="B70" t="s">
        <v>84</v>
      </c>
      <c r="C70">
        <v>1.1926820688697199E-2</v>
      </c>
      <c r="D70">
        <v>1.33335221956458E-2</v>
      </c>
      <c r="J70" t="s">
        <v>166</v>
      </c>
      <c r="K70">
        <v>1.228</v>
      </c>
      <c r="L70">
        <v>1.286</v>
      </c>
      <c r="M70" t="s">
        <v>55</v>
      </c>
      <c r="N70">
        <v>1.7999999999999999E-2</v>
      </c>
      <c r="O70">
        <v>1.7999999999999999E-2</v>
      </c>
      <c r="P70">
        <v>-0.68600000000000005</v>
      </c>
      <c r="Q70">
        <v>-0.32100000000000001</v>
      </c>
      <c r="R70">
        <v>-0.82399999999999995</v>
      </c>
      <c r="S70">
        <v>-0.503</v>
      </c>
      <c r="T70">
        <v>-0.56200000000000006</v>
      </c>
      <c r="U70">
        <v>-0.26100000000000001</v>
      </c>
      <c r="V70">
        <v>-0.107</v>
      </c>
      <c r="W70">
        <v>0.217</v>
      </c>
      <c r="X70">
        <v>0.61</v>
      </c>
      <c r="Y70">
        <v>0.61399999999999999</v>
      </c>
      <c r="Z70">
        <v>0.65300000000000002</v>
      </c>
      <c r="AA70">
        <v>0.748</v>
      </c>
      <c r="AB70">
        <v>0.72099999999999997</v>
      </c>
      <c r="AC70">
        <v>-0.83</v>
      </c>
      <c r="AD70">
        <v>-0.77</v>
      </c>
      <c r="AE70">
        <v>0.54100000000000004</v>
      </c>
      <c r="AF70">
        <v>-0.91100000000000003</v>
      </c>
      <c r="AG70">
        <v>-0.38500000000000001</v>
      </c>
      <c r="AH70">
        <v>-0.96199999999999997</v>
      </c>
      <c r="AI70">
        <v>-0.32400000000000001</v>
      </c>
      <c r="AJ70">
        <v>0.185</v>
      </c>
      <c r="AK70">
        <v>-0.52200000000000002</v>
      </c>
      <c r="AL70">
        <v>-0.58899999999999997</v>
      </c>
      <c r="AM70">
        <v>0.52400000000000002</v>
      </c>
      <c r="AN70">
        <v>0.99199999999999999</v>
      </c>
      <c r="AO70">
        <v>-0.23799999999999999</v>
      </c>
      <c r="AP70">
        <v>0.187</v>
      </c>
      <c r="AQ70">
        <v>-0.246</v>
      </c>
      <c r="AR70">
        <v>0.2</v>
      </c>
      <c r="AS70">
        <v>-0.33100000000000002</v>
      </c>
      <c r="AT70">
        <v>-0.54600000000000004</v>
      </c>
      <c r="AU70">
        <v>0.58799999999999997</v>
      </c>
      <c r="AV70">
        <v>-0.59699999999999998</v>
      </c>
      <c r="AW70">
        <v>0.85299999999999998</v>
      </c>
      <c r="AX70">
        <v>0.56599999999999995</v>
      </c>
      <c r="AY70">
        <v>0.10299999999999999</v>
      </c>
      <c r="AZ70">
        <v>-0.432</v>
      </c>
      <c r="BA70">
        <v>-0.66500000000000004</v>
      </c>
      <c r="BB70">
        <v>0.23499999999999999</v>
      </c>
      <c r="BC70">
        <v>3.1E-2</v>
      </c>
      <c r="BD70">
        <v>-0.13400000000000001</v>
      </c>
      <c r="BE70">
        <v>0.54</v>
      </c>
      <c r="BF70">
        <v>-0.53200000000000003</v>
      </c>
      <c r="BG70">
        <v>-0.40899999999999997</v>
      </c>
      <c r="BH70">
        <v>0.95199999999999996</v>
      </c>
      <c r="BI70">
        <v>-0.378</v>
      </c>
    </row>
    <row r="71" spans="1:61" x14ac:dyDescent="0.3">
      <c r="A71">
        <v>70</v>
      </c>
      <c r="B71" t="s">
        <v>91</v>
      </c>
      <c r="C71">
        <v>1.7075746070312099E-2</v>
      </c>
      <c r="D71">
        <v>1.33335221956458E-2</v>
      </c>
      <c r="J71" t="s">
        <v>110</v>
      </c>
      <c r="K71">
        <v>1.1910000000000001</v>
      </c>
      <c r="L71">
        <v>1.6180000000000001</v>
      </c>
      <c r="M71" t="s">
        <v>57</v>
      </c>
      <c r="N71">
        <v>2.3E-2</v>
      </c>
      <c r="O71">
        <v>2.3E-2</v>
      </c>
      <c r="P71">
        <v>-0.748</v>
      </c>
      <c r="Q71">
        <v>-0.55700000000000005</v>
      </c>
      <c r="R71">
        <v>-0.86899999999999999</v>
      </c>
      <c r="S71">
        <v>-0.34499999999999997</v>
      </c>
      <c r="T71">
        <v>-0.56499999999999995</v>
      </c>
      <c r="U71">
        <v>-0.28499999999999998</v>
      </c>
      <c r="V71">
        <v>-3.1E-2</v>
      </c>
      <c r="W71">
        <v>0.20699999999999999</v>
      </c>
      <c r="X71">
        <v>0.61599999999999999</v>
      </c>
      <c r="Y71">
        <v>0.61499999999999999</v>
      </c>
      <c r="Z71">
        <v>0.76300000000000001</v>
      </c>
      <c r="AA71">
        <v>0.78100000000000003</v>
      </c>
      <c r="AB71">
        <v>0.69499999999999995</v>
      </c>
      <c r="AC71">
        <v>-0.58399999999999996</v>
      </c>
      <c r="AD71">
        <v>9.6000000000000002E-2</v>
      </c>
      <c r="AE71">
        <v>0.36</v>
      </c>
      <c r="AF71">
        <v>-0.94799999999999995</v>
      </c>
      <c r="AG71">
        <v>-0.74399999999999999</v>
      </c>
      <c r="AH71">
        <v>-0.96099999999999997</v>
      </c>
      <c r="AI71">
        <v>-0.247</v>
      </c>
      <c r="AJ71">
        <v>0.13500000000000001</v>
      </c>
      <c r="AK71">
        <v>-0.55700000000000005</v>
      </c>
      <c r="AL71">
        <v>-0.193</v>
      </c>
      <c r="AM71">
        <v>0.56699999999999995</v>
      </c>
      <c r="AN71">
        <v>7.3999999999999996E-2</v>
      </c>
      <c r="AO71">
        <v>0.23400000000000001</v>
      </c>
      <c r="AP71">
        <v>0.26900000000000002</v>
      </c>
      <c r="AQ71">
        <v>-0.112</v>
      </c>
      <c r="AR71">
        <v>-8.1000000000000003E-2</v>
      </c>
      <c r="AS71">
        <v>-0.222</v>
      </c>
      <c r="AT71">
        <v>-0.20899999999999999</v>
      </c>
      <c r="AU71">
        <v>0.47399999999999998</v>
      </c>
      <c r="AV71">
        <v>-0.45300000000000001</v>
      </c>
      <c r="AW71">
        <v>0.16200000000000001</v>
      </c>
      <c r="AX71">
        <v>0.61199999999999999</v>
      </c>
      <c r="AY71">
        <v>-0.46200000000000002</v>
      </c>
      <c r="AZ71">
        <v>-0.34100000000000003</v>
      </c>
      <c r="BA71">
        <v>-0.317</v>
      </c>
      <c r="BB71">
        <v>-0.82699999999999996</v>
      </c>
      <c r="BC71">
        <v>-9.1999999999999998E-2</v>
      </c>
      <c r="BD71">
        <v>-3.5999999999999997E-2</v>
      </c>
      <c r="BE71">
        <v>0.82</v>
      </c>
      <c r="BF71">
        <v>-0.82899999999999996</v>
      </c>
      <c r="BG71">
        <v>-0.22900000000000001</v>
      </c>
      <c r="BH71">
        <v>0.34300000000000003</v>
      </c>
      <c r="BI71">
        <v>-0.93899999999999995</v>
      </c>
    </row>
    <row r="72" spans="1:61" x14ac:dyDescent="0.3">
      <c r="A72">
        <v>71</v>
      </c>
      <c r="B72" t="s">
        <v>158</v>
      </c>
      <c r="C72">
        <v>0</v>
      </c>
      <c r="D72">
        <v>0</v>
      </c>
      <c r="J72" t="s">
        <v>598</v>
      </c>
      <c r="K72">
        <v>1.1519999999999999</v>
      </c>
      <c r="L72">
        <v>1.03</v>
      </c>
      <c r="M72" t="s">
        <v>53</v>
      </c>
      <c r="N72">
        <v>1.2E-2</v>
      </c>
      <c r="O72">
        <v>1.2E-2</v>
      </c>
      <c r="P72">
        <v>-0.45</v>
      </c>
      <c r="Q72">
        <v>-0.51100000000000001</v>
      </c>
      <c r="R72">
        <v>-0.71599999999999997</v>
      </c>
      <c r="S72">
        <v>-0.20599999999999999</v>
      </c>
      <c r="T72">
        <v>-0.52700000000000002</v>
      </c>
      <c r="U72">
        <v>-0.13600000000000001</v>
      </c>
      <c r="V72">
        <v>6.5000000000000002E-2</v>
      </c>
      <c r="W72">
        <v>3.7999999999999999E-2</v>
      </c>
      <c r="X72">
        <v>0.29699999999999999</v>
      </c>
      <c r="Y72">
        <v>0.29799999999999999</v>
      </c>
      <c r="Z72">
        <v>0.59099999999999997</v>
      </c>
      <c r="AA72">
        <v>0.66100000000000003</v>
      </c>
      <c r="AB72">
        <v>0.626</v>
      </c>
      <c r="AC72">
        <v>-3.3000000000000002E-2</v>
      </c>
      <c r="AD72">
        <v>-0.84499999999999997</v>
      </c>
      <c r="AE72">
        <v>-0.31900000000000001</v>
      </c>
      <c r="AF72">
        <v>-0.98699999999999999</v>
      </c>
      <c r="AG72">
        <v>-0.49099999999999999</v>
      </c>
      <c r="AH72">
        <v>-0.441</v>
      </c>
      <c r="AI72">
        <v>-0.50700000000000001</v>
      </c>
      <c r="AJ72">
        <v>-0.122</v>
      </c>
      <c r="AK72">
        <v>-0.94599999999999995</v>
      </c>
      <c r="AL72">
        <v>-0.94799999999999995</v>
      </c>
      <c r="AM72">
        <v>0.35499999999999998</v>
      </c>
      <c r="AN72">
        <v>0.98599999999999999</v>
      </c>
      <c r="AO72">
        <v>-9.6000000000000002E-2</v>
      </c>
      <c r="AP72">
        <v>0.187</v>
      </c>
      <c r="AQ72">
        <v>-0.7</v>
      </c>
      <c r="AR72">
        <v>0.96</v>
      </c>
      <c r="AS72">
        <v>-3.9E-2</v>
      </c>
      <c r="AT72">
        <v>0.90800000000000003</v>
      </c>
      <c r="AU72">
        <v>0.73199999999999998</v>
      </c>
      <c r="AV72">
        <v>0.66600000000000004</v>
      </c>
      <c r="AW72">
        <v>0.64700000000000002</v>
      </c>
      <c r="AX72">
        <v>0.41399999999999998</v>
      </c>
      <c r="AY72">
        <v>0.999</v>
      </c>
      <c r="AZ72">
        <v>0.224</v>
      </c>
      <c r="BA72">
        <v>9.4E-2</v>
      </c>
      <c r="BB72">
        <v>-0.876</v>
      </c>
      <c r="BC72">
        <v>-4.7E-2</v>
      </c>
      <c r="BD72">
        <v>-0.38600000000000001</v>
      </c>
      <c r="BE72">
        <v>0.19400000000000001</v>
      </c>
      <c r="BF72">
        <v>-0.47499999999999998</v>
      </c>
      <c r="BG72">
        <v>-0.19900000000000001</v>
      </c>
      <c r="BH72">
        <v>0.114</v>
      </c>
      <c r="BI72">
        <v>-0.73699999999999999</v>
      </c>
    </row>
    <row r="73" spans="1:61" x14ac:dyDescent="0.3">
      <c r="A73">
        <v>72</v>
      </c>
      <c r="B73" t="s">
        <v>119</v>
      </c>
      <c r="C73">
        <v>8.7508553503635195E-3</v>
      </c>
      <c r="D73">
        <v>0</v>
      </c>
      <c r="J73" t="s">
        <v>160</v>
      </c>
      <c r="K73">
        <v>1.151</v>
      </c>
      <c r="L73">
        <v>0.86099999999999999</v>
      </c>
      <c r="M73" t="s">
        <v>57</v>
      </c>
      <c r="N73">
        <v>8.9999999999999993E-3</v>
      </c>
      <c r="O73">
        <v>8.9999999999999993E-3</v>
      </c>
      <c r="P73">
        <v>-0.11700000000000001</v>
      </c>
      <c r="Q73">
        <v>-0.14199999999999999</v>
      </c>
      <c r="R73">
        <v>-0.17599999999999999</v>
      </c>
      <c r="S73">
        <v>-0.16500000000000001</v>
      </c>
      <c r="T73">
        <v>-0.17799999999999999</v>
      </c>
      <c r="U73">
        <v>-0.34399999999999997</v>
      </c>
      <c r="V73">
        <v>-0.32</v>
      </c>
      <c r="W73">
        <v>-0.502</v>
      </c>
      <c r="X73">
        <v>0.45300000000000001</v>
      </c>
      <c r="Y73">
        <v>0.45</v>
      </c>
      <c r="Z73">
        <v>0.81599999999999995</v>
      </c>
      <c r="AA73">
        <v>1</v>
      </c>
      <c r="AB73">
        <v>0.67200000000000004</v>
      </c>
      <c r="AC73">
        <v>-0.156</v>
      </c>
      <c r="AD73">
        <v>0.70199999999999996</v>
      </c>
      <c r="AE73">
        <v>-0.19900000000000001</v>
      </c>
      <c r="AF73">
        <v>-0.47799999999999998</v>
      </c>
      <c r="AG73">
        <v>-0.82599999999999996</v>
      </c>
      <c r="AH73">
        <v>-0.55000000000000004</v>
      </c>
      <c r="AI73">
        <v>0.42899999999999999</v>
      </c>
      <c r="AJ73">
        <v>-0.48399999999999999</v>
      </c>
      <c r="AK73">
        <v>-3.4000000000000002E-2</v>
      </c>
      <c r="AL73">
        <v>0.95299999999999996</v>
      </c>
      <c r="AM73">
        <v>-0.218</v>
      </c>
      <c r="AN73">
        <v>-6.3E-2</v>
      </c>
      <c r="AO73">
        <v>5.6000000000000001E-2</v>
      </c>
      <c r="AP73">
        <v>0.26300000000000001</v>
      </c>
      <c r="AQ73">
        <v>-7.2999999999999995E-2</v>
      </c>
      <c r="AR73">
        <v>0.17799999999999999</v>
      </c>
      <c r="AS73">
        <v>0.40799999999999997</v>
      </c>
      <c r="AT73">
        <v>-0.39200000000000002</v>
      </c>
      <c r="AU73">
        <v>4.2000000000000003E-2</v>
      </c>
      <c r="AV73">
        <v>-0.16500000000000001</v>
      </c>
      <c r="AW73">
        <v>8.8999999999999996E-2</v>
      </c>
      <c r="AX73">
        <v>-1.4E-2</v>
      </c>
      <c r="AY73">
        <v>-0.02</v>
      </c>
      <c r="AZ73">
        <v>-5.3999999999999999E-2</v>
      </c>
      <c r="BA73">
        <v>0.24399999999999999</v>
      </c>
      <c r="BB73">
        <v>0.33600000000000002</v>
      </c>
      <c r="BC73">
        <v>8.9999999999999993E-3</v>
      </c>
      <c r="BD73">
        <v>0.437</v>
      </c>
      <c r="BE73">
        <v>-0.24</v>
      </c>
      <c r="BF73">
        <v>0.27400000000000002</v>
      </c>
      <c r="BG73">
        <v>-0.16500000000000001</v>
      </c>
      <c r="BH73">
        <v>0.99199999999999999</v>
      </c>
      <c r="BI73">
        <v>-0.11899999999999999</v>
      </c>
    </row>
    <row r="74" spans="1:61" x14ac:dyDescent="0.3">
      <c r="A74">
        <v>73</v>
      </c>
      <c r="B74" t="s">
        <v>140</v>
      </c>
      <c r="C74">
        <v>0</v>
      </c>
      <c r="D74">
        <v>0</v>
      </c>
      <c r="J74" t="s">
        <v>150</v>
      </c>
      <c r="K74">
        <v>1.143</v>
      </c>
      <c r="L74">
        <v>0.97399999999999998</v>
      </c>
      <c r="M74" t="s">
        <v>53</v>
      </c>
      <c r="N74">
        <v>0</v>
      </c>
      <c r="O74">
        <v>0</v>
      </c>
      <c r="P74">
        <v>-0.18099999999999999</v>
      </c>
      <c r="Q74">
        <v>-3.6999999999999998E-2</v>
      </c>
      <c r="R74">
        <v>-0.18</v>
      </c>
      <c r="S74">
        <v>-0.503</v>
      </c>
      <c r="T74">
        <v>-0.35399999999999998</v>
      </c>
      <c r="U74">
        <v>-0.182</v>
      </c>
      <c r="V74">
        <v>-0.112</v>
      </c>
      <c r="W74">
        <v>-0.28299999999999997</v>
      </c>
      <c r="X74">
        <v>0.14499999999999999</v>
      </c>
      <c r="Y74">
        <v>0.14299999999999999</v>
      </c>
      <c r="Z74">
        <v>0.69799999999999995</v>
      </c>
      <c r="AA74">
        <v>0.59599999999999997</v>
      </c>
      <c r="AB74">
        <v>0.70099999999999996</v>
      </c>
      <c r="AC74">
        <v>-0.39900000000000002</v>
      </c>
      <c r="AD74">
        <v>-0.86699999999999999</v>
      </c>
      <c r="AE74">
        <v>-0.25700000000000001</v>
      </c>
      <c r="AF74">
        <v>-0.32700000000000001</v>
      </c>
      <c r="AG74">
        <v>0.317</v>
      </c>
      <c r="AH74">
        <v>-0.17499999999999999</v>
      </c>
      <c r="AI74">
        <v>-0.218</v>
      </c>
      <c r="AJ74">
        <v>-0.33</v>
      </c>
      <c r="AK74">
        <v>-0.46899999999999997</v>
      </c>
      <c r="AL74">
        <v>0.254</v>
      </c>
      <c r="AM74">
        <v>0.185</v>
      </c>
      <c r="AN74">
        <v>0.32900000000000001</v>
      </c>
      <c r="AO74">
        <v>-0.26500000000000001</v>
      </c>
      <c r="AP74">
        <v>-0.32800000000000001</v>
      </c>
      <c r="AQ74">
        <v>-0.30199999999999999</v>
      </c>
      <c r="AR74">
        <v>6.0999999999999999E-2</v>
      </c>
      <c r="AS74">
        <v>-0.14299999999999999</v>
      </c>
      <c r="AT74">
        <v>3.5000000000000003E-2</v>
      </c>
      <c r="AU74">
        <v>0.28799999999999998</v>
      </c>
      <c r="AV74">
        <v>0.254</v>
      </c>
      <c r="AW74">
        <v>0.81699999999999995</v>
      </c>
      <c r="AX74">
        <v>0.78</v>
      </c>
      <c r="AY74">
        <v>0.60299999999999998</v>
      </c>
      <c r="AZ74">
        <v>-7.3999999999999996E-2</v>
      </c>
      <c r="BA74">
        <v>-0.17100000000000001</v>
      </c>
      <c r="BB74">
        <v>0.21299999999999999</v>
      </c>
      <c r="BC74">
        <v>-0.33300000000000002</v>
      </c>
      <c r="BD74">
        <v>0.5</v>
      </c>
      <c r="BE74">
        <v>0.48599999999999999</v>
      </c>
      <c r="BF74">
        <v>0.26600000000000001</v>
      </c>
      <c r="BG74">
        <v>-0.153</v>
      </c>
      <c r="BH74">
        <v>0.70699999999999996</v>
      </c>
      <c r="BI74">
        <v>0.35</v>
      </c>
    </row>
    <row r="75" spans="1:61" x14ac:dyDescent="0.3">
      <c r="A75">
        <v>74</v>
      </c>
      <c r="B75" t="s">
        <v>78</v>
      </c>
      <c r="C75">
        <v>0</v>
      </c>
      <c r="D75">
        <v>0</v>
      </c>
      <c r="J75" t="s">
        <v>165</v>
      </c>
      <c r="K75">
        <v>1.1279999999999999</v>
      </c>
      <c r="L75">
        <v>0.85099999999999998</v>
      </c>
      <c r="M75" t="s">
        <v>71</v>
      </c>
      <c r="N75">
        <v>0</v>
      </c>
      <c r="O75">
        <v>0</v>
      </c>
      <c r="P75">
        <v>-0.36399999999999999</v>
      </c>
      <c r="Q75">
        <v>0.245</v>
      </c>
      <c r="R75">
        <v>-0.63600000000000001</v>
      </c>
      <c r="S75">
        <v>-0.31</v>
      </c>
      <c r="T75">
        <v>-0.18099999999999999</v>
      </c>
      <c r="U75">
        <v>-0.64400000000000002</v>
      </c>
      <c r="V75">
        <v>-0.82399999999999995</v>
      </c>
      <c r="W75">
        <v>-0.13800000000000001</v>
      </c>
      <c r="X75">
        <v>0.48299999999999998</v>
      </c>
      <c r="Y75">
        <v>0.48399999999999999</v>
      </c>
      <c r="Z75">
        <v>0.61099999999999999</v>
      </c>
      <c r="AA75">
        <v>0.57199999999999995</v>
      </c>
      <c r="AB75">
        <v>0.879</v>
      </c>
      <c r="AC75">
        <v>-0.20499999999999999</v>
      </c>
      <c r="AD75">
        <v>-0.49099999999999999</v>
      </c>
      <c r="AE75">
        <v>0.98</v>
      </c>
      <c r="AF75">
        <v>-0.73099999999999998</v>
      </c>
      <c r="AG75">
        <v>-0.23</v>
      </c>
      <c r="AH75">
        <v>-0.92100000000000004</v>
      </c>
      <c r="AI75">
        <v>-0.254</v>
      </c>
      <c r="AJ75">
        <v>-0.67500000000000004</v>
      </c>
      <c r="AK75">
        <v>0.224</v>
      </c>
      <c r="AL75">
        <v>-0.46</v>
      </c>
      <c r="AM75">
        <v>0.66800000000000004</v>
      </c>
      <c r="AN75">
        <v>0.626</v>
      </c>
      <c r="AO75">
        <v>-0.53500000000000003</v>
      </c>
      <c r="AP75">
        <v>1</v>
      </c>
      <c r="AQ75">
        <v>0.155</v>
      </c>
      <c r="AR75">
        <v>-0.11799999999999999</v>
      </c>
      <c r="AS75">
        <v>-0.8</v>
      </c>
      <c r="AT75">
        <v>6.7000000000000004E-2</v>
      </c>
      <c r="AU75">
        <v>-0.13400000000000001</v>
      </c>
      <c r="AV75">
        <v>0.124</v>
      </c>
      <c r="AW75">
        <v>0.622</v>
      </c>
      <c r="AX75">
        <v>-1</v>
      </c>
      <c r="AY75">
        <v>0.74299999999999999</v>
      </c>
      <c r="AZ75">
        <v>0.50600000000000001</v>
      </c>
      <c r="BA75">
        <v>0.26600000000000001</v>
      </c>
      <c r="BB75">
        <v>0.77300000000000002</v>
      </c>
      <c r="BC75">
        <v>-1</v>
      </c>
      <c r="BD75">
        <v>0.62</v>
      </c>
      <c r="BE75">
        <v>-0.42599999999999999</v>
      </c>
      <c r="BF75">
        <v>3.0000000000000001E-3</v>
      </c>
      <c r="BG75">
        <v>-0.32400000000000001</v>
      </c>
      <c r="BH75">
        <v>0.83499999999999996</v>
      </c>
      <c r="BI75">
        <v>-8.9999999999999993E-3</v>
      </c>
    </row>
    <row r="76" spans="1:61" x14ac:dyDescent="0.3">
      <c r="A76">
        <v>75</v>
      </c>
      <c r="B76" t="s">
        <v>129</v>
      </c>
      <c r="C76">
        <v>0</v>
      </c>
      <c r="D76">
        <v>0</v>
      </c>
      <c r="J76" t="s">
        <v>99</v>
      </c>
      <c r="K76">
        <v>1.111</v>
      </c>
      <c r="L76">
        <v>1.143</v>
      </c>
      <c r="M76" t="s">
        <v>57</v>
      </c>
      <c r="N76">
        <v>0</v>
      </c>
      <c r="O76">
        <v>0</v>
      </c>
      <c r="P76">
        <v>-0.17100000000000001</v>
      </c>
      <c r="Q76">
        <v>-0.58899999999999997</v>
      </c>
      <c r="R76">
        <v>0.26900000000000002</v>
      </c>
      <c r="S76">
        <v>-0.23899999999999999</v>
      </c>
      <c r="T76">
        <v>-0.151</v>
      </c>
      <c r="U76">
        <v>-3.1E-2</v>
      </c>
      <c r="V76">
        <v>7.1999999999999995E-2</v>
      </c>
      <c r="W76">
        <v>-0.36799999999999999</v>
      </c>
      <c r="X76">
        <v>0.17799999999999999</v>
      </c>
      <c r="Y76">
        <v>0.17699999999999999</v>
      </c>
      <c r="Z76">
        <v>0.53100000000000003</v>
      </c>
      <c r="AA76">
        <v>0.61699999999999999</v>
      </c>
      <c r="AB76">
        <v>0.55100000000000005</v>
      </c>
      <c r="AC76">
        <v>0.32600000000000001</v>
      </c>
      <c r="AD76">
        <v>0.53</v>
      </c>
      <c r="AE76">
        <v>-0.65800000000000003</v>
      </c>
      <c r="AF76">
        <v>0.60399999999999998</v>
      </c>
      <c r="AG76">
        <v>-0.376</v>
      </c>
      <c r="AH76">
        <v>0.159</v>
      </c>
      <c r="AI76">
        <v>-0.223</v>
      </c>
      <c r="AJ76">
        <v>0.378</v>
      </c>
      <c r="AK76">
        <v>9.0999999999999998E-2</v>
      </c>
      <c r="AL76">
        <v>0.157</v>
      </c>
      <c r="AM76">
        <v>-0.753</v>
      </c>
      <c r="AN76">
        <v>-0.84499999999999997</v>
      </c>
      <c r="AO76">
        <v>0.38700000000000001</v>
      </c>
      <c r="AP76">
        <v>-6.3E-2</v>
      </c>
      <c r="AQ76">
        <v>-0.158</v>
      </c>
      <c r="AR76">
        <v>-0.14399999999999999</v>
      </c>
      <c r="AS76">
        <v>-0.45800000000000002</v>
      </c>
      <c r="AT76">
        <v>5.6000000000000001E-2</v>
      </c>
      <c r="AU76">
        <v>6.6000000000000003E-2</v>
      </c>
      <c r="AV76">
        <v>-2E-3</v>
      </c>
      <c r="AW76">
        <v>0.64</v>
      </c>
      <c r="AX76">
        <v>0.32500000000000001</v>
      </c>
      <c r="AY76">
        <v>0.1</v>
      </c>
      <c r="AZ76">
        <v>-9.9000000000000005E-2</v>
      </c>
      <c r="BA76">
        <v>-0.442</v>
      </c>
      <c r="BB76">
        <v>7.2999999999999995E-2</v>
      </c>
      <c r="BC76">
        <v>0.60599999999999998</v>
      </c>
      <c r="BD76">
        <v>0.3</v>
      </c>
      <c r="BE76">
        <v>0.86099999999999999</v>
      </c>
      <c r="BF76">
        <v>-0.26700000000000002</v>
      </c>
      <c r="BG76">
        <v>0.187</v>
      </c>
      <c r="BH76">
        <v>0.53400000000000003</v>
      </c>
      <c r="BI76">
        <v>0.49299999999999999</v>
      </c>
    </row>
    <row r="77" spans="1:61" x14ac:dyDescent="0.3">
      <c r="A77">
        <v>76</v>
      </c>
      <c r="B77" t="s">
        <v>248</v>
      </c>
      <c r="C77">
        <v>0</v>
      </c>
      <c r="D77">
        <v>0</v>
      </c>
      <c r="J77" t="s">
        <v>237</v>
      </c>
      <c r="K77">
        <v>1.097</v>
      </c>
      <c r="L77">
        <v>0.76800000000000002</v>
      </c>
      <c r="M77" t="s">
        <v>53</v>
      </c>
      <c r="N77">
        <v>0</v>
      </c>
      <c r="O77">
        <v>0</v>
      </c>
      <c r="P77">
        <v>0.38700000000000001</v>
      </c>
      <c r="Q77">
        <v>0.82799999999999996</v>
      </c>
      <c r="R77">
        <v>0.56000000000000005</v>
      </c>
      <c r="S77">
        <v>9.0999999999999998E-2</v>
      </c>
      <c r="T77">
        <v>0.56499999999999995</v>
      </c>
      <c r="U77">
        <v>-0.57099999999999995</v>
      </c>
      <c r="V77">
        <v>-0.79</v>
      </c>
      <c r="W77">
        <v>-0.503</v>
      </c>
      <c r="X77">
        <v>-0.14899999999999999</v>
      </c>
      <c r="Y77">
        <v>-0.14799999999999999</v>
      </c>
      <c r="Z77">
        <v>0.32400000000000001</v>
      </c>
      <c r="AA77">
        <v>0.42499999999999999</v>
      </c>
      <c r="AB77">
        <v>0.312</v>
      </c>
      <c r="AC77">
        <v>0.437</v>
      </c>
      <c r="AD77">
        <v>0.64</v>
      </c>
      <c r="AE77">
        <v>0.76400000000000001</v>
      </c>
      <c r="AF77">
        <v>1</v>
      </c>
      <c r="AG77">
        <v>0.65800000000000003</v>
      </c>
      <c r="AH77">
        <v>-0.52400000000000002</v>
      </c>
      <c r="AI77">
        <v>0.67400000000000004</v>
      </c>
      <c r="AJ77">
        <v>-0.89100000000000001</v>
      </c>
      <c r="AK77">
        <v>0.80200000000000005</v>
      </c>
      <c r="AL77">
        <v>0.217</v>
      </c>
      <c r="AM77">
        <v>-0.22800000000000001</v>
      </c>
      <c r="AN77">
        <v>0.249</v>
      </c>
      <c r="AO77">
        <v>-0.30399999999999999</v>
      </c>
      <c r="AP77">
        <v>0.26500000000000001</v>
      </c>
      <c r="AQ77">
        <v>5.1999999999999998E-2</v>
      </c>
      <c r="AR77">
        <v>7.0000000000000001E-3</v>
      </c>
      <c r="AS77">
        <v>-0.62</v>
      </c>
      <c r="AT77">
        <v>-0.01</v>
      </c>
      <c r="AU77">
        <v>-0.55800000000000005</v>
      </c>
      <c r="AV77">
        <v>-0.61199999999999999</v>
      </c>
      <c r="AW77">
        <v>-0.33600000000000002</v>
      </c>
      <c r="AX77">
        <v>-0.51300000000000001</v>
      </c>
      <c r="AY77">
        <v>0.98399999999999999</v>
      </c>
      <c r="AZ77">
        <v>0.104</v>
      </c>
      <c r="BA77">
        <v>-3.0000000000000001E-3</v>
      </c>
      <c r="BB77">
        <v>0.32300000000000001</v>
      </c>
      <c r="BC77">
        <v>0.54700000000000004</v>
      </c>
      <c r="BD77">
        <v>0.51500000000000001</v>
      </c>
      <c r="BE77">
        <v>-0.63900000000000001</v>
      </c>
      <c r="BF77">
        <v>1</v>
      </c>
      <c r="BG77">
        <v>0.38600000000000001</v>
      </c>
      <c r="BH77">
        <v>0.59499999999999997</v>
      </c>
      <c r="BI77">
        <v>0.99399999999999999</v>
      </c>
    </row>
    <row r="78" spans="1:61" x14ac:dyDescent="0.3">
      <c r="A78">
        <v>77</v>
      </c>
      <c r="B78" t="s">
        <v>225</v>
      </c>
      <c r="C78">
        <v>0</v>
      </c>
      <c r="D78">
        <v>0</v>
      </c>
      <c r="J78" t="s">
        <v>164</v>
      </c>
      <c r="K78">
        <v>1.093</v>
      </c>
      <c r="L78">
        <v>1.1719999999999999</v>
      </c>
      <c r="M78" t="s">
        <v>68</v>
      </c>
      <c r="N78">
        <v>0</v>
      </c>
      <c r="O78">
        <v>0</v>
      </c>
      <c r="P78">
        <v>-7.0999999999999994E-2</v>
      </c>
      <c r="Q78">
        <v>-2E-3</v>
      </c>
      <c r="R78">
        <v>-5.6000000000000001E-2</v>
      </c>
      <c r="S78">
        <v>-0.33</v>
      </c>
      <c r="T78">
        <v>-0.218</v>
      </c>
      <c r="U78">
        <v>-0.25900000000000001</v>
      </c>
      <c r="V78">
        <v>-0.40699999999999997</v>
      </c>
      <c r="W78">
        <v>-0.60499999999999998</v>
      </c>
      <c r="X78">
        <v>0.53200000000000003</v>
      </c>
      <c r="Y78">
        <v>0.52900000000000003</v>
      </c>
      <c r="Z78">
        <v>0.62</v>
      </c>
      <c r="AA78">
        <v>0.70899999999999996</v>
      </c>
      <c r="AB78">
        <v>0.70599999999999996</v>
      </c>
      <c r="AC78">
        <v>-0.22800000000000001</v>
      </c>
      <c r="AD78">
        <v>4.0000000000000001E-3</v>
      </c>
      <c r="AE78">
        <v>-0.16</v>
      </c>
      <c r="AF78">
        <v>0.54800000000000004</v>
      </c>
      <c r="AG78">
        <v>-0.37</v>
      </c>
      <c r="AH78">
        <v>-0.53100000000000003</v>
      </c>
      <c r="AI78">
        <v>0.314</v>
      </c>
      <c r="AJ78">
        <v>-0.46500000000000002</v>
      </c>
      <c r="AK78">
        <v>0.71699999999999997</v>
      </c>
      <c r="AL78">
        <v>-0.25700000000000001</v>
      </c>
      <c r="AM78">
        <v>-0.433</v>
      </c>
      <c r="AN78">
        <v>-0.17499999999999999</v>
      </c>
      <c r="AO78">
        <v>5.8000000000000003E-2</v>
      </c>
      <c r="AP78">
        <v>0.314</v>
      </c>
      <c r="AQ78">
        <v>6.9000000000000006E-2</v>
      </c>
      <c r="AR78">
        <v>8.9999999999999993E-3</v>
      </c>
      <c r="AS78">
        <v>-0.54300000000000004</v>
      </c>
      <c r="AT78">
        <v>-0.217</v>
      </c>
      <c r="AU78">
        <v>0.54</v>
      </c>
      <c r="AV78">
        <v>-0.21099999999999999</v>
      </c>
      <c r="AW78">
        <v>0.92800000000000005</v>
      </c>
      <c r="AX78">
        <v>1</v>
      </c>
      <c r="AY78">
        <v>4.8000000000000001E-2</v>
      </c>
      <c r="AZ78">
        <v>0.224</v>
      </c>
      <c r="BA78">
        <v>0.13800000000000001</v>
      </c>
      <c r="BB78">
        <v>0.29499999999999998</v>
      </c>
      <c r="BC78">
        <v>-0.28799999999999998</v>
      </c>
      <c r="BD78">
        <v>-0.224</v>
      </c>
      <c r="BE78">
        <v>0.38300000000000001</v>
      </c>
      <c r="BF78">
        <v>-4.2999999999999997E-2</v>
      </c>
      <c r="BG78">
        <v>0.24</v>
      </c>
      <c r="BH78">
        <v>6.0999999999999999E-2</v>
      </c>
      <c r="BI78">
        <v>0.45400000000000001</v>
      </c>
    </row>
    <row r="79" spans="1:61" x14ac:dyDescent="0.3">
      <c r="A79">
        <v>78</v>
      </c>
      <c r="B79" t="s">
        <v>97</v>
      </c>
      <c r="C79">
        <v>1.0702295883290301E-2</v>
      </c>
      <c r="D79">
        <v>5.5117039047472699E-3</v>
      </c>
      <c r="J79" t="s">
        <v>143</v>
      </c>
      <c r="K79">
        <v>1.08</v>
      </c>
      <c r="L79">
        <v>1.333</v>
      </c>
      <c r="M79" t="s">
        <v>53</v>
      </c>
      <c r="N79">
        <v>0</v>
      </c>
      <c r="O79">
        <v>-3.0000000000000001E-3</v>
      </c>
      <c r="P79">
        <v>-0.39500000000000002</v>
      </c>
      <c r="Q79">
        <v>-0.47</v>
      </c>
      <c r="R79">
        <v>-0.7</v>
      </c>
      <c r="S79">
        <v>-0.315</v>
      </c>
      <c r="T79">
        <v>-0.57499999999999996</v>
      </c>
      <c r="U79">
        <v>-8.5999999999999993E-2</v>
      </c>
      <c r="V79">
        <v>0.13200000000000001</v>
      </c>
      <c r="W79">
        <v>-0.22</v>
      </c>
      <c r="X79">
        <v>0.32700000000000001</v>
      </c>
      <c r="Y79">
        <v>0.32500000000000001</v>
      </c>
      <c r="Z79">
        <v>0.81699999999999995</v>
      </c>
      <c r="AA79">
        <v>0.82499999999999996</v>
      </c>
      <c r="AB79">
        <v>0.622</v>
      </c>
      <c r="AC79">
        <v>-0.26400000000000001</v>
      </c>
      <c r="AD79">
        <v>-0.39200000000000002</v>
      </c>
      <c r="AE79">
        <v>-0.313</v>
      </c>
      <c r="AF79">
        <v>-0.65200000000000002</v>
      </c>
      <c r="AG79">
        <v>-0.32800000000000001</v>
      </c>
      <c r="AH79">
        <v>-0.78800000000000003</v>
      </c>
      <c r="AI79">
        <v>1.6E-2</v>
      </c>
      <c r="AJ79">
        <v>-8.4000000000000005E-2</v>
      </c>
      <c r="AK79">
        <v>-0.64</v>
      </c>
      <c r="AL79">
        <v>0.221</v>
      </c>
      <c r="AM79">
        <v>6.4000000000000001E-2</v>
      </c>
      <c r="AN79">
        <v>-0.10199999999999999</v>
      </c>
      <c r="AO79">
        <v>5.8000000000000003E-2</v>
      </c>
      <c r="AP79">
        <v>0.33200000000000002</v>
      </c>
      <c r="AQ79">
        <v>0.11899999999999999</v>
      </c>
      <c r="AR79">
        <v>0.217</v>
      </c>
      <c r="AS79">
        <v>-0.29199999999999998</v>
      </c>
      <c r="AT79">
        <v>7.0999999999999994E-2</v>
      </c>
      <c r="AU79">
        <v>0.45700000000000002</v>
      </c>
      <c r="AV79">
        <v>-0.158</v>
      </c>
      <c r="AW79">
        <v>0.92600000000000005</v>
      </c>
      <c r="AX79">
        <v>0.50800000000000001</v>
      </c>
      <c r="AY79">
        <v>-8.9999999999999993E-3</v>
      </c>
      <c r="AZ79">
        <v>-0.11799999999999999</v>
      </c>
      <c r="BA79">
        <v>-2.5999999999999999E-2</v>
      </c>
      <c r="BB79">
        <v>0.48799999999999999</v>
      </c>
      <c r="BC79">
        <v>-0.183</v>
      </c>
      <c r="BD79">
        <v>9.6000000000000002E-2</v>
      </c>
      <c r="BE79">
        <v>0.71</v>
      </c>
      <c r="BF79">
        <v>-0.123</v>
      </c>
      <c r="BG79">
        <v>-0.183</v>
      </c>
      <c r="BH79">
        <v>4.5999999999999999E-2</v>
      </c>
      <c r="BI79">
        <v>-0.14499999999999999</v>
      </c>
    </row>
    <row r="80" spans="1:61" x14ac:dyDescent="0.3">
      <c r="A80">
        <v>79</v>
      </c>
      <c r="B80" t="s">
        <v>125</v>
      </c>
      <c r="C80">
        <v>0</v>
      </c>
      <c r="D80">
        <v>0</v>
      </c>
      <c r="J80" t="s">
        <v>132</v>
      </c>
      <c r="K80">
        <v>1.08</v>
      </c>
      <c r="L80">
        <v>0.88400000000000001</v>
      </c>
      <c r="M80" t="s">
        <v>53</v>
      </c>
      <c r="N80">
        <v>0</v>
      </c>
      <c r="O80">
        <v>0</v>
      </c>
      <c r="P80">
        <v>-0.27500000000000002</v>
      </c>
      <c r="Q80">
        <v>-0.47799999999999998</v>
      </c>
      <c r="R80">
        <v>-0.47399999999999998</v>
      </c>
      <c r="S80">
        <v>-0.25900000000000001</v>
      </c>
      <c r="T80">
        <v>-0.46500000000000002</v>
      </c>
      <c r="U80">
        <v>-0.13400000000000001</v>
      </c>
      <c r="V80">
        <v>-0.01</v>
      </c>
      <c r="W80">
        <v>-0.29899999999999999</v>
      </c>
      <c r="X80">
        <v>0.30399999999999999</v>
      </c>
      <c r="Y80">
        <v>0.29799999999999999</v>
      </c>
      <c r="Z80">
        <v>0.748</v>
      </c>
      <c r="AA80">
        <v>0.77600000000000002</v>
      </c>
      <c r="AB80">
        <v>0.63400000000000001</v>
      </c>
      <c r="AC80">
        <v>-0.14799999999999999</v>
      </c>
      <c r="AD80">
        <v>-0.20699999999999999</v>
      </c>
      <c r="AE80">
        <v>-0.45800000000000002</v>
      </c>
      <c r="AF80">
        <v>-0.51900000000000002</v>
      </c>
      <c r="AG80">
        <v>4.5999999999999999E-2</v>
      </c>
      <c r="AH80">
        <v>-0.39700000000000002</v>
      </c>
      <c r="AI80">
        <v>-0.187</v>
      </c>
      <c r="AJ80">
        <v>-5.7000000000000002E-2</v>
      </c>
      <c r="AK80">
        <v>-0.41899999999999998</v>
      </c>
      <c r="AL80">
        <v>-0.113</v>
      </c>
      <c r="AM80">
        <v>-1.6E-2</v>
      </c>
      <c r="AN80">
        <v>-0.99099999999999999</v>
      </c>
      <c r="AO80">
        <v>0.23899999999999999</v>
      </c>
      <c r="AP80">
        <v>1</v>
      </c>
      <c r="AQ80">
        <v>0.38400000000000001</v>
      </c>
      <c r="AR80">
        <v>0.30399999999999999</v>
      </c>
      <c r="AS80">
        <v>-0.46</v>
      </c>
      <c r="AT80">
        <v>0.36399999999999999</v>
      </c>
      <c r="AU80">
        <v>-0.14000000000000001</v>
      </c>
      <c r="AV80">
        <v>-0.15</v>
      </c>
      <c r="AW80">
        <v>0.88</v>
      </c>
      <c r="AX80">
        <v>0.442</v>
      </c>
      <c r="AY80">
        <v>0.73899999999999999</v>
      </c>
      <c r="AZ80">
        <v>-0.38800000000000001</v>
      </c>
      <c r="BA80">
        <v>-0.435</v>
      </c>
      <c r="BB80">
        <v>0.50700000000000001</v>
      </c>
      <c r="BC80">
        <v>0.36699999999999999</v>
      </c>
      <c r="BD80">
        <v>0.19800000000000001</v>
      </c>
      <c r="BE80">
        <v>0.71699999999999997</v>
      </c>
      <c r="BF80">
        <v>-0.33400000000000002</v>
      </c>
      <c r="BG80">
        <v>0.14199999999999999</v>
      </c>
      <c r="BH80">
        <v>-0.105</v>
      </c>
      <c r="BI80">
        <v>0.20599999999999999</v>
      </c>
    </row>
    <row r="81" spans="1:61" x14ac:dyDescent="0.3">
      <c r="A81">
        <v>80</v>
      </c>
      <c r="B81" t="s">
        <v>244</v>
      </c>
      <c r="C81">
        <v>0</v>
      </c>
      <c r="D81">
        <v>0</v>
      </c>
      <c r="J81" t="s">
        <v>228</v>
      </c>
      <c r="K81">
        <v>1.0720000000000001</v>
      </c>
      <c r="L81">
        <v>0.81200000000000006</v>
      </c>
      <c r="M81" t="s">
        <v>57</v>
      </c>
      <c r="N81">
        <v>0</v>
      </c>
      <c r="O81">
        <v>0</v>
      </c>
      <c r="P81">
        <v>3.2000000000000001E-2</v>
      </c>
      <c r="Q81">
        <v>0.45</v>
      </c>
      <c r="R81">
        <v>-4.1000000000000002E-2</v>
      </c>
      <c r="S81">
        <v>-0.27</v>
      </c>
      <c r="T81">
        <v>-4.8000000000000001E-2</v>
      </c>
      <c r="U81">
        <v>-0.40300000000000002</v>
      </c>
      <c r="V81">
        <v>-0.60199999999999998</v>
      </c>
      <c r="W81">
        <v>-0.501</v>
      </c>
      <c r="X81">
        <v>-0.10299999999999999</v>
      </c>
      <c r="Y81">
        <v>-0.10199999999999999</v>
      </c>
      <c r="Z81">
        <v>0.73099999999999998</v>
      </c>
      <c r="AA81">
        <v>0.81</v>
      </c>
      <c r="AB81">
        <v>0.69899999999999995</v>
      </c>
      <c r="AC81">
        <v>-0.93100000000000005</v>
      </c>
      <c r="AD81">
        <v>0.2</v>
      </c>
      <c r="AE81">
        <v>0.84199999999999997</v>
      </c>
      <c r="AF81">
        <v>-0.48099999999999998</v>
      </c>
      <c r="AG81">
        <v>1</v>
      </c>
      <c r="AH81">
        <v>0.38900000000000001</v>
      </c>
      <c r="AI81">
        <v>-0.17499999999999999</v>
      </c>
      <c r="AJ81">
        <v>-0.85099999999999998</v>
      </c>
      <c r="AK81">
        <v>-0.46500000000000002</v>
      </c>
      <c r="AL81">
        <v>0.20100000000000001</v>
      </c>
      <c r="AM81">
        <v>-5.0000000000000001E-3</v>
      </c>
      <c r="AN81">
        <v>0.93200000000000005</v>
      </c>
      <c r="AO81">
        <v>0.32600000000000001</v>
      </c>
      <c r="AP81">
        <v>0.44800000000000001</v>
      </c>
      <c r="AQ81">
        <v>0.28599999999999998</v>
      </c>
      <c r="AR81">
        <v>0.27500000000000002</v>
      </c>
      <c r="AS81">
        <v>-0.308</v>
      </c>
      <c r="AT81">
        <v>-0.157</v>
      </c>
      <c r="AU81">
        <v>-0.39900000000000002</v>
      </c>
      <c r="AV81">
        <v>0.21</v>
      </c>
      <c r="AW81">
        <v>-0.34399999999999997</v>
      </c>
      <c r="AX81">
        <v>4.4999999999999998E-2</v>
      </c>
      <c r="AY81">
        <v>-2.8000000000000001E-2</v>
      </c>
      <c r="AZ81">
        <v>0.17100000000000001</v>
      </c>
      <c r="BA81">
        <v>0.51800000000000002</v>
      </c>
      <c r="BB81">
        <v>-0.88300000000000001</v>
      </c>
      <c r="BC81">
        <v>-0.246</v>
      </c>
      <c r="BD81">
        <v>0.29299999999999998</v>
      </c>
      <c r="BE81">
        <v>0.29299999999999998</v>
      </c>
      <c r="BF81">
        <v>0.28799999999999998</v>
      </c>
      <c r="BG81">
        <v>-2.5000000000000001E-2</v>
      </c>
      <c r="BH81">
        <v>0.25</v>
      </c>
      <c r="BI81">
        <v>-5.3999999999999999E-2</v>
      </c>
    </row>
    <row r="82" spans="1:61" x14ac:dyDescent="0.3">
      <c r="A82">
        <v>81</v>
      </c>
      <c r="B82" t="s">
        <v>141</v>
      </c>
      <c r="C82">
        <v>0</v>
      </c>
      <c r="D82">
        <v>5.8652234590628703E-3</v>
      </c>
      <c r="J82" t="s">
        <v>125</v>
      </c>
      <c r="K82">
        <v>1.052</v>
      </c>
      <c r="L82">
        <v>1.633</v>
      </c>
      <c r="M82" t="s">
        <v>55</v>
      </c>
      <c r="N82">
        <v>0</v>
      </c>
      <c r="O82">
        <v>-4.0000000000000001E-3</v>
      </c>
      <c r="P82">
        <v>-0.34599999999999997</v>
      </c>
      <c r="Q82">
        <v>-0.48499999999999999</v>
      </c>
      <c r="R82">
        <v>-0.77400000000000002</v>
      </c>
      <c r="S82">
        <v>-0.29499999999999998</v>
      </c>
      <c r="T82">
        <v>-0.65600000000000003</v>
      </c>
      <c r="U82">
        <v>0.13300000000000001</v>
      </c>
      <c r="V82">
        <v>0.67600000000000005</v>
      </c>
      <c r="W82">
        <v>-0.38800000000000001</v>
      </c>
      <c r="X82">
        <v>0.29799999999999999</v>
      </c>
      <c r="Y82">
        <v>0.29899999999999999</v>
      </c>
      <c r="Z82">
        <v>0.7</v>
      </c>
      <c r="AA82">
        <v>0.72199999999999998</v>
      </c>
      <c r="AB82">
        <v>0.55100000000000005</v>
      </c>
      <c r="AC82">
        <v>-0.24099999999999999</v>
      </c>
      <c r="AD82">
        <v>-0.55900000000000005</v>
      </c>
      <c r="AE82">
        <v>-0.52300000000000002</v>
      </c>
      <c r="AF82">
        <v>-0.86299999999999999</v>
      </c>
      <c r="AG82">
        <v>-0.56399999999999995</v>
      </c>
      <c r="AH82">
        <v>-0.58499999999999996</v>
      </c>
      <c r="AI82">
        <v>-0.28899999999999998</v>
      </c>
      <c r="AJ82">
        <v>-0.39300000000000002</v>
      </c>
      <c r="AK82">
        <v>-0.77100000000000002</v>
      </c>
      <c r="AL82">
        <v>0.21299999999999999</v>
      </c>
      <c r="AM82">
        <v>-8.9999999999999993E-3</v>
      </c>
      <c r="AN82">
        <v>0.10100000000000001</v>
      </c>
      <c r="AO82">
        <v>4.7E-2</v>
      </c>
      <c r="AP82">
        <v>0.39300000000000002</v>
      </c>
      <c r="AQ82">
        <v>0.33300000000000002</v>
      </c>
      <c r="AR82">
        <v>0.43099999999999999</v>
      </c>
      <c r="AS82">
        <v>0.90100000000000002</v>
      </c>
      <c r="AT82">
        <v>0.35099999999999998</v>
      </c>
      <c r="AU82">
        <v>0.30399999999999999</v>
      </c>
      <c r="AV82">
        <v>-0.58399999999999996</v>
      </c>
      <c r="AW82">
        <v>0.80700000000000005</v>
      </c>
      <c r="AX82">
        <v>0.29699999999999999</v>
      </c>
      <c r="AY82">
        <v>-9.9000000000000005E-2</v>
      </c>
      <c r="AZ82">
        <v>-0.42</v>
      </c>
      <c r="BA82">
        <v>0.41</v>
      </c>
      <c r="BB82">
        <v>0.35199999999999998</v>
      </c>
      <c r="BC82">
        <v>-2.8000000000000001E-2</v>
      </c>
      <c r="BD82">
        <v>-3.1E-2</v>
      </c>
      <c r="BE82">
        <v>0.70399999999999996</v>
      </c>
      <c r="BF82">
        <v>-0.36</v>
      </c>
      <c r="BG82">
        <v>0.54700000000000004</v>
      </c>
      <c r="BH82">
        <v>-0.26600000000000001</v>
      </c>
      <c r="BI82">
        <v>-0.42</v>
      </c>
    </row>
    <row r="83" spans="1:61" x14ac:dyDescent="0.3">
      <c r="A83">
        <v>82</v>
      </c>
      <c r="B83" t="s">
        <v>66</v>
      </c>
      <c r="C83">
        <v>1.3712912719449801E-2</v>
      </c>
      <c r="D83">
        <v>8.2322200544840494E-3</v>
      </c>
      <c r="J83" t="s">
        <v>196</v>
      </c>
      <c r="K83">
        <v>1.046</v>
      </c>
      <c r="L83">
        <v>0.76200000000000001</v>
      </c>
      <c r="M83" t="s">
        <v>57</v>
      </c>
      <c r="N83">
        <v>0</v>
      </c>
      <c r="O83">
        <v>0</v>
      </c>
      <c r="P83">
        <v>8.3000000000000004E-2</v>
      </c>
      <c r="Q83">
        <v>0.16200000000000001</v>
      </c>
      <c r="R83">
        <v>0.125</v>
      </c>
      <c r="S83">
        <v>2.5000000000000001E-2</v>
      </c>
      <c r="T83">
        <v>0.14499999999999999</v>
      </c>
      <c r="U83">
        <v>-0.27200000000000002</v>
      </c>
      <c r="V83">
        <v>-0.39</v>
      </c>
      <c r="W83">
        <v>-0.55800000000000005</v>
      </c>
      <c r="X83">
        <v>-5.3999999999999999E-2</v>
      </c>
      <c r="Y83">
        <v>-5.2999999999999999E-2</v>
      </c>
      <c r="Z83">
        <v>0.56899999999999995</v>
      </c>
      <c r="AA83">
        <v>0.55600000000000005</v>
      </c>
      <c r="AB83">
        <v>0.53900000000000003</v>
      </c>
      <c r="AC83">
        <v>0.183</v>
      </c>
      <c r="AD83">
        <v>0.93899999999999995</v>
      </c>
      <c r="AE83">
        <v>0.125</v>
      </c>
      <c r="AF83">
        <v>0.38900000000000001</v>
      </c>
      <c r="AG83">
        <v>-0.113</v>
      </c>
      <c r="AH83">
        <v>0.67100000000000004</v>
      </c>
      <c r="AI83">
        <v>0.14299999999999999</v>
      </c>
      <c r="AJ83">
        <v>-0.753</v>
      </c>
      <c r="AK83">
        <v>0.249</v>
      </c>
      <c r="AL83">
        <v>0.14699999999999999</v>
      </c>
      <c r="AM83">
        <v>-0.19800000000000001</v>
      </c>
      <c r="AN83">
        <v>-0.436</v>
      </c>
      <c r="AO83">
        <v>0.56399999999999995</v>
      </c>
      <c r="AP83">
        <v>0.23100000000000001</v>
      </c>
      <c r="AQ83">
        <v>0.188</v>
      </c>
      <c r="AR83">
        <v>7.8E-2</v>
      </c>
      <c r="AS83">
        <v>0.126</v>
      </c>
      <c r="AT83">
        <v>0.23400000000000001</v>
      </c>
      <c r="AU83">
        <v>-0.88500000000000001</v>
      </c>
      <c r="AV83">
        <v>-0.47399999999999998</v>
      </c>
      <c r="AW83">
        <v>0.64300000000000002</v>
      </c>
      <c r="AX83">
        <v>0.17299999999999999</v>
      </c>
      <c r="AY83">
        <v>0.53300000000000003</v>
      </c>
      <c r="AZ83">
        <v>0.159</v>
      </c>
      <c r="BA83">
        <v>-0.219</v>
      </c>
      <c r="BB83">
        <v>0.20399999999999999</v>
      </c>
      <c r="BC83">
        <v>0.46899999999999997</v>
      </c>
      <c r="BD83">
        <v>0.315</v>
      </c>
      <c r="BE83">
        <v>0.27600000000000002</v>
      </c>
      <c r="BF83">
        <v>-0.153</v>
      </c>
      <c r="BG83">
        <v>0.50700000000000001</v>
      </c>
      <c r="BH83">
        <v>-0.59399999999999997</v>
      </c>
      <c r="BI83">
        <v>0.65300000000000002</v>
      </c>
    </row>
    <row r="84" spans="1:61" x14ac:dyDescent="0.3">
      <c r="A84">
        <v>83</v>
      </c>
      <c r="B84" t="s">
        <v>118</v>
      </c>
      <c r="C84">
        <v>9.5300222819630197E-3</v>
      </c>
      <c r="D84">
        <v>7.8945348654157997E-3</v>
      </c>
      <c r="J84" t="s">
        <v>104</v>
      </c>
      <c r="K84">
        <v>1.0429999999999999</v>
      </c>
      <c r="L84">
        <v>1.4079999999999999</v>
      </c>
      <c r="M84" t="s">
        <v>55</v>
      </c>
      <c r="N84">
        <v>0</v>
      </c>
      <c r="O84">
        <v>0</v>
      </c>
      <c r="P84">
        <v>-0.55000000000000004</v>
      </c>
      <c r="Q84">
        <v>-0.73899999999999999</v>
      </c>
      <c r="R84">
        <v>-0.71599999999999997</v>
      </c>
      <c r="S84">
        <v>-0.42099999999999999</v>
      </c>
      <c r="T84">
        <v>-0.69199999999999995</v>
      </c>
      <c r="U84">
        <v>9.1999999999999998E-2</v>
      </c>
      <c r="V84">
        <v>0.71899999999999997</v>
      </c>
      <c r="W84">
        <v>-0.28799999999999998</v>
      </c>
      <c r="X84">
        <v>0.48399999999999999</v>
      </c>
      <c r="Y84">
        <v>0.48199999999999998</v>
      </c>
      <c r="Z84">
        <v>0.63400000000000001</v>
      </c>
      <c r="AA84">
        <v>0.72099999999999997</v>
      </c>
      <c r="AB84">
        <v>0.59199999999999997</v>
      </c>
      <c r="AC84">
        <v>-0.27</v>
      </c>
      <c r="AD84">
        <v>-0.53200000000000003</v>
      </c>
      <c r="AE84">
        <v>-0.66800000000000004</v>
      </c>
      <c r="AF84">
        <v>-0.76300000000000001</v>
      </c>
      <c r="AG84">
        <v>-0.67600000000000005</v>
      </c>
      <c r="AH84">
        <v>-0.88100000000000001</v>
      </c>
      <c r="AI84">
        <v>-0.182</v>
      </c>
      <c r="AJ84">
        <v>0.187</v>
      </c>
      <c r="AK84">
        <v>-0.59899999999999998</v>
      </c>
      <c r="AL84">
        <v>-0.217</v>
      </c>
      <c r="AM84">
        <v>-0.27</v>
      </c>
      <c r="AN84">
        <v>6.0000000000000001E-3</v>
      </c>
      <c r="AO84">
        <v>-0.13600000000000001</v>
      </c>
      <c r="AP84">
        <v>0.17599999999999999</v>
      </c>
      <c r="AQ84">
        <v>0.124</v>
      </c>
      <c r="AR84">
        <v>0.113</v>
      </c>
      <c r="AS84">
        <v>0.53700000000000003</v>
      </c>
      <c r="AT84">
        <v>2.1999999999999999E-2</v>
      </c>
      <c r="AU84">
        <v>0.89300000000000002</v>
      </c>
      <c r="AV84">
        <v>-0.84499999999999997</v>
      </c>
      <c r="AW84">
        <v>0.438</v>
      </c>
      <c r="AX84">
        <v>-6.5000000000000002E-2</v>
      </c>
      <c r="AY84">
        <v>0.88500000000000001</v>
      </c>
      <c r="AZ84">
        <v>-0.16400000000000001</v>
      </c>
      <c r="BA84">
        <v>-0.36799999999999999</v>
      </c>
      <c r="BB84">
        <v>0.36399999999999999</v>
      </c>
      <c r="BC84">
        <v>-0.16600000000000001</v>
      </c>
      <c r="BD84">
        <v>0.11600000000000001</v>
      </c>
      <c r="BE84">
        <v>0.83899999999999997</v>
      </c>
      <c r="BF84">
        <v>-0.379</v>
      </c>
      <c r="BG84">
        <v>-0.30099999999999999</v>
      </c>
      <c r="BH84">
        <v>0.93100000000000005</v>
      </c>
      <c r="BI84">
        <v>5.3999999999999999E-2</v>
      </c>
    </row>
    <row r="85" spans="1:61" x14ac:dyDescent="0.3">
      <c r="A85">
        <v>84</v>
      </c>
      <c r="B85" t="s">
        <v>236</v>
      </c>
      <c r="C85">
        <v>0</v>
      </c>
      <c r="D85">
        <v>0</v>
      </c>
      <c r="J85" t="s">
        <v>78</v>
      </c>
      <c r="K85">
        <v>1.0409999999999999</v>
      </c>
      <c r="L85">
        <v>1.149</v>
      </c>
      <c r="M85" t="s">
        <v>57</v>
      </c>
      <c r="N85">
        <v>0</v>
      </c>
      <c r="O85">
        <v>0</v>
      </c>
      <c r="P85">
        <v>-0.23899999999999999</v>
      </c>
      <c r="Q85">
        <v>-0.78700000000000003</v>
      </c>
      <c r="R85">
        <v>-3.0000000000000001E-3</v>
      </c>
      <c r="S85">
        <v>-0.308</v>
      </c>
      <c r="T85">
        <v>-0.46400000000000002</v>
      </c>
      <c r="U85">
        <v>3.1E-2</v>
      </c>
      <c r="V85">
        <v>0.3</v>
      </c>
      <c r="W85">
        <v>-0.35399999999999998</v>
      </c>
      <c r="X85">
        <v>0.214</v>
      </c>
      <c r="Y85">
        <v>0.218</v>
      </c>
      <c r="Z85">
        <v>0.58199999999999996</v>
      </c>
      <c r="AA85">
        <v>0.54300000000000004</v>
      </c>
      <c r="AB85">
        <v>0.53400000000000003</v>
      </c>
      <c r="AC85">
        <v>2.9000000000000001E-2</v>
      </c>
      <c r="AD85">
        <v>-0.27800000000000002</v>
      </c>
      <c r="AE85">
        <v>-1</v>
      </c>
      <c r="AF85">
        <v>-0.113</v>
      </c>
      <c r="AG85">
        <v>-0.51700000000000002</v>
      </c>
      <c r="AH85">
        <v>0.81599999999999995</v>
      </c>
      <c r="AI85">
        <v>-0.219</v>
      </c>
      <c r="AJ85">
        <v>0.35099999999999998</v>
      </c>
      <c r="AK85">
        <v>-0.86199999999999999</v>
      </c>
      <c r="AL85">
        <v>0.24099999999999999</v>
      </c>
      <c r="AM85">
        <v>-0.55100000000000005</v>
      </c>
      <c r="AN85">
        <v>-0.67700000000000005</v>
      </c>
      <c r="AO85">
        <v>0.104</v>
      </c>
      <c r="AP85">
        <v>0.19400000000000001</v>
      </c>
      <c r="AQ85">
        <v>-0.318</v>
      </c>
      <c r="AR85">
        <v>0.81699999999999995</v>
      </c>
      <c r="AS85">
        <v>-0.28000000000000003</v>
      </c>
      <c r="AT85">
        <v>0.17599999999999999</v>
      </c>
      <c r="AU85">
        <v>0.378</v>
      </c>
      <c r="AV85">
        <v>0.214</v>
      </c>
      <c r="AW85">
        <v>0.85099999999999998</v>
      </c>
      <c r="AX85">
        <v>0.318</v>
      </c>
      <c r="AY85">
        <v>0.42099999999999999</v>
      </c>
      <c r="AZ85">
        <v>-0.13100000000000001</v>
      </c>
      <c r="BA85">
        <v>-0.36199999999999999</v>
      </c>
      <c r="BB85">
        <v>0.34699999999999998</v>
      </c>
      <c r="BC85">
        <v>-0.23899999999999999</v>
      </c>
      <c r="BD85">
        <v>-0.27400000000000002</v>
      </c>
      <c r="BE85">
        <v>0.75</v>
      </c>
      <c r="BF85">
        <v>-0.59599999999999997</v>
      </c>
      <c r="BG85">
        <v>0.24299999999999999</v>
      </c>
      <c r="BH85">
        <v>0.36799999999999999</v>
      </c>
      <c r="BI85">
        <v>0.58799999999999997</v>
      </c>
    </row>
    <row r="86" spans="1:61" x14ac:dyDescent="0.3">
      <c r="A86">
        <v>85</v>
      </c>
      <c r="B86" t="s">
        <v>76</v>
      </c>
      <c r="C86">
        <v>5.8206888047700302E-3</v>
      </c>
      <c r="D86">
        <v>0</v>
      </c>
      <c r="J86" t="s">
        <v>142</v>
      </c>
      <c r="K86">
        <v>1</v>
      </c>
      <c r="L86">
        <v>0.81699999999999995</v>
      </c>
      <c r="M86" t="s">
        <v>53</v>
      </c>
      <c r="N86">
        <v>0</v>
      </c>
      <c r="O86">
        <v>0</v>
      </c>
      <c r="P86">
        <v>3.1E-2</v>
      </c>
      <c r="Q86">
        <v>-0.48399999999999999</v>
      </c>
      <c r="R86">
        <v>-9.6000000000000002E-2</v>
      </c>
      <c r="S86">
        <v>-0.123</v>
      </c>
      <c r="T86">
        <v>-0.38400000000000001</v>
      </c>
      <c r="U86">
        <v>-4.5999999999999999E-2</v>
      </c>
      <c r="V86">
        <v>-0.115</v>
      </c>
      <c r="W86">
        <v>-0.61699999999999999</v>
      </c>
      <c r="X86">
        <v>0.20499999999999999</v>
      </c>
      <c r="Y86">
        <v>0.20300000000000001</v>
      </c>
      <c r="Z86">
        <v>0.65200000000000002</v>
      </c>
      <c r="AA86">
        <v>0.56100000000000005</v>
      </c>
      <c r="AB86">
        <v>0.59099999999999997</v>
      </c>
      <c r="AC86">
        <v>0.33100000000000002</v>
      </c>
      <c r="AD86">
        <v>0.04</v>
      </c>
      <c r="AE86">
        <v>-0.85499999999999998</v>
      </c>
      <c r="AF86">
        <v>-0.58399999999999996</v>
      </c>
      <c r="AG86">
        <v>-0.80300000000000005</v>
      </c>
      <c r="AH86">
        <v>0.03</v>
      </c>
      <c r="AI86">
        <v>-5.8000000000000003E-2</v>
      </c>
      <c r="AJ86">
        <v>-0.50800000000000001</v>
      </c>
      <c r="AK86">
        <v>-0.123</v>
      </c>
      <c r="AL86">
        <v>0.42</v>
      </c>
      <c r="AM86">
        <v>-0.53800000000000003</v>
      </c>
      <c r="AN86">
        <v>-0.3</v>
      </c>
      <c r="AO86">
        <v>0.38500000000000001</v>
      </c>
      <c r="AP86">
        <v>0.51900000000000002</v>
      </c>
      <c r="AQ86">
        <v>0.18099999999999999</v>
      </c>
      <c r="AR86">
        <v>0.13200000000000001</v>
      </c>
      <c r="AS86">
        <v>-0.35699999999999998</v>
      </c>
      <c r="AT86">
        <v>0.55700000000000005</v>
      </c>
      <c r="AU86">
        <v>0.54400000000000004</v>
      </c>
      <c r="AV86">
        <v>0.26200000000000001</v>
      </c>
      <c r="AW86">
        <v>0.877</v>
      </c>
      <c r="AX86">
        <v>1</v>
      </c>
      <c r="AY86">
        <v>0.64400000000000002</v>
      </c>
      <c r="AZ86">
        <v>9.0999999999999998E-2</v>
      </c>
      <c r="BA86">
        <v>-6.0000000000000001E-3</v>
      </c>
      <c r="BB86">
        <v>0.51500000000000001</v>
      </c>
      <c r="BC86">
        <v>7.9000000000000001E-2</v>
      </c>
      <c r="BD86">
        <v>1</v>
      </c>
      <c r="BE86">
        <v>0.111</v>
      </c>
      <c r="BF86">
        <v>-3.2000000000000001E-2</v>
      </c>
      <c r="BG86">
        <v>-0.247</v>
      </c>
      <c r="BH86">
        <v>0.52600000000000002</v>
      </c>
      <c r="BI86">
        <v>7.2999999999999995E-2</v>
      </c>
    </row>
    <row r="87" spans="1:61" x14ac:dyDescent="0.3">
      <c r="A87">
        <v>86</v>
      </c>
      <c r="B87" t="s">
        <v>152</v>
      </c>
      <c r="C87">
        <v>6.2474643544103304E-3</v>
      </c>
      <c r="D87">
        <v>1.05708774967961E-2</v>
      </c>
      <c r="J87" t="s">
        <v>108</v>
      </c>
      <c r="K87">
        <v>0.98599999999999999</v>
      </c>
      <c r="L87">
        <v>1.3129999999999999</v>
      </c>
      <c r="M87" t="s">
        <v>55</v>
      </c>
      <c r="N87">
        <v>0</v>
      </c>
      <c r="O87">
        <v>0</v>
      </c>
      <c r="P87">
        <v>-0.621</v>
      </c>
      <c r="Q87">
        <v>-0.76400000000000001</v>
      </c>
      <c r="R87">
        <v>-0.72499999999999998</v>
      </c>
      <c r="S87">
        <v>-0.45300000000000001</v>
      </c>
      <c r="T87">
        <v>-0.70699999999999996</v>
      </c>
      <c r="U87">
        <v>0.04</v>
      </c>
      <c r="V87">
        <v>0.67300000000000004</v>
      </c>
      <c r="W87">
        <v>-0.308</v>
      </c>
      <c r="X87">
        <v>0.57099999999999995</v>
      </c>
      <c r="Y87">
        <v>0.56899999999999995</v>
      </c>
      <c r="Z87">
        <v>0.61499999999999999</v>
      </c>
      <c r="AA87">
        <v>0.72</v>
      </c>
      <c r="AB87">
        <v>0.57899999999999996</v>
      </c>
      <c r="AC87">
        <v>-0.26500000000000001</v>
      </c>
      <c r="AD87">
        <v>-0.52800000000000002</v>
      </c>
      <c r="AE87">
        <v>-0.70599999999999996</v>
      </c>
      <c r="AF87">
        <v>-0.76100000000000001</v>
      </c>
      <c r="AG87">
        <v>-0.70899999999999996</v>
      </c>
      <c r="AH87">
        <v>-0.88100000000000001</v>
      </c>
      <c r="AI87">
        <v>-0.182</v>
      </c>
      <c r="AJ87">
        <v>0.19400000000000001</v>
      </c>
      <c r="AK87">
        <v>-0.59899999999999998</v>
      </c>
      <c r="AL87">
        <v>-0.21299999999999999</v>
      </c>
      <c r="AM87">
        <v>-0.28999999999999998</v>
      </c>
      <c r="AN87">
        <v>1.4E-2</v>
      </c>
      <c r="AO87">
        <v>-0.13600000000000001</v>
      </c>
      <c r="AP87">
        <v>0.17599999999999999</v>
      </c>
      <c r="AQ87">
        <v>0.124</v>
      </c>
      <c r="AR87">
        <v>0.113</v>
      </c>
      <c r="AS87">
        <v>0.53700000000000003</v>
      </c>
      <c r="AT87">
        <v>2.1999999999999999E-2</v>
      </c>
      <c r="AU87">
        <v>0.9</v>
      </c>
      <c r="AV87">
        <v>-0.84499999999999997</v>
      </c>
      <c r="AW87">
        <v>0.438</v>
      </c>
      <c r="AX87">
        <v>3.7999999999999999E-2</v>
      </c>
      <c r="AY87">
        <v>0.22900000000000001</v>
      </c>
      <c r="AZ87">
        <v>-0.16400000000000001</v>
      </c>
      <c r="BA87">
        <v>-0.36799999999999999</v>
      </c>
      <c r="BB87">
        <v>0.35899999999999999</v>
      </c>
      <c r="BC87">
        <v>-0.192</v>
      </c>
      <c r="BD87">
        <v>4.1000000000000002E-2</v>
      </c>
      <c r="BE87">
        <v>0.86599999999999999</v>
      </c>
      <c r="BF87">
        <v>-0.36399999999999999</v>
      </c>
      <c r="BG87">
        <v>-0.34599999999999997</v>
      </c>
      <c r="BH87">
        <v>1</v>
      </c>
      <c r="BI87">
        <v>5.3999999999999999E-2</v>
      </c>
    </row>
    <row r="88" spans="1:61" x14ac:dyDescent="0.3">
      <c r="A88">
        <v>87</v>
      </c>
      <c r="B88" t="s">
        <v>226</v>
      </c>
      <c r="C88">
        <v>0</v>
      </c>
      <c r="D88">
        <v>3.1593075574344501E-2</v>
      </c>
      <c r="J88" t="s">
        <v>185</v>
      </c>
      <c r="K88">
        <v>0.97299999999999998</v>
      </c>
      <c r="L88">
        <v>2.06</v>
      </c>
      <c r="M88" t="s">
        <v>55</v>
      </c>
      <c r="N88">
        <v>0</v>
      </c>
      <c r="O88">
        <v>-1.7999999999999999E-2</v>
      </c>
      <c r="P88">
        <v>-0.60599999999999998</v>
      </c>
      <c r="Q88">
        <v>-0.51500000000000001</v>
      </c>
      <c r="R88">
        <v>-0.92200000000000004</v>
      </c>
      <c r="S88">
        <v>-0.45100000000000001</v>
      </c>
      <c r="T88">
        <v>-0.75900000000000001</v>
      </c>
      <c r="U88">
        <v>-7.0999999999999994E-2</v>
      </c>
      <c r="V88">
        <v>8.8999999999999996E-2</v>
      </c>
      <c r="W88">
        <v>-0.13800000000000001</v>
      </c>
      <c r="X88">
        <v>0.33500000000000002</v>
      </c>
      <c r="Y88">
        <v>0.33700000000000002</v>
      </c>
      <c r="Z88">
        <v>0.74099999999999999</v>
      </c>
      <c r="AA88">
        <v>0.79600000000000004</v>
      </c>
      <c r="AB88">
        <v>0.67200000000000004</v>
      </c>
      <c r="AC88">
        <v>-0.76600000000000001</v>
      </c>
      <c r="AD88">
        <v>-0.47</v>
      </c>
      <c r="AE88">
        <v>6.5000000000000002E-2</v>
      </c>
      <c r="AF88">
        <v>-0.94599999999999995</v>
      </c>
      <c r="AG88">
        <v>-0.435</v>
      </c>
      <c r="AH88">
        <v>-0.93899999999999995</v>
      </c>
      <c r="AI88">
        <v>-0.34499999999999997</v>
      </c>
      <c r="AJ88">
        <v>-0.23</v>
      </c>
      <c r="AK88">
        <v>-0.65900000000000003</v>
      </c>
      <c r="AL88">
        <v>-0.55400000000000005</v>
      </c>
      <c r="AM88">
        <v>0.40300000000000002</v>
      </c>
      <c r="AN88">
        <v>0.82399999999999995</v>
      </c>
      <c r="AO88">
        <v>0.254</v>
      </c>
      <c r="AP88">
        <v>0.30099999999999999</v>
      </c>
      <c r="AQ88">
        <v>0.45400000000000001</v>
      </c>
      <c r="AR88">
        <v>4.0000000000000001E-3</v>
      </c>
      <c r="AS88">
        <v>-0.29399999999999998</v>
      </c>
      <c r="AT88">
        <v>-0.27900000000000003</v>
      </c>
      <c r="AU88">
        <v>0.66200000000000003</v>
      </c>
      <c r="AV88">
        <v>-0.53800000000000003</v>
      </c>
      <c r="AW88">
        <v>0.94599999999999995</v>
      </c>
      <c r="AX88">
        <v>1</v>
      </c>
      <c r="AY88">
        <v>0.56499999999999995</v>
      </c>
      <c r="AZ88">
        <v>0.152</v>
      </c>
      <c r="BA88">
        <v>-0.38</v>
      </c>
      <c r="BB88">
        <v>0.38300000000000001</v>
      </c>
      <c r="BC88">
        <v>-0.23499999999999999</v>
      </c>
      <c r="BD88">
        <v>-0.18099999999999999</v>
      </c>
      <c r="BE88">
        <v>0.8</v>
      </c>
      <c r="BF88">
        <v>-0.89</v>
      </c>
      <c r="BG88">
        <v>-0.11700000000000001</v>
      </c>
      <c r="BH88">
        <v>-0.37</v>
      </c>
      <c r="BI88">
        <v>-0.45100000000000001</v>
      </c>
    </row>
    <row r="89" spans="1:61" x14ac:dyDescent="0.3">
      <c r="A89">
        <v>88</v>
      </c>
      <c r="B89" t="s">
        <v>151</v>
      </c>
      <c r="C89">
        <v>0</v>
      </c>
      <c r="D89">
        <v>0</v>
      </c>
      <c r="J89" t="s">
        <v>154</v>
      </c>
      <c r="K89">
        <v>0.97</v>
      </c>
      <c r="L89">
        <v>1.722</v>
      </c>
      <c r="M89" t="s">
        <v>55</v>
      </c>
      <c r="N89">
        <v>0</v>
      </c>
      <c r="O89">
        <v>-8.9999999999999993E-3</v>
      </c>
      <c r="P89">
        <v>-0.82</v>
      </c>
      <c r="Q89">
        <v>-0.67300000000000004</v>
      </c>
      <c r="R89">
        <v>-0.93</v>
      </c>
      <c r="S89">
        <v>-0.627</v>
      </c>
      <c r="T89">
        <v>-0.75</v>
      </c>
      <c r="U89">
        <v>-0.24</v>
      </c>
      <c r="V89">
        <v>0.124</v>
      </c>
      <c r="W89">
        <v>0.13200000000000001</v>
      </c>
      <c r="X89">
        <v>0.54900000000000004</v>
      </c>
      <c r="Y89">
        <v>0.55200000000000005</v>
      </c>
      <c r="Z89">
        <v>0.64900000000000002</v>
      </c>
      <c r="AA89">
        <v>0.65500000000000003</v>
      </c>
      <c r="AB89">
        <v>0.58599999999999997</v>
      </c>
      <c r="AC89">
        <v>-0.77500000000000002</v>
      </c>
      <c r="AD89">
        <v>-0.68899999999999995</v>
      </c>
      <c r="AE89">
        <v>0.20200000000000001</v>
      </c>
      <c r="AF89">
        <v>-0.878</v>
      </c>
      <c r="AG89">
        <v>-0.496</v>
      </c>
      <c r="AH89">
        <v>-0.96599999999999997</v>
      </c>
      <c r="AI89">
        <v>-0.32400000000000001</v>
      </c>
      <c r="AJ89">
        <v>0.56499999999999995</v>
      </c>
      <c r="AK89">
        <v>-0.52200000000000002</v>
      </c>
      <c r="AL89">
        <v>-0.55000000000000004</v>
      </c>
      <c r="AM89">
        <v>0.27700000000000002</v>
      </c>
      <c r="AN89">
        <v>0.55900000000000005</v>
      </c>
      <c r="AO89">
        <v>-0.23799999999999999</v>
      </c>
      <c r="AP89">
        <v>0.187</v>
      </c>
      <c r="AQ89">
        <v>-0.246</v>
      </c>
      <c r="AR89">
        <v>0.2</v>
      </c>
      <c r="AS89">
        <v>-0.33100000000000002</v>
      </c>
      <c r="AT89">
        <v>-0.55800000000000005</v>
      </c>
      <c r="AU89">
        <v>0.55300000000000005</v>
      </c>
      <c r="AV89">
        <v>-0.59699999999999998</v>
      </c>
      <c r="AW89">
        <v>0.85299999999999998</v>
      </c>
      <c r="AX89">
        <v>0.41</v>
      </c>
      <c r="AY89">
        <v>-0.40600000000000003</v>
      </c>
      <c r="AZ89">
        <v>-0.432</v>
      </c>
      <c r="BA89">
        <v>-0.66500000000000004</v>
      </c>
      <c r="BB89">
        <v>0.222</v>
      </c>
      <c r="BC89">
        <v>8.5999999999999993E-2</v>
      </c>
      <c r="BD89">
        <v>0.25</v>
      </c>
      <c r="BE89">
        <v>0.98299999999999998</v>
      </c>
      <c r="BF89">
        <v>-0.65400000000000003</v>
      </c>
      <c r="BG89">
        <v>-0.29299999999999998</v>
      </c>
      <c r="BH89">
        <v>-0.114</v>
      </c>
      <c r="BI89">
        <v>-0.378</v>
      </c>
    </row>
    <row r="90" spans="1:61" x14ac:dyDescent="0.3">
      <c r="A90">
        <v>89</v>
      </c>
      <c r="B90" t="s">
        <v>203</v>
      </c>
      <c r="C90">
        <v>0</v>
      </c>
      <c r="D90">
        <v>0</v>
      </c>
      <c r="J90" t="s">
        <v>61</v>
      </c>
      <c r="K90">
        <v>0.92800000000000005</v>
      </c>
      <c r="L90">
        <v>1.0589999999999999</v>
      </c>
      <c r="M90" t="s">
        <v>57</v>
      </c>
      <c r="N90">
        <v>0</v>
      </c>
      <c r="O90">
        <v>0</v>
      </c>
      <c r="P90">
        <v>-0.434</v>
      </c>
      <c r="Q90">
        <v>-0.75600000000000001</v>
      </c>
      <c r="R90">
        <v>-0.13900000000000001</v>
      </c>
      <c r="S90">
        <v>-0.52200000000000002</v>
      </c>
      <c r="T90">
        <v>-0.51700000000000002</v>
      </c>
      <c r="U90">
        <v>-0.113</v>
      </c>
      <c r="V90">
        <v>0.14799999999999999</v>
      </c>
      <c r="W90">
        <v>-0.216</v>
      </c>
      <c r="X90">
        <v>0.121</v>
      </c>
      <c r="Y90">
        <v>0.11799999999999999</v>
      </c>
      <c r="Z90">
        <v>0.434</v>
      </c>
      <c r="AA90">
        <v>0.66600000000000004</v>
      </c>
      <c r="AB90">
        <v>0.56100000000000005</v>
      </c>
      <c r="AC90">
        <v>-0.46</v>
      </c>
      <c r="AD90">
        <v>0.246</v>
      </c>
      <c r="AE90">
        <v>-0.54</v>
      </c>
      <c r="AF90">
        <v>8.9999999999999993E-3</v>
      </c>
      <c r="AG90">
        <v>0.20200000000000001</v>
      </c>
      <c r="AH90">
        <v>-0.224</v>
      </c>
      <c r="AI90">
        <v>-0.246</v>
      </c>
      <c r="AJ90">
        <v>0.64600000000000002</v>
      </c>
      <c r="AK90">
        <v>-0.56100000000000005</v>
      </c>
      <c r="AL90">
        <v>0.29499999999999998</v>
      </c>
      <c r="AM90">
        <v>-0.46500000000000002</v>
      </c>
      <c r="AN90">
        <v>-0.90600000000000003</v>
      </c>
      <c r="AO90">
        <v>0.25600000000000001</v>
      </c>
      <c r="AP90">
        <v>9.7000000000000003E-2</v>
      </c>
      <c r="AQ90">
        <v>-0.48199999999999998</v>
      </c>
      <c r="AR90">
        <v>8.8999999999999996E-2</v>
      </c>
      <c r="AS90">
        <v>-0.15</v>
      </c>
      <c r="AT90">
        <v>-0.54100000000000004</v>
      </c>
      <c r="AU90">
        <v>0.16700000000000001</v>
      </c>
      <c r="AV90">
        <v>0.188</v>
      </c>
      <c r="AW90">
        <v>0.434</v>
      </c>
      <c r="AX90">
        <v>0.63900000000000001</v>
      </c>
      <c r="AY90">
        <v>0.41299999999999998</v>
      </c>
      <c r="AZ90">
        <v>-0.42099999999999999</v>
      </c>
      <c r="BA90">
        <v>-0.34</v>
      </c>
      <c r="BB90">
        <v>-0.53100000000000003</v>
      </c>
      <c r="BC90">
        <v>0.76500000000000001</v>
      </c>
      <c r="BD90">
        <v>0.25900000000000001</v>
      </c>
      <c r="BE90">
        <v>0.73299999999999998</v>
      </c>
      <c r="BF90">
        <v>-0.81699999999999995</v>
      </c>
      <c r="BG90">
        <v>0.54400000000000004</v>
      </c>
      <c r="BH90">
        <v>0.436</v>
      </c>
      <c r="BI90">
        <v>0.20799999999999999</v>
      </c>
    </row>
    <row r="91" spans="1:61" x14ac:dyDescent="0.3">
      <c r="A91">
        <v>90</v>
      </c>
      <c r="B91" t="s">
        <v>114</v>
      </c>
      <c r="C91">
        <v>0</v>
      </c>
      <c r="D91">
        <v>0</v>
      </c>
      <c r="J91" t="s">
        <v>203</v>
      </c>
      <c r="K91">
        <v>0.90800000000000003</v>
      </c>
      <c r="L91">
        <v>1.075</v>
      </c>
      <c r="M91" t="s">
        <v>53</v>
      </c>
      <c r="N91">
        <v>0</v>
      </c>
      <c r="O91">
        <v>-3.0000000000000001E-3</v>
      </c>
      <c r="P91">
        <v>-0.221</v>
      </c>
      <c r="Q91">
        <v>-0.45300000000000001</v>
      </c>
      <c r="R91">
        <v>-0.72099999999999997</v>
      </c>
      <c r="S91">
        <v>-0.25</v>
      </c>
      <c r="T91">
        <v>-0.63500000000000001</v>
      </c>
      <c r="U91">
        <v>2E-3</v>
      </c>
      <c r="V91">
        <v>0.29899999999999999</v>
      </c>
      <c r="W91">
        <v>-0.52200000000000002</v>
      </c>
      <c r="X91">
        <v>0.13700000000000001</v>
      </c>
      <c r="Y91">
        <v>0.13800000000000001</v>
      </c>
      <c r="Z91">
        <v>0.626</v>
      </c>
      <c r="AA91">
        <v>0.72199999999999998</v>
      </c>
      <c r="AB91">
        <v>0.56399999999999995</v>
      </c>
      <c r="AC91">
        <v>2.3E-2</v>
      </c>
      <c r="AD91">
        <v>-0.38100000000000001</v>
      </c>
      <c r="AE91">
        <v>-0.64900000000000002</v>
      </c>
      <c r="AF91">
        <v>-0.83</v>
      </c>
      <c r="AG91">
        <v>-0.77</v>
      </c>
      <c r="AH91">
        <v>-0.78400000000000003</v>
      </c>
      <c r="AI91">
        <v>-0.17699999999999999</v>
      </c>
      <c r="AJ91">
        <v>-0.35099999999999998</v>
      </c>
      <c r="AK91">
        <v>-0.51400000000000001</v>
      </c>
      <c r="AL91">
        <v>0.28000000000000003</v>
      </c>
      <c r="AM91">
        <v>-0.379</v>
      </c>
      <c r="AN91">
        <v>0.23899999999999999</v>
      </c>
      <c r="AO91">
        <v>-1E-3</v>
      </c>
      <c r="AP91">
        <v>1</v>
      </c>
      <c r="AQ91">
        <v>0.755</v>
      </c>
      <c r="AR91">
        <v>9.5000000000000001E-2</v>
      </c>
      <c r="AS91">
        <v>0.26</v>
      </c>
      <c r="AT91">
        <v>0.46</v>
      </c>
      <c r="AU91">
        <v>0.441</v>
      </c>
      <c r="AV91">
        <v>-0.36699999999999999</v>
      </c>
      <c r="AW91">
        <v>0.81499999999999995</v>
      </c>
      <c r="AX91">
        <v>0.53600000000000003</v>
      </c>
      <c r="AY91">
        <v>0.92500000000000004</v>
      </c>
      <c r="AZ91">
        <v>-0.127</v>
      </c>
      <c r="BA91">
        <v>-0.29899999999999999</v>
      </c>
      <c r="BB91">
        <v>0.39700000000000002</v>
      </c>
      <c r="BC91">
        <v>-0.76100000000000001</v>
      </c>
      <c r="BD91">
        <v>-0.16700000000000001</v>
      </c>
      <c r="BE91">
        <v>0.45900000000000002</v>
      </c>
      <c r="BF91">
        <v>0.109</v>
      </c>
      <c r="BG91">
        <v>-0.377</v>
      </c>
      <c r="BH91">
        <v>8.0000000000000002E-3</v>
      </c>
      <c r="BI91">
        <v>-0.39</v>
      </c>
    </row>
    <row r="92" spans="1:61" x14ac:dyDescent="0.3">
      <c r="A92">
        <v>91</v>
      </c>
      <c r="B92" t="s">
        <v>184</v>
      </c>
      <c r="C92">
        <v>3.7303715968391701E-2</v>
      </c>
      <c r="D92">
        <v>2.9710474128738201E-2</v>
      </c>
      <c r="J92" t="s">
        <v>210</v>
      </c>
      <c r="K92">
        <v>0.89200000000000002</v>
      </c>
      <c r="L92">
        <v>1.9419999999999999</v>
      </c>
      <c r="M92" t="s">
        <v>55</v>
      </c>
      <c r="N92">
        <v>0</v>
      </c>
      <c r="O92">
        <v>-4.2000000000000003E-2</v>
      </c>
      <c r="P92">
        <v>-0.52300000000000002</v>
      </c>
      <c r="Q92">
        <v>-0.47499999999999998</v>
      </c>
      <c r="R92">
        <v>-0.90600000000000003</v>
      </c>
      <c r="S92">
        <v>-0.34200000000000003</v>
      </c>
      <c r="T92">
        <v>-0.72199999999999998</v>
      </c>
      <c r="U92">
        <v>-0.11899999999999999</v>
      </c>
      <c r="V92">
        <v>0.109</v>
      </c>
      <c r="W92">
        <v>-0.38100000000000001</v>
      </c>
      <c r="X92">
        <v>0.33100000000000002</v>
      </c>
      <c r="Y92">
        <v>0.33300000000000002</v>
      </c>
      <c r="Z92">
        <v>0.78</v>
      </c>
      <c r="AA92">
        <v>0.92900000000000005</v>
      </c>
      <c r="AB92">
        <v>0.63600000000000001</v>
      </c>
      <c r="AC92">
        <v>-0.46</v>
      </c>
      <c r="AD92">
        <v>-0.252</v>
      </c>
      <c r="AE92">
        <v>1.4E-2</v>
      </c>
      <c r="AF92">
        <v>-1</v>
      </c>
      <c r="AG92">
        <v>-0.69199999999999995</v>
      </c>
      <c r="AH92">
        <v>-0.86499999999999999</v>
      </c>
      <c r="AI92">
        <v>-0.378</v>
      </c>
      <c r="AJ92">
        <v>-0.59699999999999998</v>
      </c>
      <c r="AK92">
        <v>-0.55300000000000005</v>
      </c>
      <c r="AL92">
        <v>-0.23400000000000001</v>
      </c>
      <c r="AM92">
        <v>0.28799999999999998</v>
      </c>
      <c r="AN92">
        <v>0.378</v>
      </c>
      <c r="AO92">
        <v>0.46899999999999997</v>
      </c>
      <c r="AP92">
        <v>1</v>
      </c>
      <c r="AQ92">
        <v>0.65</v>
      </c>
      <c r="AR92">
        <v>-0.216</v>
      </c>
      <c r="AS92">
        <v>2E-3</v>
      </c>
      <c r="AT92">
        <v>0.14499999999999999</v>
      </c>
      <c r="AU92">
        <v>0.252</v>
      </c>
      <c r="AV92">
        <v>-0.58199999999999996</v>
      </c>
      <c r="AW92">
        <v>0.63900000000000001</v>
      </c>
      <c r="AX92">
        <v>0.32900000000000001</v>
      </c>
      <c r="AY92">
        <v>8.0000000000000002E-3</v>
      </c>
      <c r="AZ92">
        <v>-7.3999999999999996E-2</v>
      </c>
      <c r="BA92">
        <v>-0.29499999999999998</v>
      </c>
      <c r="BB92">
        <v>0.71299999999999997</v>
      </c>
      <c r="BC92">
        <v>0.27300000000000002</v>
      </c>
      <c r="BD92">
        <v>0.71399999999999997</v>
      </c>
      <c r="BE92">
        <v>0.83499999999999996</v>
      </c>
      <c r="BF92">
        <v>-0.66600000000000004</v>
      </c>
      <c r="BG92">
        <v>7.0999999999999994E-2</v>
      </c>
      <c r="BH92">
        <v>-0.26</v>
      </c>
      <c r="BI92">
        <v>-1</v>
      </c>
    </row>
    <row r="93" spans="1:61" x14ac:dyDescent="0.3">
      <c r="A93">
        <v>92</v>
      </c>
      <c r="B93" t="s">
        <v>143</v>
      </c>
      <c r="C93">
        <v>0</v>
      </c>
      <c r="D93">
        <v>6.7214707201330203E-3</v>
      </c>
      <c r="J93" t="s">
        <v>111</v>
      </c>
      <c r="K93">
        <v>0.88500000000000001</v>
      </c>
      <c r="L93">
        <v>0.80100000000000005</v>
      </c>
      <c r="M93" t="s">
        <v>53</v>
      </c>
      <c r="N93">
        <v>0</v>
      </c>
      <c r="O93">
        <v>0</v>
      </c>
      <c r="P93">
        <v>-0.41699999999999998</v>
      </c>
      <c r="Q93">
        <v>-0.189</v>
      </c>
      <c r="R93">
        <v>-0.32700000000000001</v>
      </c>
      <c r="S93">
        <v>-0.58799999999999997</v>
      </c>
      <c r="T93">
        <v>-0.41099999999999998</v>
      </c>
      <c r="U93">
        <v>-0.49199999999999999</v>
      </c>
      <c r="V93">
        <v>-0.371</v>
      </c>
      <c r="W93">
        <v>-0.49299999999999999</v>
      </c>
      <c r="X93">
        <v>0.379</v>
      </c>
      <c r="Y93">
        <v>0.375</v>
      </c>
      <c r="Z93">
        <v>0.88200000000000001</v>
      </c>
      <c r="AA93">
        <v>0.78300000000000003</v>
      </c>
      <c r="AB93">
        <v>0.72699999999999998</v>
      </c>
      <c r="AC93">
        <v>-0.56499999999999995</v>
      </c>
      <c r="AD93">
        <v>-0.53100000000000003</v>
      </c>
      <c r="AE93">
        <v>6.5000000000000002E-2</v>
      </c>
      <c r="AF93">
        <v>-0.188</v>
      </c>
      <c r="AG93">
        <v>0.60199999999999998</v>
      </c>
      <c r="AH93">
        <v>-0.60299999999999998</v>
      </c>
      <c r="AI93">
        <v>-0.14399999999999999</v>
      </c>
      <c r="AJ93">
        <v>-0.35899999999999999</v>
      </c>
      <c r="AK93">
        <v>0.13600000000000001</v>
      </c>
      <c r="AL93">
        <v>-0.16900000000000001</v>
      </c>
      <c r="AM93">
        <v>2.3E-2</v>
      </c>
      <c r="AN93">
        <v>0.193</v>
      </c>
      <c r="AO93">
        <v>-0.14699999999999999</v>
      </c>
      <c r="AP93">
        <v>-0.12</v>
      </c>
      <c r="AQ93">
        <v>-0.45400000000000001</v>
      </c>
      <c r="AR93">
        <v>8.9999999999999993E-3</v>
      </c>
      <c r="AS93">
        <v>-0.26300000000000001</v>
      </c>
      <c r="AT93">
        <v>-0.22600000000000001</v>
      </c>
      <c r="AU93">
        <v>0.31</v>
      </c>
      <c r="AV93">
        <v>-0.20699999999999999</v>
      </c>
      <c r="AW93">
        <v>0.55700000000000005</v>
      </c>
      <c r="AX93">
        <v>-0.122</v>
      </c>
      <c r="AY93">
        <v>-0.24099999999999999</v>
      </c>
      <c r="AZ93">
        <v>0.20499999999999999</v>
      </c>
      <c r="BA93">
        <v>7.5999999999999998E-2</v>
      </c>
      <c r="BB93">
        <v>0.437</v>
      </c>
      <c r="BC93">
        <v>0.372</v>
      </c>
      <c r="BD93">
        <v>0.79500000000000004</v>
      </c>
      <c r="BE93">
        <v>0.439</v>
      </c>
      <c r="BF93">
        <v>-8.4000000000000005E-2</v>
      </c>
      <c r="BG93">
        <v>0.38200000000000001</v>
      </c>
      <c r="BH93">
        <v>0.55900000000000005</v>
      </c>
      <c r="BI93">
        <v>0.53300000000000003</v>
      </c>
    </row>
    <row r="94" spans="1:61" x14ac:dyDescent="0.3">
      <c r="A94">
        <v>93</v>
      </c>
      <c r="B94" t="s">
        <v>163</v>
      </c>
      <c r="C94">
        <v>1.24790436857528E-2</v>
      </c>
      <c r="D94">
        <v>6.5569513623760503E-3</v>
      </c>
      <c r="J94" t="s">
        <v>113</v>
      </c>
      <c r="K94">
        <v>0.88</v>
      </c>
      <c r="L94">
        <v>1.62</v>
      </c>
      <c r="M94" t="s">
        <v>57</v>
      </c>
      <c r="N94">
        <v>0</v>
      </c>
      <c r="O94">
        <v>-8.9999999999999993E-3</v>
      </c>
      <c r="P94">
        <v>-0.60199999999999998</v>
      </c>
      <c r="Q94">
        <v>-0.623</v>
      </c>
      <c r="R94">
        <v>-0.81899999999999995</v>
      </c>
      <c r="S94">
        <v>-0.55600000000000005</v>
      </c>
      <c r="T94">
        <v>-0.71599999999999997</v>
      </c>
      <c r="U94">
        <v>-0.20699999999999999</v>
      </c>
      <c r="V94">
        <v>2E-3</v>
      </c>
      <c r="W94">
        <v>-0.29399999999999998</v>
      </c>
      <c r="X94">
        <v>0.49199999999999999</v>
      </c>
      <c r="Y94">
        <v>0.49099999999999999</v>
      </c>
      <c r="Z94">
        <v>0.69699999999999995</v>
      </c>
      <c r="AA94">
        <v>0.79</v>
      </c>
      <c r="AB94">
        <v>0.66600000000000004</v>
      </c>
      <c r="AC94">
        <v>-0.61599999999999999</v>
      </c>
      <c r="AD94">
        <v>-0.24299999999999999</v>
      </c>
      <c r="AE94">
        <v>-8.3000000000000004E-2</v>
      </c>
      <c r="AF94">
        <v>-0.91</v>
      </c>
      <c r="AG94">
        <v>-0.90900000000000003</v>
      </c>
      <c r="AH94">
        <v>-1</v>
      </c>
      <c r="AI94">
        <v>-0.19</v>
      </c>
      <c r="AJ94">
        <v>0.19400000000000001</v>
      </c>
      <c r="AK94">
        <v>-4.1000000000000002E-2</v>
      </c>
      <c r="AL94">
        <v>0.115</v>
      </c>
      <c r="AM94">
        <v>-0.152</v>
      </c>
      <c r="AN94">
        <v>-0.20300000000000001</v>
      </c>
      <c r="AO94">
        <v>3.9E-2</v>
      </c>
      <c r="AP94">
        <v>0.13500000000000001</v>
      </c>
      <c r="AQ94">
        <v>0.41699999999999998</v>
      </c>
      <c r="AR94">
        <v>-0.156</v>
      </c>
      <c r="AS94">
        <v>-0.53</v>
      </c>
      <c r="AT94">
        <v>-0.39500000000000002</v>
      </c>
      <c r="AU94">
        <v>0.36699999999999999</v>
      </c>
      <c r="AV94">
        <v>-0.26600000000000001</v>
      </c>
      <c r="AW94">
        <v>5.8999999999999997E-2</v>
      </c>
      <c r="AX94">
        <v>0.23599999999999999</v>
      </c>
      <c r="AY94">
        <v>0.73799999999999999</v>
      </c>
      <c r="AZ94">
        <v>-0.28000000000000003</v>
      </c>
      <c r="BA94">
        <v>-0.154</v>
      </c>
      <c r="BB94">
        <v>0.42199999999999999</v>
      </c>
      <c r="BC94">
        <v>7.0000000000000001E-3</v>
      </c>
      <c r="BD94">
        <v>0.152</v>
      </c>
      <c r="BE94">
        <v>0.98399999999999999</v>
      </c>
      <c r="BF94">
        <v>-0.36499999999999999</v>
      </c>
      <c r="BG94">
        <v>-0.10199999999999999</v>
      </c>
      <c r="BH94">
        <v>0.20599999999999999</v>
      </c>
      <c r="BI94">
        <v>-0.76500000000000001</v>
      </c>
    </row>
    <row r="95" spans="1:61" x14ac:dyDescent="0.3">
      <c r="A95">
        <v>94</v>
      </c>
      <c r="B95" t="s">
        <v>105</v>
      </c>
      <c r="C95">
        <v>8.0837607896149903E-3</v>
      </c>
      <c r="D95">
        <v>6.2173201624620804E-3</v>
      </c>
      <c r="J95" t="s">
        <v>199</v>
      </c>
      <c r="K95">
        <v>0.85699999999999998</v>
      </c>
      <c r="L95">
        <v>1.0369999999999999</v>
      </c>
      <c r="M95" t="s">
        <v>55</v>
      </c>
      <c r="N95">
        <v>0</v>
      </c>
      <c r="O95">
        <v>0</v>
      </c>
      <c r="P95">
        <v>-0.32500000000000001</v>
      </c>
      <c r="Q95">
        <v>-0.30199999999999999</v>
      </c>
      <c r="R95">
        <v>-0.8</v>
      </c>
      <c r="S95">
        <v>-0.252</v>
      </c>
      <c r="T95">
        <v>-0.63600000000000001</v>
      </c>
      <c r="U95">
        <v>-0.20499999999999999</v>
      </c>
      <c r="V95">
        <v>-9.6000000000000002E-2</v>
      </c>
      <c r="W95">
        <v>-0.45300000000000001</v>
      </c>
      <c r="X95">
        <v>0.38700000000000001</v>
      </c>
      <c r="Y95">
        <v>0.38100000000000001</v>
      </c>
      <c r="Z95">
        <v>0.52300000000000002</v>
      </c>
      <c r="AA95">
        <v>0.63200000000000001</v>
      </c>
      <c r="AB95">
        <v>0.55800000000000005</v>
      </c>
      <c r="AC95">
        <v>-0.51100000000000001</v>
      </c>
      <c r="AD95">
        <v>-0.35799999999999998</v>
      </c>
      <c r="AE95">
        <v>-0.14799999999999999</v>
      </c>
      <c r="AF95">
        <v>-0.86299999999999999</v>
      </c>
      <c r="AG95">
        <v>0.39600000000000002</v>
      </c>
      <c r="AH95">
        <v>-0.55500000000000005</v>
      </c>
      <c r="AI95">
        <v>-0.48</v>
      </c>
      <c r="AJ95">
        <v>-1</v>
      </c>
      <c r="AK95">
        <v>-0.88400000000000001</v>
      </c>
      <c r="AL95">
        <v>0.13300000000000001</v>
      </c>
      <c r="AM95">
        <v>0.56599999999999995</v>
      </c>
      <c r="AN95">
        <v>0.749</v>
      </c>
      <c r="AO95">
        <v>0.64800000000000002</v>
      </c>
      <c r="AP95">
        <v>1</v>
      </c>
      <c r="AQ95">
        <v>0.66300000000000003</v>
      </c>
      <c r="AR95">
        <v>-0.16600000000000001</v>
      </c>
      <c r="AS95">
        <v>5.8999999999999997E-2</v>
      </c>
      <c r="AT95">
        <v>0.41499999999999998</v>
      </c>
      <c r="AU95">
        <v>0.51100000000000001</v>
      </c>
      <c r="AV95">
        <v>-8.8999999999999996E-2</v>
      </c>
      <c r="AW95">
        <v>0.52</v>
      </c>
      <c r="AX95">
        <v>0.17799999999999999</v>
      </c>
      <c r="AY95">
        <v>-0.23899999999999999</v>
      </c>
      <c r="AZ95">
        <v>-0.71199999999999997</v>
      </c>
      <c r="BA95">
        <v>-0.83699999999999997</v>
      </c>
      <c r="BB95">
        <v>0.38700000000000001</v>
      </c>
      <c r="BC95">
        <v>-0.48</v>
      </c>
      <c r="BD95">
        <v>-0.51700000000000002</v>
      </c>
      <c r="BE95">
        <v>0.375</v>
      </c>
      <c r="BF95">
        <v>-0.70199999999999996</v>
      </c>
      <c r="BG95">
        <v>0.26300000000000001</v>
      </c>
      <c r="BH95">
        <v>-9.1999999999999998E-2</v>
      </c>
      <c r="BI95">
        <v>0.29499999999999998</v>
      </c>
    </row>
    <row r="96" spans="1:61" x14ac:dyDescent="0.3">
      <c r="A96">
        <v>95</v>
      </c>
      <c r="B96" t="s">
        <v>240</v>
      </c>
      <c r="C96">
        <v>0</v>
      </c>
      <c r="D96">
        <v>0</v>
      </c>
      <c r="J96" t="s">
        <v>244</v>
      </c>
      <c r="K96">
        <v>0.85</v>
      </c>
      <c r="L96">
        <v>0.60299999999999998</v>
      </c>
      <c r="M96" t="s">
        <v>57</v>
      </c>
      <c r="N96">
        <v>0</v>
      </c>
      <c r="O96">
        <v>0</v>
      </c>
      <c r="P96">
        <v>-0.13600000000000001</v>
      </c>
      <c r="Q96">
        <v>0.76300000000000001</v>
      </c>
      <c r="R96">
        <v>-0.14599999999999999</v>
      </c>
      <c r="S96">
        <v>-0.59399999999999997</v>
      </c>
      <c r="T96">
        <v>-1.6E-2</v>
      </c>
      <c r="U96">
        <v>-0.749</v>
      </c>
      <c r="V96">
        <v>-0.83499999999999996</v>
      </c>
      <c r="W96">
        <v>-0.74199999999999999</v>
      </c>
      <c r="X96">
        <v>0.161</v>
      </c>
      <c r="Y96">
        <v>0.159</v>
      </c>
      <c r="Z96">
        <v>0.29899999999999999</v>
      </c>
      <c r="AA96">
        <v>1</v>
      </c>
      <c r="AB96">
        <v>0.79300000000000004</v>
      </c>
      <c r="AC96">
        <v>-0.69299999999999995</v>
      </c>
      <c r="AD96">
        <v>-9.4E-2</v>
      </c>
      <c r="AE96">
        <v>0.90600000000000003</v>
      </c>
      <c r="AF96">
        <v>0.48599999999999999</v>
      </c>
      <c r="AG96">
        <v>1</v>
      </c>
      <c r="AH96">
        <v>-0.66900000000000004</v>
      </c>
      <c r="AI96">
        <v>0.13800000000000001</v>
      </c>
      <c r="AJ96">
        <v>-1</v>
      </c>
      <c r="AK96">
        <v>0.997</v>
      </c>
      <c r="AL96">
        <v>-7.0999999999999994E-2</v>
      </c>
      <c r="AM96">
        <v>-2.4E-2</v>
      </c>
      <c r="AN96">
        <v>0.63400000000000001</v>
      </c>
      <c r="AO96">
        <v>-0.3</v>
      </c>
      <c r="AP96">
        <v>0.48699999999999999</v>
      </c>
      <c r="AQ96">
        <v>0.27300000000000002</v>
      </c>
      <c r="AR96">
        <v>-0.26100000000000001</v>
      </c>
      <c r="AS96">
        <v>-0.65500000000000003</v>
      </c>
      <c r="AT96">
        <v>-0.63100000000000001</v>
      </c>
      <c r="AU96">
        <v>-0.56999999999999995</v>
      </c>
      <c r="AV96">
        <v>-0.20799999999999999</v>
      </c>
      <c r="AW96">
        <v>-0.93899999999999995</v>
      </c>
      <c r="AX96">
        <v>-1</v>
      </c>
      <c r="AY96">
        <v>2.1999999999999999E-2</v>
      </c>
      <c r="AZ96">
        <v>0.318</v>
      </c>
      <c r="BA96">
        <v>0.30199999999999999</v>
      </c>
      <c r="BB96">
        <v>0.40100000000000002</v>
      </c>
      <c r="BC96">
        <v>1</v>
      </c>
      <c r="BD96">
        <v>0.436</v>
      </c>
      <c r="BE96">
        <v>0.156</v>
      </c>
      <c r="BF96">
        <v>1</v>
      </c>
      <c r="BG96">
        <v>0.248</v>
      </c>
      <c r="BH96">
        <v>-0.19900000000000001</v>
      </c>
      <c r="BI96">
        <v>0.5</v>
      </c>
    </row>
    <row r="97" spans="1:61" x14ac:dyDescent="0.3">
      <c r="A97">
        <v>96</v>
      </c>
      <c r="B97" t="s">
        <v>232</v>
      </c>
      <c r="C97">
        <v>0</v>
      </c>
      <c r="D97">
        <v>0</v>
      </c>
      <c r="J97" t="s">
        <v>151</v>
      </c>
      <c r="K97">
        <v>0.84799999999999998</v>
      </c>
      <c r="L97">
        <v>0.84299999999999997</v>
      </c>
      <c r="M97" t="s">
        <v>57</v>
      </c>
      <c r="N97">
        <v>0</v>
      </c>
      <c r="O97">
        <v>-2E-3</v>
      </c>
      <c r="P97">
        <v>-0.39</v>
      </c>
      <c r="Q97">
        <v>-0.84599999999999997</v>
      </c>
      <c r="R97">
        <v>-0.59099999999999997</v>
      </c>
      <c r="S97">
        <v>-0.152</v>
      </c>
      <c r="T97">
        <v>-0.628</v>
      </c>
      <c r="U97">
        <v>-7.0999999999999994E-2</v>
      </c>
      <c r="V97">
        <v>8.8999999999999996E-2</v>
      </c>
      <c r="W97">
        <v>-0.183</v>
      </c>
      <c r="X97">
        <v>-2.1999999999999999E-2</v>
      </c>
      <c r="Y97">
        <v>-2.3E-2</v>
      </c>
      <c r="Z97">
        <v>0.62</v>
      </c>
      <c r="AA97">
        <v>0.51400000000000001</v>
      </c>
      <c r="AB97">
        <v>0.434</v>
      </c>
      <c r="AC97">
        <v>0.32300000000000001</v>
      </c>
      <c r="AD97">
        <v>0.46300000000000002</v>
      </c>
      <c r="AE97">
        <v>-0.84799999999999998</v>
      </c>
      <c r="AF97">
        <v>-0.44900000000000001</v>
      </c>
      <c r="AG97">
        <v>-0.65500000000000003</v>
      </c>
      <c r="AH97">
        <v>-0.50900000000000001</v>
      </c>
      <c r="AI97">
        <v>-0.1</v>
      </c>
      <c r="AJ97">
        <v>0.58099999999999996</v>
      </c>
      <c r="AK97">
        <v>-0.73299999999999998</v>
      </c>
      <c r="AL97">
        <v>0.496</v>
      </c>
      <c r="AM97">
        <v>-0.59399999999999997</v>
      </c>
      <c r="AN97">
        <v>-0.39300000000000002</v>
      </c>
      <c r="AO97">
        <v>0.42099999999999999</v>
      </c>
      <c r="AP97">
        <v>0.36</v>
      </c>
      <c r="AQ97">
        <v>-6.0000000000000001E-3</v>
      </c>
      <c r="AR97">
        <v>0.26500000000000001</v>
      </c>
      <c r="AS97">
        <v>0</v>
      </c>
      <c r="AT97">
        <v>0.23699999999999999</v>
      </c>
      <c r="AU97">
        <v>6.0000000000000001E-3</v>
      </c>
      <c r="AV97">
        <v>-2.9000000000000001E-2</v>
      </c>
      <c r="AW97">
        <v>0.64700000000000002</v>
      </c>
      <c r="AX97">
        <v>1</v>
      </c>
      <c r="AY97">
        <v>8.8999999999999996E-2</v>
      </c>
      <c r="AZ97">
        <v>-0.38700000000000001</v>
      </c>
      <c r="BA97">
        <v>-0.10299999999999999</v>
      </c>
      <c r="BB97">
        <v>7.3999999999999996E-2</v>
      </c>
      <c r="BC97">
        <v>-0.183</v>
      </c>
      <c r="BD97">
        <v>-0.36699999999999999</v>
      </c>
      <c r="BE97">
        <v>0.108</v>
      </c>
      <c r="BF97">
        <v>-0.95499999999999996</v>
      </c>
      <c r="BG97">
        <v>0.66400000000000003</v>
      </c>
      <c r="BH97">
        <v>-0.72699999999999998</v>
      </c>
      <c r="BI97">
        <v>-0.22900000000000001</v>
      </c>
    </row>
    <row r="98" spans="1:61" x14ac:dyDescent="0.3">
      <c r="A98">
        <v>97</v>
      </c>
      <c r="B98" t="s">
        <v>93</v>
      </c>
      <c r="C98">
        <v>1.2212999033706101E-2</v>
      </c>
      <c r="D98">
        <v>0</v>
      </c>
      <c r="J98" t="s">
        <v>138</v>
      </c>
      <c r="K98">
        <v>0.84499999999999997</v>
      </c>
      <c r="L98">
        <v>0.83099999999999996</v>
      </c>
      <c r="M98" t="s">
        <v>71</v>
      </c>
      <c r="N98">
        <v>0</v>
      </c>
      <c r="O98">
        <v>0</v>
      </c>
      <c r="P98">
        <v>-0.54</v>
      </c>
      <c r="Q98">
        <v>-0.4</v>
      </c>
      <c r="R98">
        <v>-0.36099999999999999</v>
      </c>
      <c r="S98">
        <v>-0.71299999999999997</v>
      </c>
      <c r="T98">
        <v>-0.55000000000000004</v>
      </c>
      <c r="U98">
        <v>-0.34899999999999998</v>
      </c>
      <c r="V98">
        <v>-0.501</v>
      </c>
      <c r="W98">
        <v>-0.312</v>
      </c>
      <c r="X98">
        <v>0.45200000000000001</v>
      </c>
      <c r="Y98">
        <v>0.44400000000000001</v>
      </c>
      <c r="Z98">
        <v>0.50800000000000001</v>
      </c>
      <c r="AA98">
        <v>0.66700000000000004</v>
      </c>
      <c r="AB98">
        <v>0.71599999999999997</v>
      </c>
      <c r="AC98">
        <v>-0.48699999999999999</v>
      </c>
      <c r="AD98">
        <v>-0.96</v>
      </c>
      <c r="AE98">
        <v>-0.45</v>
      </c>
      <c r="AF98">
        <v>-0.11</v>
      </c>
      <c r="AG98">
        <v>7.3999999999999996E-2</v>
      </c>
      <c r="AH98">
        <v>-0.36499999999999999</v>
      </c>
      <c r="AI98">
        <v>-0.17100000000000001</v>
      </c>
      <c r="AJ98">
        <v>0.25900000000000001</v>
      </c>
      <c r="AK98">
        <v>-8.5999999999999993E-2</v>
      </c>
      <c r="AL98">
        <v>-0.106</v>
      </c>
      <c r="AM98">
        <v>4.0000000000000001E-3</v>
      </c>
      <c r="AN98">
        <v>4.9000000000000002E-2</v>
      </c>
      <c r="AO98">
        <v>-0.91300000000000003</v>
      </c>
      <c r="AP98">
        <v>-0.23100000000000001</v>
      </c>
      <c r="AQ98">
        <v>-0.16400000000000001</v>
      </c>
      <c r="AR98">
        <v>-8.3000000000000004E-2</v>
      </c>
      <c r="AS98">
        <v>-0.501</v>
      </c>
      <c r="AT98">
        <v>-0.224</v>
      </c>
      <c r="AU98">
        <v>0.39300000000000002</v>
      </c>
      <c r="AV98">
        <v>0.498</v>
      </c>
      <c r="AW98">
        <v>0.82099999999999995</v>
      </c>
      <c r="AX98">
        <v>-1.9E-2</v>
      </c>
      <c r="AY98">
        <v>0.83</v>
      </c>
      <c r="AZ98">
        <v>0.186</v>
      </c>
      <c r="BA98">
        <v>0.17199999999999999</v>
      </c>
      <c r="BB98">
        <v>0.36199999999999999</v>
      </c>
      <c r="BC98">
        <v>0.48599999999999999</v>
      </c>
      <c r="BD98">
        <v>1</v>
      </c>
      <c r="BE98">
        <v>0.29799999999999999</v>
      </c>
      <c r="BF98">
        <v>-3.5000000000000003E-2</v>
      </c>
      <c r="BG98">
        <v>-0.69399999999999995</v>
      </c>
      <c r="BH98">
        <v>0.65</v>
      </c>
      <c r="BI98">
        <v>0.63700000000000001</v>
      </c>
    </row>
    <row r="99" spans="1:61" x14ac:dyDescent="0.3">
      <c r="A99">
        <v>98</v>
      </c>
      <c r="B99" t="s">
        <v>157</v>
      </c>
      <c r="C99">
        <v>0</v>
      </c>
      <c r="D99">
        <v>0</v>
      </c>
      <c r="J99" t="s">
        <v>117</v>
      </c>
      <c r="K99">
        <v>0.84299999999999997</v>
      </c>
      <c r="L99">
        <v>1.2070000000000001</v>
      </c>
      <c r="M99" t="s">
        <v>55</v>
      </c>
      <c r="N99">
        <v>0</v>
      </c>
      <c r="O99">
        <v>-3.0000000000000001E-3</v>
      </c>
      <c r="P99">
        <v>-0.73899999999999999</v>
      </c>
      <c r="Q99">
        <v>-0.73399999999999999</v>
      </c>
      <c r="R99">
        <v>-0.90100000000000002</v>
      </c>
      <c r="S99">
        <v>-0.495</v>
      </c>
      <c r="T99">
        <v>-0.75700000000000001</v>
      </c>
      <c r="U99">
        <v>-0.29199999999999998</v>
      </c>
      <c r="V99">
        <v>7.0999999999999994E-2</v>
      </c>
      <c r="W99">
        <v>-0.18</v>
      </c>
      <c r="X99">
        <v>0.50700000000000001</v>
      </c>
      <c r="Y99">
        <v>0.50800000000000001</v>
      </c>
      <c r="Z99">
        <v>0.70799999999999996</v>
      </c>
      <c r="AA99">
        <v>0.747</v>
      </c>
      <c r="AB99">
        <v>0.59699999999999998</v>
      </c>
      <c r="AC99">
        <v>-0.54100000000000004</v>
      </c>
      <c r="AD99">
        <v>-0.63400000000000001</v>
      </c>
      <c r="AE99">
        <v>-0.17899999999999999</v>
      </c>
      <c r="AF99">
        <v>-0.92500000000000004</v>
      </c>
      <c r="AG99">
        <v>-0.68700000000000006</v>
      </c>
      <c r="AH99">
        <v>-0.95199999999999996</v>
      </c>
      <c r="AI99">
        <v>-0.26200000000000001</v>
      </c>
      <c r="AJ99">
        <v>0.11899999999999999</v>
      </c>
      <c r="AK99">
        <v>-0.66700000000000004</v>
      </c>
      <c r="AL99">
        <v>-0.498</v>
      </c>
      <c r="AM99">
        <v>0.16</v>
      </c>
      <c r="AN99">
        <v>0.29399999999999998</v>
      </c>
      <c r="AO99">
        <v>-0.128</v>
      </c>
      <c r="AP99">
        <v>0.315</v>
      </c>
      <c r="AQ99">
        <v>0.28000000000000003</v>
      </c>
      <c r="AR99">
        <v>0.371</v>
      </c>
      <c r="AS99">
        <v>-0.113</v>
      </c>
      <c r="AT99">
        <v>-0.109</v>
      </c>
      <c r="AU99">
        <v>0.73199999999999998</v>
      </c>
      <c r="AV99">
        <v>-0.54500000000000004</v>
      </c>
      <c r="AW99">
        <v>0.94199999999999995</v>
      </c>
      <c r="AX99">
        <v>-0.13700000000000001</v>
      </c>
      <c r="AY99">
        <v>0.126</v>
      </c>
      <c r="AZ99">
        <v>-0.28399999999999997</v>
      </c>
      <c r="BA99">
        <v>-0.33900000000000002</v>
      </c>
      <c r="BB99">
        <v>0.376</v>
      </c>
      <c r="BC99">
        <v>-2.3E-2</v>
      </c>
      <c r="BD99">
        <v>-0.57599999999999996</v>
      </c>
      <c r="BE99">
        <v>0.54400000000000004</v>
      </c>
      <c r="BF99">
        <v>-0.624</v>
      </c>
      <c r="BG99">
        <v>3.0000000000000001E-3</v>
      </c>
      <c r="BH99">
        <v>0.14599999999999999</v>
      </c>
      <c r="BI99">
        <v>-0.51300000000000001</v>
      </c>
    </row>
    <row r="100" spans="1:61" x14ac:dyDescent="0.3">
      <c r="A100">
        <v>99</v>
      </c>
      <c r="B100" t="s">
        <v>149</v>
      </c>
      <c r="C100">
        <v>0</v>
      </c>
      <c r="D100">
        <v>0</v>
      </c>
      <c r="J100" t="s">
        <v>135</v>
      </c>
      <c r="K100">
        <v>0.84099999999999997</v>
      </c>
      <c r="L100">
        <v>1.8320000000000001</v>
      </c>
      <c r="M100" t="s">
        <v>57</v>
      </c>
      <c r="N100">
        <v>3.2000000000000001E-2</v>
      </c>
      <c r="O100">
        <v>-0.05</v>
      </c>
      <c r="P100">
        <v>-0.70299999999999996</v>
      </c>
      <c r="Q100">
        <v>-0.749</v>
      </c>
      <c r="R100">
        <v>-0.9</v>
      </c>
      <c r="S100">
        <v>-0.48699999999999999</v>
      </c>
      <c r="T100">
        <v>-0.75800000000000001</v>
      </c>
      <c r="U100">
        <v>-0.23400000000000001</v>
      </c>
      <c r="V100">
        <v>8.2000000000000003E-2</v>
      </c>
      <c r="W100">
        <v>-0.20200000000000001</v>
      </c>
      <c r="X100">
        <v>0.38600000000000001</v>
      </c>
      <c r="Y100">
        <v>0.38400000000000001</v>
      </c>
      <c r="Z100">
        <v>0.73499999999999999</v>
      </c>
      <c r="AA100">
        <v>0.78200000000000003</v>
      </c>
      <c r="AB100">
        <v>0.61799999999999999</v>
      </c>
      <c r="AC100">
        <v>-0.60699999999999998</v>
      </c>
      <c r="AD100">
        <v>0.106</v>
      </c>
      <c r="AE100">
        <v>-0.156</v>
      </c>
      <c r="AF100">
        <v>-0.94699999999999995</v>
      </c>
      <c r="AG100">
        <v>-0.872</v>
      </c>
      <c r="AH100">
        <v>-0.97299999999999998</v>
      </c>
      <c r="AI100">
        <v>-0.23100000000000001</v>
      </c>
      <c r="AJ100">
        <v>7.3999999999999996E-2</v>
      </c>
      <c r="AK100">
        <v>-0.52700000000000002</v>
      </c>
      <c r="AL100">
        <v>-7.2999999999999995E-2</v>
      </c>
      <c r="AM100">
        <v>0.14799999999999999</v>
      </c>
      <c r="AN100">
        <v>-0.34399999999999997</v>
      </c>
      <c r="AO100">
        <v>0.26</v>
      </c>
      <c r="AP100">
        <v>0.26900000000000002</v>
      </c>
      <c r="AQ100">
        <v>-0.112</v>
      </c>
      <c r="AR100">
        <v>-7.3999999999999996E-2</v>
      </c>
      <c r="AS100">
        <v>-0.20399999999999999</v>
      </c>
      <c r="AT100">
        <v>-0.23599999999999999</v>
      </c>
      <c r="AU100">
        <v>0.44400000000000001</v>
      </c>
      <c r="AV100">
        <v>-0.437</v>
      </c>
      <c r="AW100">
        <v>0.83399999999999996</v>
      </c>
      <c r="AX100">
        <v>0.44500000000000001</v>
      </c>
      <c r="AY100">
        <v>0.64800000000000002</v>
      </c>
      <c r="AZ100">
        <v>-0.36799999999999999</v>
      </c>
      <c r="BA100">
        <v>-0.192</v>
      </c>
      <c r="BB100">
        <v>0.30299999999999999</v>
      </c>
      <c r="BC100">
        <v>5.0000000000000001E-3</v>
      </c>
      <c r="BD100">
        <v>-4.1000000000000002E-2</v>
      </c>
      <c r="BE100">
        <v>0.90900000000000003</v>
      </c>
      <c r="BF100">
        <v>-0.71199999999999997</v>
      </c>
      <c r="BG100">
        <v>-0.153</v>
      </c>
      <c r="BH100">
        <v>-0.184</v>
      </c>
      <c r="BI100">
        <v>-0.93899999999999995</v>
      </c>
    </row>
    <row r="101" spans="1:61" x14ac:dyDescent="0.3">
      <c r="A101">
        <v>100</v>
      </c>
      <c r="B101" t="s">
        <v>132</v>
      </c>
      <c r="C101">
        <v>0</v>
      </c>
      <c r="D101">
        <v>0</v>
      </c>
      <c r="J101" t="s">
        <v>182</v>
      </c>
      <c r="K101">
        <v>0.83599999999999997</v>
      </c>
      <c r="L101">
        <v>1.764</v>
      </c>
      <c r="M101" t="s">
        <v>71</v>
      </c>
      <c r="N101">
        <v>6.8000000000000005E-2</v>
      </c>
      <c r="O101">
        <v>-0.05</v>
      </c>
      <c r="P101">
        <v>-0.85599999999999998</v>
      </c>
      <c r="Q101">
        <v>-0.55900000000000005</v>
      </c>
      <c r="R101">
        <v>-0.98399999999999999</v>
      </c>
      <c r="S101">
        <v>-0.65300000000000002</v>
      </c>
      <c r="T101">
        <v>-0.76100000000000001</v>
      </c>
      <c r="U101">
        <v>-0.56699999999999995</v>
      </c>
      <c r="V101">
        <v>-0.42899999999999999</v>
      </c>
      <c r="W101">
        <v>-8.0000000000000002E-3</v>
      </c>
      <c r="X101">
        <v>0.64400000000000002</v>
      </c>
      <c r="Y101">
        <v>0.64200000000000002</v>
      </c>
      <c r="Z101">
        <v>0.73799999999999999</v>
      </c>
      <c r="AA101">
        <v>0.72499999999999998</v>
      </c>
      <c r="AB101">
        <v>0.69299999999999995</v>
      </c>
      <c r="AC101">
        <v>-0.70199999999999996</v>
      </c>
      <c r="AD101">
        <v>-0.92900000000000005</v>
      </c>
      <c r="AE101">
        <v>0.157</v>
      </c>
      <c r="AF101">
        <v>-1</v>
      </c>
      <c r="AG101">
        <v>-0.69599999999999995</v>
      </c>
      <c r="AH101">
        <v>-1</v>
      </c>
      <c r="AI101">
        <v>-0.26500000000000001</v>
      </c>
      <c r="AJ101">
        <v>0.104</v>
      </c>
      <c r="AK101">
        <v>-0.6</v>
      </c>
      <c r="AL101">
        <v>-0.68500000000000005</v>
      </c>
      <c r="AM101">
        <v>0.81899999999999995</v>
      </c>
      <c r="AN101">
        <v>0.11700000000000001</v>
      </c>
      <c r="AO101">
        <v>-0.83699999999999997</v>
      </c>
      <c r="AP101">
        <v>0.433</v>
      </c>
      <c r="AQ101">
        <v>0.34899999999999998</v>
      </c>
      <c r="AR101">
        <v>9.0999999999999998E-2</v>
      </c>
      <c r="AS101">
        <v>-0.17499999999999999</v>
      </c>
      <c r="AT101">
        <v>-0.221</v>
      </c>
      <c r="AU101">
        <v>0.58299999999999996</v>
      </c>
      <c r="AV101">
        <v>-0.185</v>
      </c>
      <c r="AW101">
        <v>0.54400000000000004</v>
      </c>
      <c r="AX101">
        <v>-0.95399999999999996</v>
      </c>
      <c r="AY101">
        <v>-0.17199999999999999</v>
      </c>
      <c r="AZ101">
        <v>0.17100000000000001</v>
      </c>
      <c r="BA101">
        <v>0.123</v>
      </c>
      <c r="BB101">
        <v>0.59899999999999998</v>
      </c>
      <c r="BC101">
        <v>-0.57699999999999996</v>
      </c>
      <c r="BD101">
        <v>0.436</v>
      </c>
      <c r="BE101">
        <v>0.39</v>
      </c>
      <c r="BF101">
        <v>-0.36499999999999999</v>
      </c>
      <c r="BG101">
        <v>-0.46400000000000002</v>
      </c>
      <c r="BH101">
        <v>-0.38600000000000001</v>
      </c>
      <c r="BI101">
        <v>-1</v>
      </c>
    </row>
    <row r="102" spans="1:61" x14ac:dyDescent="0.3">
      <c r="A102">
        <v>101</v>
      </c>
      <c r="B102" t="s">
        <v>211</v>
      </c>
      <c r="C102">
        <v>0</v>
      </c>
      <c r="D102">
        <v>0</v>
      </c>
      <c r="J102" t="s">
        <v>122</v>
      </c>
      <c r="K102">
        <v>0.83399999999999996</v>
      </c>
      <c r="L102">
        <v>0.77700000000000002</v>
      </c>
      <c r="M102" t="s">
        <v>57</v>
      </c>
      <c r="N102">
        <v>0</v>
      </c>
      <c r="O102">
        <v>0</v>
      </c>
      <c r="P102">
        <v>-0.34799999999999998</v>
      </c>
      <c r="Q102">
        <v>-0.48799999999999999</v>
      </c>
      <c r="R102">
        <v>-0.10199999999999999</v>
      </c>
      <c r="S102">
        <v>-0.69499999999999995</v>
      </c>
      <c r="T102">
        <v>-0.6</v>
      </c>
      <c r="U102">
        <v>-0.253</v>
      </c>
      <c r="V102">
        <v>-0.126</v>
      </c>
      <c r="W102">
        <v>-0.31</v>
      </c>
      <c r="X102">
        <v>-7.0000000000000001E-3</v>
      </c>
      <c r="Y102">
        <v>-7.0000000000000001E-3</v>
      </c>
      <c r="Z102">
        <v>0.50600000000000001</v>
      </c>
      <c r="AA102">
        <v>0.44800000000000001</v>
      </c>
      <c r="AB102">
        <v>0.60199999999999998</v>
      </c>
      <c r="AC102">
        <v>-0.51200000000000001</v>
      </c>
      <c r="AD102">
        <v>-0.83</v>
      </c>
      <c r="AE102">
        <v>-0.755</v>
      </c>
      <c r="AF102">
        <v>-0.39800000000000002</v>
      </c>
      <c r="AG102">
        <v>0.28999999999999998</v>
      </c>
      <c r="AH102">
        <v>0.63700000000000001</v>
      </c>
      <c r="AI102">
        <v>-0.72799999999999998</v>
      </c>
      <c r="AJ102">
        <v>0.25700000000000001</v>
      </c>
      <c r="AK102">
        <v>-0.65600000000000003</v>
      </c>
      <c r="AL102">
        <v>-0.19400000000000001</v>
      </c>
      <c r="AM102">
        <v>-0.219</v>
      </c>
      <c r="AN102">
        <v>0.29399999999999998</v>
      </c>
      <c r="AO102">
        <v>-0.29599999999999999</v>
      </c>
      <c r="AP102">
        <v>0.122</v>
      </c>
      <c r="AQ102">
        <v>-0.156</v>
      </c>
      <c r="AR102">
        <v>-0.33500000000000002</v>
      </c>
      <c r="AS102">
        <v>0.188</v>
      </c>
      <c r="AT102">
        <v>-0.27300000000000002</v>
      </c>
      <c r="AU102">
        <v>0.53400000000000003</v>
      </c>
      <c r="AV102">
        <v>1</v>
      </c>
      <c r="AW102">
        <v>-0.14199999999999999</v>
      </c>
      <c r="AX102">
        <v>1</v>
      </c>
      <c r="AY102">
        <v>0.501</v>
      </c>
      <c r="AZ102">
        <v>-0.32</v>
      </c>
      <c r="BA102">
        <v>0.34200000000000003</v>
      </c>
      <c r="BB102">
        <v>-0.436</v>
      </c>
      <c r="BC102">
        <v>-3.3000000000000002E-2</v>
      </c>
      <c r="BD102">
        <v>-0.55000000000000004</v>
      </c>
      <c r="BE102">
        <v>0.372</v>
      </c>
      <c r="BF102">
        <v>-0.57399999999999995</v>
      </c>
      <c r="BG102">
        <v>-0.54600000000000004</v>
      </c>
      <c r="BH102">
        <v>0.63200000000000001</v>
      </c>
      <c r="BI102">
        <v>0.76800000000000002</v>
      </c>
    </row>
    <row r="103" spans="1:61" x14ac:dyDescent="0.3">
      <c r="A103">
        <v>102</v>
      </c>
      <c r="B103" t="s">
        <v>202</v>
      </c>
      <c r="C103">
        <v>0</v>
      </c>
      <c r="D103">
        <v>0</v>
      </c>
      <c r="J103" t="s">
        <v>179</v>
      </c>
      <c r="K103">
        <v>0.80600000000000005</v>
      </c>
      <c r="L103">
        <v>0.63400000000000001</v>
      </c>
      <c r="M103" t="s">
        <v>71</v>
      </c>
      <c r="N103">
        <v>0</v>
      </c>
      <c r="O103">
        <v>-2E-3</v>
      </c>
      <c r="P103">
        <v>-0.622</v>
      </c>
      <c r="Q103">
        <v>0.11799999999999999</v>
      </c>
      <c r="R103">
        <v>-0.86799999999999999</v>
      </c>
      <c r="S103">
        <v>-0.41199999999999998</v>
      </c>
      <c r="T103">
        <v>-0.35899999999999999</v>
      </c>
      <c r="U103">
        <v>-0.751</v>
      </c>
      <c r="V103">
        <v>-0.871</v>
      </c>
      <c r="W103">
        <v>-0.21</v>
      </c>
      <c r="X103">
        <v>0.33400000000000002</v>
      </c>
      <c r="Y103">
        <v>0.33600000000000002</v>
      </c>
      <c r="Z103">
        <v>0.45900000000000002</v>
      </c>
      <c r="AA103">
        <v>0.66700000000000004</v>
      </c>
      <c r="AB103">
        <v>0.78300000000000003</v>
      </c>
      <c r="AC103">
        <v>-0.21</v>
      </c>
      <c r="AD103">
        <v>-0.49099999999999999</v>
      </c>
      <c r="AE103">
        <v>1</v>
      </c>
      <c r="AF103">
        <v>-0.73099999999999998</v>
      </c>
      <c r="AG103">
        <v>-0.19600000000000001</v>
      </c>
      <c r="AH103">
        <v>-0.92600000000000005</v>
      </c>
      <c r="AI103">
        <v>-0.254</v>
      </c>
      <c r="AJ103">
        <v>-0.64500000000000002</v>
      </c>
      <c r="AK103">
        <v>0.224</v>
      </c>
      <c r="AL103">
        <v>-0.46100000000000002</v>
      </c>
      <c r="AM103">
        <v>0.67300000000000004</v>
      </c>
      <c r="AN103">
        <v>0.70299999999999996</v>
      </c>
      <c r="AO103">
        <v>-0.53500000000000003</v>
      </c>
      <c r="AP103">
        <v>1</v>
      </c>
      <c r="AQ103">
        <v>0.155</v>
      </c>
      <c r="AR103">
        <v>-0.11799999999999999</v>
      </c>
      <c r="AS103">
        <v>-0.8</v>
      </c>
      <c r="AT103">
        <v>0.05</v>
      </c>
      <c r="AU103">
        <v>-0.114</v>
      </c>
      <c r="AV103">
        <v>0.124</v>
      </c>
      <c r="AW103">
        <v>0.622</v>
      </c>
      <c r="AX103">
        <v>-1</v>
      </c>
      <c r="AY103">
        <v>0.13700000000000001</v>
      </c>
      <c r="AZ103">
        <v>0.50600000000000001</v>
      </c>
      <c r="BA103">
        <v>0.26600000000000001</v>
      </c>
      <c r="BB103">
        <v>0.81599999999999995</v>
      </c>
      <c r="BC103">
        <v>-1</v>
      </c>
      <c r="BD103">
        <v>0.29599999999999999</v>
      </c>
      <c r="BE103">
        <v>-0.58199999999999996</v>
      </c>
      <c r="BF103">
        <v>-1.0999999999999999E-2</v>
      </c>
      <c r="BG103">
        <v>-0.28899999999999998</v>
      </c>
      <c r="BH103">
        <v>-0.41699999999999998</v>
      </c>
      <c r="BI103">
        <v>-8.9999999999999993E-3</v>
      </c>
    </row>
    <row r="104" spans="1:61" x14ac:dyDescent="0.3">
      <c r="A104">
        <v>103</v>
      </c>
      <c r="B104" t="s">
        <v>95</v>
      </c>
      <c r="C104">
        <v>2.00765364497726E-2</v>
      </c>
      <c r="D104">
        <v>2.09930344493163E-2</v>
      </c>
      <c r="J104" t="s">
        <v>88</v>
      </c>
      <c r="K104">
        <v>0.80300000000000005</v>
      </c>
      <c r="L104">
        <v>0.94499999999999995</v>
      </c>
      <c r="M104" t="s">
        <v>53</v>
      </c>
      <c r="N104">
        <v>0</v>
      </c>
      <c r="O104">
        <v>0</v>
      </c>
      <c r="P104">
        <v>-0.623</v>
      </c>
      <c r="Q104">
        <v>-0.63400000000000001</v>
      </c>
      <c r="R104">
        <v>-0.54100000000000004</v>
      </c>
      <c r="S104">
        <v>-0.62</v>
      </c>
      <c r="T104">
        <v>-0.63600000000000001</v>
      </c>
      <c r="U104">
        <v>-0.35</v>
      </c>
      <c r="V104">
        <v>3.1E-2</v>
      </c>
      <c r="W104">
        <v>-0.39300000000000002</v>
      </c>
      <c r="X104">
        <v>0.36399999999999999</v>
      </c>
      <c r="Y104">
        <v>0.36</v>
      </c>
      <c r="Z104">
        <v>0.70699999999999996</v>
      </c>
      <c r="AA104">
        <v>0.69599999999999995</v>
      </c>
      <c r="AB104">
        <v>0.65500000000000003</v>
      </c>
      <c r="AC104">
        <v>-0.38300000000000001</v>
      </c>
      <c r="AD104">
        <v>-0.85799999999999998</v>
      </c>
      <c r="AE104">
        <v>-0.40500000000000003</v>
      </c>
      <c r="AF104">
        <v>-0.17299999999999999</v>
      </c>
      <c r="AG104">
        <v>0.31</v>
      </c>
      <c r="AH104">
        <v>-0.58699999999999997</v>
      </c>
      <c r="AI104">
        <v>-0.08</v>
      </c>
      <c r="AJ104">
        <v>3.1E-2</v>
      </c>
      <c r="AK104">
        <v>-0.48899999999999999</v>
      </c>
      <c r="AL104">
        <v>-0.10299999999999999</v>
      </c>
      <c r="AM104">
        <v>-9.6000000000000002E-2</v>
      </c>
      <c r="AN104">
        <v>-5.1999999999999998E-2</v>
      </c>
      <c r="AO104">
        <v>-0.32900000000000001</v>
      </c>
      <c r="AP104">
        <v>-0.44</v>
      </c>
      <c r="AQ104">
        <v>-0.374</v>
      </c>
      <c r="AR104">
        <v>7.8E-2</v>
      </c>
      <c r="AS104">
        <v>-7.6999999999999999E-2</v>
      </c>
      <c r="AT104">
        <v>-4.2000000000000003E-2</v>
      </c>
      <c r="AU104">
        <v>0.66600000000000004</v>
      </c>
      <c r="AV104">
        <v>0</v>
      </c>
      <c r="AW104">
        <v>0.49299999999999999</v>
      </c>
      <c r="AX104">
        <v>-7.8E-2</v>
      </c>
      <c r="AY104">
        <v>6.7000000000000004E-2</v>
      </c>
      <c r="AZ104">
        <v>-0.09</v>
      </c>
      <c r="BA104">
        <v>-0.158</v>
      </c>
      <c r="BB104">
        <v>0.379</v>
      </c>
      <c r="BC104">
        <v>8.6999999999999994E-2</v>
      </c>
      <c r="BD104">
        <v>0.26800000000000002</v>
      </c>
      <c r="BE104">
        <v>0.72899999999999998</v>
      </c>
      <c r="BF104">
        <v>-0.3</v>
      </c>
      <c r="BG104">
        <v>-0.41899999999999998</v>
      </c>
      <c r="BH104">
        <v>0.54500000000000004</v>
      </c>
      <c r="BI104">
        <v>0.56799999999999995</v>
      </c>
    </row>
    <row r="105" spans="1:61" x14ac:dyDescent="0.3">
      <c r="A105">
        <v>104</v>
      </c>
      <c r="B105" t="s">
        <v>137</v>
      </c>
      <c r="C105">
        <v>1.2257286910069901E-2</v>
      </c>
      <c r="D105">
        <v>8.4407640030692496E-3</v>
      </c>
      <c r="J105" t="s">
        <v>102</v>
      </c>
      <c r="K105">
        <v>0.8</v>
      </c>
      <c r="L105">
        <v>0.65</v>
      </c>
      <c r="M105" t="s">
        <v>57</v>
      </c>
      <c r="N105">
        <v>0</v>
      </c>
      <c r="O105">
        <v>-2E-3</v>
      </c>
      <c r="P105">
        <v>-0.20699999999999999</v>
      </c>
      <c r="Q105">
        <v>-0.34200000000000003</v>
      </c>
      <c r="R105">
        <v>-0.38300000000000001</v>
      </c>
      <c r="S105">
        <v>-8.6999999999999994E-2</v>
      </c>
      <c r="T105">
        <v>-0.22900000000000001</v>
      </c>
      <c r="U105">
        <v>-0.29199999999999998</v>
      </c>
      <c r="V105">
        <v>-0.20399999999999999</v>
      </c>
      <c r="W105">
        <v>-0.69799999999999995</v>
      </c>
      <c r="X105">
        <v>0.14099999999999999</v>
      </c>
      <c r="Y105">
        <v>0.14000000000000001</v>
      </c>
      <c r="Z105">
        <v>0.69799999999999995</v>
      </c>
      <c r="AA105">
        <v>0.55000000000000004</v>
      </c>
      <c r="AB105">
        <v>0.55000000000000004</v>
      </c>
      <c r="AC105">
        <v>0.48499999999999999</v>
      </c>
      <c r="AD105">
        <v>1</v>
      </c>
      <c r="AE105">
        <v>-0.26400000000000001</v>
      </c>
      <c r="AF105">
        <v>-0.252</v>
      </c>
      <c r="AG105">
        <v>-0.621</v>
      </c>
      <c r="AH105">
        <v>4.8000000000000001E-2</v>
      </c>
      <c r="AI105">
        <v>-2.8000000000000001E-2</v>
      </c>
      <c r="AJ105">
        <v>-0.72599999999999998</v>
      </c>
      <c r="AK105">
        <v>0.47</v>
      </c>
      <c r="AL105">
        <v>0.52300000000000002</v>
      </c>
      <c r="AM105">
        <v>-0.41699999999999998</v>
      </c>
      <c r="AN105">
        <v>-0.46100000000000002</v>
      </c>
      <c r="AO105">
        <v>0.57699999999999996</v>
      </c>
      <c r="AP105">
        <v>0.51500000000000001</v>
      </c>
      <c r="AQ105">
        <v>0.125</v>
      </c>
      <c r="AR105">
        <v>-6.5000000000000002E-2</v>
      </c>
      <c r="AS105">
        <v>5.8000000000000003E-2</v>
      </c>
      <c r="AT105">
        <v>0.29299999999999998</v>
      </c>
      <c r="AU105">
        <v>-0.38500000000000001</v>
      </c>
      <c r="AV105">
        <v>-0.48799999999999999</v>
      </c>
      <c r="AW105">
        <v>0.77500000000000002</v>
      </c>
      <c r="AX105">
        <v>-0.48599999999999999</v>
      </c>
      <c r="AY105">
        <v>0.46700000000000003</v>
      </c>
      <c r="AZ105">
        <v>7.6999999999999999E-2</v>
      </c>
      <c r="BA105">
        <v>-0.13900000000000001</v>
      </c>
      <c r="BB105">
        <v>0.38200000000000001</v>
      </c>
      <c r="BC105">
        <v>0.52800000000000002</v>
      </c>
      <c r="BD105">
        <v>0.56100000000000005</v>
      </c>
      <c r="BE105">
        <v>0.53900000000000003</v>
      </c>
      <c r="BF105">
        <v>-0.20899999999999999</v>
      </c>
      <c r="BG105">
        <v>5.0999999999999997E-2</v>
      </c>
      <c r="BH105">
        <v>-0.79100000000000004</v>
      </c>
      <c r="BI105">
        <v>-0.4</v>
      </c>
    </row>
    <row r="106" spans="1:61" x14ac:dyDescent="0.3">
      <c r="A106">
        <v>105</v>
      </c>
      <c r="B106" t="s">
        <v>196</v>
      </c>
      <c r="C106">
        <v>0</v>
      </c>
      <c r="D106">
        <v>7.4640141019849098E-3</v>
      </c>
      <c r="J106" t="s">
        <v>112</v>
      </c>
      <c r="K106">
        <v>0.78600000000000003</v>
      </c>
      <c r="L106">
        <v>0.98299999999999998</v>
      </c>
      <c r="M106" t="s">
        <v>55</v>
      </c>
      <c r="N106">
        <v>0</v>
      </c>
      <c r="O106">
        <v>-4.0000000000000001E-3</v>
      </c>
      <c r="P106">
        <v>-0.89500000000000002</v>
      </c>
      <c r="Q106">
        <v>-0.75800000000000001</v>
      </c>
      <c r="R106">
        <v>-0.98899999999999999</v>
      </c>
      <c r="S106">
        <v>-0.67300000000000004</v>
      </c>
      <c r="T106">
        <v>-0.81399999999999995</v>
      </c>
      <c r="U106">
        <v>-0.55000000000000004</v>
      </c>
      <c r="V106">
        <v>-7.2999999999999995E-2</v>
      </c>
      <c r="W106">
        <v>-7.5999999999999998E-2</v>
      </c>
      <c r="X106">
        <v>0.63500000000000001</v>
      </c>
      <c r="Y106">
        <v>0.63600000000000001</v>
      </c>
      <c r="Z106">
        <v>0.755</v>
      </c>
      <c r="AA106">
        <v>0.65500000000000003</v>
      </c>
      <c r="AB106">
        <v>0.60099999999999998</v>
      </c>
      <c r="AC106">
        <v>-0.85399999999999998</v>
      </c>
      <c r="AD106">
        <v>-0.74299999999999999</v>
      </c>
      <c r="AE106">
        <v>0.25</v>
      </c>
      <c r="AF106">
        <v>-0.91500000000000004</v>
      </c>
      <c r="AG106">
        <v>-0.218</v>
      </c>
      <c r="AH106">
        <v>-0.90300000000000002</v>
      </c>
      <c r="AI106">
        <v>-0.37</v>
      </c>
      <c r="AJ106">
        <v>-0.03</v>
      </c>
      <c r="AK106">
        <v>-0.72099999999999997</v>
      </c>
      <c r="AL106">
        <v>-0.78</v>
      </c>
      <c r="AM106">
        <v>0.69299999999999995</v>
      </c>
      <c r="AN106">
        <v>0.11799999999999999</v>
      </c>
      <c r="AO106">
        <v>7.5999999999999998E-2</v>
      </c>
      <c r="AP106">
        <v>5.0999999999999997E-2</v>
      </c>
      <c r="AQ106">
        <v>-0.67600000000000005</v>
      </c>
      <c r="AR106">
        <v>0.21099999999999999</v>
      </c>
      <c r="AS106">
        <v>5.5E-2</v>
      </c>
      <c r="AT106">
        <v>-0.317</v>
      </c>
      <c r="AU106">
        <v>0.59099999999999997</v>
      </c>
      <c r="AV106">
        <v>-0.47699999999999998</v>
      </c>
      <c r="AW106">
        <v>1</v>
      </c>
      <c r="AX106">
        <v>-8.1000000000000003E-2</v>
      </c>
      <c r="AY106">
        <v>-0.75700000000000001</v>
      </c>
      <c r="AZ106">
        <v>-0.33800000000000002</v>
      </c>
      <c r="BA106">
        <v>-0.621</v>
      </c>
      <c r="BB106">
        <v>0.40400000000000003</v>
      </c>
      <c r="BC106">
        <v>-0.26900000000000002</v>
      </c>
      <c r="BD106">
        <v>0.3</v>
      </c>
      <c r="BE106">
        <v>0.85599999999999998</v>
      </c>
      <c r="BF106">
        <v>-1</v>
      </c>
      <c r="BG106">
        <v>-0.28899999999999998</v>
      </c>
      <c r="BH106">
        <v>-0.39600000000000002</v>
      </c>
      <c r="BI106">
        <v>-0.111</v>
      </c>
    </row>
    <row r="107" spans="1:61" x14ac:dyDescent="0.3">
      <c r="A107">
        <v>106</v>
      </c>
      <c r="B107" t="s">
        <v>83</v>
      </c>
      <c r="C107">
        <v>0</v>
      </c>
      <c r="D107">
        <v>3.3876297343917998E-2</v>
      </c>
      <c r="J107" t="s">
        <v>83</v>
      </c>
      <c r="K107">
        <v>0.77900000000000003</v>
      </c>
      <c r="L107">
        <v>1.5589999999999999</v>
      </c>
      <c r="M107" t="s">
        <v>53</v>
      </c>
      <c r="N107">
        <v>0</v>
      </c>
      <c r="O107">
        <v>-2.7E-2</v>
      </c>
      <c r="P107">
        <v>-0.63200000000000001</v>
      </c>
      <c r="Q107">
        <v>-0.69099999999999995</v>
      </c>
      <c r="R107">
        <v>-0.85299999999999998</v>
      </c>
      <c r="S107">
        <v>-0.14199999999999999</v>
      </c>
      <c r="T107">
        <v>-0.60499999999999998</v>
      </c>
      <c r="U107">
        <v>-0.57499999999999996</v>
      </c>
      <c r="V107">
        <v>-0.38300000000000001</v>
      </c>
      <c r="W107">
        <v>-0.157</v>
      </c>
      <c r="X107">
        <v>0.28699999999999998</v>
      </c>
      <c r="Y107">
        <v>0.28699999999999998</v>
      </c>
      <c r="Z107">
        <v>0.69299999999999995</v>
      </c>
      <c r="AA107">
        <v>0.7</v>
      </c>
      <c r="AB107">
        <v>0.54900000000000004</v>
      </c>
      <c r="AC107">
        <v>0.26100000000000001</v>
      </c>
      <c r="AD107">
        <v>-0.61899999999999999</v>
      </c>
      <c r="AE107">
        <v>-0.42299999999999999</v>
      </c>
      <c r="AF107">
        <v>-1</v>
      </c>
      <c r="AG107">
        <v>-0.93300000000000005</v>
      </c>
      <c r="AH107">
        <v>-0.64100000000000001</v>
      </c>
      <c r="AI107">
        <v>-0.28899999999999998</v>
      </c>
      <c r="AJ107">
        <v>-0.19800000000000001</v>
      </c>
      <c r="AK107">
        <v>-0.94199999999999995</v>
      </c>
      <c r="AL107">
        <v>-0.16300000000000001</v>
      </c>
      <c r="AM107">
        <v>0.31900000000000001</v>
      </c>
      <c r="AN107">
        <v>4.2999999999999997E-2</v>
      </c>
      <c r="AO107">
        <v>0.18099999999999999</v>
      </c>
      <c r="AP107">
        <v>0.29499999999999998</v>
      </c>
      <c r="AQ107">
        <v>-3.6999999999999998E-2</v>
      </c>
      <c r="AR107">
        <v>0.435</v>
      </c>
      <c r="AS107">
        <v>0.09</v>
      </c>
      <c r="AT107">
        <v>0.90800000000000003</v>
      </c>
      <c r="AU107">
        <v>0.71399999999999997</v>
      </c>
      <c r="AV107">
        <v>0.53100000000000003</v>
      </c>
      <c r="AW107">
        <v>0.65100000000000002</v>
      </c>
      <c r="AX107">
        <v>-0.55300000000000005</v>
      </c>
      <c r="AY107">
        <v>-0.26500000000000001</v>
      </c>
      <c r="AZ107">
        <v>0.19</v>
      </c>
      <c r="BA107">
        <v>0.13900000000000001</v>
      </c>
      <c r="BB107">
        <v>0.51</v>
      </c>
      <c r="BC107">
        <v>-0.82299999999999995</v>
      </c>
      <c r="BD107">
        <v>-1</v>
      </c>
      <c r="BE107">
        <v>-0.54100000000000004</v>
      </c>
      <c r="BF107">
        <v>-0.21299999999999999</v>
      </c>
      <c r="BG107">
        <v>-0.21099999999999999</v>
      </c>
      <c r="BH107">
        <v>-0.11899999999999999</v>
      </c>
      <c r="BI107">
        <v>-1</v>
      </c>
    </row>
    <row r="108" spans="1:61" x14ac:dyDescent="0.3">
      <c r="A108">
        <v>107</v>
      </c>
      <c r="B108" t="s">
        <v>87</v>
      </c>
      <c r="C108">
        <v>1.7075746070312099E-2</v>
      </c>
      <c r="D108">
        <v>9.4309657753094706E-3</v>
      </c>
      <c r="J108" t="s">
        <v>147</v>
      </c>
      <c r="K108">
        <v>0.76900000000000002</v>
      </c>
      <c r="L108">
        <v>0.90800000000000003</v>
      </c>
      <c r="M108" t="s">
        <v>57</v>
      </c>
      <c r="N108">
        <v>0</v>
      </c>
      <c r="O108">
        <v>-5.0000000000000001E-3</v>
      </c>
      <c r="P108">
        <v>-0.30099999999999999</v>
      </c>
      <c r="Q108">
        <v>-0.60699999999999998</v>
      </c>
      <c r="R108">
        <v>-0.65500000000000003</v>
      </c>
      <c r="S108">
        <v>-9.5000000000000001E-2</v>
      </c>
      <c r="T108">
        <v>-0.496</v>
      </c>
      <c r="U108">
        <v>-0.27400000000000002</v>
      </c>
      <c r="V108">
        <v>-0.24399999999999999</v>
      </c>
      <c r="W108">
        <v>-0.45300000000000001</v>
      </c>
      <c r="X108">
        <v>3.5000000000000003E-2</v>
      </c>
      <c r="Y108">
        <v>3.3000000000000002E-2</v>
      </c>
      <c r="Z108">
        <v>0.64300000000000002</v>
      </c>
      <c r="AA108">
        <v>0.60199999999999998</v>
      </c>
      <c r="AB108">
        <v>0.497</v>
      </c>
      <c r="AC108">
        <v>0.67600000000000005</v>
      </c>
      <c r="AD108">
        <v>-8.2000000000000003E-2</v>
      </c>
      <c r="AE108">
        <v>-0.72399999999999998</v>
      </c>
      <c r="AF108">
        <v>-0.76500000000000001</v>
      </c>
      <c r="AG108">
        <v>-0.83</v>
      </c>
      <c r="AH108">
        <v>-0.121</v>
      </c>
      <c r="AI108">
        <v>0.10100000000000001</v>
      </c>
      <c r="AJ108">
        <v>-0.222</v>
      </c>
      <c r="AK108">
        <v>-0.56899999999999995</v>
      </c>
      <c r="AL108">
        <v>0.54800000000000004</v>
      </c>
      <c r="AM108">
        <v>-0.32700000000000001</v>
      </c>
      <c r="AN108">
        <v>7.1999999999999995E-2</v>
      </c>
      <c r="AO108">
        <v>0.219</v>
      </c>
      <c r="AP108">
        <v>0.34200000000000003</v>
      </c>
      <c r="AQ108">
        <v>0.104</v>
      </c>
      <c r="AR108">
        <v>0.34100000000000003</v>
      </c>
      <c r="AS108">
        <v>-2.8000000000000001E-2</v>
      </c>
      <c r="AT108">
        <v>0.90800000000000003</v>
      </c>
      <c r="AU108">
        <v>-0.217</v>
      </c>
      <c r="AV108">
        <v>0.46500000000000002</v>
      </c>
      <c r="AW108">
        <v>0.88100000000000001</v>
      </c>
      <c r="AX108">
        <v>6.2E-2</v>
      </c>
      <c r="AY108">
        <v>1.7000000000000001E-2</v>
      </c>
      <c r="AZ108">
        <v>0.127</v>
      </c>
      <c r="BA108">
        <v>0.12</v>
      </c>
      <c r="BB108">
        <v>0.40799999999999997</v>
      </c>
      <c r="BC108">
        <v>-6.8000000000000005E-2</v>
      </c>
      <c r="BD108">
        <v>-0.24</v>
      </c>
      <c r="BE108">
        <v>8.5999999999999993E-2</v>
      </c>
      <c r="BF108">
        <v>0.04</v>
      </c>
      <c r="BG108">
        <v>-9.9000000000000005E-2</v>
      </c>
      <c r="BH108">
        <v>-0.94799999999999995</v>
      </c>
      <c r="BI108">
        <v>-0.56699999999999995</v>
      </c>
    </row>
    <row r="109" spans="1:61" x14ac:dyDescent="0.3">
      <c r="A109">
        <v>108</v>
      </c>
      <c r="B109" t="s">
        <v>198</v>
      </c>
      <c r="C109">
        <v>0</v>
      </c>
      <c r="D109">
        <v>0</v>
      </c>
      <c r="J109" t="s">
        <v>186</v>
      </c>
      <c r="K109">
        <v>0.749</v>
      </c>
      <c r="L109">
        <v>1.242</v>
      </c>
      <c r="M109" t="s">
        <v>71</v>
      </c>
      <c r="N109">
        <v>0</v>
      </c>
      <c r="O109">
        <v>-1.2E-2</v>
      </c>
      <c r="P109">
        <v>-0.754</v>
      </c>
      <c r="Q109">
        <v>-0.32100000000000001</v>
      </c>
      <c r="R109">
        <v>-0.94199999999999995</v>
      </c>
      <c r="S109">
        <v>-0.63900000000000001</v>
      </c>
      <c r="T109">
        <v>-0.71899999999999997</v>
      </c>
      <c r="U109">
        <v>-0.55000000000000004</v>
      </c>
      <c r="V109">
        <v>-0.61899999999999999</v>
      </c>
      <c r="W109">
        <v>-0.29399999999999998</v>
      </c>
      <c r="X109">
        <v>0.51200000000000001</v>
      </c>
      <c r="Y109">
        <v>0.51200000000000001</v>
      </c>
      <c r="Z109">
        <v>0.628</v>
      </c>
      <c r="AA109">
        <v>0.78200000000000003</v>
      </c>
      <c r="AB109">
        <v>0.745</v>
      </c>
      <c r="AC109">
        <v>-0.65500000000000003</v>
      </c>
      <c r="AD109">
        <v>-0.89300000000000002</v>
      </c>
      <c r="AE109">
        <v>0.44800000000000001</v>
      </c>
      <c r="AF109">
        <v>-0.93600000000000005</v>
      </c>
      <c r="AG109">
        <v>-0.57499999999999996</v>
      </c>
      <c r="AH109">
        <v>-0.96</v>
      </c>
      <c r="AI109">
        <v>-0.15</v>
      </c>
      <c r="AJ109">
        <v>-0.437</v>
      </c>
      <c r="AK109">
        <v>-0.26</v>
      </c>
      <c r="AL109">
        <v>-0.64400000000000002</v>
      </c>
      <c r="AM109">
        <v>0.52900000000000003</v>
      </c>
      <c r="AN109">
        <v>0.41599999999999998</v>
      </c>
      <c r="AO109">
        <v>-0.86699999999999999</v>
      </c>
      <c r="AP109">
        <v>0.47899999999999998</v>
      </c>
      <c r="AQ109">
        <v>0.40300000000000002</v>
      </c>
      <c r="AR109">
        <v>9.7000000000000003E-2</v>
      </c>
      <c r="AS109">
        <v>-0.53400000000000003</v>
      </c>
      <c r="AT109">
        <v>-0.15</v>
      </c>
      <c r="AU109">
        <v>0.46200000000000002</v>
      </c>
      <c r="AV109">
        <v>-6.2E-2</v>
      </c>
      <c r="AW109">
        <v>0.81399999999999995</v>
      </c>
      <c r="AX109">
        <v>-0.376</v>
      </c>
      <c r="AY109">
        <v>0.56799999999999995</v>
      </c>
      <c r="AZ109">
        <v>0.19400000000000001</v>
      </c>
      <c r="BA109">
        <v>7.2999999999999995E-2</v>
      </c>
      <c r="BB109">
        <v>0.64600000000000002</v>
      </c>
      <c r="BC109">
        <v>-1</v>
      </c>
      <c r="BD109">
        <v>-0.83399999999999996</v>
      </c>
      <c r="BE109">
        <v>0.34399999999999997</v>
      </c>
      <c r="BF109">
        <v>-0.25700000000000001</v>
      </c>
      <c r="BG109">
        <v>-0.504</v>
      </c>
      <c r="BH109">
        <v>-0.28100000000000003</v>
      </c>
      <c r="BI109">
        <v>-0.57899999999999996</v>
      </c>
    </row>
    <row r="110" spans="1:61" x14ac:dyDescent="0.3">
      <c r="A110">
        <v>109</v>
      </c>
      <c r="B110" t="s">
        <v>52</v>
      </c>
      <c r="C110">
        <v>1.7075746070312099E-2</v>
      </c>
      <c r="D110">
        <v>1.2109688947626001E-2</v>
      </c>
      <c r="J110" t="s">
        <v>155</v>
      </c>
      <c r="K110">
        <v>0.74199999999999999</v>
      </c>
      <c r="L110">
        <v>0.53700000000000003</v>
      </c>
      <c r="M110" t="s">
        <v>55</v>
      </c>
      <c r="N110">
        <v>0</v>
      </c>
      <c r="O110">
        <v>0</v>
      </c>
      <c r="P110">
        <v>-0.28199999999999997</v>
      </c>
      <c r="Q110">
        <v>-0.125</v>
      </c>
      <c r="R110">
        <v>-0.10299999999999999</v>
      </c>
      <c r="S110">
        <v>-0.52700000000000002</v>
      </c>
      <c r="T110">
        <v>-0.28799999999999998</v>
      </c>
      <c r="U110">
        <v>-0.55400000000000005</v>
      </c>
      <c r="V110">
        <v>-0.66900000000000004</v>
      </c>
      <c r="W110">
        <v>-0.86599999999999999</v>
      </c>
      <c r="X110">
        <v>0.59899999999999998</v>
      </c>
      <c r="Y110">
        <v>0.59599999999999997</v>
      </c>
      <c r="Z110">
        <v>0.47099999999999997</v>
      </c>
      <c r="AA110">
        <v>0.68</v>
      </c>
      <c r="AB110">
        <v>0.65</v>
      </c>
      <c r="AC110">
        <v>-0.46100000000000002</v>
      </c>
      <c r="AD110">
        <v>0.72299999999999998</v>
      </c>
      <c r="AE110">
        <v>-0.22900000000000001</v>
      </c>
      <c r="AF110">
        <v>0.65300000000000002</v>
      </c>
      <c r="AG110">
        <v>-0.18099999999999999</v>
      </c>
      <c r="AH110">
        <v>-0.59</v>
      </c>
      <c r="AI110">
        <v>0.31900000000000001</v>
      </c>
      <c r="AJ110">
        <v>-1</v>
      </c>
      <c r="AK110">
        <v>0.92800000000000005</v>
      </c>
      <c r="AL110">
        <v>-0.32700000000000001</v>
      </c>
      <c r="AM110">
        <v>-0.58399999999999996</v>
      </c>
      <c r="AN110">
        <v>0.16500000000000001</v>
      </c>
      <c r="AO110">
        <v>0.13700000000000001</v>
      </c>
      <c r="AP110">
        <v>1</v>
      </c>
      <c r="AQ110">
        <v>0.44400000000000001</v>
      </c>
      <c r="AR110">
        <v>0.38700000000000001</v>
      </c>
      <c r="AS110">
        <v>-0.48799999999999999</v>
      </c>
      <c r="AT110">
        <v>-0.63700000000000001</v>
      </c>
      <c r="AU110">
        <v>-0.28699999999999998</v>
      </c>
      <c r="AV110">
        <v>-0.83799999999999997</v>
      </c>
      <c r="AW110">
        <v>-0.126</v>
      </c>
      <c r="AX110">
        <v>0.16600000000000001</v>
      </c>
      <c r="AY110">
        <v>3.3000000000000002E-2</v>
      </c>
      <c r="AZ110">
        <v>-0.376</v>
      </c>
      <c r="BA110">
        <v>-0.60399999999999998</v>
      </c>
      <c r="BB110">
        <v>0.24099999999999999</v>
      </c>
      <c r="BC110">
        <v>0.999</v>
      </c>
      <c r="BD110">
        <v>0.26800000000000002</v>
      </c>
      <c r="BE110">
        <v>0.436</v>
      </c>
      <c r="BF110">
        <v>6.6000000000000003E-2</v>
      </c>
      <c r="BG110">
        <v>-0.29099999999999998</v>
      </c>
      <c r="BH110">
        <v>0.52500000000000002</v>
      </c>
      <c r="BI110">
        <v>0.80900000000000005</v>
      </c>
    </row>
    <row r="111" spans="1:61" x14ac:dyDescent="0.3">
      <c r="A111">
        <v>110</v>
      </c>
      <c r="B111" t="s">
        <v>107</v>
      </c>
      <c r="C111">
        <v>9.2528808688038203E-3</v>
      </c>
      <c r="D111">
        <v>1.44926533004326E-2</v>
      </c>
      <c r="J111" t="s">
        <v>98</v>
      </c>
      <c r="K111">
        <v>0.72399999999999998</v>
      </c>
      <c r="L111">
        <v>0.66100000000000003</v>
      </c>
      <c r="M111" t="s">
        <v>68</v>
      </c>
      <c r="N111">
        <v>0</v>
      </c>
      <c r="O111">
        <v>0</v>
      </c>
      <c r="P111">
        <v>-0.86199999999999999</v>
      </c>
      <c r="Q111">
        <v>-0.79500000000000004</v>
      </c>
      <c r="R111">
        <v>-0.83399999999999996</v>
      </c>
      <c r="S111">
        <v>-0.76800000000000002</v>
      </c>
      <c r="T111">
        <v>-0.78600000000000003</v>
      </c>
      <c r="U111">
        <v>-0.63500000000000001</v>
      </c>
      <c r="V111">
        <v>-0.378</v>
      </c>
      <c r="W111">
        <v>-0.09</v>
      </c>
      <c r="X111">
        <v>0.58799999999999997</v>
      </c>
      <c r="Y111">
        <v>0.58199999999999996</v>
      </c>
      <c r="Z111">
        <v>0.60499999999999998</v>
      </c>
      <c r="AA111">
        <v>0.54600000000000004</v>
      </c>
      <c r="AB111">
        <v>0.57299999999999995</v>
      </c>
      <c r="AC111">
        <v>-0.66700000000000004</v>
      </c>
      <c r="AD111">
        <v>-0.88400000000000001</v>
      </c>
      <c r="AE111">
        <v>-0.54700000000000004</v>
      </c>
      <c r="AF111">
        <v>-0.50700000000000001</v>
      </c>
      <c r="AG111">
        <v>-0.32700000000000001</v>
      </c>
      <c r="AH111">
        <v>-0.872</v>
      </c>
      <c r="AI111">
        <v>-6.6000000000000003E-2</v>
      </c>
      <c r="AJ111">
        <v>0.68200000000000005</v>
      </c>
      <c r="AK111">
        <v>-0.60799999999999998</v>
      </c>
      <c r="AL111">
        <v>-0.23799999999999999</v>
      </c>
      <c r="AM111">
        <v>0.191</v>
      </c>
      <c r="AN111">
        <v>-5.0000000000000001E-3</v>
      </c>
      <c r="AO111">
        <v>-0.73599999999999999</v>
      </c>
      <c r="AP111">
        <v>-0.48699999999999999</v>
      </c>
      <c r="AQ111">
        <v>-0.36799999999999999</v>
      </c>
      <c r="AR111">
        <v>0.17</v>
      </c>
      <c r="AS111">
        <v>-0.23100000000000001</v>
      </c>
      <c r="AT111">
        <v>-0.51</v>
      </c>
      <c r="AU111">
        <v>0.47899999999999998</v>
      </c>
      <c r="AV111">
        <v>-0.186</v>
      </c>
      <c r="AW111">
        <v>0.64600000000000002</v>
      </c>
      <c r="AX111">
        <v>0.70399999999999996</v>
      </c>
      <c r="AY111">
        <v>-1</v>
      </c>
      <c r="AZ111">
        <v>3.9E-2</v>
      </c>
      <c r="BA111">
        <v>-0.36399999999999999</v>
      </c>
      <c r="BB111">
        <v>0.14899999999999999</v>
      </c>
      <c r="BC111">
        <v>-0.64300000000000002</v>
      </c>
      <c r="BD111">
        <v>-1.4E-2</v>
      </c>
      <c r="BE111">
        <v>0.53300000000000003</v>
      </c>
      <c r="BF111">
        <v>-0.35499999999999998</v>
      </c>
      <c r="BG111">
        <v>-0.32800000000000001</v>
      </c>
      <c r="BH111">
        <v>0.36099999999999999</v>
      </c>
      <c r="BI111">
        <v>2.5000000000000001E-2</v>
      </c>
    </row>
    <row r="112" spans="1:61" x14ac:dyDescent="0.3">
      <c r="A112">
        <v>111</v>
      </c>
      <c r="B112" t="s">
        <v>208</v>
      </c>
      <c r="C112">
        <v>0</v>
      </c>
      <c r="D112">
        <v>0</v>
      </c>
      <c r="J112" t="s">
        <v>226</v>
      </c>
      <c r="K112">
        <v>0.71499999999999997</v>
      </c>
      <c r="L112">
        <v>1.1419999999999999</v>
      </c>
      <c r="M112" t="s">
        <v>55</v>
      </c>
      <c r="N112">
        <v>0</v>
      </c>
      <c r="O112">
        <v>-0.02</v>
      </c>
      <c r="P112">
        <v>-0.58399999999999996</v>
      </c>
      <c r="Q112">
        <v>-0.46899999999999997</v>
      </c>
      <c r="R112">
        <v>-0.93100000000000005</v>
      </c>
      <c r="S112">
        <v>-0.53400000000000003</v>
      </c>
      <c r="T112">
        <v>-0.79</v>
      </c>
      <c r="U112">
        <v>-0.2</v>
      </c>
      <c r="V112">
        <v>-9.6000000000000002E-2</v>
      </c>
      <c r="W112">
        <v>-0.498</v>
      </c>
      <c r="X112">
        <v>0.11</v>
      </c>
      <c r="Y112">
        <v>0.111</v>
      </c>
      <c r="Z112">
        <v>0.67500000000000004</v>
      </c>
      <c r="AA112">
        <v>0.67400000000000004</v>
      </c>
      <c r="AB112">
        <v>0.63400000000000001</v>
      </c>
      <c r="AC112">
        <v>-0.56999999999999995</v>
      </c>
      <c r="AD112">
        <v>-0.65900000000000003</v>
      </c>
      <c r="AE112">
        <v>5.1999999999999998E-2</v>
      </c>
      <c r="AF112">
        <v>-0.996</v>
      </c>
      <c r="AG112">
        <v>-0.43099999999999999</v>
      </c>
      <c r="AH112">
        <v>-0.85099999999999998</v>
      </c>
      <c r="AI112">
        <v>-0.36</v>
      </c>
      <c r="AJ112">
        <v>-1</v>
      </c>
      <c r="AK112">
        <v>-0.72099999999999997</v>
      </c>
      <c r="AL112">
        <v>-0.20399999999999999</v>
      </c>
      <c r="AM112">
        <v>0.52100000000000002</v>
      </c>
      <c r="AN112">
        <v>1</v>
      </c>
      <c r="AO112">
        <v>0.38600000000000001</v>
      </c>
      <c r="AP112">
        <v>-0.315</v>
      </c>
      <c r="AQ112">
        <v>-1.0999999999999999E-2</v>
      </c>
      <c r="AR112">
        <v>-0.1</v>
      </c>
      <c r="AS112">
        <v>-0.153</v>
      </c>
      <c r="AT112">
        <v>0.23300000000000001</v>
      </c>
      <c r="AU112">
        <v>0.26300000000000001</v>
      </c>
      <c r="AV112">
        <v>-0.33600000000000002</v>
      </c>
      <c r="AW112">
        <v>0.69699999999999995</v>
      </c>
      <c r="AX112">
        <v>1</v>
      </c>
      <c r="AY112">
        <v>0.78400000000000003</v>
      </c>
      <c r="AZ112">
        <v>-0.11799999999999999</v>
      </c>
      <c r="BA112">
        <v>-0.47599999999999998</v>
      </c>
      <c r="BB112">
        <v>0.72599999999999998</v>
      </c>
      <c r="BC112">
        <v>-0.441</v>
      </c>
      <c r="BD112">
        <v>0.32600000000000001</v>
      </c>
      <c r="BE112">
        <v>0.871</v>
      </c>
      <c r="BF112">
        <v>-0.56999999999999995</v>
      </c>
      <c r="BG112">
        <v>5.8999999999999997E-2</v>
      </c>
      <c r="BH112">
        <v>-0.46800000000000003</v>
      </c>
      <c r="BI112">
        <v>-0.49</v>
      </c>
    </row>
    <row r="113" spans="1:61" x14ac:dyDescent="0.3">
      <c r="A113">
        <v>112</v>
      </c>
      <c r="B113" t="s">
        <v>214</v>
      </c>
      <c r="C113">
        <v>0</v>
      </c>
      <c r="D113">
        <v>0</v>
      </c>
      <c r="J113" t="s">
        <v>134</v>
      </c>
      <c r="K113">
        <v>0.70799999999999996</v>
      </c>
      <c r="L113">
        <v>1.5409999999999999</v>
      </c>
      <c r="M113" t="s">
        <v>57</v>
      </c>
      <c r="N113">
        <v>0</v>
      </c>
      <c r="O113">
        <v>-3.6999999999999998E-2</v>
      </c>
      <c r="P113">
        <v>-0.746</v>
      </c>
      <c r="Q113">
        <v>-0.71599999999999997</v>
      </c>
      <c r="R113">
        <v>-0.9</v>
      </c>
      <c r="S113">
        <v>-0.65700000000000003</v>
      </c>
      <c r="T113">
        <v>-0.79200000000000004</v>
      </c>
      <c r="U113">
        <v>-0.40400000000000003</v>
      </c>
      <c r="V113">
        <v>-9.5000000000000001E-2</v>
      </c>
      <c r="W113">
        <v>-0.44800000000000001</v>
      </c>
      <c r="X113">
        <v>0.45300000000000001</v>
      </c>
      <c r="Y113">
        <v>0.45200000000000001</v>
      </c>
      <c r="Z113">
        <v>0.74199999999999999</v>
      </c>
      <c r="AA113">
        <v>0.81200000000000006</v>
      </c>
      <c r="AB113">
        <v>0.59499999999999997</v>
      </c>
      <c r="AC113">
        <v>-0.63900000000000001</v>
      </c>
      <c r="AD113">
        <v>-0.26500000000000001</v>
      </c>
      <c r="AE113">
        <v>-0.189</v>
      </c>
      <c r="AF113">
        <v>-0.91500000000000004</v>
      </c>
      <c r="AG113">
        <v>-0.93799999999999994</v>
      </c>
      <c r="AH113">
        <v>-1</v>
      </c>
      <c r="AI113">
        <v>-0.219</v>
      </c>
      <c r="AJ113">
        <v>0.13700000000000001</v>
      </c>
      <c r="AK113">
        <v>-3.3000000000000002E-2</v>
      </c>
      <c r="AL113">
        <v>0.10299999999999999</v>
      </c>
      <c r="AM113">
        <v>-0.19800000000000001</v>
      </c>
      <c r="AN113">
        <v>-0.18099999999999999</v>
      </c>
      <c r="AO113">
        <v>-1E-3</v>
      </c>
      <c r="AP113">
        <v>0.13500000000000001</v>
      </c>
      <c r="AQ113">
        <v>0.41699999999999998</v>
      </c>
      <c r="AR113">
        <v>-0.16400000000000001</v>
      </c>
      <c r="AS113">
        <v>-0.254</v>
      </c>
      <c r="AT113">
        <v>-0.41799999999999998</v>
      </c>
      <c r="AU113">
        <v>0.30299999999999999</v>
      </c>
      <c r="AV113">
        <v>-0.36199999999999999</v>
      </c>
      <c r="AW113">
        <v>7.6999999999999999E-2</v>
      </c>
      <c r="AX113">
        <v>0.10299999999999999</v>
      </c>
      <c r="AY113">
        <v>0.11799999999999999</v>
      </c>
      <c r="AZ113">
        <v>-0.17</v>
      </c>
      <c r="BA113">
        <v>-0.157</v>
      </c>
      <c r="BB113">
        <v>0.4</v>
      </c>
      <c r="BC113">
        <v>1.4999999999999999E-2</v>
      </c>
      <c r="BD113">
        <v>0.193</v>
      </c>
      <c r="BE113">
        <v>0.89600000000000002</v>
      </c>
      <c r="BF113">
        <v>-0.36499999999999999</v>
      </c>
      <c r="BG113">
        <v>-4.1000000000000002E-2</v>
      </c>
      <c r="BH113">
        <v>-0.23799999999999999</v>
      </c>
      <c r="BI113">
        <v>-0.76500000000000001</v>
      </c>
    </row>
    <row r="114" spans="1:61" x14ac:dyDescent="0.3">
      <c r="A114">
        <v>113</v>
      </c>
      <c r="B114" t="s">
        <v>111</v>
      </c>
      <c r="C114">
        <v>0</v>
      </c>
      <c r="D114">
        <v>0</v>
      </c>
      <c r="J114" t="s">
        <v>114</v>
      </c>
      <c r="K114">
        <v>0.69899999999999995</v>
      </c>
      <c r="L114">
        <v>0.95</v>
      </c>
      <c r="M114" t="s">
        <v>55</v>
      </c>
      <c r="N114">
        <v>0</v>
      </c>
      <c r="O114">
        <v>0</v>
      </c>
      <c r="P114">
        <v>-0.72099999999999997</v>
      </c>
      <c r="Q114">
        <v>-0.65900000000000003</v>
      </c>
      <c r="R114">
        <v>-0.85399999999999998</v>
      </c>
      <c r="S114">
        <v>-0.70399999999999996</v>
      </c>
      <c r="T114">
        <v>-0.80500000000000005</v>
      </c>
      <c r="U114">
        <v>-0.24299999999999999</v>
      </c>
      <c r="V114">
        <v>0.33500000000000002</v>
      </c>
      <c r="W114">
        <v>-0.64200000000000002</v>
      </c>
      <c r="X114">
        <v>0.45400000000000001</v>
      </c>
      <c r="Y114">
        <v>0.45400000000000001</v>
      </c>
      <c r="Z114">
        <v>0.66800000000000004</v>
      </c>
      <c r="AA114">
        <v>0.67700000000000005</v>
      </c>
      <c r="AB114">
        <v>0.58499999999999996</v>
      </c>
      <c r="AC114">
        <v>-0.71</v>
      </c>
      <c r="AD114">
        <v>-0.72299999999999998</v>
      </c>
      <c r="AE114">
        <v>-0.40300000000000002</v>
      </c>
      <c r="AF114">
        <v>-0.752</v>
      </c>
      <c r="AG114">
        <v>-0.628</v>
      </c>
      <c r="AH114">
        <v>-0.82099999999999995</v>
      </c>
      <c r="AI114">
        <v>-0.223</v>
      </c>
      <c r="AJ114">
        <v>-0.45300000000000001</v>
      </c>
      <c r="AK114">
        <v>-0.28899999999999998</v>
      </c>
      <c r="AL114">
        <v>-0.36399999999999999</v>
      </c>
      <c r="AM114">
        <v>-0.13500000000000001</v>
      </c>
      <c r="AN114">
        <v>-0.124</v>
      </c>
      <c r="AO114">
        <v>-0.13300000000000001</v>
      </c>
      <c r="AP114">
        <v>-1.6E-2</v>
      </c>
      <c r="AQ114">
        <v>-4.0000000000000001E-3</v>
      </c>
      <c r="AR114">
        <v>-0.111</v>
      </c>
      <c r="AS114">
        <v>0.76300000000000001</v>
      </c>
      <c r="AT114">
        <v>-0.28899999999999998</v>
      </c>
      <c r="AU114">
        <v>0.77300000000000002</v>
      </c>
      <c r="AV114">
        <v>-0.39400000000000002</v>
      </c>
      <c r="AW114">
        <v>0.72599999999999998</v>
      </c>
      <c r="AX114">
        <v>0.34499999999999997</v>
      </c>
      <c r="AY114">
        <v>0.44</v>
      </c>
      <c r="AZ114">
        <v>-0.17100000000000001</v>
      </c>
      <c r="BA114">
        <v>-0.20100000000000001</v>
      </c>
      <c r="BB114">
        <v>0.31900000000000001</v>
      </c>
      <c r="BC114">
        <v>-0.14399999999999999</v>
      </c>
      <c r="BD114">
        <v>0.38</v>
      </c>
      <c r="BE114">
        <v>0.85099999999999998</v>
      </c>
      <c r="BF114">
        <v>-0.39400000000000002</v>
      </c>
      <c r="BG114">
        <v>-0.28100000000000003</v>
      </c>
      <c r="BH114">
        <v>0.31900000000000001</v>
      </c>
      <c r="BI114">
        <v>0.13500000000000001</v>
      </c>
    </row>
    <row r="115" spans="1:61" x14ac:dyDescent="0.3">
      <c r="A115">
        <v>114</v>
      </c>
      <c r="B115" t="s">
        <v>223</v>
      </c>
      <c r="C115">
        <v>0</v>
      </c>
      <c r="D115">
        <v>0</v>
      </c>
      <c r="J115" t="s">
        <v>211</v>
      </c>
      <c r="K115">
        <v>0.69799999999999995</v>
      </c>
      <c r="L115">
        <v>1.49</v>
      </c>
      <c r="M115" t="s">
        <v>57</v>
      </c>
      <c r="N115">
        <v>0</v>
      </c>
      <c r="O115">
        <v>-2.7E-2</v>
      </c>
      <c r="P115">
        <v>-0.48899999999999999</v>
      </c>
      <c r="Q115">
        <v>-0.7</v>
      </c>
      <c r="R115">
        <v>-0.85799999999999998</v>
      </c>
      <c r="S115">
        <v>-0.43</v>
      </c>
      <c r="T115">
        <v>-0.78400000000000003</v>
      </c>
      <c r="U115">
        <v>-0.17599999999999999</v>
      </c>
      <c r="V115">
        <v>7.5999999999999998E-2</v>
      </c>
      <c r="W115">
        <v>-0.58799999999999997</v>
      </c>
      <c r="X115">
        <v>0.16200000000000001</v>
      </c>
      <c r="Y115">
        <v>0.16200000000000001</v>
      </c>
      <c r="Z115">
        <v>0.74099999999999999</v>
      </c>
      <c r="AA115">
        <v>0.74099999999999999</v>
      </c>
      <c r="AB115">
        <v>0.45100000000000001</v>
      </c>
      <c r="AC115">
        <v>-0.432</v>
      </c>
      <c r="AD115">
        <v>-0.14099999999999999</v>
      </c>
      <c r="AE115">
        <v>-0.39200000000000002</v>
      </c>
      <c r="AF115">
        <v>-1</v>
      </c>
      <c r="AG115">
        <v>-0.877</v>
      </c>
      <c r="AH115">
        <v>-0.69799999999999995</v>
      </c>
      <c r="AI115">
        <v>-0.27700000000000002</v>
      </c>
      <c r="AJ115">
        <v>-0.68</v>
      </c>
      <c r="AK115">
        <v>-0.77</v>
      </c>
      <c r="AL115">
        <v>9.1999999999999998E-2</v>
      </c>
      <c r="AM115">
        <v>2.7E-2</v>
      </c>
      <c r="AN115">
        <v>0.156</v>
      </c>
      <c r="AO115">
        <v>0.55400000000000005</v>
      </c>
      <c r="AP115">
        <v>0.254</v>
      </c>
      <c r="AQ115">
        <v>0.251</v>
      </c>
      <c r="AR115">
        <v>-1.4E-2</v>
      </c>
      <c r="AS115">
        <v>0.26</v>
      </c>
      <c r="AT115">
        <v>0.25600000000000001</v>
      </c>
      <c r="AU115">
        <v>2.5999999999999999E-2</v>
      </c>
      <c r="AV115">
        <v>-0.46899999999999997</v>
      </c>
      <c r="AW115">
        <v>-6.9000000000000006E-2</v>
      </c>
      <c r="AX115">
        <v>1</v>
      </c>
      <c r="AY115">
        <v>0.38500000000000001</v>
      </c>
      <c r="AZ115">
        <v>-0.61799999999999999</v>
      </c>
      <c r="BA115">
        <v>2.7E-2</v>
      </c>
      <c r="BB115">
        <v>0.55200000000000005</v>
      </c>
      <c r="BC115">
        <v>-4.8000000000000001E-2</v>
      </c>
      <c r="BD115">
        <v>8.5999999999999993E-2</v>
      </c>
      <c r="BE115">
        <v>0.77900000000000003</v>
      </c>
      <c r="BF115">
        <v>-0.72099999999999997</v>
      </c>
      <c r="BG115">
        <v>0.30399999999999999</v>
      </c>
      <c r="BH115">
        <v>-0.122</v>
      </c>
      <c r="BI115">
        <v>-0.82899999999999996</v>
      </c>
    </row>
    <row r="116" spans="1:61" x14ac:dyDescent="0.3">
      <c r="A116">
        <v>115</v>
      </c>
      <c r="B116" t="s">
        <v>221</v>
      </c>
      <c r="C116">
        <v>0</v>
      </c>
      <c r="D116">
        <v>0</v>
      </c>
      <c r="J116" t="s">
        <v>216</v>
      </c>
      <c r="K116">
        <v>0.69699999999999995</v>
      </c>
      <c r="L116">
        <v>0.51200000000000001</v>
      </c>
      <c r="M116" t="s">
        <v>71</v>
      </c>
      <c r="N116">
        <v>0</v>
      </c>
      <c r="O116">
        <v>0</v>
      </c>
      <c r="P116">
        <v>-0.753</v>
      </c>
      <c r="Q116">
        <v>-0.224</v>
      </c>
      <c r="R116">
        <v>-0.92900000000000005</v>
      </c>
      <c r="S116">
        <v>-0.70499999999999996</v>
      </c>
      <c r="T116">
        <v>-0.70899999999999996</v>
      </c>
      <c r="U116">
        <v>-0.58699999999999997</v>
      </c>
      <c r="V116">
        <v>-0.63600000000000001</v>
      </c>
      <c r="W116">
        <v>-0.47199999999999998</v>
      </c>
      <c r="X116">
        <v>0.497</v>
      </c>
      <c r="Y116">
        <v>0.49199999999999999</v>
      </c>
      <c r="Z116">
        <v>0.34699999999999998</v>
      </c>
      <c r="AA116">
        <v>0.60099999999999998</v>
      </c>
      <c r="AB116">
        <v>0.84399999999999997</v>
      </c>
      <c r="AC116">
        <v>-0.81200000000000006</v>
      </c>
      <c r="AD116">
        <v>-0.82099999999999995</v>
      </c>
      <c r="AE116">
        <v>0.51100000000000001</v>
      </c>
      <c r="AF116">
        <v>-0.77300000000000002</v>
      </c>
      <c r="AG116">
        <v>0.83699999999999997</v>
      </c>
      <c r="AH116">
        <v>-0.89400000000000002</v>
      </c>
      <c r="AI116">
        <v>-0.214</v>
      </c>
      <c r="AJ116">
        <v>-0.95099999999999996</v>
      </c>
      <c r="AK116">
        <v>-0.48699999999999999</v>
      </c>
      <c r="AL116">
        <v>-0.16600000000000001</v>
      </c>
      <c r="AM116">
        <v>1</v>
      </c>
      <c r="AN116">
        <v>0.55100000000000005</v>
      </c>
      <c r="AO116">
        <v>-0.27</v>
      </c>
      <c r="AP116">
        <v>0.22700000000000001</v>
      </c>
      <c r="AQ116">
        <v>-3.3000000000000002E-2</v>
      </c>
      <c r="AR116">
        <v>7.9000000000000001E-2</v>
      </c>
      <c r="AS116">
        <v>-0.57599999999999996</v>
      </c>
      <c r="AT116">
        <v>-0.38800000000000001</v>
      </c>
      <c r="AU116">
        <v>-0.2</v>
      </c>
      <c r="AV116">
        <v>-0.222</v>
      </c>
      <c r="AW116">
        <v>0.49099999999999999</v>
      </c>
      <c r="AX116">
        <v>-0.93100000000000005</v>
      </c>
      <c r="AY116">
        <v>0.61099999999999999</v>
      </c>
      <c r="AZ116">
        <v>-8.7999999999999995E-2</v>
      </c>
      <c r="BA116">
        <v>-0.23300000000000001</v>
      </c>
      <c r="BB116">
        <v>0.67400000000000004</v>
      </c>
      <c r="BC116">
        <v>-0.90600000000000003</v>
      </c>
      <c r="BD116">
        <v>-0.29199999999999998</v>
      </c>
      <c r="BE116">
        <v>1</v>
      </c>
      <c r="BF116">
        <v>-0.41499999999999998</v>
      </c>
      <c r="BG116">
        <v>-0.99099999999999999</v>
      </c>
      <c r="BH116">
        <v>-0.17</v>
      </c>
      <c r="BI116">
        <v>0.187</v>
      </c>
    </row>
    <row r="117" spans="1:61" x14ac:dyDescent="0.3">
      <c r="A117">
        <v>116</v>
      </c>
      <c r="B117" t="s">
        <v>205</v>
      </c>
      <c r="C117">
        <v>2.37015528320778E-2</v>
      </c>
      <c r="D117">
        <v>3.8800321745654898E-2</v>
      </c>
      <c r="J117" t="s">
        <v>215</v>
      </c>
      <c r="K117">
        <v>0.69599999999999995</v>
      </c>
      <c r="L117">
        <v>0.49299999999999999</v>
      </c>
      <c r="M117" t="s">
        <v>55</v>
      </c>
      <c r="N117">
        <v>0</v>
      </c>
      <c r="O117">
        <v>0</v>
      </c>
      <c r="P117">
        <v>-0.52500000000000002</v>
      </c>
      <c r="Q117">
        <v>-0.26100000000000001</v>
      </c>
      <c r="R117">
        <v>-0.68799999999999994</v>
      </c>
      <c r="S117">
        <v>-0.69499999999999995</v>
      </c>
      <c r="T117">
        <v>-0.65800000000000003</v>
      </c>
      <c r="U117">
        <v>-0.39600000000000002</v>
      </c>
      <c r="V117">
        <v>-0.23300000000000001</v>
      </c>
      <c r="W117">
        <v>-0.69699999999999995</v>
      </c>
      <c r="X117">
        <v>0.27</v>
      </c>
      <c r="Y117">
        <v>0.26</v>
      </c>
      <c r="Z117">
        <v>0.61199999999999999</v>
      </c>
      <c r="AA117">
        <v>0.51200000000000001</v>
      </c>
      <c r="AB117">
        <v>0.71299999999999997</v>
      </c>
      <c r="AC117">
        <v>-0.71899999999999997</v>
      </c>
      <c r="AD117">
        <v>-0.504</v>
      </c>
      <c r="AE117">
        <v>-0.17399999999999999</v>
      </c>
      <c r="AF117">
        <v>-0.47599999999999998</v>
      </c>
      <c r="AG117">
        <v>0.96899999999999997</v>
      </c>
      <c r="AH117">
        <v>-0.39300000000000002</v>
      </c>
      <c r="AI117">
        <v>-0.19900000000000001</v>
      </c>
      <c r="AJ117">
        <v>-0.92900000000000005</v>
      </c>
      <c r="AK117">
        <v>-0.29599999999999999</v>
      </c>
      <c r="AL117">
        <v>4.3999999999999997E-2</v>
      </c>
      <c r="AM117">
        <v>0.36499999999999999</v>
      </c>
      <c r="AN117">
        <v>0.60799999999999998</v>
      </c>
      <c r="AO117">
        <v>6.3E-2</v>
      </c>
      <c r="AP117">
        <v>-0.14000000000000001</v>
      </c>
      <c r="AQ117">
        <v>-0.42799999999999999</v>
      </c>
      <c r="AR117">
        <v>-0.129</v>
      </c>
      <c r="AS117">
        <v>0.189</v>
      </c>
      <c r="AT117">
        <v>-6.8000000000000005E-2</v>
      </c>
      <c r="AU117">
        <v>-0.43</v>
      </c>
      <c r="AV117">
        <v>-0.224</v>
      </c>
      <c r="AW117">
        <v>0.71699999999999997</v>
      </c>
      <c r="AX117">
        <v>5.1999999999999998E-2</v>
      </c>
      <c r="AY117">
        <v>0.54100000000000004</v>
      </c>
      <c r="AZ117">
        <v>-0.13</v>
      </c>
      <c r="BA117">
        <v>-0.495</v>
      </c>
      <c r="BB117">
        <v>0.56899999999999995</v>
      </c>
      <c r="BC117">
        <v>-0.64500000000000002</v>
      </c>
      <c r="BD117">
        <v>0.90600000000000003</v>
      </c>
      <c r="BE117">
        <v>1</v>
      </c>
      <c r="BF117">
        <v>-0.32800000000000001</v>
      </c>
      <c r="BG117">
        <v>-0.311</v>
      </c>
      <c r="BH117">
        <v>-6.4000000000000001E-2</v>
      </c>
      <c r="BI117">
        <v>0.56999999999999995</v>
      </c>
    </row>
    <row r="118" spans="1:61" x14ac:dyDescent="0.3">
      <c r="A118">
        <v>117</v>
      </c>
      <c r="B118" t="s">
        <v>88</v>
      </c>
      <c r="C118">
        <v>0</v>
      </c>
      <c r="D118">
        <v>0</v>
      </c>
      <c r="J118" t="s">
        <v>124</v>
      </c>
      <c r="K118">
        <v>0.68400000000000005</v>
      </c>
      <c r="L118">
        <v>1.034</v>
      </c>
      <c r="M118" t="s">
        <v>55</v>
      </c>
      <c r="N118">
        <v>0</v>
      </c>
      <c r="O118">
        <v>-3.0000000000000001E-3</v>
      </c>
      <c r="P118">
        <v>-0.79600000000000004</v>
      </c>
      <c r="Q118">
        <v>-0.81499999999999995</v>
      </c>
      <c r="R118">
        <v>-0.90200000000000002</v>
      </c>
      <c r="S118">
        <v>-0.55400000000000005</v>
      </c>
      <c r="T118">
        <v>-0.78700000000000003</v>
      </c>
      <c r="U118">
        <v>-0.42599999999999999</v>
      </c>
      <c r="V118">
        <v>0.112</v>
      </c>
      <c r="W118">
        <v>-0.38900000000000001</v>
      </c>
      <c r="X118">
        <v>0.35</v>
      </c>
      <c r="Y118">
        <v>0.34899999999999998</v>
      </c>
      <c r="Z118">
        <v>0.623</v>
      </c>
      <c r="AA118">
        <v>0.69899999999999995</v>
      </c>
      <c r="AB118">
        <v>0.47499999999999998</v>
      </c>
      <c r="AC118">
        <v>-0.26500000000000001</v>
      </c>
      <c r="AD118">
        <v>-0.52900000000000003</v>
      </c>
      <c r="AE118">
        <v>-0.57099999999999995</v>
      </c>
      <c r="AF118">
        <v>-0.76100000000000001</v>
      </c>
      <c r="AG118">
        <v>-0.60699999999999998</v>
      </c>
      <c r="AH118">
        <v>-0.88100000000000001</v>
      </c>
      <c r="AI118">
        <v>-0.182</v>
      </c>
      <c r="AJ118">
        <v>0.19400000000000001</v>
      </c>
      <c r="AK118">
        <v>-0.59899999999999998</v>
      </c>
      <c r="AL118">
        <v>-0.21299999999999999</v>
      </c>
      <c r="AM118">
        <v>-0.246</v>
      </c>
      <c r="AN118">
        <v>0.154</v>
      </c>
      <c r="AO118">
        <v>-0.13600000000000001</v>
      </c>
      <c r="AP118">
        <v>0.17599999999999999</v>
      </c>
      <c r="AQ118">
        <v>0.124</v>
      </c>
      <c r="AR118">
        <v>0.113</v>
      </c>
      <c r="AS118">
        <v>0.53700000000000003</v>
      </c>
      <c r="AT118">
        <v>2.1999999999999999E-2</v>
      </c>
      <c r="AU118">
        <v>0.83299999999999996</v>
      </c>
      <c r="AV118">
        <v>-0.84499999999999997</v>
      </c>
      <c r="AW118">
        <v>0.438</v>
      </c>
      <c r="AX118">
        <v>-8.5000000000000006E-2</v>
      </c>
      <c r="AY118">
        <v>-0.437</v>
      </c>
      <c r="AZ118">
        <v>-0.16400000000000001</v>
      </c>
      <c r="BA118">
        <v>-0.36799999999999999</v>
      </c>
      <c r="BB118">
        <v>0.38400000000000001</v>
      </c>
      <c r="BC118">
        <v>-0.38400000000000001</v>
      </c>
      <c r="BD118">
        <v>-1</v>
      </c>
      <c r="BE118">
        <v>0.19900000000000001</v>
      </c>
      <c r="BF118">
        <v>-0.373</v>
      </c>
      <c r="BG118">
        <v>-0.22700000000000001</v>
      </c>
      <c r="BH118">
        <v>-0.12</v>
      </c>
      <c r="BI118">
        <v>5.3999999999999999E-2</v>
      </c>
    </row>
    <row r="119" spans="1:61" x14ac:dyDescent="0.3">
      <c r="A119">
        <v>118</v>
      </c>
      <c r="B119" t="s">
        <v>243</v>
      </c>
      <c r="C119">
        <v>0</v>
      </c>
      <c r="D119">
        <v>0</v>
      </c>
      <c r="J119" t="s">
        <v>250</v>
      </c>
      <c r="K119">
        <v>0.67600000000000005</v>
      </c>
      <c r="L119">
        <v>0.52500000000000002</v>
      </c>
      <c r="M119" t="s">
        <v>57</v>
      </c>
      <c r="N119">
        <v>0</v>
      </c>
      <c r="O119">
        <v>0</v>
      </c>
      <c r="P119">
        <v>-0.06</v>
      </c>
      <c r="Q119">
        <v>-0.16900000000000001</v>
      </c>
      <c r="R119">
        <v>-1.7000000000000001E-2</v>
      </c>
      <c r="S119">
        <v>-0.52500000000000002</v>
      </c>
      <c r="T119">
        <v>-0.36499999999999999</v>
      </c>
      <c r="U119">
        <v>-0.47499999999999998</v>
      </c>
      <c r="V119">
        <v>-0.64500000000000002</v>
      </c>
      <c r="W119">
        <v>-0.627</v>
      </c>
      <c r="X119">
        <v>-0.34</v>
      </c>
      <c r="Y119">
        <v>-0.34399999999999997</v>
      </c>
      <c r="Z119">
        <v>0.63500000000000001</v>
      </c>
      <c r="AA119">
        <v>0.61299999999999999</v>
      </c>
      <c r="AB119">
        <v>0.28899999999999998</v>
      </c>
      <c r="AC119">
        <v>-3.9E-2</v>
      </c>
      <c r="AD119">
        <v>-0.25</v>
      </c>
      <c r="AE119">
        <v>-0.61299999999999999</v>
      </c>
      <c r="AF119">
        <v>-0.31900000000000001</v>
      </c>
      <c r="AG119">
        <v>0.246</v>
      </c>
      <c r="AH119">
        <v>0.46700000000000003</v>
      </c>
      <c r="AI119">
        <v>-0.379</v>
      </c>
      <c r="AJ119">
        <v>-0.42299999999999999</v>
      </c>
      <c r="AK119">
        <v>-0.36799999999999999</v>
      </c>
      <c r="AL119">
        <v>0.42</v>
      </c>
      <c r="AM119">
        <v>-0.22600000000000001</v>
      </c>
      <c r="AN119">
        <v>0.40799999999999997</v>
      </c>
      <c r="AO119">
        <v>-0.23</v>
      </c>
      <c r="AP119">
        <v>0.59</v>
      </c>
      <c r="AQ119">
        <v>-0.14299999999999999</v>
      </c>
      <c r="AR119">
        <v>-0.314</v>
      </c>
      <c r="AS119">
        <v>-0.41699999999999998</v>
      </c>
      <c r="AT119">
        <v>0.435</v>
      </c>
      <c r="AU119">
        <v>-0.35899999999999999</v>
      </c>
      <c r="AV119">
        <v>0.16300000000000001</v>
      </c>
      <c r="AW119">
        <v>0.64700000000000002</v>
      </c>
      <c r="AX119">
        <v>0.63600000000000001</v>
      </c>
      <c r="AY119">
        <v>0.29899999999999999</v>
      </c>
      <c r="AZ119">
        <v>0.48</v>
      </c>
      <c r="BA119">
        <v>0.26</v>
      </c>
      <c r="BB119">
        <v>0.47</v>
      </c>
      <c r="BC119">
        <v>-0.59799999999999998</v>
      </c>
      <c r="BD119">
        <v>0.44700000000000001</v>
      </c>
      <c r="BE119">
        <v>6.7000000000000004E-2</v>
      </c>
      <c r="BF119">
        <v>0.503</v>
      </c>
      <c r="BG119">
        <v>0.253</v>
      </c>
      <c r="BH119">
        <v>4.4999999999999998E-2</v>
      </c>
      <c r="BI119">
        <v>0.22600000000000001</v>
      </c>
    </row>
    <row r="120" spans="1:61" x14ac:dyDescent="0.3">
      <c r="A120">
        <v>119</v>
      </c>
      <c r="B120" t="s">
        <v>210</v>
      </c>
      <c r="C120">
        <v>0</v>
      </c>
      <c r="D120">
        <v>3.8499620798201198E-2</v>
      </c>
      <c r="J120" t="s">
        <v>144</v>
      </c>
      <c r="K120">
        <v>0.67400000000000004</v>
      </c>
      <c r="L120">
        <v>1.0940000000000001</v>
      </c>
      <c r="M120" t="s">
        <v>55</v>
      </c>
      <c r="N120">
        <v>0</v>
      </c>
      <c r="O120">
        <v>-5.0000000000000001E-3</v>
      </c>
      <c r="P120">
        <v>-0.875</v>
      </c>
      <c r="Q120">
        <v>-0.73499999999999999</v>
      </c>
      <c r="R120">
        <v>-0.95199999999999996</v>
      </c>
      <c r="S120">
        <v>-0.74399999999999999</v>
      </c>
      <c r="T120">
        <v>-0.80600000000000005</v>
      </c>
      <c r="U120">
        <v>-0.63800000000000001</v>
      </c>
      <c r="V120">
        <v>-0.216</v>
      </c>
      <c r="W120">
        <v>-0.30599999999999999</v>
      </c>
      <c r="X120">
        <v>0.36399999999999999</v>
      </c>
      <c r="Y120">
        <v>0.36699999999999999</v>
      </c>
      <c r="Z120">
        <v>0.67800000000000005</v>
      </c>
      <c r="AA120">
        <v>0.73799999999999999</v>
      </c>
      <c r="AB120">
        <v>0.58899999999999997</v>
      </c>
      <c r="AC120">
        <v>-0.745</v>
      </c>
      <c r="AD120">
        <v>-0.84799999999999998</v>
      </c>
      <c r="AE120">
        <v>0.129</v>
      </c>
      <c r="AF120">
        <v>-0.84799999999999998</v>
      </c>
      <c r="AG120">
        <v>-0.41599999999999998</v>
      </c>
      <c r="AH120">
        <v>-0.94799999999999995</v>
      </c>
      <c r="AI120">
        <v>-0.32700000000000001</v>
      </c>
      <c r="AJ120">
        <v>0.08</v>
      </c>
      <c r="AK120">
        <v>-0.35399999999999998</v>
      </c>
      <c r="AL120">
        <v>-0.69599999999999995</v>
      </c>
      <c r="AM120">
        <v>0.249</v>
      </c>
      <c r="AN120">
        <v>0.33800000000000002</v>
      </c>
      <c r="AO120">
        <v>-0.48299999999999998</v>
      </c>
      <c r="AP120">
        <v>0.12</v>
      </c>
      <c r="AQ120">
        <v>-0.245</v>
      </c>
      <c r="AR120">
        <v>-0.152</v>
      </c>
      <c r="AS120">
        <v>-2.5999999999999999E-2</v>
      </c>
      <c r="AT120">
        <v>-0.42399999999999999</v>
      </c>
      <c r="AU120">
        <v>0.84799999999999998</v>
      </c>
      <c r="AV120">
        <v>-0.80300000000000005</v>
      </c>
      <c r="AW120">
        <v>0.75900000000000001</v>
      </c>
      <c r="AX120">
        <v>-0.78</v>
      </c>
      <c r="AY120">
        <v>0.153</v>
      </c>
      <c r="AZ120">
        <v>-0.151</v>
      </c>
      <c r="BA120">
        <v>-0.53700000000000003</v>
      </c>
      <c r="BB120">
        <v>0.35899999999999999</v>
      </c>
      <c r="BC120">
        <v>-0.35399999999999998</v>
      </c>
      <c r="BD120">
        <v>-0.875</v>
      </c>
      <c r="BE120">
        <v>0.58599999999999997</v>
      </c>
      <c r="BF120">
        <v>-0.41099999999999998</v>
      </c>
      <c r="BG120">
        <v>-0.23300000000000001</v>
      </c>
      <c r="BH120">
        <v>9.8000000000000004E-2</v>
      </c>
      <c r="BI120">
        <v>-0.122</v>
      </c>
    </row>
    <row r="121" spans="1:61" x14ac:dyDescent="0.3">
      <c r="A121">
        <v>120</v>
      </c>
      <c r="B121" t="s">
        <v>188</v>
      </c>
      <c r="C121">
        <v>1.3541126510371501E-2</v>
      </c>
      <c r="D121">
        <v>1.8209433754541801E-2</v>
      </c>
      <c r="J121" t="s">
        <v>214</v>
      </c>
      <c r="K121">
        <v>0.66400000000000003</v>
      </c>
      <c r="L121">
        <v>0.70399999999999996</v>
      </c>
      <c r="M121" t="s">
        <v>53</v>
      </c>
      <c r="N121">
        <v>0</v>
      </c>
      <c r="O121">
        <v>0</v>
      </c>
      <c r="P121">
        <v>-0.40600000000000003</v>
      </c>
      <c r="Q121">
        <v>-0.36</v>
      </c>
      <c r="R121">
        <v>-0.66600000000000004</v>
      </c>
      <c r="S121">
        <v>-0.56399999999999995</v>
      </c>
      <c r="T121">
        <v>-0.63100000000000001</v>
      </c>
      <c r="U121">
        <v>-0.46400000000000002</v>
      </c>
      <c r="V121">
        <v>-0.33900000000000002</v>
      </c>
      <c r="W121">
        <v>-0.73299999999999998</v>
      </c>
      <c r="X121">
        <v>4.8000000000000001E-2</v>
      </c>
      <c r="Y121">
        <v>5.0999999999999997E-2</v>
      </c>
      <c r="Z121">
        <v>0.61899999999999999</v>
      </c>
      <c r="AA121">
        <v>0.69299999999999995</v>
      </c>
      <c r="AB121">
        <v>0.57099999999999995</v>
      </c>
      <c r="AC121">
        <v>-0.54</v>
      </c>
      <c r="AD121">
        <v>-0.28299999999999997</v>
      </c>
      <c r="AE121">
        <v>-0.23400000000000001</v>
      </c>
      <c r="AF121">
        <v>-0.49399999999999999</v>
      </c>
      <c r="AG121">
        <v>-0.29499999999999998</v>
      </c>
      <c r="AH121">
        <v>-0.11899999999999999</v>
      </c>
      <c r="AI121">
        <v>-0.16800000000000001</v>
      </c>
      <c r="AJ121">
        <v>-0.89200000000000002</v>
      </c>
      <c r="AK121">
        <v>-0.29299999999999998</v>
      </c>
      <c r="AL121">
        <v>0.45200000000000001</v>
      </c>
      <c r="AM121">
        <v>9.4E-2</v>
      </c>
      <c r="AN121">
        <v>-7.6999999999999999E-2</v>
      </c>
      <c r="AO121">
        <v>0.42599999999999999</v>
      </c>
      <c r="AP121">
        <v>2.8000000000000001E-2</v>
      </c>
      <c r="AQ121">
        <v>-3.1E-2</v>
      </c>
      <c r="AR121">
        <v>7.0999999999999994E-2</v>
      </c>
      <c r="AS121">
        <v>-0.245</v>
      </c>
      <c r="AT121">
        <v>-0.21</v>
      </c>
      <c r="AU121">
        <v>0.308</v>
      </c>
      <c r="AV121">
        <v>0.3</v>
      </c>
      <c r="AW121">
        <v>0.751</v>
      </c>
      <c r="AX121">
        <v>-0.378</v>
      </c>
      <c r="AY121">
        <v>0.74199999999999999</v>
      </c>
      <c r="AZ121">
        <v>8.8999999999999996E-2</v>
      </c>
      <c r="BA121">
        <v>-2.5000000000000001E-2</v>
      </c>
      <c r="BB121">
        <v>0.64500000000000002</v>
      </c>
      <c r="BC121">
        <v>-0.41799999999999998</v>
      </c>
      <c r="BD121">
        <v>0.33500000000000002</v>
      </c>
      <c r="BE121">
        <v>0.53800000000000003</v>
      </c>
      <c r="BF121">
        <v>3.1E-2</v>
      </c>
      <c r="BG121">
        <v>-0.25700000000000001</v>
      </c>
      <c r="BH121">
        <v>-0.21299999999999999</v>
      </c>
      <c r="BI121">
        <v>0.621</v>
      </c>
    </row>
    <row r="122" spans="1:61" x14ac:dyDescent="0.3">
      <c r="A122">
        <v>121</v>
      </c>
      <c r="B122" t="s">
        <v>209</v>
      </c>
      <c r="C122">
        <v>0</v>
      </c>
      <c r="D122">
        <v>5.7681320678263804E-3</v>
      </c>
      <c r="J122" t="s">
        <v>173</v>
      </c>
      <c r="K122">
        <v>0.66300000000000003</v>
      </c>
      <c r="L122">
        <v>0.94699999999999995</v>
      </c>
      <c r="M122" t="s">
        <v>55</v>
      </c>
      <c r="N122">
        <v>0</v>
      </c>
      <c r="O122">
        <v>-5.0000000000000001E-3</v>
      </c>
      <c r="P122">
        <v>-0.84799999999999998</v>
      </c>
      <c r="Q122">
        <v>-0.75600000000000001</v>
      </c>
      <c r="R122">
        <v>-0.95299999999999996</v>
      </c>
      <c r="S122">
        <v>-0.74199999999999999</v>
      </c>
      <c r="T122">
        <v>-0.85099999999999998</v>
      </c>
      <c r="U122">
        <v>-0.46400000000000002</v>
      </c>
      <c r="V122">
        <v>0.12</v>
      </c>
      <c r="W122">
        <v>-0.505</v>
      </c>
      <c r="X122">
        <v>0.46500000000000002</v>
      </c>
      <c r="Y122">
        <v>0.46600000000000003</v>
      </c>
      <c r="Z122">
        <v>0.624</v>
      </c>
      <c r="AA122">
        <v>0.64800000000000002</v>
      </c>
      <c r="AB122">
        <v>0.54600000000000004</v>
      </c>
      <c r="AC122">
        <v>-0.78100000000000003</v>
      </c>
      <c r="AD122">
        <v>-0.88300000000000001</v>
      </c>
      <c r="AE122">
        <v>-0.27200000000000002</v>
      </c>
      <c r="AF122">
        <v>-0.96</v>
      </c>
      <c r="AG122">
        <v>-0.61299999999999999</v>
      </c>
      <c r="AH122">
        <v>-1</v>
      </c>
      <c r="AI122">
        <v>-0.316</v>
      </c>
      <c r="AJ122">
        <v>-0.27600000000000002</v>
      </c>
      <c r="AK122">
        <v>-0.70499999999999996</v>
      </c>
      <c r="AL122">
        <v>-0.35399999999999998</v>
      </c>
      <c r="AM122">
        <v>0.217</v>
      </c>
      <c r="AN122">
        <v>0.40500000000000003</v>
      </c>
      <c r="AO122">
        <v>-0.22500000000000001</v>
      </c>
      <c r="AP122">
        <v>0.158</v>
      </c>
      <c r="AQ122">
        <v>-5.7000000000000002E-2</v>
      </c>
      <c r="AR122">
        <v>6.9000000000000006E-2</v>
      </c>
      <c r="AS122">
        <v>0.40899999999999997</v>
      </c>
      <c r="AT122">
        <v>-0.33600000000000002</v>
      </c>
      <c r="AU122">
        <v>0.748</v>
      </c>
      <c r="AV122">
        <v>-0.52700000000000002</v>
      </c>
      <c r="AW122">
        <v>0.75600000000000001</v>
      </c>
      <c r="AX122">
        <v>-0.249</v>
      </c>
      <c r="AY122">
        <v>-0.40500000000000003</v>
      </c>
      <c r="AZ122">
        <v>-0.44700000000000001</v>
      </c>
      <c r="BA122">
        <v>-0.58199999999999996</v>
      </c>
      <c r="BB122">
        <v>0.253</v>
      </c>
      <c r="BC122">
        <v>-0.105</v>
      </c>
      <c r="BD122">
        <v>-0.22</v>
      </c>
      <c r="BE122">
        <v>0.88800000000000001</v>
      </c>
      <c r="BF122">
        <v>-0.33300000000000002</v>
      </c>
      <c r="BG122">
        <v>-0.191</v>
      </c>
      <c r="BH122">
        <v>0.224</v>
      </c>
      <c r="BI122">
        <v>-0.378</v>
      </c>
    </row>
    <row r="123" spans="1:61" x14ac:dyDescent="0.3">
      <c r="A123">
        <v>122</v>
      </c>
      <c r="B123" t="s">
        <v>166</v>
      </c>
      <c r="C123">
        <v>5.8052099528144397E-3</v>
      </c>
      <c r="D123">
        <v>8.4555686250271204E-3</v>
      </c>
      <c r="J123" t="s">
        <v>229</v>
      </c>
      <c r="K123">
        <v>0.65</v>
      </c>
      <c r="L123">
        <v>0.499</v>
      </c>
      <c r="M123" t="s">
        <v>71</v>
      </c>
      <c r="N123">
        <v>0</v>
      </c>
      <c r="O123">
        <v>0</v>
      </c>
      <c r="P123">
        <v>-0.753</v>
      </c>
      <c r="Q123">
        <v>-0.14099999999999999</v>
      </c>
      <c r="R123">
        <v>-0.90100000000000002</v>
      </c>
      <c r="S123">
        <v>-0.70899999999999996</v>
      </c>
      <c r="T123">
        <v>-0.67</v>
      </c>
      <c r="U123">
        <v>-0.68</v>
      </c>
      <c r="V123">
        <v>-0.71599999999999997</v>
      </c>
      <c r="W123">
        <v>-0.50700000000000001</v>
      </c>
      <c r="X123">
        <v>0.24399999999999999</v>
      </c>
      <c r="Y123">
        <v>0.246</v>
      </c>
      <c r="Z123">
        <v>0.65700000000000003</v>
      </c>
      <c r="AA123">
        <v>0.69399999999999995</v>
      </c>
      <c r="AB123">
        <v>0.65600000000000003</v>
      </c>
      <c r="AC123">
        <v>-0.85499999999999998</v>
      </c>
      <c r="AD123">
        <v>-0.65800000000000003</v>
      </c>
      <c r="AE123">
        <v>0.48399999999999999</v>
      </c>
      <c r="AF123">
        <v>-0.6</v>
      </c>
      <c r="AG123">
        <v>-7.1999999999999995E-2</v>
      </c>
      <c r="AH123">
        <v>-0.86599999999999999</v>
      </c>
      <c r="AI123">
        <v>-0.32200000000000001</v>
      </c>
      <c r="AJ123">
        <v>-0.49199999999999999</v>
      </c>
      <c r="AK123">
        <v>-0.20699999999999999</v>
      </c>
      <c r="AL123">
        <v>-0.27400000000000002</v>
      </c>
      <c r="AM123">
        <v>0.29799999999999999</v>
      </c>
      <c r="AN123">
        <v>0.86099999999999999</v>
      </c>
      <c r="AO123">
        <v>-0.40899999999999997</v>
      </c>
      <c r="AP123">
        <v>0.85799999999999998</v>
      </c>
      <c r="AQ123">
        <v>0.30599999999999999</v>
      </c>
      <c r="AR123">
        <v>-9.0999999999999998E-2</v>
      </c>
      <c r="AS123">
        <v>-0.17699999999999999</v>
      </c>
      <c r="AT123">
        <v>-0.54200000000000004</v>
      </c>
      <c r="AU123">
        <v>0.19700000000000001</v>
      </c>
      <c r="AV123">
        <v>-0.25700000000000001</v>
      </c>
      <c r="AW123">
        <v>0.376</v>
      </c>
      <c r="AX123">
        <v>-0.54600000000000004</v>
      </c>
      <c r="AY123">
        <v>-1.2E-2</v>
      </c>
      <c r="AZ123">
        <v>-9.8000000000000004E-2</v>
      </c>
      <c r="BA123">
        <v>-0.41199999999999998</v>
      </c>
      <c r="BB123">
        <v>0.29199999999999998</v>
      </c>
      <c r="BC123">
        <v>-0.86399999999999999</v>
      </c>
      <c r="BD123">
        <v>0.249</v>
      </c>
      <c r="BE123">
        <v>2.9000000000000001E-2</v>
      </c>
      <c r="BF123">
        <v>0.26500000000000001</v>
      </c>
      <c r="BG123">
        <v>-0.63200000000000001</v>
      </c>
      <c r="BH123">
        <v>-0.219</v>
      </c>
      <c r="BI123">
        <v>5.2999999999999999E-2</v>
      </c>
    </row>
    <row r="124" spans="1:61" x14ac:dyDescent="0.3">
      <c r="A124">
        <v>123</v>
      </c>
      <c r="B124" t="s">
        <v>154</v>
      </c>
      <c r="C124">
        <v>0</v>
      </c>
      <c r="D124">
        <v>1.64010246841047E-2</v>
      </c>
      <c r="J124" t="s">
        <v>80</v>
      </c>
      <c r="K124">
        <v>0.63200000000000001</v>
      </c>
      <c r="L124">
        <v>0.61099999999999999</v>
      </c>
      <c r="M124" t="s">
        <v>57</v>
      </c>
      <c r="N124">
        <v>0</v>
      </c>
      <c r="O124">
        <v>0</v>
      </c>
      <c r="P124">
        <v>-0.57899999999999996</v>
      </c>
      <c r="Q124">
        <v>-0.77600000000000002</v>
      </c>
      <c r="R124">
        <v>-0.245</v>
      </c>
      <c r="S124">
        <v>-0.627</v>
      </c>
      <c r="T124">
        <v>-0.59699999999999998</v>
      </c>
      <c r="U124">
        <v>-0.65800000000000003</v>
      </c>
      <c r="V124">
        <v>-0.629</v>
      </c>
      <c r="W124">
        <v>-0.57899999999999996</v>
      </c>
      <c r="X124">
        <v>0.154</v>
      </c>
      <c r="Y124">
        <v>0.156</v>
      </c>
      <c r="Z124">
        <v>0.54</v>
      </c>
      <c r="AA124">
        <v>0.52100000000000002</v>
      </c>
      <c r="AB124">
        <v>0.47599999999999998</v>
      </c>
      <c r="AC124">
        <v>-0.36099999999999999</v>
      </c>
      <c r="AD124">
        <v>-0.222</v>
      </c>
      <c r="AE124">
        <v>-0.755</v>
      </c>
      <c r="AF124">
        <v>0.16800000000000001</v>
      </c>
      <c r="AG124">
        <v>-0.40699999999999997</v>
      </c>
      <c r="AH124">
        <v>0.28799999999999998</v>
      </c>
      <c r="AI124">
        <v>4.1000000000000002E-2</v>
      </c>
      <c r="AJ124">
        <v>0.20399999999999999</v>
      </c>
      <c r="AK124">
        <v>-0.29499999999999998</v>
      </c>
      <c r="AL124">
        <v>-8.5000000000000006E-2</v>
      </c>
      <c r="AM124">
        <v>-0.42199999999999999</v>
      </c>
      <c r="AN124">
        <v>-0.377</v>
      </c>
      <c r="AO124">
        <v>0.13600000000000001</v>
      </c>
      <c r="AP124">
        <v>7.6999999999999999E-2</v>
      </c>
      <c r="AQ124">
        <v>-0.54200000000000004</v>
      </c>
      <c r="AR124">
        <v>0.24199999999999999</v>
      </c>
      <c r="AS124">
        <v>-0.22600000000000001</v>
      </c>
      <c r="AT124">
        <v>-0.42699999999999999</v>
      </c>
      <c r="AU124">
        <v>0.38800000000000001</v>
      </c>
      <c r="AV124">
        <v>0.17799999999999999</v>
      </c>
      <c r="AW124">
        <v>0.747</v>
      </c>
      <c r="AX124">
        <v>0.27400000000000002</v>
      </c>
      <c r="AY124">
        <v>0.72299999999999998</v>
      </c>
      <c r="AZ124">
        <v>2E-3</v>
      </c>
      <c r="BA124">
        <v>-0.191</v>
      </c>
      <c r="BB124">
        <v>0.155</v>
      </c>
      <c r="BC124">
        <v>0.104</v>
      </c>
      <c r="BD124">
        <v>0.33900000000000002</v>
      </c>
      <c r="BE124">
        <v>-0.312</v>
      </c>
      <c r="BF124">
        <v>-0.64600000000000002</v>
      </c>
      <c r="BG124">
        <v>-0.39500000000000002</v>
      </c>
      <c r="BH124">
        <v>0.498</v>
      </c>
      <c r="BI124">
        <v>0.40799999999999997</v>
      </c>
    </row>
    <row r="125" spans="1:61" x14ac:dyDescent="0.3">
      <c r="A125">
        <v>124</v>
      </c>
      <c r="B125" t="s">
        <v>69</v>
      </c>
      <c r="C125">
        <v>1.7075746070312099E-2</v>
      </c>
      <c r="D125">
        <v>1.33335221956458E-2</v>
      </c>
      <c r="J125" t="s">
        <v>180</v>
      </c>
      <c r="K125">
        <v>0.628</v>
      </c>
      <c r="L125">
        <v>0.70299999999999996</v>
      </c>
      <c r="M125" t="s">
        <v>57</v>
      </c>
      <c r="N125">
        <v>0</v>
      </c>
      <c r="O125">
        <v>0</v>
      </c>
      <c r="P125">
        <v>-0.35799999999999998</v>
      </c>
      <c r="Q125">
        <v>-0.73499999999999999</v>
      </c>
      <c r="R125">
        <v>-0.22700000000000001</v>
      </c>
      <c r="S125">
        <v>-0.53800000000000003</v>
      </c>
      <c r="T125">
        <v>-0.65600000000000003</v>
      </c>
      <c r="U125">
        <v>-0.39200000000000002</v>
      </c>
      <c r="V125">
        <v>-0.248</v>
      </c>
      <c r="W125">
        <v>-0.74199999999999999</v>
      </c>
      <c r="X125">
        <v>5.0999999999999997E-2</v>
      </c>
      <c r="Y125">
        <v>5.1999999999999998E-2</v>
      </c>
      <c r="Z125">
        <v>0.55400000000000005</v>
      </c>
      <c r="AA125">
        <v>0.46700000000000003</v>
      </c>
      <c r="AB125">
        <v>0.253</v>
      </c>
      <c r="AC125">
        <v>-0.20799999999999999</v>
      </c>
      <c r="AD125">
        <v>-0.68100000000000005</v>
      </c>
      <c r="AE125">
        <v>-0.84099999999999997</v>
      </c>
      <c r="AF125">
        <v>-0.57099999999999995</v>
      </c>
      <c r="AG125">
        <v>-1.0999999999999999E-2</v>
      </c>
      <c r="AH125">
        <v>0.93</v>
      </c>
      <c r="AI125">
        <v>-0.46899999999999997</v>
      </c>
      <c r="AJ125">
        <v>-0.76300000000000001</v>
      </c>
      <c r="AK125">
        <v>-0.97299999999999998</v>
      </c>
      <c r="AL125">
        <v>0.23699999999999999</v>
      </c>
      <c r="AM125">
        <v>-0.38100000000000001</v>
      </c>
      <c r="AN125">
        <v>-0.12</v>
      </c>
      <c r="AO125">
        <v>5.2999999999999999E-2</v>
      </c>
      <c r="AP125">
        <v>0.125</v>
      </c>
      <c r="AQ125">
        <v>-0.53900000000000003</v>
      </c>
      <c r="AR125">
        <v>0.78100000000000003</v>
      </c>
      <c r="AS125">
        <v>6.2E-2</v>
      </c>
      <c r="AT125">
        <v>0.623</v>
      </c>
      <c r="AU125">
        <v>0.38600000000000001</v>
      </c>
      <c r="AV125">
        <v>8.5000000000000006E-2</v>
      </c>
      <c r="AW125">
        <v>0.89800000000000002</v>
      </c>
      <c r="AX125">
        <v>0.97699999999999998</v>
      </c>
      <c r="AY125">
        <v>0.42199999999999999</v>
      </c>
      <c r="AZ125">
        <v>-0.60399999999999998</v>
      </c>
      <c r="BA125">
        <v>-0.57199999999999995</v>
      </c>
      <c r="BB125">
        <v>0.23499999999999999</v>
      </c>
      <c r="BC125">
        <v>-0.71099999999999997</v>
      </c>
      <c r="BD125">
        <v>-0.18</v>
      </c>
      <c r="BE125">
        <v>0.29199999999999998</v>
      </c>
      <c r="BF125">
        <v>-0.33600000000000002</v>
      </c>
      <c r="BG125">
        <v>0.104</v>
      </c>
      <c r="BH125">
        <v>0.35099999999999998</v>
      </c>
      <c r="BI125">
        <v>0.71599999999999997</v>
      </c>
    </row>
    <row r="126" spans="1:61" x14ac:dyDescent="0.3">
      <c r="A126">
        <v>125</v>
      </c>
      <c r="B126" t="s">
        <v>150</v>
      </c>
      <c r="C126">
        <v>0</v>
      </c>
      <c r="D126">
        <v>0</v>
      </c>
      <c r="J126" t="s">
        <v>233</v>
      </c>
      <c r="K126">
        <v>0.627</v>
      </c>
      <c r="L126">
        <v>0.52600000000000002</v>
      </c>
      <c r="M126" t="s">
        <v>71</v>
      </c>
      <c r="N126">
        <v>0</v>
      </c>
      <c r="O126">
        <v>-3.0000000000000001E-3</v>
      </c>
      <c r="P126">
        <v>-0.83399999999999996</v>
      </c>
      <c r="Q126">
        <v>-8.6999999999999994E-2</v>
      </c>
      <c r="R126">
        <v>-0.97</v>
      </c>
      <c r="S126">
        <v>-0.72099999999999997</v>
      </c>
      <c r="T126">
        <v>-0.66100000000000003</v>
      </c>
      <c r="U126">
        <v>-0.73799999999999999</v>
      </c>
      <c r="V126">
        <v>-0.755</v>
      </c>
      <c r="W126">
        <v>-0.57399999999999995</v>
      </c>
      <c r="X126">
        <v>0.17299999999999999</v>
      </c>
      <c r="Y126">
        <v>0.17399999999999999</v>
      </c>
      <c r="Z126">
        <v>0.76800000000000002</v>
      </c>
      <c r="AA126">
        <v>0.79800000000000004</v>
      </c>
      <c r="AB126">
        <v>0.64700000000000002</v>
      </c>
      <c r="AC126">
        <v>-0.749</v>
      </c>
      <c r="AD126">
        <v>-0.437</v>
      </c>
      <c r="AE126">
        <v>0.97399999999999998</v>
      </c>
      <c r="AF126">
        <v>-0.64900000000000002</v>
      </c>
      <c r="AG126">
        <v>-0.158</v>
      </c>
      <c r="AH126">
        <v>-0.90700000000000003</v>
      </c>
      <c r="AI126">
        <v>0.105</v>
      </c>
      <c r="AJ126">
        <v>-0.96099999999999997</v>
      </c>
      <c r="AK126">
        <v>4.2000000000000003E-2</v>
      </c>
      <c r="AL126">
        <v>0.41099999999999998</v>
      </c>
      <c r="AM126">
        <v>0.56100000000000005</v>
      </c>
      <c r="AN126">
        <v>0.72</v>
      </c>
      <c r="AO126">
        <v>-0.45</v>
      </c>
      <c r="AP126">
        <v>-0.32700000000000001</v>
      </c>
      <c r="AQ126">
        <v>-0.46899999999999997</v>
      </c>
      <c r="AR126">
        <v>-0.316</v>
      </c>
      <c r="AS126">
        <v>-0.17100000000000001</v>
      </c>
      <c r="AT126">
        <v>-0.33600000000000002</v>
      </c>
      <c r="AU126">
        <v>0.106</v>
      </c>
      <c r="AV126">
        <v>-0.31</v>
      </c>
      <c r="AW126">
        <v>0.32800000000000001</v>
      </c>
      <c r="AX126">
        <v>-0.72199999999999998</v>
      </c>
      <c r="AY126">
        <v>-0.19</v>
      </c>
      <c r="AZ126">
        <v>-0.36199999999999999</v>
      </c>
      <c r="BA126">
        <v>0.32300000000000001</v>
      </c>
      <c r="BB126">
        <v>-0.14599999999999999</v>
      </c>
      <c r="BC126">
        <v>-0.22600000000000001</v>
      </c>
      <c r="BD126">
        <v>0.56999999999999995</v>
      </c>
      <c r="BE126">
        <v>0.27900000000000003</v>
      </c>
      <c r="BF126">
        <v>0.26500000000000001</v>
      </c>
      <c r="BG126">
        <v>-0.98299999999999998</v>
      </c>
      <c r="BH126">
        <v>-0.91900000000000004</v>
      </c>
      <c r="BI126">
        <v>0.19</v>
      </c>
    </row>
    <row r="127" spans="1:61" x14ac:dyDescent="0.3">
      <c r="A127">
        <v>126</v>
      </c>
      <c r="B127" t="s">
        <v>170</v>
      </c>
      <c r="C127">
        <v>0</v>
      </c>
      <c r="D127">
        <v>0</v>
      </c>
      <c r="J127" t="s">
        <v>168</v>
      </c>
      <c r="K127">
        <v>0.626</v>
      </c>
      <c r="L127">
        <v>1.1339999999999999</v>
      </c>
      <c r="M127" t="s">
        <v>68</v>
      </c>
      <c r="N127">
        <v>0</v>
      </c>
      <c r="O127">
        <v>-2.5999999999999999E-2</v>
      </c>
      <c r="P127">
        <v>-0.67200000000000004</v>
      </c>
      <c r="Q127">
        <v>-0.83</v>
      </c>
      <c r="R127">
        <v>-0.86799999999999999</v>
      </c>
      <c r="S127">
        <v>-0.63500000000000001</v>
      </c>
      <c r="T127">
        <v>-0.84899999999999998</v>
      </c>
      <c r="U127">
        <v>-0.443</v>
      </c>
      <c r="V127">
        <v>-0.18</v>
      </c>
      <c r="W127">
        <v>-0.64900000000000002</v>
      </c>
      <c r="X127">
        <v>0.29099999999999998</v>
      </c>
      <c r="Y127">
        <v>0.29199999999999998</v>
      </c>
      <c r="Z127">
        <v>0.63600000000000001</v>
      </c>
      <c r="AA127">
        <v>0.57199999999999995</v>
      </c>
      <c r="AB127">
        <v>0.46400000000000002</v>
      </c>
      <c r="AC127">
        <v>-0.40300000000000002</v>
      </c>
      <c r="AD127">
        <v>-0.66200000000000003</v>
      </c>
      <c r="AE127">
        <v>-0.79400000000000004</v>
      </c>
      <c r="AF127">
        <v>-1</v>
      </c>
      <c r="AG127">
        <v>-0.97499999999999998</v>
      </c>
      <c r="AH127">
        <v>-0.64100000000000001</v>
      </c>
      <c r="AI127">
        <v>-0.39100000000000001</v>
      </c>
      <c r="AJ127">
        <v>-0.55900000000000005</v>
      </c>
      <c r="AK127">
        <v>-0.96899999999999997</v>
      </c>
      <c r="AL127">
        <v>0.56699999999999995</v>
      </c>
      <c r="AM127">
        <v>5.6000000000000001E-2</v>
      </c>
      <c r="AN127">
        <v>-0.41799999999999998</v>
      </c>
      <c r="AO127">
        <v>0.17899999999999999</v>
      </c>
      <c r="AP127">
        <v>0.252</v>
      </c>
      <c r="AQ127">
        <v>-0.52500000000000002</v>
      </c>
      <c r="AR127">
        <v>0.72799999999999998</v>
      </c>
      <c r="AS127">
        <v>-0.11</v>
      </c>
      <c r="AT127">
        <v>0.17</v>
      </c>
      <c r="AU127">
        <v>0.61399999999999999</v>
      </c>
      <c r="AV127">
        <v>0.53700000000000003</v>
      </c>
      <c r="AW127">
        <v>0.94099999999999995</v>
      </c>
      <c r="AX127">
        <v>0.51800000000000002</v>
      </c>
      <c r="AY127">
        <v>0.218</v>
      </c>
      <c r="AZ127">
        <v>0.189</v>
      </c>
      <c r="BA127">
        <v>0.26200000000000001</v>
      </c>
      <c r="BB127">
        <v>0.22700000000000001</v>
      </c>
      <c r="BC127">
        <v>0.157</v>
      </c>
      <c r="BD127">
        <v>0.38200000000000001</v>
      </c>
      <c r="BE127">
        <v>0.48599999999999999</v>
      </c>
      <c r="BF127">
        <v>-0.34699999999999998</v>
      </c>
      <c r="BG127">
        <v>-1.7000000000000001E-2</v>
      </c>
      <c r="BH127">
        <v>-9.5000000000000001E-2</v>
      </c>
      <c r="BI127">
        <v>-1</v>
      </c>
    </row>
    <row r="128" spans="1:61" x14ac:dyDescent="0.3">
      <c r="A128">
        <v>127</v>
      </c>
      <c r="B128" t="s">
        <v>257</v>
      </c>
      <c r="C128">
        <v>0</v>
      </c>
      <c r="D128">
        <v>0</v>
      </c>
      <c r="J128" t="s">
        <v>209</v>
      </c>
      <c r="K128">
        <v>0.61899999999999999</v>
      </c>
      <c r="L128">
        <v>0.82299999999999995</v>
      </c>
      <c r="M128" t="s">
        <v>55</v>
      </c>
      <c r="N128">
        <v>0</v>
      </c>
      <c r="O128">
        <v>0</v>
      </c>
      <c r="P128">
        <v>-0.69599999999999995</v>
      </c>
      <c r="Q128">
        <v>-0.72499999999999998</v>
      </c>
      <c r="R128">
        <v>-0.92600000000000005</v>
      </c>
      <c r="S128">
        <v>-0.754</v>
      </c>
      <c r="T128">
        <v>-0.88400000000000001</v>
      </c>
      <c r="U128">
        <v>-0.42699999999999999</v>
      </c>
      <c r="V128">
        <v>-0.20499999999999999</v>
      </c>
      <c r="W128">
        <v>-0.73599999999999999</v>
      </c>
      <c r="X128">
        <v>9.4E-2</v>
      </c>
      <c r="Y128">
        <v>9.9000000000000005E-2</v>
      </c>
      <c r="Z128">
        <v>0.77900000000000003</v>
      </c>
      <c r="AA128">
        <v>0.81399999999999995</v>
      </c>
      <c r="AB128">
        <v>0.56499999999999995</v>
      </c>
      <c r="AC128">
        <v>-1</v>
      </c>
      <c r="AD128">
        <v>-0.48799999999999999</v>
      </c>
      <c r="AE128">
        <v>-0.42599999999999999</v>
      </c>
      <c r="AF128">
        <v>-1</v>
      </c>
      <c r="AG128">
        <v>-0.89400000000000002</v>
      </c>
      <c r="AH128">
        <v>-0.89600000000000002</v>
      </c>
      <c r="AI128">
        <v>-0.378</v>
      </c>
      <c r="AJ128">
        <v>-0.746</v>
      </c>
      <c r="AK128">
        <v>-0.55300000000000005</v>
      </c>
      <c r="AL128">
        <v>-0.34100000000000003</v>
      </c>
      <c r="AM128">
        <v>0.161</v>
      </c>
      <c r="AN128">
        <v>0.39800000000000002</v>
      </c>
      <c r="AO128">
        <v>0.24</v>
      </c>
      <c r="AP128">
        <v>0.82699999999999996</v>
      </c>
      <c r="AQ128">
        <v>0.40500000000000003</v>
      </c>
      <c r="AR128">
        <v>-0.214</v>
      </c>
      <c r="AS128">
        <v>2E-3</v>
      </c>
      <c r="AT128">
        <v>-0.59099999999999997</v>
      </c>
      <c r="AU128">
        <v>0.52</v>
      </c>
      <c r="AV128">
        <v>-0.58199999999999996</v>
      </c>
      <c r="AW128">
        <v>0.77900000000000003</v>
      </c>
      <c r="AX128">
        <v>0.502</v>
      </c>
      <c r="AY128">
        <v>0.79100000000000004</v>
      </c>
      <c r="AZ128">
        <v>1.4999999999999999E-2</v>
      </c>
      <c r="BA128">
        <v>3.9E-2</v>
      </c>
      <c r="BB128">
        <v>0.49299999999999999</v>
      </c>
      <c r="BC128">
        <v>0.27300000000000002</v>
      </c>
      <c r="BD128">
        <v>0.14199999999999999</v>
      </c>
      <c r="BE128">
        <v>0.68300000000000005</v>
      </c>
      <c r="BF128">
        <v>-0.625</v>
      </c>
      <c r="BG128">
        <v>0.154</v>
      </c>
      <c r="BH128">
        <v>0.17</v>
      </c>
      <c r="BI128">
        <v>-1</v>
      </c>
    </row>
    <row r="129" spans="1:61" x14ac:dyDescent="0.3">
      <c r="A129">
        <v>128</v>
      </c>
      <c r="B129" t="s">
        <v>235</v>
      </c>
      <c r="C129">
        <v>0</v>
      </c>
      <c r="D129">
        <v>0</v>
      </c>
      <c r="J129" t="s">
        <v>190</v>
      </c>
      <c r="K129">
        <v>0.61899999999999999</v>
      </c>
      <c r="L129">
        <v>0.443</v>
      </c>
      <c r="M129" t="s">
        <v>68</v>
      </c>
      <c r="N129">
        <v>0</v>
      </c>
      <c r="O129">
        <v>0</v>
      </c>
      <c r="P129">
        <v>-0.55100000000000005</v>
      </c>
      <c r="Q129">
        <v>-0.372</v>
      </c>
      <c r="R129">
        <v>-0.21099999999999999</v>
      </c>
      <c r="S129">
        <v>-0.77200000000000002</v>
      </c>
      <c r="T129">
        <v>-0.50900000000000001</v>
      </c>
      <c r="U129">
        <v>-0.67200000000000004</v>
      </c>
      <c r="V129">
        <v>-0.61599999999999999</v>
      </c>
      <c r="W129">
        <v>-0.53</v>
      </c>
      <c r="X129">
        <v>-9.4E-2</v>
      </c>
      <c r="Y129">
        <v>-0.1</v>
      </c>
      <c r="Z129">
        <v>0.35</v>
      </c>
      <c r="AA129">
        <v>-7.2999999999999995E-2</v>
      </c>
      <c r="AB129">
        <v>0.499</v>
      </c>
      <c r="AC129">
        <v>-0.69499999999999995</v>
      </c>
      <c r="AD129">
        <v>-0.29299999999999998</v>
      </c>
      <c r="AE129">
        <v>-0.42699999999999999</v>
      </c>
      <c r="AF129">
        <v>0.19500000000000001</v>
      </c>
      <c r="AG129">
        <v>0.60599999999999998</v>
      </c>
      <c r="AH129">
        <v>-0.69299999999999995</v>
      </c>
      <c r="AI129">
        <v>-0.44</v>
      </c>
      <c r="AJ129">
        <v>0.252</v>
      </c>
      <c r="AK129">
        <v>-0.24199999999999999</v>
      </c>
      <c r="AL129">
        <v>0.58299999999999996</v>
      </c>
      <c r="AM129">
        <v>-0.107</v>
      </c>
      <c r="AN129">
        <v>-0.13</v>
      </c>
      <c r="AO129">
        <v>-0.23200000000000001</v>
      </c>
      <c r="AP129">
        <v>0.21</v>
      </c>
      <c r="AQ129">
        <v>-0.2</v>
      </c>
      <c r="AR129">
        <v>-0.23799999999999999</v>
      </c>
      <c r="AS129">
        <v>-0.215</v>
      </c>
      <c r="AT129">
        <v>-0.63100000000000001</v>
      </c>
      <c r="AU129">
        <v>-0.70699999999999996</v>
      </c>
      <c r="AV129">
        <v>-0.193</v>
      </c>
      <c r="AW129">
        <v>0.37</v>
      </c>
      <c r="AX129">
        <v>-7.6999999999999999E-2</v>
      </c>
      <c r="AY129">
        <v>-0.2</v>
      </c>
      <c r="AZ129">
        <v>-0.47399999999999998</v>
      </c>
      <c r="BA129">
        <v>-0.76800000000000002</v>
      </c>
      <c r="BB129">
        <v>0.104</v>
      </c>
      <c r="BC129">
        <v>1</v>
      </c>
      <c r="BD129">
        <v>0.53400000000000003</v>
      </c>
      <c r="BE129">
        <v>0.33600000000000002</v>
      </c>
      <c r="BF129">
        <v>0.501</v>
      </c>
      <c r="BG129">
        <v>1</v>
      </c>
      <c r="BH129">
        <v>0.61799999999999999</v>
      </c>
      <c r="BI129">
        <v>0.51</v>
      </c>
    </row>
    <row r="130" spans="1:61" x14ac:dyDescent="0.3">
      <c r="A130">
        <v>129</v>
      </c>
      <c r="B130" t="s">
        <v>197</v>
      </c>
      <c r="C130">
        <v>0</v>
      </c>
      <c r="D130">
        <v>0</v>
      </c>
      <c r="J130" t="s">
        <v>232</v>
      </c>
      <c r="K130">
        <v>0.61799999999999999</v>
      </c>
      <c r="L130">
        <v>0.49299999999999999</v>
      </c>
      <c r="M130" t="s">
        <v>57</v>
      </c>
      <c r="N130">
        <v>0</v>
      </c>
      <c r="O130">
        <v>-1E-3</v>
      </c>
      <c r="P130">
        <v>-0.54</v>
      </c>
      <c r="Q130">
        <v>-0.64500000000000002</v>
      </c>
      <c r="R130">
        <v>-0.313</v>
      </c>
      <c r="S130">
        <v>-0.37</v>
      </c>
      <c r="T130">
        <v>-0.34200000000000003</v>
      </c>
      <c r="U130">
        <v>-0.51200000000000001</v>
      </c>
      <c r="V130">
        <v>-0.503</v>
      </c>
      <c r="W130">
        <v>-0.61899999999999999</v>
      </c>
      <c r="X130">
        <v>-5.3999999999999999E-2</v>
      </c>
      <c r="Y130">
        <v>-5.5E-2</v>
      </c>
      <c r="Z130">
        <v>0.64200000000000002</v>
      </c>
      <c r="AA130">
        <v>0.55700000000000005</v>
      </c>
      <c r="AB130">
        <v>0.219</v>
      </c>
      <c r="AC130">
        <v>0.94599999999999995</v>
      </c>
      <c r="AD130">
        <v>0.30599999999999999</v>
      </c>
      <c r="AE130">
        <v>-0.68100000000000005</v>
      </c>
      <c r="AF130">
        <v>0.13200000000000001</v>
      </c>
      <c r="AG130">
        <v>-0.78400000000000003</v>
      </c>
      <c r="AH130">
        <v>-0.191</v>
      </c>
      <c r="AI130">
        <v>0.34599999999999997</v>
      </c>
      <c r="AJ130">
        <v>3.3000000000000002E-2</v>
      </c>
      <c r="AK130">
        <v>0.378</v>
      </c>
      <c r="AL130">
        <v>1</v>
      </c>
      <c r="AM130">
        <v>-0.88500000000000001</v>
      </c>
      <c r="AN130">
        <v>-0.41799999999999998</v>
      </c>
      <c r="AO130">
        <v>1.7999999999999999E-2</v>
      </c>
      <c r="AP130">
        <v>-0.42599999999999999</v>
      </c>
      <c r="AQ130">
        <v>-0.75900000000000001</v>
      </c>
      <c r="AR130">
        <v>5.7000000000000002E-2</v>
      </c>
      <c r="AS130">
        <v>-0.26100000000000001</v>
      </c>
      <c r="AT130">
        <v>0.29199999999999998</v>
      </c>
      <c r="AU130">
        <v>-0.20699999999999999</v>
      </c>
      <c r="AV130">
        <v>-0.2</v>
      </c>
      <c r="AW130">
        <v>0.79200000000000004</v>
      </c>
      <c r="AX130">
        <v>0.499</v>
      </c>
      <c r="AY130">
        <v>-0.60099999999999998</v>
      </c>
      <c r="AZ130">
        <v>-0.51700000000000002</v>
      </c>
      <c r="BA130">
        <v>-0.17699999999999999</v>
      </c>
      <c r="BB130">
        <v>-0.10299999999999999</v>
      </c>
      <c r="BC130">
        <v>-0.04</v>
      </c>
      <c r="BD130">
        <v>0.749</v>
      </c>
      <c r="BE130">
        <v>0.19800000000000001</v>
      </c>
      <c r="BF130">
        <v>0.57099999999999995</v>
      </c>
      <c r="BG130">
        <v>-0.32800000000000001</v>
      </c>
      <c r="BH130">
        <v>-0.76800000000000002</v>
      </c>
      <c r="BI130">
        <v>0.27100000000000002</v>
      </c>
    </row>
    <row r="131" spans="1:61" x14ac:dyDescent="0.3">
      <c r="A131">
        <v>130</v>
      </c>
      <c r="B131" t="s">
        <v>176</v>
      </c>
      <c r="C131">
        <v>0</v>
      </c>
      <c r="D131">
        <v>0</v>
      </c>
      <c r="J131" t="s">
        <v>158</v>
      </c>
      <c r="K131">
        <v>0.61699999999999999</v>
      </c>
      <c r="L131">
        <v>0.78600000000000003</v>
      </c>
      <c r="M131" t="s">
        <v>71</v>
      </c>
      <c r="N131">
        <v>0</v>
      </c>
      <c r="O131">
        <v>-2E-3</v>
      </c>
      <c r="P131">
        <v>-0.89900000000000002</v>
      </c>
      <c r="Q131">
        <v>-0.75800000000000001</v>
      </c>
      <c r="R131">
        <v>-0.96199999999999997</v>
      </c>
      <c r="S131">
        <v>-0.81299999999999994</v>
      </c>
      <c r="T131">
        <v>-0.85399999999999998</v>
      </c>
      <c r="U131">
        <v>-0.65400000000000003</v>
      </c>
      <c r="V131">
        <v>-0.52300000000000002</v>
      </c>
      <c r="W131">
        <v>-0.54500000000000004</v>
      </c>
      <c r="X131">
        <v>0.45200000000000001</v>
      </c>
      <c r="Y131">
        <v>0.44900000000000001</v>
      </c>
      <c r="Z131">
        <v>0.51700000000000002</v>
      </c>
      <c r="AA131">
        <v>0.61099999999999999</v>
      </c>
      <c r="AB131">
        <v>0.63</v>
      </c>
      <c r="AC131">
        <v>-0.90300000000000002</v>
      </c>
      <c r="AD131">
        <v>-1</v>
      </c>
      <c r="AE131">
        <v>2.4E-2</v>
      </c>
      <c r="AF131">
        <v>-0.80100000000000005</v>
      </c>
      <c r="AG131">
        <v>9.5000000000000001E-2</v>
      </c>
      <c r="AH131">
        <v>-0.88700000000000001</v>
      </c>
      <c r="AI131">
        <v>-0.3</v>
      </c>
      <c r="AJ131">
        <v>-0.30299999999999999</v>
      </c>
      <c r="AK131">
        <v>-0.57099999999999995</v>
      </c>
      <c r="AL131">
        <v>-0.38500000000000001</v>
      </c>
      <c r="AM131">
        <v>0.41</v>
      </c>
      <c r="AN131">
        <v>0.872</v>
      </c>
      <c r="AO131">
        <v>-0.39600000000000002</v>
      </c>
      <c r="AP131">
        <v>-0.30299999999999999</v>
      </c>
      <c r="AQ131">
        <v>-0.42899999999999999</v>
      </c>
      <c r="AR131">
        <v>-5.8000000000000003E-2</v>
      </c>
      <c r="AS131">
        <v>-0.50800000000000001</v>
      </c>
      <c r="AT131">
        <v>-0.47199999999999998</v>
      </c>
      <c r="AU131">
        <v>1</v>
      </c>
      <c r="AV131">
        <v>-0.36</v>
      </c>
      <c r="AW131">
        <v>0.36</v>
      </c>
      <c r="AX131">
        <v>-0.92</v>
      </c>
      <c r="AY131">
        <v>-0.38400000000000001</v>
      </c>
      <c r="AZ131">
        <v>-0.32400000000000001</v>
      </c>
      <c r="BA131">
        <v>-0.70299999999999996</v>
      </c>
      <c r="BB131">
        <v>0.222</v>
      </c>
      <c r="BC131">
        <v>-0.23</v>
      </c>
      <c r="BD131">
        <v>0.96699999999999997</v>
      </c>
      <c r="BE131">
        <v>0.81699999999999995</v>
      </c>
      <c r="BF131">
        <v>-0.19600000000000001</v>
      </c>
      <c r="BG131">
        <v>-0.57299999999999995</v>
      </c>
      <c r="BH131">
        <v>4.5999999999999999E-2</v>
      </c>
      <c r="BI131">
        <v>-8.7999999999999995E-2</v>
      </c>
    </row>
    <row r="132" spans="1:61" x14ac:dyDescent="0.3">
      <c r="A132">
        <v>131</v>
      </c>
      <c r="B132" t="s">
        <v>86</v>
      </c>
      <c r="C132">
        <v>1.52716973157744E-2</v>
      </c>
      <c r="D132">
        <v>1.18769626101E-2</v>
      </c>
      <c r="J132" t="s">
        <v>159</v>
      </c>
      <c r="K132">
        <v>0.61699999999999999</v>
      </c>
      <c r="L132">
        <v>0.77800000000000002</v>
      </c>
      <c r="M132" t="s">
        <v>71</v>
      </c>
      <c r="N132">
        <v>0</v>
      </c>
      <c r="O132">
        <v>0</v>
      </c>
      <c r="P132">
        <v>-0.88900000000000001</v>
      </c>
      <c r="Q132">
        <v>-0.873</v>
      </c>
      <c r="R132">
        <v>-0.92200000000000004</v>
      </c>
      <c r="S132">
        <v>-0.85</v>
      </c>
      <c r="T132">
        <v>-0.89300000000000002</v>
      </c>
      <c r="U132">
        <v>-0.53400000000000003</v>
      </c>
      <c r="V132">
        <v>-0.21099999999999999</v>
      </c>
      <c r="W132">
        <v>-0.63500000000000001</v>
      </c>
      <c r="X132">
        <v>0.48499999999999999</v>
      </c>
      <c r="Y132">
        <v>0.48</v>
      </c>
      <c r="Z132">
        <v>0.56399999999999995</v>
      </c>
      <c r="AA132">
        <v>0.69499999999999995</v>
      </c>
      <c r="AB132">
        <v>0.55800000000000005</v>
      </c>
      <c r="AC132">
        <v>-0.78300000000000003</v>
      </c>
      <c r="AD132">
        <v>-0.97599999999999998</v>
      </c>
      <c r="AE132">
        <v>-0.64200000000000002</v>
      </c>
      <c r="AF132">
        <v>-0.80400000000000005</v>
      </c>
      <c r="AG132">
        <v>-0.80800000000000005</v>
      </c>
      <c r="AH132">
        <v>-0.98599999999999999</v>
      </c>
      <c r="AI132">
        <v>5.8999999999999997E-2</v>
      </c>
      <c r="AJ132">
        <v>3.0000000000000001E-3</v>
      </c>
      <c r="AK132">
        <v>-0.41799999999999998</v>
      </c>
      <c r="AL132">
        <v>-0.187</v>
      </c>
      <c r="AM132">
        <v>5.7000000000000002E-2</v>
      </c>
      <c r="AN132">
        <v>-0.59299999999999997</v>
      </c>
      <c r="AO132">
        <v>-0.82299999999999995</v>
      </c>
      <c r="AP132">
        <v>-0.45500000000000002</v>
      </c>
      <c r="AQ132">
        <v>-0.40300000000000002</v>
      </c>
      <c r="AR132">
        <v>-0.108</v>
      </c>
      <c r="AS132">
        <v>-0.187</v>
      </c>
      <c r="AT132">
        <v>-0.56799999999999995</v>
      </c>
      <c r="AU132">
        <v>0.97199999999999998</v>
      </c>
      <c r="AV132">
        <v>-0.373</v>
      </c>
      <c r="AW132">
        <v>0.627</v>
      </c>
      <c r="AX132">
        <v>-0.437</v>
      </c>
      <c r="AY132">
        <v>0.65200000000000002</v>
      </c>
      <c r="AZ132">
        <v>6.0999999999999999E-2</v>
      </c>
      <c r="BA132">
        <v>6.9000000000000006E-2</v>
      </c>
      <c r="BB132">
        <v>0.33</v>
      </c>
      <c r="BC132">
        <v>0.04</v>
      </c>
      <c r="BD132">
        <v>0.47199999999999998</v>
      </c>
      <c r="BE132">
        <v>0.93100000000000005</v>
      </c>
      <c r="BF132">
        <v>-0.19600000000000001</v>
      </c>
      <c r="BG132">
        <v>-0.57599999999999996</v>
      </c>
      <c r="BH132">
        <v>0.56499999999999995</v>
      </c>
      <c r="BI132">
        <v>-0.26700000000000002</v>
      </c>
    </row>
    <row r="133" spans="1:61" x14ac:dyDescent="0.3">
      <c r="A133">
        <v>132</v>
      </c>
      <c r="B133" t="s">
        <v>250</v>
      </c>
      <c r="C133">
        <v>0</v>
      </c>
      <c r="D133">
        <v>0</v>
      </c>
      <c r="J133" t="s">
        <v>177</v>
      </c>
      <c r="K133">
        <v>0.61699999999999999</v>
      </c>
      <c r="L133">
        <v>0.76800000000000002</v>
      </c>
      <c r="M133" t="s">
        <v>71</v>
      </c>
      <c r="N133">
        <v>0</v>
      </c>
      <c r="O133">
        <v>0</v>
      </c>
      <c r="P133">
        <v>-0.90200000000000002</v>
      </c>
      <c r="Q133">
        <v>-0.88700000000000001</v>
      </c>
      <c r="R133">
        <v>-0.91</v>
      </c>
      <c r="S133">
        <v>-0.85799999999999998</v>
      </c>
      <c r="T133">
        <v>-0.89400000000000002</v>
      </c>
      <c r="U133">
        <v>-0.56299999999999994</v>
      </c>
      <c r="V133">
        <v>-0.223</v>
      </c>
      <c r="W133">
        <v>-0.66300000000000003</v>
      </c>
      <c r="X133">
        <v>0.58599999999999997</v>
      </c>
      <c r="Y133">
        <v>0.58099999999999996</v>
      </c>
      <c r="Z133">
        <v>0.58199999999999996</v>
      </c>
      <c r="AA133">
        <v>0.69799999999999995</v>
      </c>
      <c r="AB133">
        <v>0.56000000000000005</v>
      </c>
      <c r="AC133">
        <v>-0.78400000000000003</v>
      </c>
      <c r="AD133">
        <v>-0.97599999999999998</v>
      </c>
      <c r="AE133">
        <v>-0.68899999999999995</v>
      </c>
      <c r="AF133">
        <v>-0.80400000000000005</v>
      </c>
      <c r="AG133">
        <v>-0.84099999999999997</v>
      </c>
      <c r="AH133">
        <v>-0.98599999999999999</v>
      </c>
      <c r="AI133">
        <v>5.8999999999999997E-2</v>
      </c>
      <c r="AJ133">
        <v>-1.6E-2</v>
      </c>
      <c r="AK133">
        <v>-0.41799999999999998</v>
      </c>
      <c r="AL133">
        <v>-0.185</v>
      </c>
      <c r="AM133">
        <v>2.9000000000000001E-2</v>
      </c>
      <c r="AN133">
        <v>-0.63400000000000001</v>
      </c>
      <c r="AO133">
        <v>-0.82299999999999995</v>
      </c>
      <c r="AP133">
        <v>-0.45500000000000002</v>
      </c>
      <c r="AQ133">
        <v>-0.40300000000000002</v>
      </c>
      <c r="AR133">
        <v>-0.108</v>
      </c>
      <c r="AS133">
        <v>-0.187</v>
      </c>
      <c r="AT133">
        <v>-0.56799999999999995</v>
      </c>
      <c r="AU133">
        <v>0.99199999999999999</v>
      </c>
      <c r="AV133">
        <v>-0.373</v>
      </c>
      <c r="AW133">
        <v>0.627</v>
      </c>
      <c r="AX133">
        <v>-0.50900000000000001</v>
      </c>
      <c r="AY133">
        <v>0.16200000000000001</v>
      </c>
      <c r="AZ133">
        <v>6.0999999999999999E-2</v>
      </c>
      <c r="BA133">
        <v>6.9000000000000006E-2</v>
      </c>
      <c r="BB133">
        <v>0.31900000000000001</v>
      </c>
      <c r="BC133">
        <v>8.9999999999999993E-3</v>
      </c>
      <c r="BD133">
        <v>0.251</v>
      </c>
      <c r="BE133">
        <v>1</v>
      </c>
      <c r="BF133">
        <v>-0.161</v>
      </c>
      <c r="BG133">
        <v>-0.60299999999999998</v>
      </c>
      <c r="BH133">
        <v>0.85899999999999999</v>
      </c>
      <c r="BI133">
        <v>-0.26700000000000002</v>
      </c>
    </row>
    <row r="134" spans="1:61" x14ac:dyDescent="0.3">
      <c r="A134">
        <v>133</v>
      </c>
      <c r="B134" t="s">
        <v>81</v>
      </c>
      <c r="C134">
        <v>1.7856406115015801E-2</v>
      </c>
      <c r="D134">
        <v>1.07151584615112E-2</v>
      </c>
      <c r="J134" t="s">
        <v>162</v>
      </c>
      <c r="K134">
        <v>0.61599999999999999</v>
      </c>
      <c r="L134">
        <v>0.75800000000000001</v>
      </c>
      <c r="M134" t="s">
        <v>57</v>
      </c>
      <c r="N134">
        <v>0</v>
      </c>
      <c r="O134">
        <v>0</v>
      </c>
      <c r="P134">
        <v>-0.78</v>
      </c>
      <c r="Q134">
        <v>-0.86799999999999999</v>
      </c>
      <c r="R134">
        <v>-0.77900000000000003</v>
      </c>
      <c r="S134">
        <v>-0.77100000000000002</v>
      </c>
      <c r="T134">
        <v>-0.83599999999999997</v>
      </c>
      <c r="U134">
        <v>-0.56799999999999995</v>
      </c>
      <c r="V134">
        <v>-0.23499999999999999</v>
      </c>
      <c r="W134">
        <v>-0.77300000000000002</v>
      </c>
      <c r="X134">
        <v>0.5</v>
      </c>
      <c r="Y134">
        <v>0.495</v>
      </c>
      <c r="Z134">
        <v>0.66200000000000003</v>
      </c>
      <c r="AA134">
        <v>0.60699999999999998</v>
      </c>
      <c r="AB134">
        <v>0.56699999999999995</v>
      </c>
      <c r="AC134">
        <v>-0.71599999999999997</v>
      </c>
      <c r="AD134">
        <v>0.186</v>
      </c>
      <c r="AE134">
        <v>-0.75700000000000001</v>
      </c>
      <c r="AF134">
        <v>-0.86799999999999999</v>
      </c>
      <c r="AG134">
        <v>-1</v>
      </c>
      <c r="AH134">
        <v>-0.998</v>
      </c>
      <c r="AI134">
        <v>-0.247</v>
      </c>
      <c r="AJ134">
        <v>-2E-3</v>
      </c>
      <c r="AK134">
        <v>8.1000000000000003E-2</v>
      </c>
      <c r="AL134">
        <v>0.22600000000000001</v>
      </c>
      <c r="AM134">
        <v>-0.53400000000000003</v>
      </c>
      <c r="AN134">
        <v>-0.46600000000000003</v>
      </c>
      <c r="AO134">
        <v>9.6000000000000002E-2</v>
      </c>
      <c r="AP134">
        <v>0.255</v>
      </c>
      <c r="AQ134">
        <v>0.245</v>
      </c>
      <c r="AR134">
        <v>-0.17899999999999999</v>
      </c>
      <c r="AS134">
        <v>-0.35499999999999998</v>
      </c>
      <c r="AT134">
        <v>-0.72399999999999998</v>
      </c>
      <c r="AU134">
        <v>0.434</v>
      </c>
      <c r="AV134">
        <v>-0.438</v>
      </c>
      <c r="AW134">
        <v>5.7000000000000002E-2</v>
      </c>
      <c r="AX134">
        <v>-0.6</v>
      </c>
      <c r="AY134">
        <v>0.27600000000000002</v>
      </c>
      <c r="AZ134">
        <v>-0.108</v>
      </c>
      <c r="BA134">
        <v>-0.26900000000000002</v>
      </c>
      <c r="BB134">
        <v>0.23699999999999999</v>
      </c>
      <c r="BC134">
        <v>-0.11</v>
      </c>
      <c r="BD134">
        <v>0.29699999999999999</v>
      </c>
      <c r="BE134">
        <v>0.97299999999999998</v>
      </c>
      <c r="BF134">
        <v>-0.16800000000000001</v>
      </c>
      <c r="BG134">
        <v>-0.14599999999999999</v>
      </c>
      <c r="BH134">
        <v>1</v>
      </c>
      <c r="BI134">
        <v>-0.57699999999999996</v>
      </c>
    </row>
    <row r="135" spans="1:61" x14ac:dyDescent="0.3">
      <c r="A135">
        <v>134</v>
      </c>
      <c r="B135" t="s">
        <v>251</v>
      </c>
      <c r="C135">
        <v>0</v>
      </c>
      <c r="D135">
        <v>0</v>
      </c>
      <c r="J135" t="s">
        <v>253</v>
      </c>
      <c r="K135">
        <v>0.61099999999999999</v>
      </c>
      <c r="L135">
        <v>0.501</v>
      </c>
      <c r="M135" t="s">
        <v>68</v>
      </c>
      <c r="N135">
        <v>0</v>
      </c>
      <c r="O135">
        <v>0</v>
      </c>
      <c r="P135">
        <v>-0.52400000000000002</v>
      </c>
      <c r="Q135">
        <v>-0.433</v>
      </c>
      <c r="R135">
        <v>-8.6999999999999994E-2</v>
      </c>
      <c r="S135">
        <v>-0.72899999999999998</v>
      </c>
      <c r="T135">
        <v>-0.47599999999999998</v>
      </c>
      <c r="U135">
        <v>-0.69099999999999995</v>
      </c>
      <c r="V135">
        <v>-0.68400000000000005</v>
      </c>
      <c r="W135">
        <v>-0.86899999999999999</v>
      </c>
      <c r="X135">
        <v>0.26400000000000001</v>
      </c>
      <c r="Y135">
        <v>0.26300000000000001</v>
      </c>
      <c r="Z135">
        <v>0.53900000000000003</v>
      </c>
      <c r="AA135">
        <v>0.54</v>
      </c>
      <c r="AB135">
        <v>0.42099999999999999</v>
      </c>
      <c r="AC135">
        <v>-0.41599999999999998</v>
      </c>
      <c r="AD135">
        <v>-2.9000000000000001E-2</v>
      </c>
      <c r="AE135">
        <v>-0.34</v>
      </c>
      <c r="AF135">
        <v>1</v>
      </c>
      <c r="AG135">
        <v>-0.60099999999999998</v>
      </c>
      <c r="AH135">
        <v>-0.66300000000000003</v>
      </c>
      <c r="AI135">
        <v>0.85099999999999998</v>
      </c>
      <c r="AJ135">
        <v>-0.63500000000000001</v>
      </c>
      <c r="AK135">
        <v>0.63</v>
      </c>
      <c r="AL135">
        <v>-0.309</v>
      </c>
      <c r="AM135">
        <v>-0.71899999999999997</v>
      </c>
      <c r="AN135">
        <v>-0.53400000000000003</v>
      </c>
      <c r="AO135">
        <v>-0.187</v>
      </c>
      <c r="AP135">
        <v>-0.23499999999999999</v>
      </c>
      <c r="AQ135">
        <v>-0.436</v>
      </c>
      <c r="AR135">
        <v>3.2000000000000001E-2</v>
      </c>
      <c r="AS135">
        <v>-0.47099999999999997</v>
      </c>
      <c r="AT135">
        <v>-0.51100000000000001</v>
      </c>
      <c r="AU135">
        <v>-1.9E-2</v>
      </c>
      <c r="AV135">
        <v>-0.20100000000000001</v>
      </c>
      <c r="AW135">
        <v>0.56899999999999995</v>
      </c>
      <c r="AX135">
        <v>6.5000000000000002E-2</v>
      </c>
      <c r="AY135">
        <v>-0.52600000000000002</v>
      </c>
      <c r="AZ135">
        <v>8.1000000000000003E-2</v>
      </c>
      <c r="BA135">
        <v>0.27800000000000002</v>
      </c>
      <c r="BB135">
        <v>0.01</v>
      </c>
      <c r="BC135">
        <v>-0.13100000000000001</v>
      </c>
      <c r="BD135">
        <v>-7.0000000000000001E-3</v>
      </c>
      <c r="BE135">
        <v>0.57699999999999996</v>
      </c>
      <c r="BF135">
        <v>0.31</v>
      </c>
      <c r="BG135">
        <v>0.67600000000000005</v>
      </c>
      <c r="BH135">
        <v>0.496</v>
      </c>
      <c r="BI135">
        <v>0.38400000000000001</v>
      </c>
    </row>
    <row r="136" spans="1:61" x14ac:dyDescent="0.3">
      <c r="A136">
        <v>135</v>
      </c>
      <c r="B136" t="s">
        <v>245</v>
      </c>
      <c r="C136">
        <v>0</v>
      </c>
      <c r="D136">
        <v>0</v>
      </c>
      <c r="J136" t="s">
        <v>161</v>
      </c>
      <c r="K136">
        <v>0.60799999999999998</v>
      </c>
      <c r="L136">
        <v>0.72099999999999997</v>
      </c>
      <c r="M136" t="s">
        <v>57</v>
      </c>
      <c r="N136">
        <v>0</v>
      </c>
      <c r="O136">
        <v>0</v>
      </c>
      <c r="P136">
        <v>-0.78700000000000003</v>
      </c>
      <c r="Q136">
        <v>-0.87</v>
      </c>
      <c r="R136">
        <v>-0.78</v>
      </c>
      <c r="S136">
        <v>-0.78</v>
      </c>
      <c r="T136">
        <v>-0.84</v>
      </c>
      <c r="U136">
        <v>-0.61</v>
      </c>
      <c r="V136">
        <v>-0.38100000000000001</v>
      </c>
      <c r="W136">
        <v>-0.76800000000000002</v>
      </c>
      <c r="X136">
        <v>0.46800000000000003</v>
      </c>
      <c r="Y136">
        <v>0.46400000000000002</v>
      </c>
      <c r="Z136">
        <v>0.63400000000000001</v>
      </c>
      <c r="AA136">
        <v>0.67100000000000004</v>
      </c>
      <c r="AB136">
        <v>0.56699999999999995</v>
      </c>
      <c r="AC136">
        <v>-0.73399999999999999</v>
      </c>
      <c r="AD136">
        <v>0.16800000000000001</v>
      </c>
      <c r="AE136">
        <v>-0.7</v>
      </c>
      <c r="AF136">
        <v>-0.871</v>
      </c>
      <c r="AG136">
        <v>-1</v>
      </c>
      <c r="AH136">
        <v>-1</v>
      </c>
      <c r="AI136">
        <v>-0.22600000000000001</v>
      </c>
      <c r="AJ136">
        <v>-1.4999999999999999E-2</v>
      </c>
      <c r="AK136">
        <v>7.9000000000000001E-2</v>
      </c>
      <c r="AL136">
        <v>0.20100000000000001</v>
      </c>
      <c r="AM136">
        <v>-0.47799999999999998</v>
      </c>
      <c r="AN136">
        <v>-0.499</v>
      </c>
      <c r="AO136">
        <v>9.6000000000000002E-2</v>
      </c>
      <c r="AP136">
        <v>0.255</v>
      </c>
      <c r="AQ136">
        <v>0.245</v>
      </c>
      <c r="AR136">
        <v>-0.19900000000000001</v>
      </c>
      <c r="AS136">
        <v>-0.52400000000000002</v>
      </c>
      <c r="AT136">
        <v>-0.74299999999999999</v>
      </c>
      <c r="AU136">
        <v>0.34100000000000003</v>
      </c>
      <c r="AV136">
        <v>-0.42099999999999999</v>
      </c>
      <c r="AW136">
        <v>5.7000000000000002E-2</v>
      </c>
      <c r="AX136">
        <v>-0.437</v>
      </c>
      <c r="AY136">
        <v>0.19700000000000001</v>
      </c>
      <c r="AZ136">
        <v>-0.158</v>
      </c>
      <c r="BA136">
        <v>-0.23</v>
      </c>
      <c r="BB136">
        <v>0.26</v>
      </c>
      <c r="BC136">
        <v>7.4999999999999997E-2</v>
      </c>
      <c r="BD136">
        <v>-0.124</v>
      </c>
      <c r="BE136">
        <v>0.92</v>
      </c>
      <c r="BF136">
        <v>-0.23</v>
      </c>
      <c r="BG136">
        <v>-1.7999999999999999E-2</v>
      </c>
      <c r="BH136">
        <v>1</v>
      </c>
      <c r="BI136">
        <v>-0.57699999999999996</v>
      </c>
    </row>
    <row r="137" spans="1:61" x14ac:dyDescent="0.3">
      <c r="A137">
        <v>136</v>
      </c>
      <c r="B137" t="s">
        <v>258</v>
      </c>
      <c r="C137">
        <v>0</v>
      </c>
      <c r="D137">
        <v>0</v>
      </c>
      <c r="J137" t="s">
        <v>236</v>
      </c>
      <c r="K137">
        <v>0.60699999999999998</v>
      </c>
      <c r="L137">
        <v>0.59799999999999998</v>
      </c>
      <c r="M137" t="s">
        <v>68</v>
      </c>
      <c r="N137">
        <v>0</v>
      </c>
      <c r="O137">
        <v>0</v>
      </c>
      <c r="P137">
        <v>-0.63400000000000001</v>
      </c>
      <c r="Q137">
        <v>-0.41499999999999998</v>
      </c>
      <c r="R137">
        <v>-0.66300000000000003</v>
      </c>
      <c r="S137">
        <v>-0.76200000000000001</v>
      </c>
      <c r="T137">
        <v>-0.71299999999999997</v>
      </c>
      <c r="U137">
        <v>-0.77300000000000002</v>
      </c>
      <c r="V137">
        <v>-0.77300000000000002</v>
      </c>
      <c r="W137">
        <v>-0.77</v>
      </c>
      <c r="X137">
        <v>0.107</v>
      </c>
      <c r="Y137">
        <v>0.104</v>
      </c>
      <c r="Z137">
        <v>0.64500000000000002</v>
      </c>
      <c r="AA137">
        <v>0.69799999999999995</v>
      </c>
      <c r="AB137">
        <v>0.63400000000000001</v>
      </c>
      <c r="AC137">
        <v>-0.46300000000000002</v>
      </c>
      <c r="AD137">
        <v>-0.74399999999999999</v>
      </c>
      <c r="AE137">
        <v>-0.248</v>
      </c>
      <c r="AF137">
        <v>-0.48499999999999999</v>
      </c>
      <c r="AG137">
        <v>-0.312</v>
      </c>
      <c r="AH137">
        <v>-0.84199999999999997</v>
      </c>
      <c r="AI137">
        <v>6.8000000000000005E-2</v>
      </c>
      <c r="AJ137">
        <v>-0.77900000000000003</v>
      </c>
      <c r="AK137">
        <v>6.9000000000000006E-2</v>
      </c>
      <c r="AL137">
        <v>-0.24</v>
      </c>
      <c r="AM137">
        <v>1.4999999999999999E-2</v>
      </c>
      <c r="AN137">
        <v>-0.02</v>
      </c>
      <c r="AO137">
        <v>-0.71299999999999997</v>
      </c>
      <c r="AP137">
        <v>0.34599999999999997</v>
      </c>
      <c r="AQ137">
        <v>0.30199999999999999</v>
      </c>
      <c r="AR137">
        <v>-0.129</v>
      </c>
      <c r="AS137">
        <v>-0.34399999999999997</v>
      </c>
      <c r="AT137">
        <v>-0.216</v>
      </c>
      <c r="AU137">
        <v>2.4E-2</v>
      </c>
      <c r="AV137">
        <v>-0.23899999999999999</v>
      </c>
      <c r="AW137">
        <v>0.85299999999999998</v>
      </c>
      <c r="AX137">
        <v>0.14899999999999999</v>
      </c>
      <c r="AY137">
        <v>0.45100000000000001</v>
      </c>
      <c r="AZ137">
        <v>-5.0000000000000001E-3</v>
      </c>
      <c r="BA137">
        <v>1.2999999999999999E-2</v>
      </c>
      <c r="BB137">
        <v>0.214</v>
      </c>
      <c r="BC137">
        <v>-0.11899999999999999</v>
      </c>
      <c r="BD137">
        <v>-0.155</v>
      </c>
      <c r="BE137">
        <v>1.4999999999999999E-2</v>
      </c>
      <c r="BF137">
        <v>0.17399999999999999</v>
      </c>
      <c r="BG137">
        <v>0.76900000000000002</v>
      </c>
      <c r="BH137">
        <v>0.43</v>
      </c>
      <c r="BI137">
        <v>-0.14199999999999999</v>
      </c>
    </row>
    <row r="138" spans="1:61" x14ac:dyDescent="0.3">
      <c r="A138">
        <v>137</v>
      </c>
      <c r="B138" t="s">
        <v>61</v>
      </c>
      <c r="C138">
        <v>0</v>
      </c>
      <c r="D138">
        <v>0</v>
      </c>
      <c r="J138" t="s">
        <v>149</v>
      </c>
      <c r="K138">
        <v>0.60299999999999998</v>
      </c>
      <c r="L138">
        <v>0.44700000000000001</v>
      </c>
      <c r="M138" t="s">
        <v>53</v>
      </c>
      <c r="N138">
        <v>0</v>
      </c>
      <c r="O138">
        <v>0</v>
      </c>
      <c r="P138">
        <v>-0.27500000000000002</v>
      </c>
      <c r="Q138">
        <v>0.13600000000000001</v>
      </c>
      <c r="R138">
        <v>-0.14000000000000001</v>
      </c>
      <c r="S138">
        <v>-0.66300000000000003</v>
      </c>
      <c r="T138">
        <v>-0.3</v>
      </c>
      <c r="U138">
        <v>-0.72199999999999998</v>
      </c>
      <c r="V138">
        <v>-0.66700000000000004</v>
      </c>
      <c r="W138">
        <v>-0.876</v>
      </c>
      <c r="X138">
        <v>-0.26100000000000001</v>
      </c>
      <c r="Y138">
        <v>-0.25800000000000001</v>
      </c>
      <c r="Z138">
        <v>0.26700000000000002</v>
      </c>
      <c r="AA138">
        <v>0.129</v>
      </c>
      <c r="AB138">
        <v>0.38800000000000001</v>
      </c>
      <c r="AC138">
        <v>-0.39300000000000002</v>
      </c>
      <c r="AD138">
        <v>-0.28899999999999998</v>
      </c>
      <c r="AE138">
        <v>-0.154</v>
      </c>
      <c r="AF138">
        <v>0.70799999999999996</v>
      </c>
      <c r="AG138">
        <v>0.186</v>
      </c>
      <c r="AH138">
        <v>-0.23899999999999999</v>
      </c>
      <c r="AI138">
        <v>0.11600000000000001</v>
      </c>
      <c r="AJ138">
        <v>-0.96199999999999997</v>
      </c>
      <c r="AK138">
        <v>0.34899999999999998</v>
      </c>
      <c r="AL138">
        <v>-0.23100000000000001</v>
      </c>
      <c r="AM138">
        <v>-0.46400000000000002</v>
      </c>
      <c r="AN138">
        <v>-0.17799999999999999</v>
      </c>
      <c r="AO138">
        <v>-0.15</v>
      </c>
      <c r="AP138">
        <v>0.47399999999999998</v>
      </c>
      <c r="AQ138">
        <v>0.438</v>
      </c>
      <c r="AR138">
        <v>-1E-3</v>
      </c>
      <c r="AS138">
        <v>0.32700000000000001</v>
      </c>
      <c r="AT138">
        <v>-0.152</v>
      </c>
      <c r="AU138">
        <v>-0.70399999999999996</v>
      </c>
      <c r="AV138">
        <v>-0.128</v>
      </c>
      <c r="AW138">
        <v>0.49</v>
      </c>
      <c r="AX138">
        <v>-1</v>
      </c>
      <c r="AY138">
        <v>0.20899999999999999</v>
      </c>
      <c r="AZ138">
        <v>0.22</v>
      </c>
      <c r="BA138">
        <v>0.248</v>
      </c>
      <c r="BB138">
        <v>0.34799999999999998</v>
      </c>
      <c r="BC138">
        <v>0.16800000000000001</v>
      </c>
      <c r="BD138">
        <v>-4.2999999999999997E-2</v>
      </c>
      <c r="BE138">
        <v>9.6000000000000002E-2</v>
      </c>
      <c r="BF138">
        <v>0.91200000000000003</v>
      </c>
      <c r="BG138">
        <v>0.57899999999999996</v>
      </c>
      <c r="BH138">
        <v>-0.192</v>
      </c>
      <c r="BI138">
        <v>0.93</v>
      </c>
    </row>
    <row r="139" spans="1:61" x14ac:dyDescent="0.3">
      <c r="A139">
        <v>138</v>
      </c>
      <c r="B139" t="s">
        <v>212</v>
      </c>
      <c r="C139">
        <v>0</v>
      </c>
      <c r="D139">
        <v>0</v>
      </c>
      <c r="J139" t="s">
        <v>172</v>
      </c>
      <c r="K139">
        <v>0.59299999999999997</v>
      </c>
      <c r="L139">
        <v>0.90200000000000002</v>
      </c>
      <c r="M139" t="s">
        <v>71</v>
      </c>
      <c r="N139">
        <v>0</v>
      </c>
      <c r="O139">
        <v>-5.0000000000000001E-3</v>
      </c>
      <c r="P139">
        <v>-0.94799999999999995</v>
      </c>
      <c r="Q139">
        <v>-0.90500000000000003</v>
      </c>
      <c r="R139">
        <v>-0.98199999999999998</v>
      </c>
      <c r="S139">
        <v>-0.874</v>
      </c>
      <c r="T139">
        <v>-0.92100000000000004</v>
      </c>
      <c r="U139">
        <v>-0.67100000000000004</v>
      </c>
      <c r="V139">
        <v>-0.36199999999999999</v>
      </c>
      <c r="W139">
        <v>-0.67200000000000004</v>
      </c>
      <c r="X139">
        <v>0.54400000000000004</v>
      </c>
      <c r="Y139">
        <v>0.53800000000000003</v>
      </c>
      <c r="Z139">
        <v>0.59299999999999997</v>
      </c>
      <c r="AA139">
        <v>0.65400000000000003</v>
      </c>
      <c r="AB139">
        <v>0.503</v>
      </c>
      <c r="AC139">
        <v>-0.78300000000000003</v>
      </c>
      <c r="AD139">
        <v>-0.97499999999999998</v>
      </c>
      <c r="AE139">
        <v>-0.56899999999999995</v>
      </c>
      <c r="AF139">
        <v>-0.80400000000000005</v>
      </c>
      <c r="AG139">
        <v>-0.75600000000000001</v>
      </c>
      <c r="AH139">
        <v>-0.98599999999999999</v>
      </c>
      <c r="AI139">
        <v>5.8999999999999997E-2</v>
      </c>
      <c r="AJ139">
        <v>0</v>
      </c>
      <c r="AK139">
        <v>-0.41799999999999998</v>
      </c>
      <c r="AL139">
        <v>-0.185</v>
      </c>
      <c r="AM139">
        <v>0.08</v>
      </c>
      <c r="AN139">
        <v>-0.623</v>
      </c>
      <c r="AO139">
        <v>-0.82299999999999995</v>
      </c>
      <c r="AP139">
        <v>-0.45500000000000002</v>
      </c>
      <c r="AQ139">
        <v>-0.40300000000000002</v>
      </c>
      <c r="AR139">
        <v>-0.108</v>
      </c>
      <c r="AS139">
        <v>-0.187</v>
      </c>
      <c r="AT139">
        <v>-0.56799999999999995</v>
      </c>
      <c r="AU139">
        <v>0.95699999999999996</v>
      </c>
      <c r="AV139">
        <v>-0.373</v>
      </c>
      <c r="AW139">
        <v>0.627</v>
      </c>
      <c r="AX139">
        <v>-0.58399999999999996</v>
      </c>
      <c r="AY139">
        <v>-0.60799999999999998</v>
      </c>
      <c r="AZ139">
        <v>6.0999999999999999E-2</v>
      </c>
      <c r="BA139">
        <v>6.9000000000000006E-2</v>
      </c>
      <c r="BB139">
        <v>0.32400000000000001</v>
      </c>
      <c r="BC139">
        <v>8.7999999999999995E-2</v>
      </c>
      <c r="BD139">
        <v>0.42899999999999999</v>
      </c>
      <c r="BE139">
        <v>0.98399999999999999</v>
      </c>
      <c r="BF139">
        <v>-0.219</v>
      </c>
      <c r="BG139">
        <v>-0.60099999999999998</v>
      </c>
      <c r="BH139">
        <v>-4.2999999999999997E-2</v>
      </c>
      <c r="BI139">
        <v>-0.26700000000000002</v>
      </c>
    </row>
    <row r="140" spans="1:61" x14ac:dyDescent="0.3">
      <c r="A140">
        <v>139</v>
      </c>
      <c r="B140" t="s">
        <v>96</v>
      </c>
      <c r="C140">
        <v>8.5717033607764104E-3</v>
      </c>
      <c r="D140">
        <v>0</v>
      </c>
      <c r="J140" t="s">
        <v>200</v>
      </c>
      <c r="K140">
        <v>0.59099999999999997</v>
      </c>
      <c r="L140">
        <v>0.96</v>
      </c>
      <c r="M140" t="s">
        <v>55</v>
      </c>
      <c r="N140">
        <v>0</v>
      </c>
      <c r="O140">
        <v>-6.0000000000000001E-3</v>
      </c>
      <c r="P140">
        <v>-0.73099999999999998</v>
      </c>
      <c r="Q140">
        <v>-0.82099999999999995</v>
      </c>
      <c r="R140">
        <v>-0.91400000000000003</v>
      </c>
      <c r="S140">
        <v>-0.70899999999999996</v>
      </c>
      <c r="T140">
        <v>-0.874</v>
      </c>
      <c r="U140">
        <v>-0.40799999999999997</v>
      </c>
      <c r="V140">
        <v>5.0000000000000001E-3</v>
      </c>
      <c r="W140">
        <v>-0.78400000000000003</v>
      </c>
      <c r="X140">
        <v>-2.1999999999999999E-2</v>
      </c>
      <c r="Y140">
        <v>-1.9E-2</v>
      </c>
      <c r="Z140">
        <v>0.59699999999999998</v>
      </c>
      <c r="AA140">
        <v>0.58099999999999996</v>
      </c>
      <c r="AB140">
        <v>0.432</v>
      </c>
      <c r="AC140">
        <v>-0.497</v>
      </c>
      <c r="AD140">
        <v>-0.59599999999999997</v>
      </c>
      <c r="AE140">
        <v>-0.57599999999999996</v>
      </c>
      <c r="AF140">
        <v>-0.91300000000000003</v>
      </c>
      <c r="AG140">
        <v>-0.81399999999999995</v>
      </c>
      <c r="AH140">
        <v>-0.95</v>
      </c>
      <c r="AI140">
        <v>-0.223</v>
      </c>
      <c r="AJ140">
        <v>-0.60199999999999998</v>
      </c>
      <c r="AK140">
        <v>-0.55500000000000005</v>
      </c>
      <c r="AL140">
        <v>-0.14699999999999999</v>
      </c>
      <c r="AM140">
        <v>-0.30599999999999999</v>
      </c>
      <c r="AN140">
        <v>0.12</v>
      </c>
      <c r="AO140">
        <v>0.20799999999999999</v>
      </c>
      <c r="AP140">
        <v>0.26</v>
      </c>
      <c r="AQ140">
        <v>0.1</v>
      </c>
      <c r="AR140">
        <v>0.122</v>
      </c>
      <c r="AS140">
        <v>0.251</v>
      </c>
      <c r="AT140">
        <v>7.0000000000000001E-3</v>
      </c>
      <c r="AU140">
        <v>0.33200000000000002</v>
      </c>
      <c r="AV140">
        <v>-0.69199999999999995</v>
      </c>
      <c r="AW140">
        <v>0.74399999999999999</v>
      </c>
      <c r="AX140">
        <v>3.3000000000000002E-2</v>
      </c>
      <c r="AY140">
        <v>0.79300000000000004</v>
      </c>
      <c r="AZ140">
        <v>-0.309</v>
      </c>
      <c r="BA140">
        <v>-0.255</v>
      </c>
      <c r="BB140">
        <v>0.33600000000000002</v>
      </c>
      <c r="BC140">
        <v>8.2000000000000003E-2</v>
      </c>
      <c r="BD140">
        <v>-0.28299999999999997</v>
      </c>
      <c r="BE140">
        <v>0.7</v>
      </c>
      <c r="BF140">
        <v>-0.28899999999999998</v>
      </c>
      <c r="BG140">
        <v>0.53500000000000003</v>
      </c>
      <c r="BH140">
        <v>-0.14099999999999999</v>
      </c>
      <c r="BI140">
        <v>-0.68799999999999994</v>
      </c>
    </row>
    <row r="141" spans="1:61" x14ac:dyDescent="0.3">
      <c r="A141">
        <v>140</v>
      </c>
      <c r="B141" t="s">
        <v>65</v>
      </c>
      <c r="C141">
        <v>1.0627200068774901E-2</v>
      </c>
      <c r="D141">
        <v>8.7400116095888193E-3</v>
      </c>
      <c r="J141" t="s">
        <v>148</v>
      </c>
      <c r="K141">
        <v>0.59099999999999997</v>
      </c>
      <c r="L141">
        <v>0.52800000000000002</v>
      </c>
      <c r="M141" t="s">
        <v>68</v>
      </c>
      <c r="N141">
        <v>0</v>
      </c>
      <c r="O141">
        <v>0</v>
      </c>
      <c r="P141">
        <v>-0.73499999999999999</v>
      </c>
      <c r="Q141">
        <v>-0.85699999999999998</v>
      </c>
      <c r="R141">
        <v>-0.60599999999999998</v>
      </c>
      <c r="S141">
        <v>-0.78500000000000003</v>
      </c>
      <c r="T141">
        <v>-0.83199999999999996</v>
      </c>
      <c r="U141">
        <v>-0.50900000000000001</v>
      </c>
      <c r="V141">
        <v>-0.17699999999999999</v>
      </c>
      <c r="W141">
        <v>-0.74399999999999999</v>
      </c>
      <c r="X141">
        <v>8.6999999999999994E-2</v>
      </c>
      <c r="Y141">
        <v>8.6999999999999994E-2</v>
      </c>
      <c r="Z141">
        <v>0.41899999999999998</v>
      </c>
      <c r="AA141">
        <v>0.46700000000000003</v>
      </c>
      <c r="AB141">
        <v>0.441</v>
      </c>
      <c r="AC141">
        <v>-0.39300000000000002</v>
      </c>
      <c r="AD141">
        <v>-0.97499999999999998</v>
      </c>
      <c r="AE141">
        <v>-0.97199999999999998</v>
      </c>
      <c r="AF141">
        <v>-0.153</v>
      </c>
      <c r="AG141">
        <v>-0.35899999999999999</v>
      </c>
      <c r="AH141">
        <v>0.129</v>
      </c>
      <c r="AI141">
        <v>-5.7000000000000002E-2</v>
      </c>
      <c r="AJ141">
        <v>0.104</v>
      </c>
      <c r="AK141">
        <v>-0.67200000000000004</v>
      </c>
      <c r="AL141">
        <v>-0.16700000000000001</v>
      </c>
      <c r="AM141">
        <v>-0.68799999999999994</v>
      </c>
      <c r="AN141">
        <v>-0.4</v>
      </c>
      <c r="AO141">
        <v>-0.69599999999999995</v>
      </c>
      <c r="AP141">
        <v>-2.5999999999999999E-2</v>
      </c>
      <c r="AQ141">
        <v>-0.21</v>
      </c>
      <c r="AR141">
        <v>0.42299999999999999</v>
      </c>
      <c r="AS141">
        <v>-0.23300000000000001</v>
      </c>
      <c r="AT141">
        <v>6.5000000000000002E-2</v>
      </c>
      <c r="AU141">
        <v>0.35899999999999999</v>
      </c>
      <c r="AV141">
        <v>0.45600000000000002</v>
      </c>
      <c r="AW141">
        <v>0.65200000000000002</v>
      </c>
      <c r="AX141">
        <v>0.4</v>
      </c>
      <c r="AY141">
        <v>-0.44900000000000001</v>
      </c>
      <c r="AZ141">
        <v>-0.16600000000000001</v>
      </c>
      <c r="BA141">
        <v>-0.125</v>
      </c>
      <c r="BB141">
        <v>0.21099999999999999</v>
      </c>
      <c r="BC141">
        <v>-5.8000000000000003E-2</v>
      </c>
      <c r="BD141">
        <v>0.67500000000000004</v>
      </c>
      <c r="BE141">
        <v>0.90800000000000003</v>
      </c>
      <c r="BF141">
        <v>-0.33800000000000002</v>
      </c>
      <c r="BG141">
        <v>0.40200000000000002</v>
      </c>
      <c r="BH141">
        <v>-0.36599999999999999</v>
      </c>
      <c r="BI141">
        <v>0.48499999999999999</v>
      </c>
    </row>
    <row r="142" spans="1:61" x14ac:dyDescent="0.3">
      <c r="A142">
        <v>141</v>
      </c>
      <c r="B142" t="s">
        <v>187</v>
      </c>
      <c r="C142">
        <v>0</v>
      </c>
      <c r="D142">
        <v>0</v>
      </c>
      <c r="J142" t="s">
        <v>193</v>
      </c>
      <c r="K142">
        <v>0.58599999999999997</v>
      </c>
      <c r="L142">
        <v>1.0029999999999999</v>
      </c>
      <c r="M142" t="s">
        <v>55</v>
      </c>
      <c r="N142">
        <v>0</v>
      </c>
      <c r="O142">
        <v>-6.0000000000000001E-3</v>
      </c>
      <c r="P142">
        <v>-0.89</v>
      </c>
      <c r="Q142">
        <v>-0.81200000000000006</v>
      </c>
      <c r="R142">
        <v>-0.97599999999999998</v>
      </c>
      <c r="S142">
        <v>-0.83199999999999996</v>
      </c>
      <c r="T142">
        <v>-0.89700000000000002</v>
      </c>
      <c r="U142">
        <v>-0.65900000000000003</v>
      </c>
      <c r="V142">
        <v>-0.38200000000000001</v>
      </c>
      <c r="W142">
        <v>-0.67300000000000004</v>
      </c>
      <c r="X142">
        <v>0.14399999999999999</v>
      </c>
      <c r="Y142">
        <v>0.14899999999999999</v>
      </c>
      <c r="Z142">
        <v>0.71399999999999997</v>
      </c>
      <c r="AA142">
        <v>0.75</v>
      </c>
      <c r="AB142">
        <v>0.48699999999999999</v>
      </c>
      <c r="AC142">
        <v>-0.88700000000000001</v>
      </c>
      <c r="AD142">
        <v>-0.85199999999999998</v>
      </c>
      <c r="AE142">
        <v>1.4999999999999999E-2</v>
      </c>
      <c r="AF142">
        <v>-0.90300000000000002</v>
      </c>
      <c r="AG142">
        <v>-0.55400000000000005</v>
      </c>
      <c r="AH142">
        <v>-0.99</v>
      </c>
      <c r="AI142">
        <v>-0.27</v>
      </c>
      <c r="AJ142">
        <v>-0.44</v>
      </c>
      <c r="AK142">
        <v>-0.436</v>
      </c>
      <c r="AL142">
        <v>-0.40400000000000003</v>
      </c>
      <c r="AM142">
        <v>8.6999999999999994E-2</v>
      </c>
      <c r="AN142">
        <v>0.307</v>
      </c>
      <c r="AO142">
        <v>-0.219</v>
      </c>
      <c r="AP142">
        <v>-0.11799999999999999</v>
      </c>
      <c r="AQ142">
        <v>-0.504</v>
      </c>
      <c r="AR142">
        <v>3.0000000000000001E-3</v>
      </c>
      <c r="AS142">
        <v>-0.216</v>
      </c>
      <c r="AT142">
        <v>-0.53400000000000003</v>
      </c>
      <c r="AU142">
        <v>0.47699999999999998</v>
      </c>
      <c r="AV142">
        <v>-0.68500000000000005</v>
      </c>
      <c r="AW142">
        <v>0.90900000000000003</v>
      </c>
      <c r="AX142">
        <v>0.247</v>
      </c>
      <c r="AY142">
        <v>-3.0000000000000001E-3</v>
      </c>
      <c r="AZ142">
        <v>-0.29099999999999998</v>
      </c>
      <c r="BA142">
        <v>-0.41799999999999998</v>
      </c>
      <c r="BB142">
        <v>0.29799999999999999</v>
      </c>
      <c r="BC142">
        <v>0.14099999999999999</v>
      </c>
      <c r="BD142">
        <v>8.1000000000000003E-2</v>
      </c>
      <c r="BE142">
        <v>0.92</v>
      </c>
      <c r="BF142">
        <v>-0.41599999999999998</v>
      </c>
      <c r="BG142">
        <v>-2.4E-2</v>
      </c>
      <c r="BH142">
        <v>-0.19</v>
      </c>
      <c r="BI142">
        <v>-0.22900000000000001</v>
      </c>
    </row>
    <row r="143" spans="1:61" x14ac:dyDescent="0.3">
      <c r="A143">
        <v>142</v>
      </c>
      <c r="B143" t="s">
        <v>180</v>
      </c>
      <c r="C143">
        <v>0</v>
      </c>
      <c r="D143">
        <v>0</v>
      </c>
      <c r="J143" t="s">
        <v>140</v>
      </c>
      <c r="K143">
        <v>0.58599999999999997</v>
      </c>
      <c r="L143">
        <v>0.434</v>
      </c>
      <c r="M143" t="s">
        <v>71</v>
      </c>
      <c r="N143">
        <v>0</v>
      </c>
      <c r="O143">
        <v>-5.0000000000000001E-3</v>
      </c>
      <c r="P143">
        <v>-0.90800000000000003</v>
      </c>
      <c r="Q143">
        <v>-0.94599999999999995</v>
      </c>
      <c r="R143">
        <v>-0.95599999999999996</v>
      </c>
      <c r="S143">
        <v>-0.79400000000000004</v>
      </c>
      <c r="T143">
        <v>-0.90600000000000003</v>
      </c>
      <c r="U143">
        <v>-0.58399999999999996</v>
      </c>
      <c r="V143">
        <v>-0.57799999999999996</v>
      </c>
      <c r="W143">
        <v>-0.42</v>
      </c>
      <c r="X143">
        <v>0.14799999999999999</v>
      </c>
      <c r="Y143">
        <v>0.14499999999999999</v>
      </c>
      <c r="Z143">
        <v>0.59599999999999997</v>
      </c>
      <c r="AA143">
        <v>0.51100000000000001</v>
      </c>
      <c r="AB143">
        <v>0.35599999999999998</v>
      </c>
      <c r="AC143">
        <v>-0.69599999999999995</v>
      </c>
      <c r="AD143">
        <v>-0.35399999999999998</v>
      </c>
      <c r="AE143">
        <v>-0.6</v>
      </c>
      <c r="AF143">
        <v>-0.73299999999999998</v>
      </c>
      <c r="AG143">
        <v>-0.84899999999999998</v>
      </c>
      <c r="AH143">
        <v>-0.99</v>
      </c>
      <c r="AI143">
        <v>9.2999999999999999E-2</v>
      </c>
      <c r="AJ143">
        <v>0.96599999999999997</v>
      </c>
      <c r="AK143">
        <v>-0.51500000000000001</v>
      </c>
      <c r="AL143">
        <v>-0.35099999999999998</v>
      </c>
      <c r="AM143">
        <v>-0.51100000000000001</v>
      </c>
      <c r="AN143">
        <v>0.45800000000000002</v>
      </c>
      <c r="AO143">
        <v>2.1000000000000001E-2</v>
      </c>
      <c r="AP143">
        <v>-0.22500000000000001</v>
      </c>
      <c r="AQ143">
        <v>-0.107</v>
      </c>
      <c r="AR143">
        <v>-1.9E-2</v>
      </c>
      <c r="AS143">
        <v>-0.61199999999999999</v>
      </c>
      <c r="AT143">
        <v>-0.54800000000000004</v>
      </c>
      <c r="AU143">
        <v>-3.3000000000000002E-2</v>
      </c>
      <c r="AV143">
        <v>-0.60099999999999998</v>
      </c>
      <c r="AW143">
        <v>0.67100000000000004</v>
      </c>
      <c r="AX143">
        <v>0.66400000000000003</v>
      </c>
      <c r="AY143">
        <v>-0.55800000000000005</v>
      </c>
      <c r="AZ143">
        <v>0.34200000000000003</v>
      </c>
      <c r="BA143">
        <v>-5.0000000000000001E-3</v>
      </c>
      <c r="BB143">
        <v>0.161</v>
      </c>
      <c r="BC143">
        <v>0.39700000000000002</v>
      </c>
      <c r="BD143">
        <v>1</v>
      </c>
      <c r="BE143">
        <v>0.38400000000000001</v>
      </c>
      <c r="BF143">
        <v>-0.76100000000000001</v>
      </c>
      <c r="BG143">
        <v>-0.54700000000000004</v>
      </c>
      <c r="BH143">
        <v>-0.36899999999999999</v>
      </c>
      <c r="BI143">
        <v>-0.51600000000000001</v>
      </c>
    </row>
    <row r="144" spans="1:61" x14ac:dyDescent="0.3">
      <c r="A144">
        <v>143</v>
      </c>
      <c r="B144" t="s">
        <v>239</v>
      </c>
      <c r="C144">
        <v>0</v>
      </c>
      <c r="D144">
        <v>0</v>
      </c>
      <c r="J144" t="s">
        <v>171</v>
      </c>
      <c r="K144">
        <v>0.58299999999999996</v>
      </c>
      <c r="L144">
        <v>0.86399999999999999</v>
      </c>
      <c r="M144" t="s">
        <v>57</v>
      </c>
      <c r="N144">
        <v>0</v>
      </c>
      <c r="O144">
        <v>-4.0000000000000001E-3</v>
      </c>
      <c r="P144">
        <v>-0.83799999999999997</v>
      </c>
      <c r="Q144">
        <v>-0.89200000000000002</v>
      </c>
      <c r="R144">
        <v>-0.88800000000000001</v>
      </c>
      <c r="S144">
        <v>-0.80900000000000005</v>
      </c>
      <c r="T144">
        <v>-0.88100000000000001</v>
      </c>
      <c r="U144">
        <v>-0.66400000000000003</v>
      </c>
      <c r="V144">
        <v>-0.432</v>
      </c>
      <c r="W144">
        <v>-0.79900000000000004</v>
      </c>
      <c r="X144">
        <v>0.315</v>
      </c>
      <c r="Y144">
        <v>0.311</v>
      </c>
      <c r="Z144">
        <v>0.60599999999999998</v>
      </c>
      <c r="AA144">
        <v>0.67300000000000004</v>
      </c>
      <c r="AB144">
        <v>0.51</v>
      </c>
      <c r="AC144">
        <v>-0.74199999999999999</v>
      </c>
      <c r="AD144">
        <v>0.18</v>
      </c>
      <c r="AE144">
        <v>-0.72499999999999998</v>
      </c>
      <c r="AF144">
        <v>-0.86899999999999999</v>
      </c>
      <c r="AG144">
        <v>-1</v>
      </c>
      <c r="AH144">
        <v>-1</v>
      </c>
      <c r="AI144">
        <v>-0.21199999999999999</v>
      </c>
      <c r="AJ144">
        <v>-6.0000000000000001E-3</v>
      </c>
      <c r="AK144">
        <v>8.1000000000000003E-2</v>
      </c>
      <c r="AL144">
        <v>0.214</v>
      </c>
      <c r="AM144">
        <v>-0.499</v>
      </c>
      <c r="AN144">
        <v>-0.56499999999999995</v>
      </c>
      <c r="AO144">
        <v>5.6000000000000001E-2</v>
      </c>
      <c r="AP144">
        <v>0.255</v>
      </c>
      <c r="AQ144">
        <v>0.245</v>
      </c>
      <c r="AR144">
        <v>-0.19900000000000001</v>
      </c>
      <c r="AS144">
        <v>-0.52400000000000002</v>
      </c>
      <c r="AT144">
        <v>-0.76400000000000001</v>
      </c>
      <c r="AU144">
        <v>0.33</v>
      </c>
      <c r="AV144">
        <v>-0.438</v>
      </c>
      <c r="AW144">
        <v>7.4999999999999997E-2</v>
      </c>
      <c r="AX144">
        <v>-0.56100000000000005</v>
      </c>
      <c r="AY144">
        <v>0.39600000000000002</v>
      </c>
      <c r="AZ144">
        <v>-6.9000000000000006E-2</v>
      </c>
      <c r="BA144">
        <v>-0.21099999999999999</v>
      </c>
      <c r="BB144">
        <v>0.27</v>
      </c>
      <c r="BC144">
        <v>0.1</v>
      </c>
      <c r="BD144">
        <v>0.52200000000000002</v>
      </c>
      <c r="BE144">
        <v>0.94299999999999995</v>
      </c>
      <c r="BF144">
        <v>-0.19800000000000001</v>
      </c>
      <c r="BG144">
        <v>-0.126</v>
      </c>
      <c r="BH144">
        <v>0.191</v>
      </c>
      <c r="BI144">
        <v>-0.57699999999999996</v>
      </c>
    </row>
    <row r="145" spans="1:61" x14ac:dyDescent="0.3">
      <c r="A145">
        <v>144</v>
      </c>
      <c r="B145" t="s">
        <v>233</v>
      </c>
      <c r="C145">
        <v>0</v>
      </c>
      <c r="D145">
        <v>0</v>
      </c>
      <c r="J145" t="s">
        <v>192</v>
      </c>
      <c r="K145">
        <v>0.58199999999999996</v>
      </c>
      <c r="L145">
        <v>1.107</v>
      </c>
      <c r="M145" t="s">
        <v>57</v>
      </c>
      <c r="N145">
        <v>0</v>
      </c>
      <c r="O145">
        <v>-2.4E-2</v>
      </c>
      <c r="P145">
        <v>-0.92600000000000005</v>
      </c>
      <c r="Q145">
        <v>-0.85699999999999998</v>
      </c>
      <c r="R145">
        <v>-0.96599999999999997</v>
      </c>
      <c r="S145">
        <v>-0.85599999999999998</v>
      </c>
      <c r="T145">
        <v>-0.89</v>
      </c>
      <c r="U145">
        <v>-0.78300000000000003</v>
      </c>
      <c r="V145">
        <v>-0.625</v>
      </c>
      <c r="W145">
        <v>-0.73199999999999998</v>
      </c>
      <c r="X145">
        <v>0.48399999999999999</v>
      </c>
      <c r="Y145">
        <v>0.48299999999999998</v>
      </c>
      <c r="Z145">
        <v>0.624</v>
      </c>
      <c r="AA145">
        <v>0.76400000000000001</v>
      </c>
      <c r="AB145">
        <v>0.51500000000000001</v>
      </c>
      <c r="AC145">
        <v>-0.79</v>
      </c>
      <c r="AD145">
        <v>-0.41</v>
      </c>
      <c r="AE145">
        <v>-0.155</v>
      </c>
      <c r="AF145">
        <v>-0.89600000000000002</v>
      </c>
      <c r="AG145">
        <v>-1</v>
      </c>
      <c r="AH145">
        <v>-1</v>
      </c>
      <c r="AI145">
        <v>-2.8000000000000001E-2</v>
      </c>
      <c r="AJ145">
        <v>-2.3E-2</v>
      </c>
      <c r="AK145">
        <v>0.42499999999999999</v>
      </c>
      <c r="AL145">
        <v>-0.502</v>
      </c>
      <c r="AM145">
        <v>-0.25</v>
      </c>
      <c r="AN145">
        <v>-0.28100000000000003</v>
      </c>
      <c r="AO145">
        <v>-0.23799999999999999</v>
      </c>
      <c r="AP145">
        <v>3.1E-2</v>
      </c>
      <c r="AQ145">
        <v>-0.25700000000000001</v>
      </c>
      <c r="AR145">
        <v>-0.189</v>
      </c>
      <c r="AS145">
        <v>-0.46899999999999997</v>
      </c>
      <c r="AT145">
        <v>-0.8</v>
      </c>
      <c r="AU145">
        <v>0.28799999999999998</v>
      </c>
      <c r="AV145">
        <v>-0.58399999999999996</v>
      </c>
      <c r="AW145">
        <v>0.111</v>
      </c>
      <c r="AX145">
        <v>-0.22900000000000001</v>
      </c>
      <c r="AY145">
        <v>-0.60699999999999998</v>
      </c>
      <c r="AZ145">
        <v>-0.17</v>
      </c>
      <c r="BA145">
        <v>-0.152</v>
      </c>
      <c r="BB145">
        <v>0.11799999999999999</v>
      </c>
      <c r="BC145">
        <v>0.26300000000000001</v>
      </c>
      <c r="BD145">
        <v>0.313</v>
      </c>
      <c r="BE145">
        <v>0.90800000000000003</v>
      </c>
      <c r="BF145">
        <v>-0.40400000000000003</v>
      </c>
      <c r="BG145">
        <v>8.9999999999999993E-3</v>
      </c>
      <c r="BH145">
        <v>-0.32300000000000001</v>
      </c>
      <c r="BI145">
        <v>-0.63400000000000001</v>
      </c>
    </row>
    <row r="146" spans="1:61" x14ac:dyDescent="0.3">
      <c r="A146">
        <v>145</v>
      </c>
      <c r="B146" t="s">
        <v>59</v>
      </c>
      <c r="C146">
        <v>1.7075746070312099E-2</v>
      </c>
      <c r="D146">
        <v>1.33335221956458E-2</v>
      </c>
      <c r="J146" t="s">
        <v>139</v>
      </c>
      <c r="K146">
        <v>0.58099999999999996</v>
      </c>
      <c r="L146">
        <v>0.70099999999999996</v>
      </c>
      <c r="M146" t="s">
        <v>71</v>
      </c>
      <c r="N146">
        <v>0</v>
      </c>
      <c r="O146">
        <v>-3.0000000000000001E-3</v>
      </c>
      <c r="P146">
        <v>-0.84199999999999997</v>
      </c>
      <c r="Q146">
        <v>-0.91900000000000004</v>
      </c>
      <c r="R146">
        <v>-0.90800000000000003</v>
      </c>
      <c r="S146">
        <v>-0.79100000000000004</v>
      </c>
      <c r="T146">
        <v>-0.90100000000000002</v>
      </c>
      <c r="U146">
        <v>-0.56200000000000006</v>
      </c>
      <c r="V146">
        <v>-0.371</v>
      </c>
      <c r="W146">
        <v>-0.67900000000000005</v>
      </c>
      <c r="X146">
        <v>0.24</v>
      </c>
      <c r="Y146">
        <v>0.23799999999999999</v>
      </c>
      <c r="Z146">
        <v>0.47099999999999997</v>
      </c>
      <c r="AA146">
        <v>0.47599999999999998</v>
      </c>
      <c r="AB146">
        <v>0.41299999999999998</v>
      </c>
      <c r="AC146">
        <v>-0.78800000000000003</v>
      </c>
      <c r="AD146">
        <v>-0.51500000000000001</v>
      </c>
      <c r="AE146">
        <v>-1</v>
      </c>
      <c r="AF146">
        <v>-0.90200000000000002</v>
      </c>
      <c r="AG146">
        <v>-1</v>
      </c>
      <c r="AH146">
        <v>-0.93100000000000005</v>
      </c>
      <c r="AI146">
        <v>-0.40200000000000002</v>
      </c>
      <c r="AJ146">
        <v>0.499</v>
      </c>
      <c r="AK146">
        <v>-0.76800000000000002</v>
      </c>
      <c r="AL146">
        <v>-0.50800000000000001</v>
      </c>
      <c r="AM146">
        <v>-0.42299999999999999</v>
      </c>
      <c r="AN146">
        <v>-0.28799999999999998</v>
      </c>
      <c r="AO146">
        <v>2.5999999999999999E-2</v>
      </c>
      <c r="AP146">
        <v>0.93100000000000005</v>
      </c>
      <c r="AQ146">
        <v>0.28999999999999998</v>
      </c>
      <c r="AR146">
        <v>0.20699999999999999</v>
      </c>
      <c r="AS146">
        <v>-9.0999999999999998E-2</v>
      </c>
      <c r="AT146">
        <v>-0.33500000000000002</v>
      </c>
      <c r="AU146">
        <v>0.17599999999999999</v>
      </c>
      <c r="AV146">
        <v>0.29599999999999999</v>
      </c>
      <c r="AW146">
        <v>1.7999999999999999E-2</v>
      </c>
      <c r="AX146">
        <v>-0.98399999999999999</v>
      </c>
      <c r="AY146">
        <v>0.51100000000000001</v>
      </c>
      <c r="AZ146">
        <v>0.29199999999999998</v>
      </c>
      <c r="BA146">
        <v>-3.6999999999999998E-2</v>
      </c>
      <c r="BB146">
        <v>0.32900000000000001</v>
      </c>
      <c r="BC146">
        <v>-0.65200000000000002</v>
      </c>
      <c r="BD146">
        <v>-0.46200000000000002</v>
      </c>
      <c r="BE146">
        <v>0.34899999999999998</v>
      </c>
      <c r="BF146">
        <v>-0.23200000000000001</v>
      </c>
      <c r="BG146">
        <v>-0.35199999999999998</v>
      </c>
      <c r="BH146">
        <v>0.374</v>
      </c>
      <c r="BI146">
        <v>-0.35699999999999998</v>
      </c>
    </row>
    <row r="147" spans="1:61" x14ac:dyDescent="0.3">
      <c r="A147">
        <v>146</v>
      </c>
      <c r="B147" t="s">
        <v>252</v>
      </c>
      <c r="C147">
        <v>0</v>
      </c>
      <c r="D147">
        <v>0</v>
      </c>
      <c r="J147" t="s">
        <v>601</v>
      </c>
      <c r="K147">
        <v>0.57899999999999996</v>
      </c>
      <c r="L147">
        <v>0.50900000000000001</v>
      </c>
      <c r="M147" t="s">
        <v>53</v>
      </c>
      <c r="N147">
        <v>0</v>
      </c>
      <c r="O147">
        <v>0</v>
      </c>
      <c r="P147">
        <v>-0.371</v>
      </c>
      <c r="Q147">
        <v>-0.52600000000000002</v>
      </c>
      <c r="R147">
        <v>-0.40400000000000003</v>
      </c>
      <c r="S147">
        <v>-0.56999999999999995</v>
      </c>
      <c r="T147">
        <v>-0.629</v>
      </c>
      <c r="U147">
        <v>-0.63700000000000001</v>
      </c>
      <c r="V147">
        <v>-0.61</v>
      </c>
      <c r="W147">
        <v>-0.81100000000000005</v>
      </c>
      <c r="X147">
        <v>-0.28499999999999998</v>
      </c>
      <c r="Y147">
        <v>-0.27600000000000002</v>
      </c>
      <c r="Z147">
        <v>0.42299999999999999</v>
      </c>
      <c r="AA147">
        <v>0.35199999999999998</v>
      </c>
      <c r="AB147">
        <v>0.246</v>
      </c>
      <c r="AC147">
        <v>-0.70699999999999996</v>
      </c>
      <c r="AD147">
        <v>-0.35199999999999998</v>
      </c>
      <c r="AE147">
        <v>-0.374</v>
      </c>
      <c r="AF147">
        <v>-0.55700000000000005</v>
      </c>
      <c r="AG147">
        <v>-0.23</v>
      </c>
      <c r="AH147">
        <v>1</v>
      </c>
      <c r="AI147">
        <v>-0.73499999999999999</v>
      </c>
      <c r="AJ147">
        <v>-1</v>
      </c>
      <c r="AK147">
        <v>-0.87</v>
      </c>
      <c r="AL147">
        <v>0.14799999999999999</v>
      </c>
      <c r="AM147">
        <v>7.1999999999999995E-2</v>
      </c>
      <c r="AN147">
        <v>0.22600000000000001</v>
      </c>
      <c r="AO147">
        <v>0.85</v>
      </c>
      <c r="AP147">
        <v>1</v>
      </c>
      <c r="AQ147">
        <v>1</v>
      </c>
      <c r="AR147">
        <v>-0.11</v>
      </c>
      <c r="AS147">
        <v>-0.621</v>
      </c>
      <c r="AT147">
        <v>0.12</v>
      </c>
      <c r="AU147">
        <v>0.109</v>
      </c>
      <c r="AV147">
        <v>-1.6E-2</v>
      </c>
      <c r="AW147">
        <v>-0.27100000000000002</v>
      </c>
      <c r="AX147">
        <v>-1</v>
      </c>
      <c r="AY147">
        <v>0.56799999999999995</v>
      </c>
      <c r="AZ147">
        <v>-0.70599999999999996</v>
      </c>
      <c r="BA147">
        <v>-0.64900000000000002</v>
      </c>
      <c r="BB147">
        <v>0.41399999999999998</v>
      </c>
      <c r="BC147">
        <v>-0.85499999999999998</v>
      </c>
      <c r="BD147">
        <v>2.4E-2</v>
      </c>
      <c r="BE147">
        <v>0.41099999999999998</v>
      </c>
      <c r="BF147">
        <v>-0.13600000000000001</v>
      </c>
      <c r="BG147">
        <v>-0.13200000000000001</v>
      </c>
      <c r="BH147">
        <v>0.68200000000000005</v>
      </c>
      <c r="BI147">
        <v>0.66700000000000004</v>
      </c>
    </row>
    <row r="148" spans="1:61" x14ac:dyDescent="0.3">
      <c r="A148">
        <v>147</v>
      </c>
      <c r="B148" t="s">
        <v>75</v>
      </c>
      <c r="C148">
        <v>1.59697112139294E-2</v>
      </c>
      <c r="D148">
        <v>6.2313314400576298E-3</v>
      </c>
      <c r="J148" t="s">
        <v>141</v>
      </c>
      <c r="K148">
        <v>0.57799999999999996</v>
      </c>
      <c r="L148">
        <v>0.45800000000000002</v>
      </c>
      <c r="M148" t="s">
        <v>57</v>
      </c>
      <c r="N148">
        <v>0</v>
      </c>
      <c r="O148">
        <v>-1E-3</v>
      </c>
      <c r="P148">
        <v>-0.50900000000000001</v>
      </c>
      <c r="Q148">
        <v>-0.71399999999999997</v>
      </c>
      <c r="R148">
        <v>-0.34399999999999997</v>
      </c>
      <c r="S148">
        <v>-0.45800000000000002</v>
      </c>
      <c r="T148">
        <v>-0.502</v>
      </c>
      <c r="U148">
        <v>-0.66300000000000003</v>
      </c>
      <c r="V148">
        <v>-0.6</v>
      </c>
      <c r="W148">
        <v>-0.79200000000000004</v>
      </c>
      <c r="X148">
        <v>-0.33700000000000002</v>
      </c>
      <c r="Y148">
        <v>-0.33500000000000002</v>
      </c>
      <c r="Z148">
        <v>0.71199999999999997</v>
      </c>
      <c r="AA148">
        <v>0.6</v>
      </c>
      <c r="AB148">
        <v>0.217</v>
      </c>
      <c r="AC148">
        <v>9.8000000000000004E-2</v>
      </c>
      <c r="AD148">
        <v>0.23699999999999999</v>
      </c>
      <c r="AE148">
        <v>-0.69499999999999995</v>
      </c>
      <c r="AF148">
        <v>-4.3999999999999997E-2</v>
      </c>
      <c r="AG148">
        <v>-0.56699999999999995</v>
      </c>
      <c r="AH148">
        <v>0.60799999999999998</v>
      </c>
      <c r="AI148">
        <v>0.251</v>
      </c>
      <c r="AJ148">
        <v>-0.40600000000000003</v>
      </c>
      <c r="AK148">
        <v>-0.37</v>
      </c>
      <c r="AL148">
        <v>0.46100000000000002</v>
      </c>
      <c r="AM148">
        <v>-0.61099999999999999</v>
      </c>
      <c r="AN148">
        <v>-0.39400000000000002</v>
      </c>
      <c r="AO148">
        <v>0.45800000000000002</v>
      </c>
      <c r="AP148">
        <v>-0.14799999999999999</v>
      </c>
      <c r="AQ148">
        <v>-0.217</v>
      </c>
      <c r="AR148">
        <v>0.20699999999999999</v>
      </c>
      <c r="AS148">
        <v>2.5999999999999999E-2</v>
      </c>
      <c r="AT148">
        <v>0.34799999999999998</v>
      </c>
      <c r="AU148">
        <v>-0.40300000000000002</v>
      </c>
      <c r="AV148">
        <v>-0.51600000000000001</v>
      </c>
      <c r="AW148">
        <v>0.72499999999999998</v>
      </c>
      <c r="AX148">
        <v>-0.29499999999999998</v>
      </c>
      <c r="AY148">
        <v>-0.115</v>
      </c>
      <c r="AZ148">
        <v>0.20300000000000001</v>
      </c>
      <c r="BA148">
        <v>0.14299999999999999</v>
      </c>
      <c r="BB148">
        <v>0.186</v>
      </c>
      <c r="BC148">
        <v>0.34899999999999998</v>
      </c>
      <c r="BD148">
        <v>-0.91300000000000003</v>
      </c>
      <c r="BE148">
        <v>-1.0999999999999999E-2</v>
      </c>
      <c r="BF148">
        <v>0.186</v>
      </c>
      <c r="BG148">
        <v>0.30399999999999999</v>
      </c>
      <c r="BH148">
        <v>-0.52700000000000002</v>
      </c>
      <c r="BI148">
        <v>0.05</v>
      </c>
    </row>
    <row r="149" spans="1:61" x14ac:dyDescent="0.3">
      <c r="A149">
        <v>148</v>
      </c>
      <c r="B149" t="s">
        <v>599</v>
      </c>
      <c r="C149">
        <v>1.11506274582279E-2</v>
      </c>
      <c r="D149">
        <v>0</v>
      </c>
      <c r="J149" t="s">
        <v>133</v>
      </c>
      <c r="K149">
        <v>0.57599999999999996</v>
      </c>
      <c r="L149">
        <v>0.70099999999999996</v>
      </c>
      <c r="M149" t="s">
        <v>68</v>
      </c>
      <c r="N149">
        <v>0</v>
      </c>
      <c r="O149">
        <v>0</v>
      </c>
      <c r="P149">
        <v>-0.79200000000000004</v>
      </c>
      <c r="Q149">
        <v>-0.79800000000000004</v>
      </c>
      <c r="R149">
        <v>-0.35699999999999998</v>
      </c>
      <c r="S149">
        <v>-0.85499999999999998</v>
      </c>
      <c r="T149">
        <v>-0.73899999999999999</v>
      </c>
      <c r="U149">
        <v>-0.73</v>
      </c>
      <c r="V149">
        <v>-0.51500000000000001</v>
      </c>
      <c r="W149">
        <v>-0.78300000000000003</v>
      </c>
      <c r="X149">
        <v>0.216</v>
      </c>
      <c r="Y149">
        <v>0.215</v>
      </c>
      <c r="Z149">
        <v>0.35099999999999998</v>
      </c>
      <c r="AA149">
        <v>0.40699999999999997</v>
      </c>
      <c r="AB149">
        <v>0.41499999999999998</v>
      </c>
      <c r="AC149">
        <v>-0.56200000000000006</v>
      </c>
      <c r="AD149">
        <v>-0.80900000000000005</v>
      </c>
      <c r="AE149">
        <v>-0.81299999999999994</v>
      </c>
      <c r="AF149">
        <v>0.57199999999999995</v>
      </c>
      <c r="AG149">
        <v>-0.432</v>
      </c>
      <c r="AH149">
        <v>-0.35499999999999998</v>
      </c>
      <c r="AI149">
        <v>-0.20799999999999999</v>
      </c>
      <c r="AJ149">
        <v>0.14399999999999999</v>
      </c>
      <c r="AK149">
        <v>0.23100000000000001</v>
      </c>
      <c r="AL149">
        <v>0.05</v>
      </c>
      <c r="AM149">
        <v>-0.58799999999999997</v>
      </c>
      <c r="AN149">
        <v>-0.66700000000000004</v>
      </c>
      <c r="AO149">
        <v>-0.54200000000000004</v>
      </c>
      <c r="AP149">
        <v>-0.63600000000000001</v>
      </c>
      <c r="AQ149">
        <v>-0.81499999999999995</v>
      </c>
      <c r="AR149">
        <v>-0.15</v>
      </c>
      <c r="AS149">
        <v>-0.40300000000000002</v>
      </c>
      <c r="AT149">
        <v>-0.38500000000000001</v>
      </c>
      <c r="AU149">
        <v>0.64500000000000002</v>
      </c>
      <c r="AV149">
        <v>-0.14899999999999999</v>
      </c>
      <c r="AW149">
        <v>0.83299999999999996</v>
      </c>
      <c r="AX149">
        <v>-0.63800000000000001</v>
      </c>
      <c r="AY149">
        <v>0.45200000000000001</v>
      </c>
      <c r="AZ149">
        <v>-0.10299999999999999</v>
      </c>
      <c r="BA149">
        <v>-0.33700000000000002</v>
      </c>
      <c r="BB149">
        <v>9.2999999999999999E-2</v>
      </c>
      <c r="BC149">
        <v>-0.11600000000000001</v>
      </c>
      <c r="BD149">
        <v>1</v>
      </c>
      <c r="BE149">
        <v>0.68100000000000005</v>
      </c>
      <c r="BF149">
        <v>0.28999999999999998</v>
      </c>
      <c r="BG149">
        <v>-0.128</v>
      </c>
      <c r="BH149">
        <v>0.81299999999999994</v>
      </c>
      <c r="BI149">
        <v>0.75600000000000001</v>
      </c>
    </row>
    <row r="150" spans="1:61" x14ac:dyDescent="0.3">
      <c r="A150">
        <v>149</v>
      </c>
      <c r="B150" t="s">
        <v>167</v>
      </c>
      <c r="C150">
        <v>1.2303014550779E-2</v>
      </c>
      <c r="D150">
        <v>8.8324623825414405E-3</v>
      </c>
      <c r="J150" t="s">
        <v>189</v>
      </c>
      <c r="K150">
        <v>0.57399999999999995</v>
      </c>
      <c r="L150">
        <v>0.69199999999999995</v>
      </c>
      <c r="M150" t="s">
        <v>68</v>
      </c>
      <c r="N150">
        <v>0</v>
      </c>
      <c r="O150">
        <v>0</v>
      </c>
      <c r="P150">
        <v>-0.75800000000000001</v>
      </c>
      <c r="Q150">
        <v>-0.92300000000000004</v>
      </c>
      <c r="R150">
        <v>-0.74299999999999999</v>
      </c>
      <c r="S150">
        <v>-0.76700000000000002</v>
      </c>
      <c r="T150">
        <v>-0.88800000000000001</v>
      </c>
      <c r="U150">
        <v>-0.56999999999999995</v>
      </c>
      <c r="V150">
        <v>-0.32</v>
      </c>
      <c r="W150">
        <v>-0.82799999999999996</v>
      </c>
      <c r="X150">
        <v>0.193</v>
      </c>
      <c r="Y150">
        <v>0.192</v>
      </c>
      <c r="Z150">
        <v>0.51300000000000001</v>
      </c>
      <c r="AA150">
        <v>0.49199999999999999</v>
      </c>
      <c r="AB150">
        <v>0.36599999999999999</v>
      </c>
      <c r="AC150">
        <v>-0.501</v>
      </c>
      <c r="AD150">
        <v>-0.55900000000000005</v>
      </c>
      <c r="AE150">
        <v>-1</v>
      </c>
      <c r="AF150">
        <v>-0.68600000000000005</v>
      </c>
      <c r="AG150">
        <v>-0.77600000000000002</v>
      </c>
      <c r="AH150">
        <v>-0.36699999999999999</v>
      </c>
      <c r="AI150">
        <v>-8.1000000000000003E-2</v>
      </c>
      <c r="AJ150">
        <v>-0.57999999999999996</v>
      </c>
      <c r="AK150">
        <v>-0.77900000000000003</v>
      </c>
      <c r="AL150">
        <v>-4.9000000000000002E-2</v>
      </c>
      <c r="AM150">
        <v>-0.44600000000000001</v>
      </c>
      <c r="AN150">
        <v>-0.214</v>
      </c>
      <c r="AO150">
        <v>0.13700000000000001</v>
      </c>
      <c r="AP150">
        <v>-7.6999999999999999E-2</v>
      </c>
      <c r="AQ150">
        <v>-0.66500000000000004</v>
      </c>
      <c r="AR150">
        <v>0.28199999999999997</v>
      </c>
      <c r="AS150">
        <v>-0.27100000000000002</v>
      </c>
      <c r="AT150">
        <v>0.113</v>
      </c>
      <c r="AU150">
        <v>0.70399999999999996</v>
      </c>
      <c r="AV150">
        <v>-4.9000000000000002E-2</v>
      </c>
      <c r="AW150">
        <v>0.69799999999999995</v>
      </c>
      <c r="AX150">
        <v>0.73399999999999999</v>
      </c>
      <c r="AY150">
        <v>-0.377</v>
      </c>
      <c r="AZ150">
        <v>-9.5000000000000001E-2</v>
      </c>
      <c r="BA150">
        <v>0.35299999999999998</v>
      </c>
      <c r="BB150">
        <v>7.8E-2</v>
      </c>
      <c r="BC150">
        <v>-0.81799999999999995</v>
      </c>
      <c r="BD150">
        <v>-0.52400000000000002</v>
      </c>
      <c r="BE150">
        <v>0.79500000000000004</v>
      </c>
      <c r="BF150">
        <v>-0.60699999999999998</v>
      </c>
      <c r="BG150">
        <v>9.0999999999999998E-2</v>
      </c>
      <c r="BH150">
        <v>0.67500000000000004</v>
      </c>
      <c r="BI150">
        <v>-7.6999999999999999E-2</v>
      </c>
    </row>
    <row r="151" spans="1:61" x14ac:dyDescent="0.3">
      <c r="A151">
        <v>150</v>
      </c>
      <c r="B151" t="s">
        <v>201</v>
      </c>
      <c r="C151">
        <v>6.8086575041707599E-3</v>
      </c>
      <c r="D151">
        <v>0</v>
      </c>
      <c r="J151" t="s">
        <v>208</v>
      </c>
      <c r="K151">
        <v>0.57399999999999995</v>
      </c>
      <c r="L151">
        <v>0.41399999999999998</v>
      </c>
      <c r="M151" t="s">
        <v>57</v>
      </c>
      <c r="N151">
        <v>0</v>
      </c>
      <c r="O151">
        <v>0</v>
      </c>
      <c r="P151">
        <v>-0.745</v>
      </c>
      <c r="Q151">
        <v>-0.66200000000000003</v>
      </c>
      <c r="R151">
        <v>-0.81699999999999995</v>
      </c>
      <c r="S151">
        <v>-0.72</v>
      </c>
      <c r="T151">
        <v>-0.748</v>
      </c>
      <c r="U151">
        <v>-0.79900000000000004</v>
      </c>
      <c r="V151">
        <v>-0.81200000000000006</v>
      </c>
      <c r="W151">
        <v>-0.69699999999999995</v>
      </c>
      <c r="X151">
        <v>0.03</v>
      </c>
      <c r="Y151">
        <v>2.3E-2</v>
      </c>
      <c r="Z151">
        <v>0.40200000000000002</v>
      </c>
      <c r="AA151">
        <v>0.46800000000000003</v>
      </c>
      <c r="AB151">
        <v>0.496</v>
      </c>
      <c r="AC151">
        <v>-0.38200000000000001</v>
      </c>
      <c r="AD151">
        <v>-0.28799999999999998</v>
      </c>
      <c r="AE151">
        <v>-0.32900000000000001</v>
      </c>
      <c r="AF151">
        <v>-0.40600000000000003</v>
      </c>
      <c r="AG151">
        <v>0.20499999999999999</v>
      </c>
      <c r="AH151">
        <v>-0.76600000000000001</v>
      </c>
      <c r="AI151">
        <v>-0.122</v>
      </c>
      <c r="AJ151">
        <v>-0.34300000000000003</v>
      </c>
      <c r="AK151">
        <v>-0.13</v>
      </c>
      <c r="AL151">
        <v>8.3000000000000004E-2</v>
      </c>
      <c r="AM151">
        <v>4.2000000000000003E-2</v>
      </c>
      <c r="AN151">
        <v>-9.8000000000000004E-2</v>
      </c>
      <c r="AO151">
        <v>0.152</v>
      </c>
      <c r="AP151">
        <v>0.435</v>
      </c>
      <c r="AQ151">
        <v>0.26200000000000001</v>
      </c>
      <c r="AR151">
        <v>8.9999999999999993E-3</v>
      </c>
      <c r="AS151">
        <v>-0.42599999999999999</v>
      </c>
      <c r="AT151">
        <v>-0.153</v>
      </c>
      <c r="AU151">
        <v>-0.93300000000000005</v>
      </c>
      <c r="AV151">
        <v>-0.47199999999999998</v>
      </c>
      <c r="AW151">
        <v>-0.33100000000000002</v>
      </c>
      <c r="AX151">
        <v>0.29899999999999999</v>
      </c>
      <c r="AY151">
        <v>-0.27900000000000003</v>
      </c>
      <c r="AZ151">
        <v>-0.26100000000000001</v>
      </c>
      <c r="BA151">
        <v>-0.51600000000000001</v>
      </c>
      <c r="BB151">
        <v>0.45600000000000002</v>
      </c>
      <c r="BC151">
        <v>0.94499999999999995</v>
      </c>
      <c r="BD151">
        <v>0.248</v>
      </c>
      <c r="BE151">
        <v>-4.0000000000000001E-3</v>
      </c>
      <c r="BF151">
        <v>-0.26400000000000001</v>
      </c>
      <c r="BG151">
        <v>0.68</v>
      </c>
      <c r="BH151">
        <v>-0.65800000000000003</v>
      </c>
      <c r="BI151">
        <v>0.36199999999999999</v>
      </c>
    </row>
    <row r="152" spans="1:61" x14ac:dyDescent="0.3">
      <c r="A152">
        <v>151</v>
      </c>
      <c r="B152" t="s">
        <v>92</v>
      </c>
      <c r="C152">
        <v>1.0425587748621099E-2</v>
      </c>
      <c r="D152">
        <v>9.1537293884835398E-3</v>
      </c>
      <c r="J152" t="s">
        <v>204</v>
      </c>
      <c r="K152">
        <v>0.56999999999999995</v>
      </c>
      <c r="L152">
        <v>1.2410000000000001</v>
      </c>
      <c r="M152" t="s">
        <v>55</v>
      </c>
      <c r="N152">
        <v>0</v>
      </c>
      <c r="O152">
        <v>-3.4000000000000002E-2</v>
      </c>
      <c r="P152">
        <v>-0.91</v>
      </c>
      <c r="Q152">
        <v>-0.89400000000000002</v>
      </c>
      <c r="R152">
        <v>-1</v>
      </c>
      <c r="S152">
        <v>-0.80100000000000005</v>
      </c>
      <c r="T152">
        <v>-0.93200000000000005</v>
      </c>
      <c r="U152">
        <v>-0.72299999999999998</v>
      </c>
      <c r="V152">
        <v>-0.46200000000000002</v>
      </c>
      <c r="W152">
        <v>-0.746</v>
      </c>
      <c r="X152">
        <v>0.18099999999999999</v>
      </c>
      <c r="Y152">
        <v>0.186</v>
      </c>
      <c r="Z152">
        <v>0.63500000000000001</v>
      </c>
      <c r="AA152">
        <v>0.60699999999999998</v>
      </c>
      <c r="AB152">
        <v>0.46800000000000003</v>
      </c>
      <c r="AC152">
        <v>-0.89</v>
      </c>
      <c r="AD152">
        <v>-0.61799999999999999</v>
      </c>
      <c r="AE152">
        <v>-0.2</v>
      </c>
      <c r="AF152">
        <v>-1</v>
      </c>
      <c r="AG152">
        <v>-0.73099999999999998</v>
      </c>
      <c r="AH152">
        <v>-0.99</v>
      </c>
      <c r="AI152">
        <v>-0.56100000000000005</v>
      </c>
      <c r="AJ152">
        <v>-0.69199999999999995</v>
      </c>
      <c r="AK152">
        <v>-0.73199999999999998</v>
      </c>
      <c r="AL152">
        <v>-0.29099999999999998</v>
      </c>
      <c r="AM152">
        <v>0.222</v>
      </c>
      <c r="AN152">
        <v>0.33300000000000002</v>
      </c>
      <c r="AO152">
        <v>0.318</v>
      </c>
      <c r="AP152">
        <v>0.222</v>
      </c>
      <c r="AQ152">
        <v>-2.7E-2</v>
      </c>
      <c r="AR152">
        <v>0.129</v>
      </c>
      <c r="AS152">
        <v>4.2999999999999997E-2</v>
      </c>
      <c r="AT152">
        <v>-0.32700000000000001</v>
      </c>
      <c r="AU152">
        <v>0.49</v>
      </c>
      <c r="AV152">
        <v>-0.39300000000000002</v>
      </c>
      <c r="AW152">
        <v>0.65800000000000003</v>
      </c>
      <c r="AX152">
        <v>-0.19600000000000001</v>
      </c>
      <c r="AY152">
        <v>0.45200000000000001</v>
      </c>
      <c r="AZ152">
        <v>-0.79</v>
      </c>
      <c r="BA152">
        <v>-0.84699999999999998</v>
      </c>
      <c r="BB152">
        <v>3.1E-2</v>
      </c>
      <c r="BC152">
        <v>-3.1E-2</v>
      </c>
      <c r="BD152">
        <v>-0.71</v>
      </c>
      <c r="BE152">
        <v>0.55400000000000005</v>
      </c>
      <c r="BF152">
        <v>-0.99299999999999999</v>
      </c>
      <c r="BG152">
        <v>-0.26</v>
      </c>
      <c r="BH152">
        <v>-0.32500000000000001</v>
      </c>
      <c r="BI152">
        <v>-0.80200000000000005</v>
      </c>
    </row>
    <row r="153" spans="1:61" x14ac:dyDescent="0.3">
      <c r="A153">
        <v>152</v>
      </c>
      <c r="B153" t="s">
        <v>77</v>
      </c>
      <c r="C153">
        <v>1.1465594682522401E-2</v>
      </c>
      <c r="D153">
        <v>8.9832565085435599E-3</v>
      </c>
      <c r="J153" t="s">
        <v>241</v>
      </c>
      <c r="K153">
        <v>0.56999999999999995</v>
      </c>
      <c r="L153">
        <v>0.71299999999999997</v>
      </c>
      <c r="M153" t="s">
        <v>57</v>
      </c>
      <c r="N153">
        <v>0</v>
      </c>
      <c r="O153">
        <v>-8.0000000000000002E-3</v>
      </c>
      <c r="P153">
        <v>-0.66700000000000004</v>
      </c>
      <c r="Q153">
        <v>-0.78400000000000003</v>
      </c>
      <c r="R153">
        <v>-0.90900000000000003</v>
      </c>
      <c r="S153">
        <v>-0.70299999999999996</v>
      </c>
      <c r="T153">
        <v>-0.875</v>
      </c>
      <c r="U153">
        <v>-0.52700000000000002</v>
      </c>
      <c r="V153">
        <v>-0.26</v>
      </c>
      <c r="W153">
        <v>-0.81299999999999994</v>
      </c>
      <c r="X153">
        <v>1E-3</v>
      </c>
      <c r="Y153">
        <v>0</v>
      </c>
      <c r="Z153">
        <v>0.45500000000000002</v>
      </c>
      <c r="AA153">
        <v>0.36899999999999999</v>
      </c>
      <c r="AB153">
        <v>0.29899999999999999</v>
      </c>
      <c r="AC153">
        <v>-0.76600000000000001</v>
      </c>
      <c r="AD153">
        <v>-4.2000000000000003E-2</v>
      </c>
      <c r="AE153">
        <v>-0.81499999999999995</v>
      </c>
      <c r="AF153">
        <v>-0.90200000000000002</v>
      </c>
      <c r="AG153">
        <v>-0.92300000000000004</v>
      </c>
      <c r="AH153">
        <v>-0.88100000000000001</v>
      </c>
      <c r="AI153">
        <v>-0.23899999999999999</v>
      </c>
      <c r="AJ153">
        <v>-0.60199999999999998</v>
      </c>
      <c r="AK153">
        <v>-0.67500000000000004</v>
      </c>
      <c r="AL153">
        <v>0.68</v>
      </c>
      <c r="AM153">
        <v>-0.30499999999999999</v>
      </c>
      <c r="AN153">
        <v>0.13100000000000001</v>
      </c>
      <c r="AO153">
        <v>0.498</v>
      </c>
      <c r="AP153">
        <v>0.98799999999999999</v>
      </c>
      <c r="AQ153">
        <v>0.36</v>
      </c>
      <c r="AR153">
        <v>-4.7E-2</v>
      </c>
      <c r="AS153">
        <v>0.192</v>
      </c>
      <c r="AT153">
        <v>-0.23200000000000001</v>
      </c>
      <c r="AU153">
        <v>0.23899999999999999</v>
      </c>
      <c r="AV153">
        <v>-0.42699999999999999</v>
      </c>
      <c r="AW153">
        <v>0.65700000000000003</v>
      </c>
      <c r="AX153">
        <v>0.32900000000000001</v>
      </c>
      <c r="AY153">
        <v>0.314</v>
      </c>
      <c r="AZ153">
        <v>-5.0000000000000001E-3</v>
      </c>
      <c r="BA153">
        <v>-0.48599999999999999</v>
      </c>
      <c r="BB153">
        <v>0.19500000000000001</v>
      </c>
      <c r="BC153">
        <v>-0.23799999999999999</v>
      </c>
      <c r="BD153">
        <v>-0.26400000000000001</v>
      </c>
      <c r="BE153">
        <v>0.438</v>
      </c>
      <c r="BF153">
        <v>4.3999999999999997E-2</v>
      </c>
      <c r="BG153">
        <v>0.247</v>
      </c>
      <c r="BH153">
        <v>-0.35699999999999998</v>
      </c>
      <c r="BI153">
        <v>-0.65700000000000003</v>
      </c>
    </row>
    <row r="154" spans="1:61" x14ac:dyDescent="0.3">
      <c r="A154">
        <v>153</v>
      </c>
      <c r="B154" t="s">
        <v>101</v>
      </c>
      <c r="C154">
        <v>1.11870247999256E-2</v>
      </c>
      <c r="D154">
        <v>1.08942287325997E-2</v>
      </c>
      <c r="J154" t="s">
        <v>222</v>
      </c>
      <c r="K154">
        <v>0.56899999999999995</v>
      </c>
      <c r="L154">
        <v>0.84099999999999997</v>
      </c>
      <c r="M154" t="s">
        <v>71</v>
      </c>
      <c r="N154">
        <v>0</v>
      </c>
      <c r="O154">
        <v>-1.0999999999999999E-2</v>
      </c>
      <c r="P154">
        <v>-0.95399999999999996</v>
      </c>
      <c r="Q154">
        <v>-0.92500000000000004</v>
      </c>
      <c r="R154">
        <v>-1</v>
      </c>
      <c r="S154">
        <v>-0.87</v>
      </c>
      <c r="T154">
        <v>-0.94599999999999995</v>
      </c>
      <c r="U154">
        <v>-0.70699999999999996</v>
      </c>
      <c r="V154">
        <v>-0.40500000000000003</v>
      </c>
      <c r="W154">
        <v>-0.83799999999999997</v>
      </c>
      <c r="X154">
        <v>0.59399999999999997</v>
      </c>
      <c r="Y154">
        <v>0.59</v>
      </c>
      <c r="Z154">
        <v>0.504</v>
      </c>
      <c r="AA154">
        <v>0.52</v>
      </c>
      <c r="AB154">
        <v>0.43099999999999999</v>
      </c>
      <c r="AC154">
        <v>-0.64300000000000002</v>
      </c>
      <c r="AD154">
        <v>-0.90600000000000003</v>
      </c>
      <c r="AE154">
        <v>-0.73199999999999998</v>
      </c>
      <c r="AF154">
        <v>-0.90200000000000002</v>
      </c>
      <c r="AG154">
        <v>-1</v>
      </c>
      <c r="AH154">
        <v>-1</v>
      </c>
      <c r="AI154">
        <v>-2.3E-2</v>
      </c>
      <c r="AJ154">
        <v>-0.57099999999999995</v>
      </c>
      <c r="AK154">
        <v>-0.35399999999999998</v>
      </c>
      <c r="AL154">
        <v>3.5000000000000003E-2</v>
      </c>
      <c r="AM154">
        <v>-0.14099999999999999</v>
      </c>
      <c r="AN154">
        <v>-0.95199999999999996</v>
      </c>
      <c r="AO154">
        <v>-0.48199999999999998</v>
      </c>
      <c r="AP154">
        <v>-7.4999999999999997E-2</v>
      </c>
      <c r="AQ154">
        <v>-0.12</v>
      </c>
      <c r="AR154">
        <v>0.17100000000000001</v>
      </c>
      <c r="AS154">
        <v>4.3999999999999997E-2</v>
      </c>
      <c r="AT154">
        <v>-0.35599999999999998</v>
      </c>
      <c r="AU154">
        <v>0.93899999999999995</v>
      </c>
      <c r="AV154">
        <v>-0.39700000000000002</v>
      </c>
      <c r="AW154">
        <v>0.14899999999999999</v>
      </c>
      <c r="AX154">
        <v>-0.29099999999999998</v>
      </c>
      <c r="AY154">
        <v>-0.73899999999999999</v>
      </c>
      <c r="AZ154">
        <v>-0.20799999999999999</v>
      </c>
      <c r="BA154">
        <v>-0.30499999999999999</v>
      </c>
      <c r="BB154">
        <v>0.219</v>
      </c>
      <c r="BC154">
        <v>-3.5000000000000003E-2</v>
      </c>
      <c r="BD154">
        <v>-1E-3</v>
      </c>
      <c r="BE154">
        <v>0.92800000000000005</v>
      </c>
      <c r="BF154">
        <v>-0.11600000000000001</v>
      </c>
      <c r="BG154">
        <v>-0.71899999999999997</v>
      </c>
      <c r="BH154">
        <v>-0.33400000000000002</v>
      </c>
      <c r="BI154">
        <v>-0.65500000000000003</v>
      </c>
    </row>
    <row r="155" spans="1:61" x14ac:dyDescent="0.3">
      <c r="A155">
        <v>154</v>
      </c>
      <c r="B155" t="s">
        <v>199</v>
      </c>
      <c r="C155">
        <v>0</v>
      </c>
      <c r="D155">
        <v>6.7615541364559398E-3</v>
      </c>
      <c r="J155" t="s">
        <v>240</v>
      </c>
      <c r="K155">
        <v>0.56799999999999995</v>
      </c>
      <c r="L155">
        <v>0.79400000000000004</v>
      </c>
      <c r="M155" t="s">
        <v>71</v>
      </c>
      <c r="N155">
        <v>0</v>
      </c>
      <c r="O155">
        <v>-2.1000000000000001E-2</v>
      </c>
      <c r="P155">
        <v>-0.94199999999999995</v>
      </c>
      <c r="Q155">
        <v>-0.72499999999999998</v>
      </c>
      <c r="R155">
        <v>-1</v>
      </c>
      <c r="S155">
        <v>-0.85699999999999998</v>
      </c>
      <c r="T155">
        <v>-0.92500000000000004</v>
      </c>
      <c r="U155">
        <v>-0.82799999999999996</v>
      </c>
      <c r="V155">
        <v>-0.81200000000000006</v>
      </c>
      <c r="W155">
        <v>-0.64100000000000001</v>
      </c>
      <c r="X155">
        <v>5.5E-2</v>
      </c>
      <c r="Y155">
        <v>6.4000000000000001E-2</v>
      </c>
      <c r="Z155">
        <v>0.48099999999999998</v>
      </c>
      <c r="AA155">
        <v>0.56100000000000005</v>
      </c>
      <c r="AB155">
        <v>0.58499999999999996</v>
      </c>
      <c r="AC155">
        <v>-1</v>
      </c>
      <c r="AD155">
        <v>-0.95899999999999996</v>
      </c>
      <c r="AE155">
        <v>0.32500000000000001</v>
      </c>
      <c r="AF155">
        <v>-1</v>
      </c>
      <c r="AG155">
        <v>-0.45300000000000001</v>
      </c>
      <c r="AH155">
        <v>-1</v>
      </c>
      <c r="AI155">
        <v>-0.52</v>
      </c>
      <c r="AJ155">
        <v>-1</v>
      </c>
      <c r="AK155">
        <v>-0.81599999999999995</v>
      </c>
      <c r="AL155">
        <v>-0.36399999999999999</v>
      </c>
      <c r="AM155">
        <v>0.91100000000000003</v>
      </c>
      <c r="AN155">
        <v>0.95399999999999996</v>
      </c>
      <c r="AO155">
        <v>-0.65900000000000003</v>
      </c>
      <c r="AP155">
        <v>0.30499999999999999</v>
      </c>
      <c r="AQ155">
        <v>4.0000000000000001E-3</v>
      </c>
      <c r="AR155">
        <v>8.0000000000000002E-3</v>
      </c>
      <c r="AS155">
        <v>-7.0999999999999994E-2</v>
      </c>
      <c r="AT155">
        <v>-0.77600000000000002</v>
      </c>
      <c r="AU155">
        <v>0.433</v>
      </c>
      <c r="AV155">
        <v>-0.438</v>
      </c>
      <c r="AW155">
        <v>-0.112</v>
      </c>
      <c r="AX155">
        <v>6.8000000000000005E-2</v>
      </c>
      <c r="AY155">
        <v>0.61899999999999999</v>
      </c>
      <c r="AZ155">
        <v>-0.63100000000000001</v>
      </c>
      <c r="BA155">
        <v>-0.77600000000000002</v>
      </c>
      <c r="BB155">
        <v>0.47899999999999998</v>
      </c>
      <c r="BC155">
        <v>-1</v>
      </c>
      <c r="BD155">
        <v>0.19400000000000001</v>
      </c>
      <c r="BE155">
        <v>2.9000000000000001E-2</v>
      </c>
      <c r="BF155">
        <v>-0.67200000000000004</v>
      </c>
      <c r="BG155">
        <v>-1</v>
      </c>
      <c r="BH155">
        <v>-1</v>
      </c>
      <c r="BI155">
        <v>-0.40699999999999997</v>
      </c>
    </row>
    <row r="156" spans="1:61" x14ac:dyDescent="0.3">
      <c r="A156">
        <v>155</v>
      </c>
      <c r="B156" t="s">
        <v>139</v>
      </c>
      <c r="C156">
        <v>0</v>
      </c>
      <c r="D156">
        <v>0</v>
      </c>
      <c r="J156" t="s">
        <v>206</v>
      </c>
      <c r="K156">
        <v>0.56699999999999995</v>
      </c>
      <c r="L156">
        <v>0.54900000000000004</v>
      </c>
      <c r="M156" t="s">
        <v>57</v>
      </c>
      <c r="N156">
        <v>0</v>
      </c>
      <c r="O156">
        <v>0</v>
      </c>
      <c r="P156">
        <v>-0.73599999999999999</v>
      </c>
      <c r="Q156">
        <v>-0.8</v>
      </c>
      <c r="R156">
        <v>-0.87</v>
      </c>
      <c r="S156">
        <v>-0.80500000000000005</v>
      </c>
      <c r="T156">
        <v>-0.88800000000000001</v>
      </c>
      <c r="U156">
        <v>-0.63500000000000001</v>
      </c>
      <c r="V156">
        <v>-0.499</v>
      </c>
      <c r="W156">
        <v>-0.83899999999999997</v>
      </c>
      <c r="X156">
        <v>-2.5999999999999999E-2</v>
      </c>
      <c r="Y156">
        <v>-2.5999999999999999E-2</v>
      </c>
      <c r="Z156">
        <v>0.64300000000000002</v>
      </c>
      <c r="AA156">
        <v>0.57599999999999996</v>
      </c>
      <c r="AB156">
        <v>0.41399999999999998</v>
      </c>
      <c r="AC156">
        <v>-0.85199999999999998</v>
      </c>
      <c r="AD156">
        <v>-0.14399999999999999</v>
      </c>
      <c r="AE156">
        <v>-0.73099999999999998</v>
      </c>
      <c r="AF156">
        <v>-0.90900000000000003</v>
      </c>
      <c r="AG156">
        <v>-0.98499999999999999</v>
      </c>
      <c r="AH156">
        <v>-0.95399999999999996</v>
      </c>
      <c r="AI156">
        <v>-9.4E-2</v>
      </c>
      <c r="AJ156">
        <v>-0.60499999999999998</v>
      </c>
      <c r="AK156">
        <v>-0.45</v>
      </c>
      <c r="AL156">
        <v>0.19800000000000001</v>
      </c>
      <c r="AM156">
        <v>-0.33100000000000002</v>
      </c>
      <c r="AN156">
        <v>-1.4E-2</v>
      </c>
      <c r="AO156">
        <v>0.1</v>
      </c>
      <c r="AP156">
        <v>0.222</v>
      </c>
      <c r="AQ156">
        <v>0.35899999999999999</v>
      </c>
      <c r="AR156">
        <v>-8.8999999999999996E-2</v>
      </c>
      <c r="AS156">
        <v>4.8000000000000001E-2</v>
      </c>
      <c r="AT156">
        <v>-0.68100000000000005</v>
      </c>
      <c r="AU156">
        <v>5.7000000000000002E-2</v>
      </c>
      <c r="AV156">
        <v>-0.214</v>
      </c>
      <c r="AW156">
        <v>-0.115</v>
      </c>
      <c r="AX156">
        <v>0.59199999999999997</v>
      </c>
      <c r="AY156">
        <v>0.52200000000000002</v>
      </c>
      <c r="AZ156">
        <v>-0.316</v>
      </c>
      <c r="BA156">
        <v>5.1999999999999998E-2</v>
      </c>
      <c r="BB156">
        <v>0.14899999999999999</v>
      </c>
      <c r="BC156">
        <v>8.5999999999999993E-2</v>
      </c>
      <c r="BD156">
        <v>5.8000000000000003E-2</v>
      </c>
      <c r="BE156">
        <v>0.54700000000000004</v>
      </c>
      <c r="BF156">
        <v>-5.8000000000000003E-2</v>
      </c>
      <c r="BG156">
        <v>0.24299999999999999</v>
      </c>
      <c r="BH156">
        <v>0.189</v>
      </c>
      <c r="BI156">
        <v>-0.57499999999999996</v>
      </c>
    </row>
    <row r="157" spans="1:61" x14ac:dyDescent="0.3">
      <c r="A157">
        <v>156</v>
      </c>
      <c r="B157" t="s">
        <v>237</v>
      </c>
      <c r="C157">
        <v>0</v>
      </c>
      <c r="D157">
        <v>0</v>
      </c>
      <c r="J157" t="s">
        <v>234</v>
      </c>
      <c r="K157">
        <v>0.56399999999999995</v>
      </c>
      <c r="L157">
        <v>0.59499999999999997</v>
      </c>
      <c r="M157" t="s">
        <v>55</v>
      </c>
      <c r="N157">
        <v>0</v>
      </c>
      <c r="O157">
        <v>-2E-3</v>
      </c>
      <c r="P157">
        <v>-0.93</v>
      </c>
      <c r="Q157">
        <v>-0.85899999999999999</v>
      </c>
      <c r="R157">
        <v>-0.96599999999999997</v>
      </c>
      <c r="S157">
        <v>-0.89100000000000001</v>
      </c>
      <c r="T157">
        <v>-0.91400000000000003</v>
      </c>
      <c r="U157">
        <v>-0.76700000000000002</v>
      </c>
      <c r="V157">
        <v>-0.63600000000000001</v>
      </c>
      <c r="W157">
        <v>-0.64800000000000002</v>
      </c>
      <c r="X157">
        <v>6.4000000000000001E-2</v>
      </c>
      <c r="Y157">
        <v>6.2E-2</v>
      </c>
      <c r="Z157">
        <v>0.47399999999999998</v>
      </c>
      <c r="AA157">
        <v>0.32600000000000001</v>
      </c>
      <c r="AB157">
        <v>0.52900000000000003</v>
      </c>
      <c r="AC157">
        <v>-0.96</v>
      </c>
      <c r="AD157">
        <v>-0.98899999999999999</v>
      </c>
      <c r="AE157">
        <v>-0.247</v>
      </c>
      <c r="AF157">
        <v>-0.91300000000000003</v>
      </c>
      <c r="AG157">
        <v>-0.21299999999999999</v>
      </c>
      <c r="AH157">
        <v>-0.95399999999999996</v>
      </c>
      <c r="AI157">
        <v>-0.43099999999999999</v>
      </c>
      <c r="AJ157">
        <v>-0.14499999999999999</v>
      </c>
      <c r="AK157">
        <v>-0.36199999999999999</v>
      </c>
      <c r="AL157">
        <v>-0.48899999999999999</v>
      </c>
      <c r="AM157">
        <v>0.29199999999999998</v>
      </c>
      <c r="AN157">
        <v>0.79</v>
      </c>
      <c r="AO157">
        <v>-0.41099999999999998</v>
      </c>
      <c r="AP157">
        <v>-1</v>
      </c>
      <c r="AQ157">
        <v>-0.48499999999999999</v>
      </c>
      <c r="AR157">
        <v>-0.499</v>
      </c>
      <c r="AS157">
        <v>-0.63400000000000001</v>
      </c>
      <c r="AT157">
        <v>-0.54600000000000004</v>
      </c>
      <c r="AU157">
        <v>0.58699999999999997</v>
      </c>
      <c r="AV157">
        <v>-0.73099999999999998</v>
      </c>
      <c r="AW157">
        <v>-0.28499999999999998</v>
      </c>
      <c r="AX157">
        <v>-9.0999999999999998E-2</v>
      </c>
      <c r="AY157">
        <v>-0.35299999999999998</v>
      </c>
      <c r="AZ157">
        <v>0.27200000000000002</v>
      </c>
      <c r="BA157">
        <v>-0.14199999999999999</v>
      </c>
      <c r="BB157">
        <v>0.316</v>
      </c>
      <c r="BC157">
        <v>-0.33400000000000002</v>
      </c>
      <c r="BD157">
        <v>0.48899999999999999</v>
      </c>
      <c r="BE157">
        <v>0.84899999999999998</v>
      </c>
      <c r="BF157">
        <v>-0.30299999999999999</v>
      </c>
      <c r="BG157">
        <v>-5.0000000000000001E-3</v>
      </c>
      <c r="BH157">
        <v>0.13700000000000001</v>
      </c>
      <c r="BI157">
        <v>5.2999999999999999E-2</v>
      </c>
    </row>
    <row r="158" spans="1:61" x14ac:dyDescent="0.3">
      <c r="A158">
        <v>157</v>
      </c>
      <c r="B158" t="s">
        <v>224</v>
      </c>
      <c r="C158">
        <v>0</v>
      </c>
      <c r="D158">
        <v>0</v>
      </c>
      <c r="J158" t="s">
        <v>218</v>
      </c>
      <c r="K158">
        <v>0.56299999999999994</v>
      </c>
      <c r="L158">
        <v>1.2250000000000001</v>
      </c>
      <c r="M158" t="s">
        <v>55</v>
      </c>
      <c r="N158">
        <v>0</v>
      </c>
      <c r="O158">
        <v>-0.02</v>
      </c>
      <c r="P158">
        <v>-0.86</v>
      </c>
      <c r="Q158">
        <v>-0.89500000000000002</v>
      </c>
      <c r="R158">
        <v>-0.98099999999999998</v>
      </c>
      <c r="S158">
        <v>-0.81899999999999995</v>
      </c>
      <c r="T158">
        <v>-0.93700000000000006</v>
      </c>
      <c r="U158">
        <v>-0.63700000000000001</v>
      </c>
      <c r="V158">
        <v>-0.42199999999999999</v>
      </c>
      <c r="W158">
        <v>-0.80900000000000005</v>
      </c>
      <c r="X158">
        <v>-1.2999999999999999E-2</v>
      </c>
      <c r="Y158">
        <v>-1.0999999999999999E-2</v>
      </c>
      <c r="Z158">
        <v>0.64400000000000002</v>
      </c>
      <c r="AA158">
        <v>0.59699999999999998</v>
      </c>
      <c r="AB158">
        <v>0.44500000000000001</v>
      </c>
      <c r="AC158">
        <v>-0.60699999999999998</v>
      </c>
      <c r="AD158">
        <v>-0.74199999999999999</v>
      </c>
      <c r="AE158">
        <v>-0.64200000000000002</v>
      </c>
      <c r="AF158">
        <v>-0.97199999999999998</v>
      </c>
      <c r="AG158">
        <v>-0.81399999999999995</v>
      </c>
      <c r="AH158">
        <v>-1</v>
      </c>
      <c r="AI158">
        <v>-0.28599999999999998</v>
      </c>
      <c r="AJ158">
        <v>-0.63500000000000001</v>
      </c>
      <c r="AK158">
        <v>-0.58399999999999996</v>
      </c>
      <c r="AL158">
        <v>-0.23699999999999999</v>
      </c>
      <c r="AM158">
        <v>-9.7000000000000003E-2</v>
      </c>
      <c r="AN158">
        <v>0.26300000000000001</v>
      </c>
      <c r="AO158">
        <v>-6.4000000000000001E-2</v>
      </c>
      <c r="AP158">
        <v>0.19800000000000001</v>
      </c>
      <c r="AQ158">
        <v>0.13500000000000001</v>
      </c>
      <c r="AR158">
        <v>-5.5E-2</v>
      </c>
      <c r="AS158">
        <v>-0.39100000000000001</v>
      </c>
      <c r="AT158">
        <v>-0.129</v>
      </c>
      <c r="AU158">
        <v>0.51600000000000001</v>
      </c>
      <c r="AV158">
        <v>-0.82799999999999996</v>
      </c>
      <c r="AW158">
        <v>0.94399999999999995</v>
      </c>
      <c r="AX158">
        <v>0.33600000000000002</v>
      </c>
      <c r="AY158">
        <v>0.223</v>
      </c>
      <c r="AZ158">
        <v>0.159</v>
      </c>
      <c r="BA158">
        <v>1.4999999999999999E-2</v>
      </c>
      <c r="BB158">
        <v>0.34200000000000003</v>
      </c>
      <c r="BC158">
        <v>-1.6E-2</v>
      </c>
      <c r="BD158">
        <v>0.254</v>
      </c>
      <c r="BE158">
        <v>0.86799999999999999</v>
      </c>
      <c r="BF158">
        <v>-0.45800000000000002</v>
      </c>
      <c r="BG158">
        <v>1.0999999999999999E-2</v>
      </c>
      <c r="BH158">
        <v>-0.33300000000000002</v>
      </c>
      <c r="BI158">
        <v>-0.49</v>
      </c>
    </row>
    <row r="159" spans="1:61" x14ac:dyDescent="0.3">
      <c r="A159">
        <v>158</v>
      </c>
      <c r="B159" t="s">
        <v>183</v>
      </c>
      <c r="C159">
        <v>0</v>
      </c>
      <c r="D159">
        <v>0</v>
      </c>
      <c r="J159" t="s">
        <v>277</v>
      </c>
      <c r="K159">
        <v>0.56299999999999994</v>
      </c>
      <c r="L159">
        <v>0.56999999999999995</v>
      </c>
      <c r="M159" t="s">
        <v>55</v>
      </c>
      <c r="N159">
        <v>0</v>
      </c>
      <c r="O159">
        <v>0</v>
      </c>
      <c r="P159">
        <v>-0.77400000000000002</v>
      </c>
      <c r="Q159">
        <v>-0.71</v>
      </c>
      <c r="R159">
        <v>-0.83399999999999996</v>
      </c>
      <c r="S159">
        <v>-0.85899999999999999</v>
      </c>
      <c r="T159">
        <v>-0.875</v>
      </c>
      <c r="U159">
        <v>-0.73499999999999999</v>
      </c>
      <c r="V159">
        <v>-0.64800000000000002</v>
      </c>
      <c r="W159">
        <v>-0.83099999999999996</v>
      </c>
      <c r="X159">
        <v>5.5E-2</v>
      </c>
      <c r="Y159">
        <v>5.8000000000000003E-2</v>
      </c>
      <c r="Z159">
        <v>0.44400000000000001</v>
      </c>
      <c r="AA159">
        <v>0.23400000000000001</v>
      </c>
      <c r="AB159">
        <v>0.53400000000000003</v>
      </c>
      <c r="AC159">
        <v>-1</v>
      </c>
      <c r="AD159">
        <v>-1</v>
      </c>
      <c r="AE159">
        <v>-0.47499999999999998</v>
      </c>
      <c r="AF159">
        <v>-0.755</v>
      </c>
      <c r="AG159">
        <v>-0.38800000000000001</v>
      </c>
      <c r="AH159">
        <v>-0.78800000000000003</v>
      </c>
      <c r="AI159">
        <v>-0.23300000000000001</v>
      </c>
      <c r="AJ159">
        <v>-0.79700000000000004</v>
      </c>
      <c r="AK159">
        <v>-0.46700000000000003</v>
      </c>
      <c r="AL159">
        <v>-0.24099999999999999</v>
      </c>
      <c r="AM159">
        <v>3.0000000000000001E-3</v>
      </c>
      <c r="AN159">
        <v>0.18</v>
      </c>
      <c r="AO159">
        <v>-0.105</v>
      </c>
      <c r="AP159">
        <v>0.25600000000000001</v>
      </c>
      <c r="AQ159">
        <v>-0.217</v>
      </c>
      <c r="AR159">
        <v>-8.3000000000000004E-2</v>
      </c>
      <c r="AS159">
        <v>8.1000000000000003E-2</v>
      </c>
      <c r="AT159">
        <v>-0.68899999999999995</v>
      </c>
      <c r="AU159">
        <v>0.23400000000000001</v>
      </c>
      <c r="AV159">
        <v>0.125</v>
      </c>
      <c r="AW159">
        <v>0.63600000000000001</v>
      </c>
      <c r="AX159">
        <v>8.5999999999999993E-2</v>
      </c>
      <c r="AY159">
        <v>0.64600000000000002</v>
      </c>
      <c r="AZ159">
        <v>0.01</v>
      </c>
      <c r="BA159">
        <v>-0.108</v>
      </c>
      <c r="BB159">
        <v>0.44700000000000001</v>
      </c>
      <c r="BC159">
        <v>-0.28899999999999998</v>
      </c>
      <c r="BD159">
        <v>-0.252</v>
      </c>
      <c r="BE159">
        <v>0.245</v>
      </c>
      <c r="BF159">
        <v>1E-3</v>
      </c>
      <c r="BG159">
        <v>-0.16</v>
      </c>
      <c r="BH159">
        <v>0.83799999999999997</v>
      </c>
      <c r="BI159">
        <v>-3.7999999999999999E-2</v>
      </c>
    </row>
    <row r="160" spans="1:61" x14ac:dyDescent="0.3">
      <c r="A160">
        <v>159</v>
      </c>
      <c r="B160" t="s">
        <v>276</v>
      </c>
      <c r="C160">
        <v>0</v>
      </c>
      <c r="D160">
        <v>0</v>
      </c>
      <c r="J160" t="s">
        <v>276</v>
      </c>
      <c r="K160">
        <v>0.56200000000000006</v>
      </c>
      <c r="L160">
        <v>0.39400000000000002</v>
      </c>
      <c r="M160" t="s">
        <v>68</v>
      </c>
      <c r="N160">
        <v>0</v>
      </c>
      <c r="O160">
        <v>0</v>
      </c>
      <c r="P160">
        <v>-0.80800000000000005</v>
      </c>
      <c r="Q160">
        <v>-0.81</v>
      </c>
      <c r="R160">
        <v>-0.81599999999999995</v>
      </c>
      <c r="S160">
        <v>-0.83499999999999996</v>
      </c>
      <c r="T160">
        <v>-0.85199999999999998</v>
      </c>
      <c r="U160">
        <v>-0.88900000000000001</v>
      </c>
      <c r="V160">
        <v>-0.90700000000000003</v>
      </c>
      <c r="W160">
        <v>-0.73399999999999999</v>
      </c>
      <c r="X160">
        <v>3.4000000000000002E-2</v>
      </c>
      <c r="Y160">
        <v>2.9000000000000001E-2</v>
      </c>
      <c r="Z160">
        <v>0.13400000000000001</v>
      </c>
      <c r="AA160">
        <v>0.45700000000000002</v>
      </c>
      <c r="AB160">
        <v>0.61799999999999999</v>
      </c>
      <c r="AC160">
        <v>-0.79900000000000004</v>
      </c>
      <c r="AD160">
        <v>-1</v>
      </c>
      <c r="AE160">
        <v>-0.41099999999999998</v>
      </c>
      <c r="AF160">
        <v>-0.8</v>
      </c>
      <c r="AG160">
        <v>0.26300000000000001</v>
      </c>
      <c r="AH160">
        <v>-0.65300000000000002</v>
      </c>
      <c r="AI160">
        <v>-0.28699999999999998</v>
      </c>
      <c r="AJ160">
        <v>-0.71399999999999997</v>
      </c>
      <c r="AK160">
        <v>-0.72799999999999998</v>
      </c>
      <c r="AL160">
        <v>-0.90600000000000003</v>
      </c>
      <c r="AM160">
        <v>0.67900000000000005</v>
      </c>
      <c r="AN160">
        <v>1</v>
      </c>
      <c r="AO160">
        <v>-0.41799999999999998</v>
      </c>
      <c r="AP160">
        <v>-0.54800000000000004</v>
      </c>
      <c r="AQ160">
        <v>-0.32700000000000001</v>
      </c>
      <c r="AR160">
        <v>0.22600000000000001</v>
      </c>
      <c r="AS160">
        <v>-0.50700000000000001</v>
      </c>
      <c r="AT160">
        <v>-7.3999999999999996E-2</v>
      </c>
      <c r="AU160">
        <v>-0.72499999999999998</v>
      </c>
      <c r="AV160">
        <v>-4.2000000000000003E-2</v>
      </c>
      <c r="AW160">
        <v>-0.40899999999999997</v>
      </c>
      <c r="AX160">
        <v>-0.17499999999999999</v>
      </c>
      <c r="AY160">
        <v>0.95</v>
      </c>
      <c r="AZ160">
        <v>0.161</v>
      </c>
      <c r="BA160">
        <v>6.2E-2</v>
      </c>
      <c r="BB160">
        <v>0.84299999999999997</v>
      </c>
      <c r="BC160">
        <v>-0.21199999999999999</v>
      </c>
      <c r="BD160">
        <v>-1</v>
      </c>
      <c r="BE160">
        <v>-0.40200000000000002</v>
      </c>
      <c r="BF160">
        <v>-1</v>
      </c>
      <c r="BG160">
        <v>0.58699999999999997</v>
      </c>
      <c r="BH160">
        <v>0.97899999999999998</v>
      </c>
      <c r="BI160">
        <v>0.437</v>
      </c>
    </row>
    <row r="161" spans="1:61" x14ac:dyDescent="0.3">
      <c r="A161">
        <v>160</v>
      </c>
      <c r="B161" t="s">
        <v>131</v>
      </c>
      <c r="C161">
        <v>7.4838147606559402E-3</v>
      </c>
      <c r="D161">
        <v>1.11377040011765E-2</v>
      </c>
      <c r="J161" t="s">
        <v>220</v>
      </c>
      <c r="K161">
        <v>0.56100000000000005</v>
      </c>
      <c r="L161">
        <v>0.95</v>
      </c>
      <c r="M161" t="s">
        <v>57</v>
      </c>
      <c r="N161">
        <v>0</v>
      </c>
      <c r="O161">
        <v>-1.7000000000000001E-2</v>
      </c>
      <c r="P161">
        <v>-0.78200000000000003</v>
      </c>
      <c r="Q161">
        <v>-0.82899999999999996</v>
      </c>
      <c r="R161">
        <v>-0.94699999999999995</v>
      </c>
      <c r="S161">
        <v>-0.72499999999999998</v>
      </c>
      <c r="T161">
        <v>-0.875</v>
      </c>
      <c r="U161">
        <v>-0.76600000000000001</v>
      </c>
      <c r="V161">
        <v>-0.7</v>
      </c>
      <c r="W161">
        <v>-0.745</v>
      </c>
      <c r="X161">
        <v>-0.11799999999999999</v>
      </c>
      <c r="Y161">
        <v>-0.11899999999999999</v>
      </c>
      <c r="Z161">
        <v>0.64800000000000002</v>
      </c>
      <c r="AA161">
        <v>0.63300000000000001</v>
      </c>
      <c r="AB161">
        <v>0.40100000000000002</v>
      </c>
      <c r="AC161">
        <v>-0.35799999999999998</v>
      </c>
      <c r="AD161">
        <v>-0.52500000000000002</v>
      </c>
      <c r="AE161">
        <v>-0.67200000000000004</v>
      </c>
      <c r="AF161">
        <v>-0.97</v>
      </c>
      <c r="AG161">
        <v>-0.86099999999999999</v>
      </c>
      <c r="AH161">
        <v>-1</v>
      </c>
      <c r="AI161">
        <v>-0.28799999999999998</v>
      </c>
      <c r="AJ161">
        <v>-0.41799999999999998</v>
      </c>
      <c r="AK161">
        <v>-0.63800000000000001</v>
      </c>
      <c r="AL161">
        <v>0.317</v>
      </c>
      <c r="AM161">
        <v>8.0000000000000002E-3</v>
      </c>
      <c r="AN161">
        <v>-0.05</v>
      </c>
      <c r="AO161">
        <v>4.4999999999999998E-2</v>
      </c>
      <c r="AP161">
        <v>0.48</v>
      </c>
      <c r="AQ161">
        <v>0.42399999999999999</v>
      </c>
      <c r="AR161">
        <v>4.9000000000000002E-2</v>
      </c>
      <c r="AS161">
        <v>-0.22900000000000001</v>
      </c>
      <c r="AT161">
        <v>0.11899999999999999</v>
      </c>
      <c r="AU161">
        <v>-0.105</v>
      </c>
      <c r="AV161">
        <v>-0.24299999999999999</v>
      </c>
      <c r="AW161">
        <v>0.504</v>
      </c>
      <c r="AX161">
        <v>-0.36899999999999999</v>
      </c>
      <c r="AY161">
        <v>0.53100000000000003</v>
      </c>
      <c r="AZ161">
        <v>0.155</v>
      </c>
      <c r="BA161">
        <v>4.2000000000000003E-2</v>
      </c>
      <c r="BB161">
        <v>0.41</v>
      </c>
      <c r="BC161">
        <v>7.6999999999999999E-2</v>
      </c>
      <c r="BD161">
        <v>-0.34100000000000003</v>
      </c>
      <c r="BE161">
        <v>-5.7000000000000002E-2</v>
      </c>
      <c r="BF161">
        <v>-6.5000000000000002E-2</v>
      </c>
      <c r="BG161">
        <v>0.47799999999999998</v>
      </c>
      <c r="BH161">
        <v>-0.54900000000000004</v>
      </c>
      <c r="BI161">
        <v>-0.65</v>
      </c>
    </row>
    <row r="162" spans="1:61" x14ac:dyDescent="0.3">
      <c r="A162">
        <v>161</v>
      </c>
      <c r="B162" t="s">
        <v>122</v>
      </c>
      <c r="C162">
        <v>0</v>
      </c>
      <c r="D162">
        <v>0</v>
      </c>
      <c r="J162" t="s">
        <v>225</v>
      </c>
      <c r="K162">
        <v>0.55900000000000005</v>
      </c>
      <c r="L162">
        <v>0.432</v>
      </c>
      <c r="M162" t="s">
        <v>71</v>
      </c>
      <c r="N162">
        <v>0</v>
      </c>
      <c r="O162">
        <v>-1E-3</v>
      </c>
      <c r="P162">
        <v>-0.67600000000000005</v>
      </c>
      <c r="Q162">
        <v>-0.77900000000000003</v>
      </c>
      <c r="R162">
        <v>-0.70899999999999996</v>
      </c>
      <c r="S162">
        <v>-0.52300000000000002</v>
      </c>
      <c r="T162">
        <v>-0.69699999999999995</v>
      </c>
      <c r="U162">
        <v>-0.67200000000000004</v>
      </c>
      <c r="V162">
        <v>-0.77700000000000002</v>
      </c>
      <c r="W162">
        <v>-0.83</v>
      </c>
      <c r="X162">
        <v>-0.123</v>
      </c>
      <c r="Y162">
        <v>-0.123</v>
      </c>
      <c r="Z162">
        <v>0.312</v>
      </c>
      <c r="AA162">
        <v>0.50700000000000001</v>
      </c>
      <c r="AB162">
        <v>0.34</v>
      </c>
      <c r="AC162">
        <v>2.1000000000000001E-2</v>
      </c>
      <c r="AD162">
        <v>0.20399999999999999</v>
      </c>
      <c r="AE162">
        <v>-0.51200000000000001</v>
      </c>
      <c r="AF162">
        <v>0.16900000000000001</v>
      </c>
      <c r="AG162">
        <v>-0.73</v>
      </c>
      <c r="AH162">
        <v>-0.79600000000000004</v>
      </c>
      <c r="AI162">
        <v>1</v>
      </c>
      <c r="AJ162">
        <v>-0.503</v>
      </c>
      <c r="AK162">
        <v>-0.47099999999999997</v>
      </c>
      <c r="AL162">
        <v>8.4000000000000005E-2</v>
      </c>
      <c r="AM162">
        <v>-0.80300000000000005</v>
      </c>
      <c r="AN162">
        <v>-0.65500000000000003</v>
      </c>
      <c r="AO162">
        <v>-0.128</v>
      </c>
      <c r="AP162">
        <v>0.249</v>
      </c>
      <c r="AQ162">
        <v>0.20200000000000001</v>
      </c>
      <c r="AR162">
        <v>0.54900000000000004</v>
      </c>
      <c r="AS162">
        <v>-0.58199999999999996</v>
      </c>
      <c r="AT162">
        <v>-0.126</v>
      </c>
      <c r="AU162">
        <v>0.28100000000000003</v>
      </c>
      <c r="AV162">
        <v>-0.317</v>
      </c>
      <c r="AW162">
        <v>-0.37</v>
      </c>
      <c r="AX162">
        <v>0.22900000000000001</v>
      </c>
      <c r="AY162">
        <v>-0.19700000000000001</v>
      </c>
      <c r="AZ162">
        <v>-0.29199999999999998</v>
      </c>
      <c r="BA162">
        <v>0.24</v>
      </c>
      <c r="BB162">
        <v>0.247</v>
      </c>
      <c r="BC162">
        <v>-1</v>
      </c>
      <c r="BD162">
        <v>-0.54500000000000004</v>
      </c>
      <c r="BE162">
        <v>-0.39400000000000002</v>
      </c>
      <c r="BF162">
        <v>0.40799999999999997</v>
      </c>
      <c r="BG162">
        <v>-0.184</v>
      </c>
      <c r="BH162">
        <v>-0.61599999999999999</v>
      </c>
      <c r="BI162">
        <v>0.184</v>
      </c>
    </row>
    <row r="163" spans="1:61" x14ac:dyDescent="0.3">
      <c r="A163">
        <v>162</v>
      </c>
      <c r="B163" t="s">
        <v>260</v>
      </c>
      <c r="C163">
        <v>0</v>
      </c>
      <c r="D163">
        <v>0</v>
      </c>
      <c r="J163" t="s">
        <v>246</v>
      </c>
      <c r="K163">
        <v>0.55800000000000005</v>
      </c>
      <c r="L163">
        <v>0.63600000000000001</v>
      </c>
      <c r="M163" t="s">
        <v>53</v>
      </c>
      <c r="N163">
        <v>0</v>
      </c>
      <c r="O163">
        <v>-3.0000000000000001E-3</v>
      </c>
      <c r="P163">
        <v>-0.79900000000000004</v>
      </c>
      <c r="Q163">
        <v>-0.70299999999999996</v>
      </c>
      <c r="R163">
        <v>-0.89</v>
      </c>
      <c r="S163">
        <v>-0.82799999999999996</v>
      </c>
      <c r="T163">
        <v>-0.86299999999999999</v>
      </c>
      <c r="U163">
        <v>-0.71199999999999997</v>
      </c>
      <c r="V163">
        <v>-0.65100000000000002</v>
      </c>
      <c r="W163">
        <v>-0.75</v>
      </c>
      <c r="X163">
        <v>-7.1999999999999995E-2</v>
      </c>
      <c r="Y163">
        <v>-7.2999999999999995E-2</v>
      </c>
      <c r="Z163">
        <v>0.58299999999999996</v>
      </c>
      <c r="AA163">
        <v>0.66100000000000003</v>
      </c>
      <c r="AB163">
        <v>0.29399999999999998</v>
      </c>
      <c r="AC163">
        <v>-1</v>
      </c>
      <c r="AD163">
        <v>-0.39200000000000002</v>
      </c>
      <c r="AE163">
        <v>-0.45800000000000002</v>
      </c>
      <c r="AF163">
        <v>-0.93700000000000006</v>
      </c>
      <c r="AG163">
        <v>-0.33600000000000002</v>
      </c>
      <c r="AH163">
        <v>-0.54700000000000004</v>
      </c>
      <c r="AI163">
        <v>-0.55900000000000005</v>
      </c>
      <c r="AJ163">
        <v>-0.63700000000000001</v>
      </c>
      <c r="AK163">
        <v>-0.41699999999999998</v>
      </c>
      <c r="AL163">
        <v>0.151</v>
      </c>
      <c r="AM163">
        <v>0.253</v>
      </c>
      <c r="AN163">
        <v>0.60799999999999998</v>
      </c>
      <c r="AO163">
        <v>1.2999999999999999E-2</v>
      </c>
      <c r="AP163">
        <v>0.29299999999999998</v>
      </c>
      <c r="AQ163">
        <v>8.3000000000000004E-2</v>
      </c>
      <c r="AR163">
        <v>-0.26800000000000002</v>
      </c>
      <c r="AS163">
        <v>-0.47799999999999998</v>
      </c>
      <c r="AT163">
        <v>-0.48099999999999998</v>
      </c>
      <c r="AU163">
        <v>0.28299999999999997</v>
      </c>
      <c r="AV163">
        <v>-0.28799999999999998</v>
      </c>
      <c r="AW163">
        <v>0.747</v>
      </c>
      <c r="AX163">
        <v>0.54500000000000004</v>
      </c>
      <c r="AY163">
        <v>-0.42</v>
      </c>
      <c r="AZ163">
        <v>-9.2999999999999999E-2</v>
      </c>
      <c r="BA163">
        <v>8.6999999999999994E-2</v>
      </c>
      <c r="BB163">
        <v>-0.27100000000000002</v>
      </c>
      <c r="BC163">
        <v>-0.63700000000000001</v>
      </c>
      <c r="BD163">
        <v>1</v>
      </c>
      <c r="BE163">
        <v>0.58099999999999996</v>
      </c>
      <c r="BF163">
        <v>-0.113</v>
      </c>
      <c r="BG163">
        <v>4.9000000000000002E-2</v>
      </c>
      <c r="BH163">
        <v>-0.104</v>
      </c>
      <c r="BI163">
        <v>-0.191</v>
      </c>
    </row>
    <row r="164" spans="1:61" x14ac:dyDescent="0.3">
      <c r="A164">
        <v>163</v>
      </c>
      <c r="B164" t="s">
        <v>231</v>
      </c>
      <c r="C164">
        <v>0</v>
      </c>
      <c r="D164">
        <v>0</v>
      </c>
      <c r="J164" t="s">
        <v>156</v>
      </c>
      <c r="K164">
        <v>0.55700000000000005</v>
      </c>
      <c r="L164">
        <v>0.51300000000000001</v>
      </c>
      <c r="M164" t="s">
        <v>55</v>
      </c>
      <c r="N164">
        <v>0</v>
      </c>
      <c r="O164">
        <v>0</v>
      </c>
      <c r="P164">
        <v>-0.76500000000000001</v>
      </c>
      <c r="Q164">
        <v>-0.73299999999999998</v>
      </c>
      <c r="R164">
        <v>-0.80900000000000005</v>
      </c>
      <c r="S164">
        <v>-0.745</v>
      </c>
      <c r="T164">
        <v>-0.75600000000000001</v>
      </c>
      <c r="U164">
        <v>-0.70799999999999996</v>
      </c>
      <c r="V164">
        <v>-0.60299999999999998</v>
      </c>
      <c r="W164">
        <v>-0.74099999999999999</v>
      </c>
      <c r="X164">
        <v>-0.19700000000000001</v>
      </c>
      <c r="Y164">
        <v>-0.19600000000000001</v>
      </c>
      <c r="Z164">
        <v>0.42099999999999999</v>
      </c>
      <c r="AA164">
        <v>0.64700000000000002</v>
      </c>
      <c r="AB164">
        <v>0.27400000000000002</v>
      </c>
      <c r="AC164">
        <v>-0.81299999999999994</v>
      </c>
      <c r="AD164">
        <v>0.105</v>
      </c>
      <c r="AE164">
        <v>9.0999999999999998E-2</v>
      </c>
      <c r="AF164">
        <v>-0.23400000000000001</v>
      </c>
      <c r="AG164">
        <v>-0.40699999999999997</v>
      </c>
      <c r="AH164">
        <v>-0.84699999999999998</v>
      </c>
      <c r="AI164">
        <v>-5.0000000000000001E-3</v>
      </c>
      <c r="AJ164">
        <v>-0.28299999999999997</v>
      </c>
      <c r="AK164">
        <v>6.0000000000000001E-3</v>
      </c>
      <c r="AL164">
        <v>0.58599999999999997</v>
      </c>
      <c r="AM164">
        <v>-0.438</v>
      </c>
      <c r="AN164">
        <v>-0.24</v>
      </c>
      <c r="AO164">
        <v>0.25700000000000001</v>
      </c>
      <c r="AP164">
        <v>-0.24299999999999999</v>
      </c>
      <c r="AQ164">
        <v>-0.68300000000000005</v>
      </c>
      <c r="AR164">
        <v>-6.4000000000000001E-2</v>
      </c>
      <c r="AS164">
        <v>0.14699999999999999</v>
      </c>
      <c r="AT164">
        <v>-0.54500000000000004</v>
      </c>
      <c r="AU164">
        <v>-0.35</v>
      </c>
      <c r="AV164">
        <v>-0.97299999999999998</v>
      </c>
      <c r="AW164">
        <v>0.84599999999999997</v>
      </c>
      <c r="AX164">
        <v>0.39</v>
      </c>
      <c r="AY164">
        <v>0.56100000000000005</v>
      </c>
      <c r="AZ164">
        <v>-0.55100000000000005</v>
      </c>
      <c r="BA164">
        <v>-0.79600000000000004</v>
      </c>
      <c r="BB164">
        <v>0.255</v>
      </c>
      <c r="BC164">
        <v>0.58599999999999997</v>
      </c>
      <c r="BD164">
        <v>-1</v>
      </c>
      <c r="BE164">
        <v>-0.105</v>
      </c>
      <c r="BF164">
        <v>-0.218</v>
      </c>
      <c r="BG164">
        <v>0.90100000000000002</v>
      </c>
      <c r="BH164">
        <v>-0.27900000000000003</v>
      </c>
      <c r="BI164">
        <v>0.13100000000000001</v>
      </c>
    </row>
    <row r="165" spans="1:61" x14ac:dyDescent="0.3">
      <c r="A165">
        <v>164</v>
      </c>
      <c r="B165" t="s">
        <v>216</v>
      </c>
      <c r="C165">
        <v>0</v>
      </c>
      <c r="D165">
        <v>0</v>
      </c>
      <c r="J165" t="s">
        <v>227</v>
      </c>
      <c r="K165">
        <v>0.55700000000000005</v>
      </c>
      <c r="L165">
        <v>0.48499999999999999</v>
      </c>
      <c r="M165" t="s">
        <v>71</v>
      </c>
      <c r="N165">
        <v>0</v>
      </c>
      <c r="O165">
        <v>0</v>
      </c>
      <c r="P165">
        <v>-0.93400000000000005</v>
      </c>
      <c r="Q165">
        <v>-0.91100000000000003</v>
      </c>
      <c r="R165">
        <v>-0.98599999999999999</v>
      </c>
      <c r="S165">
        <v>-0.88400000000000001</v>
      </c>
      <c r="T165">
        <v>-0.93899999999999995</v>
      </c>
      <c r="U165">
        <v>-0.73299999999999998</v>
      </c>
      <c r="V165">
        <v>-0.66600000000000004</v>
      </c>
      <c r="W165">
        <v>-0.78900000000000003</v>
      </c>
      <c r="X165">
        <v>0.28799999999999998</v>
      </c>
      <c r="Y165">
        <v>0.29099999999999998</v>
      </c>
      <c r="Z165">
        <v>0.32</v>
      </c>
      <c r="AA165">
        <v>0.49199999999999999</v>
      </c>
      <c r="AB165">
        <v>0.47</v>
      </c>
      <c r="AC165">
        <v>-1</v>
      </c>
      <c r="AD165">
        <v>-0.82899999999999996</v>
      </c>
      <c r="AE165">
        <v>-0.33200000000000002</v>
      </c>
      <c r="AF165">
        <v>-0.97699999999999998</v>
      </c>
      <c r="AG165">
        <v>-0.86199999999999999</v>
      </c>
      <c r="AH165">
        <v>-0.95799999999999996</v>
      </c>
      <c r="AI165">
        <v>-0.104</v>
      </c>
      <c r="AJ165">
        <v>-0.51200000000000001</v>
      </c>
      <c r="AK165">
        <v>-0.57999999999999996</v>
      </c>
      <c r="AL165">
        <v>-0.16600000000000001</v>
      </c>
      <c r="AM165">
        <v>6.2E-2</v>
      </c>
      <c r="AN165">
        <v>-0.04</v>
      </c>
      <c r="AO165">
        <v>-0.43099999999999999</v>
      </c>
      <c r="AP165">
        <v>-0.32200000000000001</v>
      </c>
      <c r="AQ165">
        <v>-0.38300000000000001</v>
      </c>
      <c r="AR165">
        <v>0.48599999999999999</v>
      </c>
      <c r="AS165">
        <v>-0.63600000000000001</v>
      </c>
      <c r="AT165">
        <v>-0.88200000000000001</v>
      </c>
      <c r="AU165">
        <v>0.67700000000000005</v>
      </c>
      <c r="AV165">
        <v>-0.60399999999999998</v>
      </c>
      <c r="AW165">
        <v>0.56100000000000005</v>
      </c>
      <c r="AX165">
        <v>4.0000000000000001E-3</v>
      </c>
      <c r="AY165">
        <v>0.14499999999999999</v>
      </c>
      <c r="AZ165">
        <v>-0.158</v>
      </c>
      <c r="BA165">
        <v>-0.21099999999999999</v>
      </c>
      <c r="BB165">
        <v>0.17</v>
      </c>
      <c r="BC165">
        <v>0.67200000000000004</v>
      </c>
      <c r="BD165">
        <v>-0.10299999999999999</v>
      </c>
      <c r="BE165">
        <v>0.75900000000000001</v>
      </c>
      <c r="BF165">
        <v>-0.309</v>
      </c>
      <c r="BG165">
        <v>-0.43</v>
      </c>
      <c r="BH165">
        <v>0.187</v>
      </c>
      <c r="BI165">
        <v>-0.86599999999999999</v>
      </c>
    </row>
    <row r="166" spans="1:61" x14ac:dyDescent="0.3">
      <c r="A166">
        <v>165</v>
      </c>
      <c r="B166" t="s">
        <v>215</v>
      </c>
      <c r="C166">
        <v>0</v>
      </c>
      <c r="D166">
        <v>0</v>
      </c>
      <c r="J166" t="s">
        <v>194</v>
      </c>
      <c r="K166">
        <v>0.55500000000000005</v>
      </c>
      <c r="L166">
        <v>0.628</v>
      </c>
      <c r="M166" t="s">
        <v>57</v>
      </c>
      <c r="N166">
        <v>0</v>
      </c>
      <c r="O166">
        <v>-2E-3</v>
      </c>
      <c r="P166">
        <v>-0.83699999999999997</v>
      </c>
      <c r="Q166">
        <v>-0.91</v>
      </c>
      <c r="R166">
        <v>-0.91</v>
      </c>
      <c r="S166">
        <v>-0.78500000000000003</v>
      </c>
      <c r="T166">
        <v>-0.88800000000000001</v>
      </c>
      <c r="U166">
        <v>-0.66800000000000004</v>
      </c>
      <c r="V166">
        <v>-0.46700000000000003</v>
      </c>
      <c r="W166">
        <v>-0.77400000000000002</v>
      </c>
      <c r="X166">
        <v>-0.122</v>
      </c>
      <c r="Y166">
        <v>-0.123</v>
      </c>
      <c r="Z166">
        <v>0.59599999999999997</v>
      </c>
      <c r="AA166">
        <v>0.56100000000000005</v>
      </c>
      <c r="AB166">
        <v>0.312</v>
      </c>
      <c r="AC166">
        <v>-0.55800000000000005</v>
      </c>
      <c r="AD166">
        <v>0.14000000000000001</v>
      </c>
      <c r="AE166">
        <v>-0.59199999999999997</v>
      </c>
      <c r="AF166">
        <v>-0.621</v>
      </c>
      <c r="AG166">
        <v>-0.76100000000000001</v>
      </c>
      <c r="AH166">
        <v>-0.85099999999999998</v>
      </c>
      <c r="AI166">
        <v>-0.252</v>
      </c>
      <c r="AJ166">
        <v>-7.0000000000000007E-2</v>
      </c>
      <c r="AK166">
        <v>-0.33100000000000002</v>
      </c>
      <c r="AL166">
        <v>0.184</v>
      </c>
      <c r="AM166">
        <v>-0.51700000000000002</v>
      </c>
      <c r="AN166">
        <v>-0.54800000000000004</v>
      </c>
      <c r="AO166">
        <v>0.33600000000000002</v>
      </c>
      <c r="AP166">
        <v>9.4E-2</v>
      </c>
      <c r="AQ166">
        <v>-0.441</v>
      </c>
      <c r="AR166">
        <v>-1.7000000000000001E-2</v>
      </c>
      <c r="AS166">
        <v>-0.188</v>
      </c>
      <c r="AT166">
        <v>-0.35799999999999998</v>
      </c>
      <c r="AU166">
        <v>-0.17599999999999999</v>
      </c>
      <c r="AV166">
        <v>-0.185</v>
      </c>
      <c r="AW166">
        <v>0.81399999999999995</v>
      </c>
      <c r="AX166">
        <v>0.29499999999999998</v>
      </c>
      <c r="AY166">
        <v>0.436</v>
      </c>
      <c r="AZ166">
        <v>-0.67800000000000005</v>
      </c>
      <c r="BA166">
        <v>-0.629</v>
      </c>
      <c r="BB166">
        <v>0.10299999999999999</v>
      </c>
      <c r="BC166">
        <v>0.51500000000000001</v>
      </c>
      <c r="BD166">
        <v>0.34399999999999997</v>
      </c>
      <c r="BE166">
        <v>0.64800000000000002</v>
      </c>
      <c r="BF166">
        <v>-0.50800000000000001</v>
      </c>
      <c r="BG166">
        <v>0.67700000000000005</v>
      </c>
      <c r="BH166">
        <v>-0.78300000000000003</v>
      </c>
      <c r="BI166">
        <v>-0.379</v>
      </c>
    </row>
    <row r="167" spans="1:61" x14ac:dyDescent="0.3">
      <c r="A167">
        <v>166</v>
      </c>
      <c r="B167" t="s">
        <v>126</v>
      </c>
      <c r="C167">
        <v>1.3885916398949099E-2</v>
      </c>
      <c r="D167">
        <v>1.03883734260633E-2</v>
      </c>
      <c r="J167" t="s">
        <v>252</v>
      </c>
      <c r="K167">
        <v>0.55200000000000005</v>
      </c>
      <c r="L167">
        <v>0.46300000000000002</v>
      </c>
      <c r="M167" t="s">
        <v>53</v>
      </c>
      <c r="N167">
        <v>0</v>
      </c>
      <c r="O167">
        <v>-5.0000000000000001E-3</v>
      </c>
      <c r="P167">
        <v>-0.745</v>
      </c>
      <c r="Q167">
        <v>-0.80700000000000005</v>
      </c>
      <c r="R167">
        <v>-0.90400000000000003</v>
      </c>
      <c r="S167">
        <v>-0.73399999999999999</v>
      </c>
      <c r="T167">
        <v>-0.86699999999999999</v>
      </c>
      <c r="U167">
        <v>-0.71399999999999997</v>
      </c>
      <c r="V167">
        <v>-0.67300000000000004</v>
      </c>
      <c r="W167">
        <v>-0.86099999999999999</v>
      </c>
      <c r="X167">
        <v>-0.17799999999999999</v>
      </c>
      <c r="Y167">
        <v>-0.17499999999999999</v>
      </c>
      <c r="Z167">
        <v>0.60899999999999999</v>
      </c>
      <c r="AA167">
        <v>0.66500000000000004</v>
      </c>
      <c r="AB167">
        <v>0.32400000000000001</v>
      </c>
      <c r="AC167">
        <v>-0.39400000000000002</v>
      </c>
      <c r="AD167">
        <v>-0.32600000000000001</v>
      </c>
      <c r="AE167">
        <v>-0.60299999999999998</v>
      </c>
      <c r="AF167">
        <v>-0.69399999999999995</v>
      </c>
      <c r="AG167">
        <v>-0.77400000000000002</v>
      </c>
      <c r="AH167">
        <v>-0.9</v>
      </c>
      <c r="AI167">
        <v>0.39400000000000002</v>
      </c>
      <c r="AJ167">
        <v>-0.86699999999999999</v>
      </c>
      <c r="AK167">
        <v>-0.65100000000000002</v>
      </c>
      <c r="AL167">
        <v>9.0999999999999998E-2</v>
      </c>
      <c r="AM167">
        <v>-0.26100000000000001</v>
      </c>
      <c r="AN167">
        <v>4.5999999999999999E-2</v>
      </c>
      <c r="AO167">
        <v>-0.18099999999999999</v>
      </c>
      <c r="AP167">
        <v>0.872</v>
      </c>
      <c r="AQ167">
        <v>0.17</v>
      </c>
      <c r="AR167">
        <v>0.47799999999999998</v>
      </c>
      <c r="AS167">
        <v>-0.6</v>
      </c>
      <c r="AT167">
        <v>-5.0999999999999997E-2</v>
      </c>
      <c r="AU167">
        <v>-9.1999999999999998E-2</v>
      </c>
      <c r="AV167">
        <v>-0.432</v>
      </c>
      <c r="AW167">
        <v>0.84499999999999997</v>
      </c>
      <c r="AX167">
        <v>0.111</v>
      </c>
      <c r="AY167">
        <v>-4.0000000000000001E-3</v>
      </c>
      <c r="AZ167">
        <v>-0.184</v>
      </c>
      <c r="BA167">
        <v>7.4999999999999997E-2</v>
      </c>
      <c r="BB167">
        <v>0.251</v>
      </c>
      <c r="BC167">
        <v>0.114</v>
      </c>
      <c r="BD167">
        <v>1</v>
      </c>
      <c r="BE167">
        <v>0.45200000000000001</v>
      </c>
      <c r="BF167">
        <v>0.121</v>
      </c>
      <c r="BG167">
        <v>0.33400000000000002</v>
      </c>
      <c r="BH167">
        <v>-0.51800000000000002</v>
      </c>
      <c r="BI167">
        <v>-0.126</v>
      </c>
    </row>
    <row r="168" spans="1:61" x14ac:dyDescent="0.3">
      <c r="A168">
        <v>167</v>
      </c>
      <c r="B168" t="s">
        <v>54</v>
      </c>
      <c r="C168">
        <v>1.7075746070312099E-2</v>
      </c>
      <c r="D168">
        <v>1.33335221956458E-2</v>
      </c>
      <c r="J168" t="s">
        <v>128</v>
      </c>
      <c r="K168">
        <v>0.55000000000000004</v>
      </c>
      <c r="L168">
        <v>0.441</v>
      </c>
      <c r="M168" t="s">
        <v>68</v>
      </c>
      <c r="N168">
        <v>0</v>
      </c>
      <c r="O168">
        <v>0</v>
      </c>
      <c r="P168">
        <v>-0.83099999999999996</v>
      </c>
      <c r="Q168">
        <v>-0.66100000000000003</v>
      </c>
      <c r="R168">
        <v>-0.56899999999999995</v>
      </c>
      <c r="S168">
        <v>-0.91300000000000003</v>
      </c>
      <c r="T168">
        <v>-0.80500000000000005</v>
      </c>
      <c r="U168">
        <v>-0.84</v>
      </c>
      <c r="V168">
        <v>-0.751</v>
      </c>
      <c r="W168">
        <v>-0.89400000000000002</v>
      </c>
      <c r="X168">
        <v>-7.8E-2</v>
      </c>
      <c r="Y168">
        <v>-7.6999999999999999E-2</v>
      </c>
      <c r="Z168">
        <v>0.253</v>
      </c>
      <c r="AA168">
        <v>0.43</v>
      </c>
      <c r="AB168">
        <v>0.48899999999999999</v>
      </c>
      <c r="AC168">
        <v>-0.879</v>
      </c>
      <c r="AD168">
        <v>-1</v>
      </c>
      <c r="AE168">
        <v>-0.52500000000000002</v>
      </c>
      <c r="AF168">
        <v>-2.7E-2</v>
      </c>
      <c r="AG168">
        <v>0.185</v>
      </c>
      <c r="AH168">
        <v>-0.22800000000000001</v>
      </c>
      <c r="AI168">
        <v>-0.41499999999999998</v>
      </c>
      <c r="AJ168">
        <v>-0.69</v>
      </c>
      <c r="AK168">
        <v>0.108</v>
      </c>
      <c r="AL168">
        <v>-0.49</v>
      </c>
      <c r="AM168">
        <v>-0.20799999999999999</v>
      </c>
      <c r="AN168">
        <v>3.2000000000000001E-2</v>
      </c>
      <c r="AO168">
        <v>-0.63100000000000001</v>
      </c>
      <c r="AP168">
        <v>-0.68799999999999994</v>
      </c>
      <c r="AQ168">
        <v>-5.3999999999999999E-2</v>
      </c>
      <c r="AR168">
        <v>-0.28599999999999998</v>
      </c>
      <c r="AS168">
        <v>-0.45900000000000002</v>
      </c>
      <c r="AT168">
        <v>-0.67500000000000004</v>
      </c>
      <c r="AU168">
        <v>0.37</v>
      </c>
      <c r="AV168">
        <v>-0.312</v>
      </c>
      <c r="AW168">
        <v>0.60199999999999998</v>
      </c>
      <c r="AX168">
        <v>-1</v>
      </c>
      <c r="AY168">
        <v>0.45200000000000001</v>
      </c>
      <c r="AZ168">
        <v>6.7000000000000004E-2</v>
      </c>
      <c r="BA168">
        <v>-7.2999999999999995E-2</v>
      </c>
      <c r="BB168">
        <v>-4.9000000000000002E-2</v>
      </c>
      <c r="BC168">
        <v>-0.19500000000000001</v>
      </c>
      <c r="BD168">
        <v>0.66900000000000004</v>
      </c>
      <c r="BE168">
        <v>0.84499999999999997</v>
      </c>
      <c r="BF168">
        <v>0.60799999999999998</v>
      </c>
      <c r="BG168">
        <v>-6.2E-2</v>
      </c>
      <c r="BH168">
        <v>0.79600000000000004</v>
      </c>
      <c r="BI168">
        <v>0.73199999999999998</v>
      </c>
    </row>
    <row r="169" spans="1:61" x14ac:dyDescent="0.3">
      <c r="A169">
        <v>168</v>
      </c>
      <c r="B169" t="s">
        <v>190</v>
      </c>
      <c r="C169">
        <v>0</v>
      </c>
      <c r="D169">
        <v>0</v>
      </c>
      <c r="J169" t="s">
        <v>247</v>
      </c>
      <c r="K169">
        <v>0.54800000000000004</v>
      </c>
      <c r="L169">
        <v>0.40699999999999997</v>
      </c>
      <c r="M169" t="s">
        <v>57</v>
      </c>
      <c r="N169">
        <v>0</v>
      </c>
      <c r="O169">
        <v>0</v>
      </c>
      <c r="P169">
        <v>-0.71</v>
      </c>
      <c r="Q169">
        <v>-0.87</v>
      </c>
      <c r="R169">
        <v>-0.68500000000000005</v>
      </c>
      <c r="S169">
        <v>-0.79700000000000004</v>
      </c>
      <c r="T169">
        <v>-0.86199999999999999</v>
      </c>
      <c r="U169">
        <v>-0.68100000000000005</v>
      </c>
      <c r="V169">
        <v>-0.43</v>
      </c>
      <c r="W169">
        <v>-0.91800000000000004</v>
      </c>
      <c r="X169">
        <v>0.122</v>
      </c>
      <c r="Y169">
        <v>0.11899999999999999</v>
      </c>
      <c r="Z169">
        <v>-4.2000000000000003E-2</v>
      </c>
      <c r="AA169">
        <v>0.32400000000000001</v>
      </c>
      <c r="AB169">
        <v>0.22600000000000001</v>
      </c>
      <c r="AC169">
        <v>-0.96899999999999997</v>
      </c>
      <c r="AD169">
        <v>0.52900000000000003</v>
      </c>
      <c r="AE169">
        <v>-0.98799999999999999</v>
      </c>
      <c r="AF169">
        <v>-0.81200000000000006</v>
      </c>
      <c r="AG169">
        <v>-1</v>
      </c>
      <c r="AH169">
        <v>-0.29599999999999999</v>
      </c>
      <c r="AI169">
        <v>-0.41499999999999998</v>
      </c>
      <c r="AJ169">
        <v>-0.65700000000000003</v>
      </c>
      <c r="AK169">
        <v>-0.20399999999999999</v>
      </c>
      <c r="AL169">
        <v>0.33400000000000002</v>
      </c>
      <c r="AM169">
        <v>-0.873</v>
      </c>
      <c r="AN169">
        <v>-0.92200000000000004</v>
      </c>
      <c r="AO169">
        <v>0.32800000000000001</v>
      </c>
      <c r="AP169">
        <v>0.99299999999999999</v>
      </c>
      <c r="AQ169">
        <v>-0.123</v>
      </c>
      <c r="AR169">
        <v>0.17599999999999999</v>
      </c>
      <c r="AS169">
        <v>0.77300000000000002</v>
      </c>
      <c r="AT169">
        <v>-0.40699999999999997</v>
      </c>
      <c r="AU169">
        <v>-0.218</v>
      </c>
      <c r="AV169">
        <v>2.7E-2</v>
      </c>
      <c r="AW169">
        <v>-0.13800000000000001</v>
      </c>
      <c r="AX169">
        <v>0.375</v>
      </c>
      <c r="AY169">
        <v>0.67300000000000004</v>
      </c>
      <c r="AZ169">
        <v>-0.15</v>
      </c>
      <c r="BA169">
        <v>-0.28999999999999998</v>
      </c>
      <c r="BB169">
        <v>-0.11899999999999999</v>
      </c>
      <c r="BC169">
        <v>1</v>
      </c>
      <c r="BD169">
        <v>1</v>
      </c>
      <c r="BE169">
        <v>0.17100000000000001</v>
      </c>
      <c r="BF169">
        <v>-0.33700000000000002</v>
      </c>
      <c r="BG169">
        <v>0.20300000000000001</v>
      </c>
      <c r="BH169">
        <v>0.53200000000000003</v>
      </c>
      <c r="BI169">
        <v>-0.109</v>
      </c>
    </row>
    <row r="170" spans="1:61" x14ac:dyDescent="0.3">
      <c r="A170">
        <v>169</v>
      </c>
      <c r="B170" t="s">
        <v>277</v>
      </c>
      <c r="C170">
        <v>0</v>
      </c>
      <c r="D170">
        <v>0</v>
      </c>
      <c r="J170" t="s">
        <v>176</v>
      </c>
      <c r="K170">
        <v>0.54500000000000004</v>
      </c>
      <c r="L170">
        <v>0.40600000000000003</v>
      </c>
      <c r="M170" t="s">
        <v>57</v>
      </c>
      <c r="N170">
        <v>0</v>
      </c>
      <c r="O170">
        <v>-1E-3</v>
      </c>
      <c r="P170">
        <v>-0.54600000000000004</v>
      </c>
      <c r="Q170">
        <v>-0.83699999999999997</v>
      </c>
      <c r="R170">
        <v>-0.439</v>
      </c>
      <c r="S170">
        <v>-0.34899999999999998</v>
      </c>
      <c r="T170">
        <v>-0.60399999999999998</v>
      </c>
      <c r="U170">
        <v>-0.70799999999999996</v>
      </c>
      <c r="V170">
        <v>-0.73499999999999999</v>
      </c>
      <c r="W170">
        <v>-0.84199999999999997</v>
      </c>
      <c r="X170">
        <v>-0.316</v>
      </c>
      <c r="Y170">
        <v>-0.313</v>
      </c>
      <c r="Z170">
        <v>0.32500000000000001</v>
      </c>
      <c r="AA170">
        <v>-0.104</v>
      </c>
      <c r="AB170">
        <v>7.9000000000000001E-2</v>
      </c>
      <c r="AC170">
        <v>0.73599999999999999</v>
      </c>
      <c r="AD170">
        <v>0.17399999999999999</v>
      </c>
      <c r="AE170">
        <v>-0.66400000000000003</v>
      </c>
      <c r="AF170">
        <v>-0.24</v>
      </c>
      <c r="AG170">
        <v>-0.53800000000000003</v>
      </c>
      <c r="AH170">
        <v>0.63800000000000001</v>
      </c>
      <c r="AI170">
        <v>0.39100000000000001</v>
      </c>
      <c r="AJ170">
        <v>-0.72199999999999998</v>
      </c>
      <c r="AK170">
        <v>-0.25600000000000001</v>
      </c>
      <c r="AL170">
        <v>0.19600000000000001</v>
      </c>
      <c r="AM170">
        <v>-0.82</v>
      </c>
      <c r="AN170">
        <v>4.4999999999999998E-2</v>
      </c>
      <c r="AO170">
        <v>0.60399999999999998</v>
      </c>
      <c r="AP170">
        <v>-0.309</v>
      </c>
      <c r="AQ170">
        <v>-0.45100000000000001</v>
      </c>
      <c r="AR170">
        <v>0.29099999999999998</v>
      </c>
      <c r="AS170">
        <v>-0.19500000000000001</v>
      </c>
      <c r="AT170">
        <v>0.80100000000000005</v>
      </c>
      <c r="AU170">
        <v>-0.59799999999999998</v>
      </c>
      <c r="AV170">
        <v>8.8999999999999996E-2</v>
      </c>
      <c r="AW170">
        <v>0.66200000000000003</v>
      </c>
      <c r="AX170">
        <v>8.4000000000000005E-2</v>
      </c>
      <c r="AY170">
        <v>-0.23699999999999999</v>
      </c>
      <c r="AZ170">
        <v>-0.14599999999999999</v>
      </c>
      <c r="BA170">
        <v>-0.215</v>
      </c>
      <c r="BB170">
        <v>0.42899999999999999</v>
      </c>
      <c r="BC170">
        <v>0.151</v>
      </c>
      <c r="BD170">
        <v>-0.187</v>
      </c>
      <c r="BE170">
        <v>-0.215</v>
      </c>
      <c r="BF170">
        <v>-0.56999999999999995</v>
      </c>
      <c r="BG170">
        <v>0.34599999999999997</v>
      </c>
      <c r="BH170">
        <v>-0.84799999999999998</v>
      </c>
      <c r="BI170">
        <v>0.39800000000000002</v>
      </c>
    </row>
    <row r="171" spans="1:61" x14ac:dyDescent="0.3">
      <c r="A171">
        <v>170</v>
      </c>
      <c r="B171" t="s">
        <v>267</v>
      </c>
      <c r="C171">
        <v>0</v>
      </c>
      <c r="D171">
        <v>0</v>
      </c>
      <c r="J171" t="s">
        <v>178</v>
      </c>
      <c r="K171">
        <v>0.54400000000000004</v>
      </c>
      <c r="L171">
        <v>0.55400000000000005</v>
      </c>
      <c r="M171" t="s">
        <v>53</v>
      </c>
      <c r="N171">
        <v>0</v>
      </c>
      <c r="O171">
        <v>-0.01</v>
      </c>
      <c r="P171">
        <v>-0.85299999999999998</v>
      </c>
      <c r="Q171">
        <v>-0.92600000000000005</v>
      </c>
      <c r="R171">
        <v>-0.94799999999999995</v>
      </c>
      <c r="S171">
        <v>-0.81499999999999995</v>
      </c>
      <c r="T171">
        <v>-0.93300000000000005</v>
      </c>
      <c r="U171">
        <v>-0.71499999999999997</v>
      </c>
      <c r="V171">
        <v>-0.53500000000000003</v>
      </c>
      <c r="W171">
        <v>-0.84399999999999997</v>
      </c>
      <c r="X171">
        <v>-8.4000000000000005E-2</v>
      </c>
      <c r="Y171">
        <v>-8.3000000000000004E-2</v>
      </c>
      <c r="Z171">
        <v>0.53</v>
      </c>
      <c r="AA171">
        <v>0.54100000000000004</v>
      </c>
      <c r="AB171">
        <v>0.252</v>
      </c>
      <c r="AC171">
        <v>-0.443</v>
      </c>
      <c r="AD171">
        <v>-0.88200000000000001</v>
      </c>
      <c r="AE171">
        <v>-0.84299999999999997</v>
      </c>
      <c r="AF171">
        <v>-0.97599999999999998</v>
      </c>
      <c r="AG171">
        <v>-0.83799999999999997</v>
      </c>
      <c r="AH171">
        <v>-0.70899999999999996</v>
      </c>
      <c r="AI171">
        <v>-0.32400000000000001</v>
      </c>
      <c r="AJ171">
        <v>-0.76</v>
      </c>
      <c r="AK171">
        <v>-0.91</v>
      </c>
      <c r="AL171">
        <v>0.40400000000000003</v>
      </c>
      <c r="AM171">
        <v>-0.219</v>
      </c>
      <c r="AN171">
        <v>-0.61199999999999999</v>
      </c>
      <c r="AO171">
        <v>-4.9000000000000002E-2</v>
      </c>
      <c r="AP171">
        <v>0.159</v>
      </c>
      <c r="AQ171">
        <v>-0.66400000000000003</v>
      </c>
      <c r="AR171">
        <v>0.52100000000000002</v>
      </c>
      <c r="AS171">
        <v>-0.42499999999999999</v>
      </c>
      <c r="AT171">
        <v>0.36699999999999999</v>
      </c>
      <c r="AU171">
        <v>0.31</v>
      </c>
      <c r="AV171">
        <v>-9.7000000000000003E-2</v>
      </c>
      <c r="AW171">
        <v>0.94699999999999995</v>
      </c>
      <c r="AX171">
        <v>0.51</v>
      </c>
      <c r="AY171">
        <v>0.36799999999999999</v>
      </c>
      <c r="AZ171">
        <v>-0.26600000000000001</v>
      </c>
      <c r="BA171">
        <v>-0.127</v>
      </c>
      <c r="BB171">
        <v>0.38600000000000001</v>
      </c>
      <c r="BC171">
        <v>0.30299999999999999</v>
      </c>
      <c r="BD171">
        <v>-0.12</v>
      </c>
      <c r="BE171">
        <v>0.64200000000000002</v>
      </c>
      <c r="BF171">
        <v>-5.2999999999999999E-2</v>
      </c>
      <c r="BG171">
        <v>-0.28399999999999997</v>
      </c>
      <c r="BH171">
        <v>-0.254</v>
      </c>
      <c r="BI171">
        <v>-0.67700000000000005</v>
      </c>
    </row>
    <row r="172" spans="1:61" x14ac:dyDescent="0.3">
      <c r="A172">
        <v>171</v>
      </c>
      <c r="B172" t="s">
        <v>234</v>
      </c>
      <c r="C172">
        <v>0</v>
      </c>
      <c r="D172">
        <v>0</v>
      </c>
      <c r="J172" t="s">
        <v>197</v>
      </c>
      <c r="K172">
        <v>0.54300000000000004</v>
      </c>
      <c r="L172">
        <v>0.94699999999999995</v>
      </c>
      <c r="M172" t="s">
        <v>53</v>
      </c>
      <c r="N172">
        <v>0</v>
      </c>
      <c r="O172">
        <v>-1.4999999999999999E-2</v>
      </c>
      <c r="P172">
        <v>-0.82799999999999996</v>
      </c>
      <c r="Q172">
        <v>-0.94399999999999995</v>
      </c>
      <c r="R172">
        <v>-0.92600000000000005</v>
      </c>
      <c r="S172">
        <v>-0.78200000000000003</v>
      </c>
      <c r="T172">
        <v>-0.92100000000000004</v>
      </c>
      <c r="U172">
        <v>-0.67300000000000004</v>
      </c>
      <c r="V172">
        <v>-0.51100000000000001</v>
      </c>
      <c r="W172">
        <v>-0.78600000000000003</v>
      </c>
      <c r="X172">
        <v>-0.32100000000000001</v>
      </c>
      <c r="Y172">
        <v>-0.32100000000000001</v>
      </c>
      <c r="Z172">
        <v>0.58899999999999997</v>
      </c>
      <c r="AA172">
        <v>0.50900000000000001</v>
      </c>
      <c r="AB172">
        <v>0.23499999999999999</v>
      </c>
      <c r="AC172">
        <v>-0.501</v>
      </c>
      <c r="AD172">
        <v>-0.01</v>
      </c>
      <c r="AE172">
        <v>-0.97699999999999998</v>
      </c>
      <c r="AF172">
        <v>-0.94699999999999995</v>
      </c>
      <c r="AG172">
        <v>-1</v>
      </c>
      <c r="AH172">
        <v>-0.97299999999999998</v>
      </c>
      <c r="AI172">
        <v>-0.5</v>
      </c>
      <c r="AJ172">
        <v>-0.11799999999999999</v>
      </c>
      <c r="AK172">
        <v>-0.85399999999999998</v>
      </c>
      <c r="AL172">
        <v>0.316</v>
      </c>
      <c r="AM172">
        <v>-0.45</v>
      </c>
      <c r="AN172">
        <v>-0.218</v>
      </c>
      <c r="AO172">
        <v>0.41499999999999998</v>
      </c>
      <c r="AP172">
        <v>0.27200000000000002</v>
      </c>
      <c r="AQ172">
        <v>-0.34799999999999998</v>
      </c>
      <c r="AR172">
        <v>-1.2999999999999999E-2</v>
      </c>
      <c r="AS172">
        <v>-0.34300000000000003</v>
      </c>
      <c r="AT172">
        <v>-0.115</v>
      </c>
      <c r="AU172">
        <v>0.214</v>
      </c>
      <c r="AV172">
        <v>0.20499999999999999</v>
      </c>
      <c r="AW172">
        <v>0.83899999999999997</v>
      </c>
      <c r="AX172">
        <v>0.25600000000000001</v>
      </c>
      <c r="AY172">
        <v>0.65600000000000003</v>
      </c>
      <c r="AZ172">
        <v>2.3E-2</v>
      </c>
      <c r="BA172">
        <v>-0.247</v>
      </c>
      <c r="BB172">
        <v>0.22</v>
      </c>
      <c r="BC172">
        <v>0.222</v>
      </c>
      <c r="BD172">
        <v>0.437</v>
      </c>
      <c r="BE172">
        <v>0.32800000000000001</v>
      </c>
      <c r="BF172">
        <v>-0.217</v>
      </c>
      <c r="BG172">
        <v>-0.20399999999999999</v>
      </c>
      <c r="BH172">
        <v>-0.14399999999999999</v>
      </c>
      <c r="BI172">
        <v>-0.874</v>
      </c>
    </row>
    <row r="173" spans="1:61" x14ac:dyDescent="0.3">
      <c r="A173">
        <v>172</v>
      </c>
      <c r="B173" t="s">
        <v>85</v>
      </c>
      <c r="C173">
        <v>1.1147111136295899E-2</v>
      </c>
      <c r="D173">
        <v>1.05868248139467E-2</v>
      </c>
      <c r="J173" t="s">
        <v>169</v>
      </c>
      <c r="K173">
        <v>0.54</v>
      </c>
      <c r="L173">
        <v>0.55000000000000004</v>
      </c>
      <c r="M173" t="s">
        <v>57</v>
      </c>
      <c r="N173">
        <v>0</v>
      </c>
      <c r="O173">
        <v>0</v>
      </c>
      <c r="P173">
        <v>-0.77500000000000002</v>
      </c>
      <c r="Q173">
        <v>-0.91300000000000003</v>
      </c>
      <c r="R173">
        <v>-0.747</v>
      </c>
      <c r="S173">
        <v>-0.82699999999999996</v>
      </c>
      <c r="T173">
        <v>-0.89300000000000002</v>
      </c>
      <c r="U173">
        <v>-0.70599999999999996</v>
      </c>
      <c r="V173">
        <v>-0.60399999999999998</v>
      </c>
      <c r="W173">
        <v>-0.88800000000000001</v>
      </c>
      <c r="X173">
        <v>8.0000000000000002E-3</v>
      </c>
      <c r="Y173">
        <v>6.0000000000000001E-3</v>
      </c>
      <c r="Z173">
        <v>0.435</v>
      </c>
      <c r="AA173">
        <v>0.36499999999999999</v>
      </c>
      <c r="AB173">
        <v>0.14499999999999999</v>
      </c>
      <c r="AC173">
        <v>-0.94099999999999995</v>
      </c>
      <c r="AD173">
        <v>0.26700000000000002</v>
      </c>
      <c r="AE173">
        <v>-0.85</v>
      </c>
      <c r="AF173">
        <v>-0.746</v>
      </c>
      <c r="AG173">
        <v>-0.94299999999999995</v>
      </c>
      <c r="AH173">
        <v>-0.46100000000000002</v>
      </c>
      <c r="AI173">
        <v>-0.252</v>
      </c>
      <c r="AJ173">
        <v>-0.56499999999999995</v>
      </c>
      <c r="AK173">
        <v>-0.33100000000000002</v>
      </c>
      <c r="AL173">
        <v>0.38</v>
      </c>
      <c r="AM173">
        <v>-0.60199999999999998</v>
      </c>
      <c r="AN173">
        <v>-0.621</v>
      </c>
      <c r="AO173">
        <v>0.375</v>
      </c>
      <c r="AP173">
        <v>0.29499999999999998</v>
      </c>
      <c r="AQ173">
        <v>-0.19</v>
      </c>
      <c r="AR173">
        <v>-3.5000000000000003E-2</v>
      </c>
      <c r="AS173">
        <v>-0.188</v>
      </c>
      <c r="AT173">
        <v>-0.57299999999999995</v>
      </c>
      <c r="AU173">
        <v>0.06</v>
      </c>
      <c r="AV173">
        <v>-0.185</v>
      </c>
      <c r="AW173">
        <v>0.63900000000000001</v>
      </c>
      <c r="AX173">
        <v>0.64800000000000002</v>
      </c>
      <c r="AY173">
        <v>0.32600000000000001</v>
      </c>
      <c r="AZ173">
        <v>-0.26200000000000001</v>
      </c>
      <c r="BA173">
        <v>-0.54300000000000004</v>
      </c>
      <c r="BB173">
        <v>-1.7000000000000001E-2</v>
      </c>
      <c r="BC173">
        <v>0.42</v>
      </c>
      <c r="BD173">
        <v>0.33100000000000002</v>
      </c>
      <c r="BE173">
        <v>0.438</v>
      </c>
      <c r="BF173">
        <v>-0.501</v>
      </c>
      <c r="BG173">
        <v>0.82699999999999996</v>
      </c>
      <c r="BH173">
        <v>0.54800000000000004</v>
      </c>
      <c r="BI173">
        <v>-0.379</v>
      </c>
    </row>
    <row r="174" spans="1:61" x14ac:dyDescent="0.3">
      <c r="A174">
        <v>173</v>
      </c>
      <c r="B174" t="s">
        <v>228</v>
      </c>
      <c r="C174">
        <v>0</v>
      </c>
      <c r="D174">
        <v>0</v>
      </c>
      <c r="J174" t="s">
        <v>238</v>
      </c>
      <c r="K174">
        <v>0.54</v>
      </c>
      <c r="L174">
        <v>0.46600000000000003</v>
      </c>
      <c r="M174" t="s">
        <v>68</v>
      </c>
      <c r="N174">
        <v>0</v>
      </c>
      <c r="O174">
        <v>0</v>
      </c>
      <c r="P174">
        <v>-0.77500000000000002</v>
      </c>
      <c r="Q174">
        <v>-0.56999999999999995</v>
      </c>
      <c r="R174">
        <v>-0.68100000000000005</v>
      </c>
      <c r="S174">
        <v>-0.872</v>
      </c>
      <c r="T174">
        <v>-0.78700000000000003</v>
      </c>
      <c r="U174">
        <v>-0.82399999999999995</v>
      </c>
      <c r="V174">
        <v>-0.81899999999999995</v>
      </c>
      <c r="W174">
        <v>-0.81399999999999995</v>
      </c>
      <c r="X174">
        <v>-0.36499999999999999</v>
      </c>
      <c r="Y174">
        <v>-0.36299999999999999</v>
      </c>
      <c r="Z174">
        <v>-8.2000000000000003E-2</v>
      </c>
      <c r="AA174">
        <v>0.504</v>
      </c>
      <c r="AB174">
        <v>0.35299999999999998</v>
      </c>
      <c r="AC174">
        <v>-0.90200000000000002</v>
      </c>
      <c r="AD174">
        <v>-0.748</v>
      </c>
      <c r="AE174">
        <v>0.09</v>
      </c>
      <c r="AF174">
        <v>4.5999999999999999E-2</v>
      </c>
      <c r="AG174">
        <v>0.55100000000000005</v>
      </c>
      <c r="AH174">
        <v>-0.71699999999999997</v>
      </c>
      <c r="AI174">
        <v>8.5999999999999993E-2</v>
      </c>
      <c r="AJ174">
        <v>-0.61899999999999999</v>
      </c>
      <c r="AK174">
        <v>-0.112</v>
      </c>
      <c r="AL174">
        <v>-0.50900000000000001</v>
      </c>
      <c r="AM174">
        <v>-0.14599999999999999</v>
      </c>
      <c r="AN174">
        <v>0.873</v>
      </c>
      <c r="AO174">
        <v>-0.63200000000000001</v>
      </c>
      <c r="AP174">
        <v>-1</v>
      </c>
      <c r="AQ174">
        <v>-0.81899999999999995</v>
      </c>
      <c r="AR174">
        <v>-0.29299999999999998</v>
      </c>
      <c r="AS174">
        <v>-0.71799999999999997</v>
      </c>
      <c r="AT174">
        <v>-0.77600000000000002</v>
      </c>
      <c r="AU174">
        <v>0.32700000000000001</v>
      </c>
      <c r="AV174">
        <v>-0.27</v>
      </c>
      <c r="AW174">
        <v>0.40100000000000002</v>
      </c>
      <c r="AX174">
        <v>-5.0000000000000001E-3</v>
      </c>
      <c r="AY174">
        <v>4.0000000000000001E-3</v>
      </c>
      <c r="AZ174">
        <v>0.71399999999999997</v>
      </c>
      <c r="BA174">
        <v>0.433</v>
      </c>
      <c r="BB174">
        <v>0.23499999999999999</v>
      </c>
      <c r="BC174">
        <v>8.9999999999999993E-3</v>
      </c>
      <c r="BD174">
        <v>0.11</v>
      </c>
      <c r="BE174">
        <v>0.35899999999999999</v>
      </c>
      <c r="BF174">
        <v>0.17699999999999999</v>
      </c>
      <c r="BG174">
        <v>0.71699999999999997</v>
      </c>
      <c r="BH174">
        <v>-3.0000000000000001E-3</v>
      </c>
      <c r="BI174">
        <v>0.378</v>
      </c>
    </row>
    <row r="175" spans="1:61" x14ac:dyDescent="0.3">
      <c r="A175">
        <v>174</v>
      </c>
      <c r="B175" t="s">
        <v>255</v>
      </c>
      <c r="C175">
        <v>0</v>
      </c>
      <c r="D175">
        <v>0</v>
      </c>
      <c r="J175" t="s">
        <v>170</v>
      </c>
      <c r="K175">
        <v>0.53600000000000003</v>
      </c>
      <c r="L175">
        <v>0.45500000000000002</v>
      </c>
      <c r="M175" t="s">
        <v>57</v>
      </c>
      <c r="N175">
        <v>0</v>
      </c>
      <c r="O175">
        <v>0</v>
      </c>
      <c r="P175">
        <v>-0.75</v>
      </c>
      <c r="Q175">
        <v>-0.82699999999999996</v>
      </c>
      <c r="R175">
        <v>-0.75</v>
      </c>
      <c r="S175">
        <v>-0.78900000000000003</v>
      </c>
      <c r="T175">
        <v>-0.83399999999999996</v>
      </c>
      <c r="U175">
        <v>-0.81</v>
      </c>
      <c r="V175">
        <v>-0.80600000000000005</v>
      </c>
      <c r="W175">
        <v>-0.879</v>
      </c>
      <c r="X175">
        <v>-0.26800000000000002</v>
      </c>
      <c r="Y175">
        <v>-0.26800000000000002</v>
      </c>
      <c r="Z175">
        <v>0.45800000000000002</v>
      </c>
      <c r="AA175">
        <v>0.42199999999999999</v>
      </c>
      <c r="AB175">
        <v>0.20200000000000001</v>
      </c>
      <c r="AC175">
        <v>-0.6</v>
      </c>
      <c r="AD175">
        <v>-0.17299999999999999</v>
      </c>
      <c r="AE175">
        <v>-0.625</v>
      </c>
      <c r="AF175">
        <v>-0.33100000000000002</v>
      </c>
      <c r="AG175">
        <v>-0.21099999999999999</v>
      </c>
      <c r="AH175">
        <v>-0.28000000000000003</v>
      </c>
      <c r="AI175">
        <v>-0.28399999999999997</v>
      </c>
      <c r="AJ175">
        <v>-0.57199999999999995</v>
      </c>
      <c r="AK175">
        <v>-0.34399999999999997</v>
      </c>
      <c r="AL175">
        <v>0.193</v>
      </c>
      <c r="AM175">
        <v>-0.56699999999999995</v>
      </c>
      <c r="AN175">
        <v>0.115</v>
      </c>
      <c r="AO175">
        <v>0.35399999999999998</v>
      </c>
      <c r="AP175">
        <v>0.27400000000000002</v>
      </c>
      <c r="AQ175">
        <v>0.17499999999999999</v>
      </c>
      <c r="AR175">
        <v>0.14199999999999999</v>
      </c>
      <c r="AS175">
        <v>-0.45100000000000001</v>
      </c>
      <c r="AT175">
        <v>-0.183</v>
      </c>
      <c r="AU175">
        <v>-0.40799999999999997</v>
      </c>
      <c r="AV175">
        <v>-0.42499999999999999</v>
      </c>
      <c r="AW175">
        <v>0.65200000000000002</v>
      </c>
      <c r="AX175">
        <v>0.23499999999999999</v>
      </c>
      <c r="AY175">
        <v>0.42299999999999999</v>
      </c>
      <c r="AZ175">
        <v>-0.309</v>
      </c>
      <c r="BA175">
        <v>-0.70299999999999996</v>
      </c>
      <c r="BB175">
        <v>0.21199999999999999</v>
      </c>
      <c r="BC175">
        <v>-0.113</v>
      </c>
      <c r="BD175">
        <v>0.11799999999999999</v>
      </c>
      <c r="BE175">
        <v>-3.3000000000000002E-2</v>
      </c>
      <c r="BF175">
        <v>-8.3000000000000004E-2</v>
      </c>
      <c r="BG175">
        <v>0.29899999999999999</v>
      </c>
      <c r="BH175">
        <v>-0.17100000000000001</v>
      </c>
      <c r="BI175">
        <v>3.5000000000000003E-2</v>
      </c>
    </row>
    <row r="176" spans="1:61" x14ac:dyDescent="0.3">
      <c r="A176">
        <v>175</v>
      </c>
      <c r="B176" t="s">
        <v>138</v>
      </c>
      <c r="C176">
        <v>0</v>
      </c>
      <c r="D176">
        <v>0</v>
      </c>
      <c r="J176" t="s">
        <v>217</v>
      </c>
      <c r="K176">
        <v>0.53500000000000003</v>
      </c>
      <c r="L176">
        <v>0.50600000000000001</v>
      </c>
      <c r="M176" t="s">
        <v>57</v>
      </c>
      <c r="N176">
        <v>0</v>
      </c>
      <c r="O176">
        <v>0</v>
      </c>
      <c r="P176">
        <v>-0.75900000000000001</v>
      </c>
      <c r="Q176">
        <v>-0.86399999999999999</v>
      </c>
      <c r="R176">
        <v>-0.84699999999999998</v>
      </c>
      <c r="S176">
        <v>-0.81799999999999995</v>
      </c>
      <c r="T176">
        <v>-0.9</v>
      </c>
      <c r="U176">
        <v>-0.79300000000000004</v>
      </c>
      <c r="V176">
        <v>-0.75900000000000001</v>
      </c>
      <c r="W176">
        <v>-0.88500000000000001</v>
      </c>
      <c r="X176">
        <v>-0.16200000000000001</v>
      </c>
      <c r="Y176">
        <v>-0.16200000000000001</v>
      </c>
      <c r="Z176">
        <v>0.375</v>
      </c>
      <c r="AA176">
        <v>0.44</v>
      </c>
      <c r="AB176">
        <v>0.18</v>
      </c>
      <c r="AC176">
        <v>-0.97399999999999998</v>
      </c>
      <c r="AD176">
        <v>-0.17</v>
      </c>
      <c r="AE176">
        <v>-0.754</v>
      </c>
      <c r="AF176">
        <v>-0.98399999999999999</v>
      </c>
      <c r="AG176">
        <v>-0.89900000000000002</v>
      </c>
      <c r="AH176">
        <v>-0.72</v>
      </c>
      <c r="AI176">
        <v>-0.28799999999999998</v>
      </c>
      <c r="AJ176">
        <v>-0.72699999999999998</v>
      </c>
      <c r="AK176">
        <v>-0.63800000000000001</v>
      </c>
      <c r="AL176">
        <v>0.371</v>
      </c>
      <c r="AM176">
        <v>-0.33100000000000002</v>
      </c>
      <c r="AN176">
        <v>-2.5999999999999999E-2</v>
      </c>
      <c r="AO176">
        <v>0.41099999999999998</v>
      </c>
      <c r="AP176">
        <v>0.47099999999999997</v>
      </c>
      <c r="AQ176">
        <v>0.22700000000000001</v>
      </c>
      <c r="AR176">
        <v>4.5999999999999999E-2</v>
      </c>
      <c r="AS176">
        <v>-0.22900000000000001</v>
      </c>
      <c r="AT176">
        <v>-0.432</v>
      </c>
      <c r="AU176">
        <v>-4.2999999999999997E-2</v>
      </c>
      <c r="AV176">
        <v>-0.24299999999999999</v>
      </c>
      <c r="AW176">
        <v>-6.8000000000000005E-2</v>
      </c>
      <c r="AX176">
        <v>0.13900000000000001</v>
      </c>
      <c r="AY176">
        <v>0.51300000000000001</v>
      </c>
      <c r="AZ176">
        <v>-0.156</v>
      </c>
      <c r="BA176">
        <v>-0.05</v>
      </c>
      <c r="BB176">
        <v>0.17499999999999999</v>
      </c>
      <c r="BC176">
        <v>5.2999999999999999E-2</v>
      </c>
      <c r="BD176">
        <v>-0.26700000000000002</v>
      </c>
      <c r="BE176">
        <v>-6.6000000000000003E-2</v>
      </c>
      <c r="BF176">
        <v>-3.5000000000000003E-2</v>
      </c>
      <c r="BG176">
        <v>0.505</v>
      </c>
      <c r="BH176">
        <v>0.60099999999999998</v>
      </c>
      <c r="BI176">
        <v>-0.65</v>
      </c>
    </row>
    <row r="177" spans="1:61" x14ac:dyDescent="0.3">
      <c r="A177">
        <v>176</v>
      </c>
      <c r="B177" t="s">
        <v>186</v>
      </c>
      <c r="C177">
        <v>0</v>
      </c>
      <c r="D177">
        <v>0</v>
      </c>
      <c r="J177" t="s">
        <v>231</v>
      </c>
      <c r="K177">
        <v>0.53400000000000003</v>
      </c>
      <c r="L177">
        <v>0.51800000000000002</v>
      </c>
      <c r="M177" t="s">
        <v>71</v>
      </c>
      <c r="N177">
        <v>0</v>
      </c>
      <c r="O177">
        <v>0</v>
      </c>
      <c r="P177">
        <v>-0.93100000000000005</v>
      </c>
      <c r="Q177">
        <v>-0.92100000000000004</v>
      </c>
      <c r="R177">
        <v>-0.95699999999999996</v>
      </c>
      <c r="S177">
        <v>-0.91200000000000003</v>
      </c>
      <c r="T177">
        <v>-0.95099999999999996</v>
      </c>
      <c r="U177">
        <v>-0.84299999999999997</v>
      </c>
      <c r="V177">
        <v>-0.85499999999999998</v>
      </c>
      <c r="W177">
        <v>-0.86599999999999999</v>
      </c>
      <c r="X177">
        <v>-9.6000000000000002E-2</v>
      </c>
      <c r="Y177">
        <v>-9.5000000000000001E-2</v>
      </c>
      <c r="Z177">
        <v>0.53600000000000003</v>
      </c>
      <c r="AA177">
        <v>0.52900000000000003</v>
      </c>
      <c r="AB177">
        <v>0.316</v>
      </c>
      <c r="AC177">
        <v>-0.94099999999999995</v>
      </c>
      <c r="AD177">
        <v>-0.93300000000000005</v>
      </c>
      <c r="AE177">
        <v>-0.47499999999999998</v>
      </c>
      <c r="AF177">
        <v>-0.83399999999999996</v>
      </c>
      <c r="AG177">
        <v>-0.36199999999999999</v>
      </c>
      <c r="AH177">
        <v>-0.81299999999999994</v>
      </c>
      <c r="AI177">
        <v>-0.48199999999999998</v>
      </c>
      <c r="AJ177">
        <v>-0.84599999999999997</v>
      </c>
      <c r="AK177">
        <v>-0.69699999999999995</v>
      </c>
      <c r="AL177">
        <v>-0.14499999999999999</v>
      </c>
      <c r="AM177">
        <v>4.0000000000000001E-3</v>
      </c>
      <c r="AN177">
        <v>0.34899999999999998</v>
      </c>
      <c r="AO177">
        <v>-4.8000000000000001E-2</v>
      </c>
      <c r="AP177">
        <v>-0.40100000000000002</v>
      </c>
      <c r="AQ177">
        <v>-0.71799999999999997</v>
      </c>
      <c r="AR177">
        <v>0.152</v>
      </c>
      <c r="AS177">
        <v>-0.55600000000000005</v>
      </c>
      <c r="AT177">
        <v>-0.52200000000000002</v>
      </c>
      <c r="AU177">
        <v>0.45200000000000001</v>
      </c>
      <c r="AV177">
        <v>-3.1E-2</v>
      </c>
      <c r="AW177">
        <v>0.72799999999999998</v>
      </c>
      <c r="AX177">
        <v>0.59099999999999997</v>
      </c>
      <c r="AY177">
        <v>0.52700000000000002</v>
      </c>
      <c r="AZ177">
        <v>-0.95199999999999996</v>
      </c>
      <c r="BA177">
        <v>-0.76800000000000002</v>
      </c>
      <c r="BB177">
        <v>-0.17799999999999999</v>
      </c>
      <c r="BC177">
        <v>-1</v>
      </c>
      <c r="BD177">
        <v>-0.98399999999999999</v>
      </c>
      <c r="BE177">
        <v>0</v>
      </c>
      <c r="BF177">
        <v>-0.314</v>
      </c>
      <c r="BG177">
        <v>-0.316</v>
      </c>
      <c r="BH177">
        <v>0.35099999999999998</v>
      </c>
      <c r="BI177">
        <v>-7.6999999999999999E-2</v>
      </c>
    </row>
    <row r="178" spans="1:61" x14ac:dyDescent="0.3">
      <c r="A178">
        <v>177</v>
      </c>
      <c r="B178" t="s">
        <v>230</v>
      </c>
      <c r="C178">
        <v>0</v>
      </c>
      <c r="D178">
        <v>0</v>
      </c>
      <c r="J178" t="s">
        <v>257</v>
      </c>
      <c r="K178">
        <v>0.53400000000000003</v>
      </c>
      <c r="L178">
        <v>0.39800000000000002</v>
      </c>
      <c r="M178" t="s">
        <v>57</v>
      </c>
      <c r="N178">
        <v>0</v>
      </c>
      <c r="O178">
        <v>-1E-3</v>
      </c>
      <c r="P178">
        <v>-0.78300000000000003</v>
      </c>
      <c r="Q178">
        <v>-0.68600000000000005</v>
      </c>
      <c r="R178">
        <v>-0.85</v>
      </c>
      <c r="S178">
        <v>-0.83899999999999997</v>
      </c>
      <c r="T178">
        <v>-0.84199999999999997</v>
      </c>
      <c r="U178">
        <v>-0.81200000000000006</v>
      </c>
      <c r="V178">
        <v>-0.75700000000000001</v>
      </c>
      <c r="W178">
        <v>-0.83399999999999996</v>
      </c>
      <c r="X178">
        <v>-0.20499999999999999</v>
      </c>
      <c r="Y178">
        <v>-0.20799999999999999</v>
      </c>
      <c r="Z178">
        <v>0.25</v>
      </c>
      <c r="AA178">
        <v>-3.1E-2</v>
      </c>
      <c r="AB178">
        <v>0.245</v>
      </c>
      <c r="AC178">
        <v>-0.65900000000000003</v>
      </c>
      <c r="AD178">
        <v>-0.64900000000000002</v>
      </c>
      <c r="AE178">
        <v>-0.71399999999999997</v>
      </c>
      <c r="AF178">
        <v>-0.436</v>
      </c>
      <c r="AG178">
        <v>-0.42699999999999999</v>
      </c>
      <c r="AH178">
        <v>-0.81100000000000005</v>
      </c>
      <c r="AI178">
        <v>-3.2000000000000001E-2</v>
      </c>
      <c r="AJ178">
        <v>-0.41899999999999998</v>
      </c>
      <c r="AK178">
        <v>-0.17699999999999999</v>
      </c>
      <c r="AL178">
        <v>0.35499999999999998</v>
      </c>
      <c r="AM178">
        <v>-0.19800000000000001</v>
      </c>
      <c r="AN178">
        <v>-0.192</v>
      </c>
      <c r="AO178">
        <v>-0.12</v>
      </c>
      <c r="AP178">
        <v>9.6000000000000002E-2</v>
      </c>
      <c r="AQ178">
        <v>0.24399999999999999</v>
      </c>
      <c r="AR178">
        <v>1.4E-2</v>
      </c>
      <c r="AS178">
        <v>0.123</v>
      </c>
      <c r="AT178">
        <v>-0.39700000000000002</v>
      </c>
      <c r="AU178">
        <v>-0.68700000000000006</v>
      </c>
      <c r="AV178">
        <v>-0.36099999999999999</v>
      </c>
      <c r="AW178">
        <v>-0.13800000000000001</v>
      </c>
      <c r="AX178">
        <v>0.125</v>
      </c>
      <c r="AY178">
        <v>-2.3E-2</v>
      </c>
      <c r="AZ178">
        <v>-0.1</v>
      </c>
      <c r="BA178">
        <v>-8.4000000000000005E-2</v>
      </c>
      <c r="BB178">
        <v>0.13700000000000001</v>
      </c>
      <c r="BC178">
        <v>0.30199999999999999</v>
      </c>
      <c r="BD178">
        <v>-3.0000000000000001E-3</v>
      </c>
      <c r="BE178">
        <v>-1.7000000000000001E-2</v>
      </c>
      <c r="BF178">
        <v>0.47099999999999997</v>
      </c>
      <c r="BG178">
        <v>0.97799999999999998</v>
      </c>
      <c r="BH178">
        <v>-0.64200000000000002</v>
      </c>
      <c r="BI178">
        <v>0.308</v>
      </c>
    </row>
    <row r="179" spans="1:61" x14ac:dyDescent="0.3">
      <c r="A179">
        <v>178</v>
      </c>
      <c r="B179" t="s">
        <v>182</v>
      </c>
      <c r="C179">
        <v>0</v>
      </c>
      <c r="D179">
        <v>0</v>
      </c>
      <c r="J179" t="s">
        <v>251</v>
      </c>
      <c r="K179">
        <v>0.53400000000000003</v>
      </c>
      <c r="L179">
        <v>0.374</v>
      </c>
      <c r="M179" t="s">
        <v>55</v>
      </c>
      <c r="N179">
        <v>0</v>
      </c>
      <c r="O179">
        <v>0</v>
      </c>
      <c r="P179">
        <v>-0.67800000000000005</v>
      </c>
      <c r="Q179">
        <v>-0.28199999999999997</v>
      </c>
      <c r="R179">
        <v>-0.155</v>
      </c>
      <c r="S179">
        <v>-0.874</v>
      </c>
      <c r="T179">
        <v>-0.58499999999999996</v>
      </c>
      <c r="U179">
        <v>-0.83499999999999996</v>
      </c>
      <c r="V179">
        <v>-0.879</v>
      </c>
      <c r="W179">
        <v>-0.93500000000000005</v>
      </c>
      <c r="X179">
        <v>-0.26700000000000002</v>
      </c>
      <c r="Y179">
        <v>-0.26700000000000002</v>
      </c>
      <c r="Z179">
        <v>0.121</v>
      </c>
      <c r="AA179">
        <v>-0.27</v>
      </c>
      <c r="AB179">
        <v>0.14099999999999999</v>
      </c>
      <c r="AC179">
        <v>-0.61499999999999999</v>
      </c>
      <c r="AD179">
        <v>-0.20599999999999999</v>
      </c>
      <c r="AE179">
        <v>-0.32400000000000001</v>
      </c>
      <c r="AF179">
        <v>1</v>
      </c>
      <c r="AG179">
        <v>-0.34</v>
      </c>
      <c r="AH179">
        <v>-0.57799999999999996</v>
      </c>
      <c r="AI179">
        <v>0.68600000000000005</v>
      </c>
      <c r="AJ179">
        <v>-1</v>
      </c>
      <c r="AK179">
        <v>0.79800000000000004</v>
      </c>
      <c r="AL179">
        <v>-0.27200000000000002</v>
      </c>
      <c r="AM179">
        <v>-0.65300000000000002</v>
      </c>
      <c r="AN179">
        <v>-0.66900000000000004</v>
      </c>
      <c r="AO179">
        <v>-0.45700000000000002</v>
      </c>
      <c r="AP179">
        <v>-0.68200000000000005</v>
      </c>
      <c r="AQ179">
        <v>-0.437</v>
      </c>
      <c r="AR179">
        <v>-0.26400000000000001</v>
      </c>
      <c r="AS179">
        <v>-0.40500000000000003</v>
      </c>
      <c r="AT179">
        <v>-0.81499999999999995</v>
      </c>
      <c r="AU179">
        <v>-0.61499999999999999</v>
      </c>
      <c r="AV179">
        <v>-0.39300000000000002</v>
      </c>
      <c r="AW179">
        <v>0.54100000000000004</v>
      </c>
      <c r="AX179">
        <v>0.875</v>
      </c>
      <c r="AY179">
        <v>0.67900000000000005</v>
      </c>
      <c r="AZ179">
        <v>-0.376</v>
      </c>
      <c r="BA179">
        <v>0.16800000000000001</v>
      </c>
      <c r="BB179">
        <v>-7.0999999999999994E-2</v>
      </c>
      <c r="BC179">
        <v>-6.0999999999999999E-2</v>
      </c>
      <c r="BD179">
        <v>-1.4999999999999999E-2</v>
      </c>
      <c r="BE179">
        <v>0.08</v>
      </c>
      <c r="BF179">
        <v>0.97199999999999998</v>
      </c>
      <c r="BG179">
        <v>-6.9000000000000006E-2</v>
      </c>
      <c r="BH179">
        <v>0.45400000000000001</v>
      </c>
      <c r="BI179">
        <v>1</v>
      </c>
    </row>
    <row r="180" spans="1:61" x14ac:dyDescent="0.3">
      <c r="A180">
        <v>179</v>
      </c>
      <c r="B180" t="s">
        <v>60</v>
      </c>
      <c r="C180">
        <v>1.6684757267521499E-2</v>
      </c>
      <c r="D180">
        <v>9.8152608532596896E-3</v>
      </c>
      <c r="J180" t="s">
        <v>187</v>
      </c>
      <c r="K180">
        <v>0.53300000000000003</v>
      </c>
      <c r="L180">
        <v>0.46200000000000002</v>
      </c>
      <c r="M180" t="s">
        <v>53</v>
      </c>
      <c r="N180">
        <v>0</v>
      </c>
      <c r="O180">
        <v>0</v>
      </c>
      <c r="P180">
        <v>-0.86399999999999999</v>
      </c>
      <c r="Q180">
        <v>-0.92300000000000004</v>
      </c>
      <c r="R180">
        <v>-0.85299999999999998</v>
      </c>
      <c r="S180">
        <v>-0.84299999999999997</v>
      </c>
      <c r="T180">
        <v>-0.89600000000000002</v>
      </c>
      <c r="U180">
        <v>-0.84299999999999997</v>
      </c>
      <c r="V180">
        <v>-0.8</v>
      </c>
      <c r="W180">
        <v>-0.90500000000000003</v>
      </c>
      <c r="X180">
        <v>-4.7E-2</v>
      </c>
      <c r="Y180">
        <v>-4.7E-2</v>
      </c>
      <c r="Z180">
        <v>0.51200000000000001</v>
      </c>
      <c r="AA180">
        <v>0.52800000000000002</v>
      </c>
      <c r="AB180">
        <v>0.184</v>
      </c>
      <c r="AC180">
        <v>-0.501</v>
      </c>
      <c r="AD180">
        <v>-0.317</v>
      </c>
      <c r="AE180">
        <v>-0.83099999999999996</v>
      </c>
      <c r="AF180">
        <v>-0.67</v>
      </c>
      <c r="AG180">
        <v>-0.93600000000000005</v>
      </c>
      <c r="AH180">
        <v>-0.58699999999999997</v>
      </c>
      <c r="AI180">
        <v>7.3999999999999996E-2</v>
      </c>
      <c r="AJ180">
        <v>-0.52500000000000002</v>
      </c>
      <c r="AK180">
        <v>-0.14699999999999999</v>
      </c>
      <c r="AL180">
        <v>0.747</v>
      </c>
      <c r="AM180">
        <v>-0.69899999999999995</v>
      </c>
      <c r="AN180">
        <v>-0.373</v>
      </c>
      <c r="AO180">
        <v>0.223</v>
      </c>
      <c r="AP180">
        <v>-0.17599999999999999</v>
      </c>
      <c r="AQ180">
        <v>-0.86899999999999999</v>
      </c>
      <c r="AR180">
        <v>0.45300000000000001</v>
      </c>
      <c r="AS180">
        <v>-0.46899999999999997</v>
      </c>
      <c r="AT180">
        <v>-0.28599999999999998</v>
      </c>
      <c r="AU180">
        <v>0.06</v>
      </c>
      <c r="AV180">
        <v>0.189</v>
      </c>
      <c r="AW180">
        <v>0.94899999999999995</v>
      </c>
      <c r="AX180">
        <v>9.7000000000000003E-2</v>
      </c>
      <c r="AY180">
        <v>2.3E-2</v>
      </c>
      <c r="AZ180">
        <v>-0.52600000000000002</v>
      </c>
      <c r="BA180">
        <v>-0.312</v>
      </c>
      <c r="BB180">
        <v>6.7000000000000004E-2</v>
      </c>
      <c r="BC180">
        <v>-0.29799999999999999</v>
      </c>
      <c r="BD180">
        <v>-9.0999999999999998E-2</v>
      </c>
      <c r="BE180">
        <v>-0.16500000000000001</v>
      </c>
      <c r="BF180">
        <v>0.152</v>
      </c>
      <c r="BG180">
        <v>-0.36</v>
      </c>
      <c r="BH180">
        <v>8.6999999999999994E-2</v>
      </c>
      <c r="BI180">
        <v>-7.2999999999999995E-2</v>
      </c>
    </row>
    <row r="181" spans="1:61" x14ac:dyDescent="0.3">
      <c r="A181">
        <v>180</v>
      </c>
      <c r="B181" t="s">
        <v>261</v>
      </c>
      <c r="C181">
        <v>0</v>
      </c>
      <c r="D181">
        <v>0</v>
      </c>
      <c r="J181" t="s">
        <v>157</v>
      </c>
      <c r="K181">
        <v>0.53200000000000003</v>
      </c>
      <c r="L181">
        <v>0.39600000000000002</v>
      </c>
      <c r="M181" t="s">
        <v>57</v>
      </c>
      <c r="N181">
        <v>0</v>
      </c>
      <c r="O181">
        <v>-1E-3</v>
      </c>
      <c r="P181">
        <v>-0.67200000000000004</v>
      </c>
      <c r="Q181">
        <v>-0.46</v>
      </c>
      <c r="R181">
        <v>-0.52900000000000003</v>
      </c>
      <c r="S181">
        <v>-0.56899999999999995</v>
      </c>
      <c r="T181">
        <v>-0.40899999999999997</v>
      </c>
      <c r="U181">
        <v>-0.77200000000000002</v>
      </c>
      <c r="V181">
        <v>-0.752</v>
      </c>
      <c r="W181">
        <v>-0.88</v>
      </c>
      <c r="X181">
        <v>-0.28199999999999997</v>
      </c>
      <c r="Y181">
        <v>-0.28000000000000003</v>
      </c>
      <c r="Z181">
        <v>-0.20300000000000001</v>
      </c>
      <c r="AA181">
        <v>-1</v>
      </c>
      <c r="AB181">
        <v>0.23200000000000001</v>
      </c>
      <c r="AC181">
        <v>6.4000000000000001E-2</v>
      </c>
      <c r="AD181">
        <v>0.78900000000000003</v>
      </c>
      <c r="AE181">
        <v>-0.13900000000000001</v>
      </c>
      <c r="AF181">
        <v>0.19400000000000001</v>
      </c>
      <c r="AG181">
        <v>-0.70699999999999996</v>
      </c>
      <c r="AH181">
        <v>-0.20899999999999999</v>
      </c>
      <c r="AI181">
        <v>0.69599999999999995</v>
      </c>
      <c r="AJ181">
        <v>-0.93</v>
      </c>
      <c r="AK181">
        <v>0.20699999999999999</v>
      </c>
      <c r="AL181">
        <v>0.20200000000000001</v>
      </c>
      <c r="AM181">
        <v>-0.55800000000000005</v>
      </c>
      <c r="AN181">
        <v>-0.56999999999999995</v>
      </c>
      <c r="AO181">
        <v>0.34799999999999998</v>
      </c>
      <c r="AP181">
        <v>-0.98399999999999999</v>
      </c>
      <c r="AQ181">
        <v>-0.29199999999999998</v>
      </c>
      <c r="AR181">
        <v>0.29199999999999998</v>
      </c>
      <c r="AS181">
        <v>-0.16900000000000001</v>
      </c>
      <c r="AT181">
        <v>-0.20699999999999999</v>
      </c>
      <c r="AU181">
        <v>-0.78800000000000003</v>
      </c>
      <c r="AV181">
        <v>-0.22</v>
      </c>
      <c r="AW181">
        <v>0.32100000000000001</v>
      </c>
      <c r="AX181">
        <v>-0.91200000000000003</v>
      </c>
      <c r="AY181">
        <v>-0.14599999999999999</v>
      </c>
      <c r="AZ181">
        <v>0.11799999999999999</v>
      </c>
      <c r="BA181">
        <v>6.8000000000000005E-2</v>
      </c>
      <c r="BB181">
        <v>0.25700000000000001</v>
      </c>
      <c r="BC181">
        <v>0.80500000000000005</v>
      </c>
      <c r="BD181">
        <v>0.97099999999999997</v>
      </c>
      <c r="BE181">
        <v>0.38400000000000001</v>
      </c>
      <c r="BF181">
        <v>1</v>
      </c>
      <c r="BG181">
        <v>0.123</v>
      </c>
      <c r="BH181">
        <v>-0.89600000000000002</v>
      </c>
      <c r="BI181">
        <v>-0.36499999999999999</v>
      </c>
    </row>
    <row r="182" spans="1:61" x14ac:dyDescent="0.3">
      <c r="A182">
        <v>181</v>
      </c>
      <c r="B182" t="s">
        <v>178</v>
      </c>
      <c r="C182">
        <v>0</v>
      </c>
      <c r="D182">
        <v>0</v>
      </c>
      <c r="J182" t="s">
        <v>223</v>
      </c>
      <c r="K182">
        <v>0.53100000000000003</v>
      </c>
      <c r="L182">
        <v>0.57099999999999995</v>
      </c>
      <c r="M182" t="s">
        <v>68</v>
      </c>
      <c r="N182">
        <v>0</v>
      </c>
      <c r="O182">
        <v>0</v>
      </c>
      <c r="P182">
        <v>-0.95199999999999996</v>
      </c>
      <c r="Q182">
        <v>-0.90600000000000003</v>
      </c>
      <c r="R182">
        <v>-0.91800000000000004</v>
      </c>
      <c r="S182">
        <v>-0.92800000000000005</v>
      </c>
      <c r="T182">
        <v>-0.93</v>
      </c>
      <c r="U182">
        <v>-0.93799999999999994</v>
      </c>
      <c r="V182">
        <v>-0.89300000000000002</v>
      </c>
      <c r="W182">
        <v>-0.88600000000000001</v>
      </c>
      <c r="X182">
        <v>5.3999999999999999E-2</v>
      </c>
      <c r="Y182">
        <v>4.7E-2</v>
      </c>
      <c r="Z182">
        <v>0.437</v>
      </c>
      <c r="AA182">
        <v>0.45200000000000001</v>
      </c>
      <c r="AB182">
        <v>0.27200000000000002</v>
      </c>
      <c r="AC182">
        <v>-0.96599999999999997</v>
      </c>
      <c r="AD182">
        <v>-1</v>
      </c>
      <c r="AE182">
        <v>-0.47899999999999998</v>
      </c>
      <c r="AF182">
        <v>-0.47699999999999998</v>
      </c>
      <c r="AG182">
        <v>1</v>
      </c>
      <c r="AH182">
        <v>-0.58499999999999996</v>
      </c>
      <c r="AI182">
        <v>-0.34899999999999998</v>
      </c>
      <c r="AJ182">
        <v>-0.96599999999999997</v>
      </c>
      <c r="AK182">
        <v>-0.66400000000000003</v>
      </c>
      <c r="AL182">
        <v>-0.42399999999999999</v>
      </c>
      <c r="AM182">
        <v>0.32100000000000001</v>
      </c>
      <c r="AN182">
        <v>0.109</v>
      </c>
      <c r="AO182">
        <v>-0.86399999999999999</v>
      </c>
      <c r="AP182">
        <v>-0.89200000000000002</v>
      </c>
      <c r="AQ182">
        <v>-0.311</v>
      </c>
      <c r="AR182">
        <v>1.4999999999999999E-2</v>
      </c>
      <c r="AS182">
        <v>-0.45400000000000001</v>
      </c>
      <c r="AT182">
        <v>-0.502</v>
      </c>
      <c r="AU182">
        <v>0.53600000000000003</v>
      </c>
      <c r="AV182">
        <v>-0.13400000000000001</v>
      </c>
      <c r="AW182">
        <v>0.75700000000000001</v>
      </c>
      <c r="AX182">
        <v>-0.56699999999999995</v>
      </c>
      <c r="AY182">
        <v>-0.38700000000000001</v>
      </c>
      <c r="AZ182">
        <v>-1</v>
      </c>
      <c r="BA182">
        <v>-0.68500000000000005</v>
      </c>
      <c r="BB182">
        <v>8.7999999999999995E-2</v>
      </c>
      <c r="BC182">
        <v>-0.20200000000000001</v>
      </c>
      <c r="BD182">
        <v>-1</v>
      </c>
      <c r="BE182">
        <v>0.10299999999999999</v>
      </c>
      <c r="BF182">
        <v>-0.61699999999999999</v>
      </c>
      <c r="BG182">
        <v>0.25700000000000001</v>
      </c>
      <c r="BH182">
        <v>0.13400000000000001</v>
      </c>
      <c r="BI182">
        <v>0.55100000000000005</v>
      </c>
    </row>
    <row r="183" spans="1:61" x14ac:dyDescent="0.3">
      <c r="A183">
        <v>182</v>
      </c>
      <c r="B183" t="s">
        <v>168</v>
      </c>
      <c r="C183">
        <v>0</v>
      </c>
      <c r="D183">
        <v>0</v>
      </c>
      <c r="J183" t="s">
        <v>191</v>
      </c>
      <c r="K183">
        <v>0.53</v>
      </c>
      <c r="L183">
        <v>0.627</v>
      </c>
      <c r="M183" t="s">
        <v>71</v>
      </c>
      <c r="N183">
        <v>0</v>
      </c>
      <c r="O183">
        <v>0</v>
      </c>
      <c r="P183">
        <v>-0.97599999999999998</v>
      </c>
      <c r="Q183">
        <v>-0.97099999999999997</v>
      </c>
      <c r="R183">
        <v>-0.92700000000000005</v>
      </c>
      <c r="S183">
        <v>-0.95099999999999996</v>
      </c>
      <c r="T183">
        <v>-0.95499999999999996</v>
      </c>
      <c r="U183">
        <v>-0.85199999999999998</v>
      </c>
      <c r="V183">
        <v>-0.78300000000000003</v>
      </c>
      <c r="W183">
        <v>-0.86599999999999999</v>
      </c>
      <c r="X183">
        <v>3.5999999999999997E-2</v>
      </c>
      <c r="Y183">
        <v>3.3000000000000002E-2</v>
      </c>
      <c r="Z183">
        <v>9.0999999999999998E-2</v>
      </c>
      <c r="AA183">
        <v>8.5000000000000006E-2</v>
      </c>
      <c r="AB183">
        <v>0.38700000000000001</v>
      </c>
      <c r="AC183">
        <v>-0.95599999999999996</v>
      </c>
      <c r="AD183">
        <v>-1</v>
      </c>
      <c r="AE183">
        <v>-0.85099999999999998</v>
      </c>
      <c r="AF183">
        <v>-0.45400000000000001</v>
      </c>
      <c r="AG183">
        <v>-0.17299999999999999</v>
      </c>
      <c r="AH183">
        <v>-0.60399999999999998</v>
      </c>
      <c r="AI183">
        <v>-0.41</v>
      </c>
      <c r="AJ183">
        <v>-0.13</v>
      </c>
      <c r="AK183">
        <v>-0.35</v>
      </c>
      <c r="AL183">
        <v>-0.50800000000000001</v>
      </c>
      <c r="AM183">
        <v>-0.156</v>
      </c>
      <c r="AN183">
        <v>2.4E-2</v>
      </c>
      <c r="AO183">
        <v>-0.315</v>
      </c>
      <c r="AP183">
        <v>-1</v>
      </c>
      <c r="AQ183">
        <v>-0.70499999999999996</v>
      </c>
      <c r="AR183">
        <v>-0.36299999999999999</v>
      </c>
      <c r="AS183">
        <v>-0.82099999999999995</v>
      </c>
      <c r="AT183">
        <v>-0.78600000000000003</v>
      </c>
      <c r="AU183">
        <v>0.82099999999999995</v>
      </c>
      <c r="AV183">
        <v>-0.77500000000000002</v>
      </c>
      <c r="AW183">
        <v>-0.24199999999999999</v>
      </c>
      <c r="AX183">
        <v>-0.90100000000000002</v>
      </c>
      <c r="AY183">
        <v>-0.17799999999999999</v>
      </c>
      <c r="AZ183">
        <v>9.8000000000000004E-2</v>
      </c>
      <c r="BA183">
        <v>-0.214</v>
      </c>
      <c r="BB183">
        <v>0.20300000000000001</v>
      </c>
      <c r="BC183">
        <v>-0.43099999999999999</v>
      </c>
      <c r="BD183">
        <v>0.252</v>
      </c>
      <c r="BE183">
        <v>0.78500000000000003</v>
      </c>
      <c r="BF183">
        <v>-9.8000000000000004E-2</v>
      </c>
      <c r="BG183">
        <v>-0.626</v>
      </c>
      <c r="BH183">
        <v>0.71599999999999997</v>
      </c>
      <c r="BI183">
        <v>0.51900000000000002</v>
      </c>
    </row>
    <row r="184" spans="1:61" x14ac:dyDescent="0.3">
      <c r="A184">
        <v>183</v>
      </c>
      <c r="B184" t="s">
        <v>600</v>
      </c>
      <c r="C184">
        <v>1.0277042356205E-2</v>
      </c>
      <c r="D184">
        <v>8.0345058420280002E-3</v>
      </c>
      <c r="J184" t="s">
        <v>129</v>
      </c>
      <c r="K184">
        <v>0.52800000000000002</v>
      </c>
      <c r="L184">
        <v>0.371</v>
      </c>
      <c r="M184" t="s">
        <v>57</v>
      </c>
      <c r="N184">
        <v>0</v>
      </c>
      <c r="O184">
        <v>0</v>
      </c>
      <c r="P184">
        <v>-0.82</v>
      </c>
      <c r="Q184">
        <v>-0.51200000000000001</v>
      </c>
      <c r="R184">
        <v>-0.379</v>
      </c>
      <c r="S184">
        <v>-0.86</v>
      </c>
      <c r="T184">
        <v>-0.57199999999999995</v>
      </c>
      <c r="U184">
        <v>-0.93700000000000006</v>
      </c>
      <c r="V184">
        <v>-0.94799999999999995</v>
      </c>
      <c r="W184">
        <v>-0.83699999999999997</v>
      </c>
      <c r="X184">
        <v>-0.123</v>
      </c>
      <c r="Y184">
        <v>-0.123</v>
      </c>
      <c r="Z184">
        <v>-0.13</v>
      </c>
      <c r="AA184">
        <v>9.4E-2</v>
      </c>
      <c r="AB184">
        <v>0.03</v>
      </c>
      <c r="AC184">
        <v>-0.65</v>
      </c>
      <c r="AD184">
        <v>-0.20399999999999999</v>
      </c>
      <c r="AE184">
        <v>2.7E-2</v>
      </c>
      <c r="AF184">
        <v>0.86599999999999999</v>
      </c>
      <c r="AG184">
        <v>0.24099999999999999</v>
      </c>
      <c r="AH184">
        <v>-0.51600000000000001</v>
      </c>
      <c r="AI184">
        <v>-0.26900000000000002</v>
      </c>
      <c r="AJ184">
        <v>-0.33</v>
      </c>
      <c r="AK184">
        <v>0.75600000000000001</v>
      </c>
      <c r="AL184">
        <v>-0.17299999999999999</v>
      </c>
      <c r="AM184">
        <v>-0.35</v>
      </c>
      <c r="AN184">
        <v>-0.45900000000000002</v>
      </c>
      <c r="AO184">
        <v>-9.7000000000000003E-2</v>
      </c>
      <c r="AP184">
        <v>-2E-3</v>
      </c>
      <c r="AQ184">
        <v>-0.30199999999999999</v>
      </c>
      <c r="AR184">
        <v>-0.34399999999999997</v>
      </c>
      <c r="AS184">
        <v>-0.35799999999999998</v>
      </c>
      <c r="AT184">
        <v>-0.74</v>
      </c>
      <c r="AU184">
        <v>-1</v>
      </c>
      <c r="AV184">
        <v>-0.70799999999999996</v>
      </c>
      <c r="AW184">
        <v>-0.115</v>
      </c>
      <c r="AX184">
        <v>-0.26400000000000001</v>
      </c>
      <c r="AY184">
        <v>-0.751</v>
      </c>
      <c r="AZ184">
        <v>0.20100000000000001</v>
      </c>
      <c r="BA184">
        <v>-0.28000000000000003</v>
      </c>
      <c r="BB184">
        <v>0.28599999999999998</v>
      </c>
      <c r="BC184">
        <v>-0.248</v>
      </c>
      <c r="BD184">
        <v>-0.49199999999999999</v>
      </c>
      <c r="BE184">
        <v>-0.64200000000000002</v>
      </c>
      <c r="BF184">
        <v>0.16600000000000001</v>
      </c>
      <c r="BG184">
        <v>0.73699999999999999</v>
      </c>
      <c r="BH184">
        <v>0.219</v>
      </c>
      <c r="BI184">
        <v>0.92400000000000004</v>
      </c>
    </row>
    <row r="185" spans="1:61" x14ac:dyDescent="0.3">
      <c r="A185">
        <v>184</v>
      </c>
      <c r="B185" t="s">
        <v>128</v>
      </c>
      <c r="C185">
        <v>0</v>
      </c>
      <c r="D185">
        <v>0</v>
      </c>
      <c r="J185" t="s">
        <v>183</v>
      </c>
      <c r="K185">
        <v>0.52300000000000002</v>
      </c>
      <c r="L185">
        <v>0.58599999999999997</v>
      </c>
      <c r="M185" t="s">
        <v>68</v>
      </c>
      <c r="N185">
        <v>0</v>
      </c>
      <c r="O185">
        <v>0</v>
      </c>
      <c r="P185">
        <v>-0.89600000000000002</v>
      </c>
      <c r="Q185">
        <v>-0.97899999999999998</v>
      </c>
      <c r="R185">
        <v>-0.93600000000000005</v>
      </c>
      <c r="S185">
        <v>-0.90300000000000002</v>
      </c>
      <c r="T185">
        <v>-0.97499999999999998</v>
      </c>
      <c r="U185">
        <v>-0.82099999999999995</v>
      </c>
      <c r="V185">
        <v>-0.73199999999999998</v>
      </c>
      <c r="W185">
        <v>-0.92800000000000005</v>
      </c>
      <c r="X185">
        <v>-0.17299999999999999</v>
      </c>
      <c r="Y185">
        <v>-0.17100000000000001</v>
      </c>
      <c r="Z185">
        <v>0.33200000000000002</v>
      </c>
      <c r="AA185">
        <v>0.38500000000000001</v>
      </c>
      <c r="AB185">
        <v>0.14099999999999999</v>
      </c>
      <c r="AC185">
        <v>-0.71199999999999997</v>
      </c>
      <c r="AD185">
        <v>-0.71799999999999997</v>
      </c>
      <c r="AE185">
        <v>-1</v>
      </c>
      <c r="AF185">
        <v>-0.80300000000000005</v>
      </c>
      <c r="AG185">
        <v>-0.87</v>
      </c>
      <c r="AH185">
        <v>-0.91400000000000003</v>
      </c>
      <c r="AI185">
        <v>-6.0999999999999999E-2</v>
      </c>
      <c r="AJ185">
        <v>-0.72599999999999998</v>
      </c>
      <c r="AK185">
        <v>-0.75600000000000001</v>
      </c>
      <c r="AL185">
        <v>0.34100000000000003</v>
      </c>
      <c r="AM185">
        <v>-0.56100000000000005</v>
      </c>
      <c r="AN185">
        <v>-0.77600000000000002</v>
      </c>
      <c r="AO185">
        <v>-4.8000000000000001E-2</v>
      </c>
      <c r="AP185">
        <v>8.7999999999999995E-2</v>
      </c>
      <c r="AQ185">
        <v>-0.83399999999999996</v>
      </c>
      <c r="AR185">
        <v>0.34399999999999997</v>
      </c>
      <c r="AS185">
        <v>-0.52100000000000002</v>
      </c>
      <c r="AT185">
        <v>-0.311</v>
      </c>
      <c r="AU185">
        <v>0.308</v>
      </c>
      <c r="AV185">
        <v>0.06</v>
      </c>
      <c r="AW185">
        <v>0.93300000000000005</v>
      </c>
      <c r="AX185">
        <v>0.52600000000000002</v>
      </c>
      <c r="AY185">
        <v>0.41699999999999998</v>
      </c>
      <c r="AZ185">
        <v>-0.35099999999999998</v>
      </c>
      <c r="BA185">
        <v>8.0000000000000002E-3</v>
      </c>
      <c r="BB185">
        <v>0.13500000000000001</v>
      </c>
      <c r="BC185">
        <v>0.4</v>
      </c>
      <c r="BD185">
        <v>-0.61599999999999999</v>
      </c>
      <c r="BE185">
        <v>0.53300000000000003</v>
      </c>
      <c r="BF185">
        <v>-0.255</v>
      </c>
      <c r="BG185">
        <v>0.14000000000000001</v>
      </c>
      <c r="BH185">
        <v>9.8000000000000004E-2</v>
      </c>
      <c r="BI185">
        <v>-0.25600000000000001</v>
      </c>
    </row>
    <row r="186" spans="1:61" x14ac:dyDescent="0.3">
      <c r="A186">
        <v>185</v>
      </c>
      <c r="B186" t="s">
        <v>189</v>
      </c>
      <c r="C186">
        <v>0</v>
      </c>
      <c r="D186">
        <v>0</v>
      </c>
      <c r="J186" t="s">
        <v>224</v>
      </c>
      <c r="K186">
        <v>0.52100000000000002</v>
      </c>
      <c r="L186">
        <v>0.437</v>
      </c>
      <c r="M186" t="s">
        <v>71</v>
      </c>
      <c r="N186">
        <v>0</v>
      </c>
      <c r="O186">
        <v>0</v>
      </c>
      <c r="P186">
        <v>-0.96199999999999997</v>
      </c>
      <c r="Q186">
        <v>-0.94299999999999995</v>
      </c>
      <c r="R186">
        <v>-0.90500000000000003</v>
      </c>
      <c r="S186">
        <v>-0.95499999999999996</v>
      </c>
      <c r="T186">
        <v>-0.95399999999999996</v>
      </c>
      <c r="U186">
        <v>-0.86599999999999999</v>
      </c>
      <c r="V186">
        <v>-0.82099999999999995</v>
      </c>
      <c r="W186">
        <v>-0.95599999999999996</v>
      </c>
      <c r="X186">
        <v>0.10299999999999999</v>
      </c>
      <c r="Y186">
        <v>0.10299999999999999</v>
      </c>
      <c r="Z186">
        <v>-2.1999999999999999E-2</v>
      </c>
      <c r="AA186">
        <v>-0.33</v>
      </c>
      <c r="AB186">
        <v>0.32700000000000001</v>
      </c>
      <c r="AC186">
        <v>-0.89</v>
      </c>
      <c r="AD186">
        <v>-0.621</v>
      </c>
      <c r="AE186">
        <v>-0.96199999999999997</v>
      </c>
      <c r="AF186">
        <v>-9.7000000000000003E-2</v>
      </c>
      <c r="AG186">
        <v>-0.496</v>
      </c>
      <c r="AH186">
        <v>-0.63400000000000001</v>
      </c>
      <c r="AI186">
        <v>-0.65800000000000003</v>
      </c>
      <c r="AJ186">
        <v>-0.502</v>
      </c>
      <c r="AK186">
        <v>-1.7000000000000001E-2</v>
      </c>
      <c r="AL186">
        <v>-0.25800000000000001</v>
      </c>
      <c r="AM186">
        <v>-0.68700000000000006</v>
      </c>
      <c r="AN186">
        <v>-0.51600000000000001</v>
      </c>
      <c r="AO186">
        <v>-0.41699999999999998</v>
      </c>
      <c r="AP186">
        <v>0.69699999999999995</v>
      </c>
      <c r="AQ186">
        <v>0.34200000000000003</v>
      </c>
      <c r="AR186">
        <v>-0.223</v>
      </c>
      <c r="AS186">
        <v>-0.72699999999999998</v>
      </c>
      <c r="AT186">
        <v>-0.78100000000000003</v>
      </c>
      <c r="AU186">
        <v>0.55600000000000005</v>
      </c>
      <c r="AV186">
        <v>-0.128</v>
      </c>
      <c r="AW186">
        <v>-0.42599999999999999</v>
      </c>
      <c r="AX186">
        <v>-0.79500000000000004</v>
      </c>
      <c r="AY186">
        <v>-0.93100000000000005</v>
      </c>
      <c r="AZ186">
        <v>-0.32500000000000001</v>
      </c>
      <c r="BA186">
        <v>-0.7</v>
      </c>
      <c r="BB186">
        <v>-0.45</v>
      </c>
      <c r="BC186">
        <v>-4.0000000000000001E-3</v>
      </c>
      <c r="BD186">
        <v>0.12</v>
      </c>
      <c r="BE186">
        <v>0.78600000000000003</v>
      </c>
      <c r="BF186">
        <v>0.20599999999999999</v>
      </c>
      <c r="BG186">
        <v>-0.52700000000000002</v>
      </c>
      <c r="BH186">
        <v>0.23699999999999999</v>
      </c>
      <c r="BI186">
        <v>0.83</v>
      </c>
    </row>
    <row r="187" spans="1:61" x14ac:dyDescent="0.3">
      <c r="A187">
        <v>186</v>
      </c>
      <c r="B187" t="s">
        <v>238</v>
      </c>
      <c r="C187">
        <v>0</v>
      </c>
      <c r="D187">
        <v>0</v>
      </c>
      <c r="J187" t="s">
        <v>221</v>
      </c>
      <c r="K187">
        <v>0.51900000000000002</v>
      </c>
      <c r="L187">
        <v>0.57199999999999995</v>
      </c>
      <c r="M187" t="s">
        <v>57</v>
      </c>
      <c r="N187">
        <v>0</v>
      </c>
      <c r="O187">
        <v>-4.0000000000000001E-3</v>
      </c>
      <c r="P187">
        <v>-0.83499999999999996</v>
      </c>
      <c r="Q187">
        <v>-0.92900000000000005</v>
      </c>
      <c r="R187">
        <v>-0.91</v>
      </c>
      <c r="S187">
        <v>-0.72299999999999998</v>
      </c>
      <c r="T187">
        <v>-0.88900000000000001</v>
      </c>
      <c r="U187">
        <v>-0.85399999999999998</v>
      </c>
      <c r="V187">
        <v>-0.81399999999999995</v>
      </c>
      <c r="W187">
        <v>-0.875</v>
      </c>
      <c r="X187">
        <v>-0.33600000000000002</v>
      </c>
      <c r="Y187">
        <v>-0.33900000000000002</v>
      </c>
      <c r="Z187">
        <v>0.36899999999999999</v>
      </c>
      <c r="AA187">
        <v>0.36299999999999999</v>
      </c>
      <c r="AB187">
        <v>-0.04</v>
      </c>
      <c r="AC187">
        <v>-0.28000000000000003</v>
      </c>
      <c r="AD187">
        <v>3.4000000000000002E-2</v>
      </c>
      <c r="AE187">
        <v>-0.93100000000000005</v>
      </c>
      <c r="AF187">
        <v>-0.83099999999999996</v>
      </c>
      <c r="AG187">
        <v>-0.83899999999999997</v>
      </c>
      <c r="AH187">
        <v>-0.47199999999999998</v>
      </c>
      <c r="AI187">
        <v>-0.27500000000000002</v>
      </c>
      <c r="AJ187">
        <v>-0.48099999999999998</v>
      </c>
      <c r="AK187">
        <v>-0.67</v>
      </c>
      <c r="AL187">
        <v>0.46600000000000003</v>
      </c>
      <c r="AM187">
        <v>-0.64300000000000002</v>
      </c>
      <c r="AN187">
        <v>-0.159</v>
      </c>
      <c r="AO187">
        <v>0.83699999999999997</v>
      </c>
      <c r="AP187">
        <v>0.39200000000000002</v>
      </c>
      <c r="AQ187">
        <v>-0.17100000000000001</v>
      </c>
      <c r="AR187">
        <v>2.5999999999999999E-2</v>
      </c>
      <c r="AS187">
        <v>4.9000000000000002E-2</v>
      </c>
      <c r="AT187">
        <v>0.38700000000000001</v>
      </c>
      <c r="AU187">
        <v>6.0000000000000001E-3</v>
      </c>
      <c r="AV187">
        <v>7.3999999999999996E-2</v>
      </c>
      <c r="AW187">
        <v>0.8</v>
      </c>
      <c r="AX187">
        <v>-9.5000000000000001E-2</v>
      </c>
      <c r="AY187">
        <v>-8.0000000000000002E-3</v>
      </c>
      <c r="AZ187">
        <v>-0.49</v>
      </c>
      <c r="BA187">
        <v>-0.39400000000000002</v>
      </c>
      <c r="BB187">
        <v>-7.8E-2</v>
      </c>
      <c r="BC187">
        <v>-0.80800000000000005</v>
      </c>
      <c r="BD187">
        <v>-1</v>
      </c>
      <c r="BE187">
        <v>-0.76200000000000001</v>
      </c>
      <c r="BF187">
        <v>-1.4E-2</v>
      </c>
      <c r="BG187">
        <v>-0.01</v>
      </c>
      <c r="BH187">
        <v>-0.59699999999999998</v>
      </c>
      <c r="BI187">
        <v>-0.112</v>
      </c>
    </row>
    <row r="188" spans="1:61" x14ac:dyDescent="0.3">
      <c r="A188">
        <v>187</v>
      </c>
      <c r="B188" t="s">
        <v>242</v>
      </c>
      <c r="C188">
        <v>0</v>
      </c>
      <c r="D188">
        <v>0</v>
      </c>
      <c r="J188" t="s">
        <v>207</v>
      </c>
      <c r="K188">
        <v>0.51900000000000002</v>
      </c>
      <c r="L188">
        <v>0.36399999999999999</v>
      </c>
      <c r="M188" t="s">
        <v>53</v>
      </c>
      <c r="N188">
        <v>0</v>
      </c>
      <c r="O188">
        <v>0</v>
      </c>
      <c r="P188">
        <v>-0.73299999999999998</v>
      </c>
      <c r="Q188">
        <v>-0.34300000000000003</v>
      </c>
      <c r="R188">
        <v>-0.73199999999999998</v>
      </c>
      <c r="S188">
        <v>-0.84899999999999998</v>
      </c>
      <c r="T188">
        <v>-0.73799999999999999</v>
      </c>
      <c r="U188">
        <v>-0.93500000000000005</v>
      </c>
      <c r="V188">
        <v>-0.96</v>
      </c>
      <c r="W188">
        <v>-0.86</v>
      </c>
      <c r="X188">
        <v>-0.47699999999999998</v>
      </c>
      <c r="Y188">
        <v>-0.47699999999999998</v>
      </c>
      <c r="Z188">
        <v>-8.5999999999999993E-2</v>
      </c>
      <c r="AA188">
        <v>-5.8000000000000003E-2</v>
      </c>
      <c r="AB188">
        <v>2.9000000000000001E-2</v>
      </c>
      <c r="AC188">
        <v>-0.79100000000000004</v>
      </c>
      <c r="AD188">
        <v>-0.60699999999999998</v>
      </c>
      <c r="AE188">
        <v>-0.24199999999999999</v>
      </c>
      <c r="AF188">
        <v>-0.498</v>
      </c>
      <c r="AG188">
        <v>1.0999999999999999E-2</v>
      </c>
      <c r="AH188">
        <v>-0.83599999999999997</v>
      </c>
      <c r="AI188">
        <v>-0.124</v>
      </c>
      <c r="AJ188">
        <v>-1</v>
      </c>
      <c r="AK188">
        <v>-0.126</v>
      </c>
      <c r="AL188">
        <v>-0.313</v>
      </c>
      <c r="AM188">
        <v>0.38400000000000001</v>
      </c>
      <c r="AN188">
        <v>-0.433</v>
      </c>
      <c r="AO188">
        <v>-0.23100000000000001</v>
      </c>
      <c r="AP188">
        <v>0.71</v>
      </c>
      <c r="AQ188">
        <v>0.28199999999999997</v>
      </c>
      <c r="AR188">
        <v>-0.27100000000000002</v>
      </c>
      <c r="AS188">
        <v>-0.57999999999999996</v>
      </c>
      <c r="AT188">
        <v>-0.59</v>
      </c>
      <c r="AU188">
        <v>-0.77400000000000002</v>
      </c>
      <c r="AV188">
        <v>-0.45600000000000002</v>
      </c>
      <c r="AW188">
        <v>0.64</v>
      </c>
      <c r="AX188">
        <v>-0.67</v>
      </c>
      <c r="AY188">
        <v>0.81499999999999995</v>
      </c>
      <c r="AZ188">
        <v>0.92700000000000005</v>
      </c>
      <c r="BA188">
        <v>0.50700000000000001</v>
      </c>
      <c r="BB188">
        <v>1</v>
      </c>
      <c r="BC188">
        <v>-1</v>
      </c>
      <c r="BD188">
        <v>-0.67200000000000004</v>
      </c>
      <c r="BE188">
        <v>-0.84299999999999997</v>
      </c>
      <c r="BF188">
        <v>1</v>
      </c>
      <c r="BG188">
        <v>0.27500000000000002</v>
      </c>
      <c r="BH188">
        <v>0.61</v>
      </c>
      <c r="BI188">
        <v>0.11899999999999999</v>
      </c>
    </row>
    <row r="189" spans="1:61" x14ac:dyDescent="0.3">
      <c r="A189">
        <v>188</v>
      </c>
      <c r="B189" t="s">
        <v>133</v>
      </c>
      <c r="C189">
        <v>0</v>
      </c>
      <c r="D189">
        <v>0</v>
      </c>
      <c r="J189" t="s">
        <v>235</v>
      </c>
      <c r="K189">
        <v>0.51800000000000002</v>
      </c>
      <c r="L189">
        <v>0.437</v>
      </c>
      <c r="M189" t="s">
        <v>57</v>
      </c>
      <c r="N189">
        <v>0</v>
      </c>
      <c r="O189">
        <v>-1E-3</v>
      </c>
      <c r="P189">
        <v>-0.82799999999999996</v>
      </c>
      <c r="Q189">
        <v>-0.92100000000000004</v>
      </c>
      <c r="R189">
        <v>-0.81899999999999995</v>
      </c>
      <c r="S189">
        <v>-0.81399999999999995</v>
      </c>
      <c r="T189">
        <v>-0.89400000000000002</v>
      </c>
      <c r="U189">
        <v>-0.80600000000000005</v>
      </c>
      <c r="V189">
        <v>-0.748</v>
      </c>
      <c r="W189">
        <v>-0.89</v>
      </c>
      <c r="X189">
        <v>-0.37</v>
      </c>
      <c r="Y189">
        <v>-0.36699999999999999</v>
      </c>
      <c r="Z189">
        <v>0.437</v>
      </c>
      <c r="AA189">
        <v>0.35499999999999998</v>
      </c>
      <c r="AB189">
        <v>-0.122</v>
      </c>
      <c r="AC189">
        <v>-0.20300000000000001</v>
      </c>
      <c r="AD189">
        <v>-0.627</v>
      </c>
      <c r="AE189">
        <v>-0.99</v>
      </c>
      <c r="AF189">
        <v>-0.66300000000000003</v>
      </c>
      <c r="AG189">
        <v>-0.72799999999999998</v>
      </c>
      <c r="AH189">
        <v>0.501</v>
      </c>
      <c r="AI189">
        <v>-0.252</v>
      </c>
      <c r="AJ189">
        <v>-0.67900000000000005</v>
      </c>
      <c r="AK189">
        <v>-0.73299999999999998</v>
      </c>
      <c r="AL189">
        <v>0.52100000000000002</v>
      </c>
      <c r="AM189">
        <v>-0.70199999999999996</v>
      </c>
      <c r="AN189">
        <v>-0.42799999999999999</v>
      </c>
      <c r="AO189">
        <v>4.8000000000000001E-2</v>
      </c>
      <c r="AP189">
        <v>-4.2000000000000003E-2</v>
      </c>
      <c r="AQ189">
        <v>-0.71099999999999997</v>
      </c>
      <c r="AR189">
        <v>0.35899999999999999</v>
      </c>
      <c r="AS189">
        <v>3.5999999999999997E-2</v>
      </c>
      <c r="AT189">
        <v>0.35399999999999998</v>
      </c>
      <c r="AU189">
        <v>-5.6000000000000001E-2</v>
      </c>
      <c r="AV189">
        <v>0.153</v>
      </c>
      <c r="AW189">
        <v>0.55000000000000004</v>
      </c>
      <c r="AX189">
        <v>1</v>
      </c>
      <c r="AY189">
        <v>-9.8000000000000004E-2</v>
      </c>
      <c r="AZ189">
        <v>-0.45800000000000002</v>
      </c>
      <c r="BA189">
        <v>-0.36199999999999999</v>
      </c>
      <c r="BB189">
        <v>0.15</v>
      </c>
      <c r="BC189">
        <v>5.2999999999999999E-2</v>
      </c>
      <c r="BD189">
        <v>0.747</v>
      </c>
      <c r="BE189">
        <v>-0.124</v>
      </c>
      <c r="BF189">
        <v>-0.182</v>
      </c>
      <c r="BG189">
        <v>-0.104</v>
      </c>
      <c r="BH189">
        <v>-0.73099999999999998</v>
      </c>
      <c r="BI189">
        <v>-2E-3</v>
      </c>
    </row>
    <row r="190" spans="1:61" x14ac:dyDescent="0.3">
      <c r="A190">
        <v>189</v>
      </c>
      <c r="B190" t="s">
        <v>109</v>
      </c>
      <c r="C190">
        <v>1.10608129800272E-2</v>
      </c>
      <c r="D190">
        <v>7.1802677208213702E-3</v>
      </c>
      <c r="J190" t="s">
        <v>219</v>
      </c>
      <c r="K190">
        <v>0.51800000000000002</v>
      </c>
      <c r="L190">
        <v>0.43</v>
      </c>
      <c r="M190" t="s">
        <v>57</v>
      </c>
      <c r="N190">
        <v>0</v>
      </c>
      <c r="O190">
        <v>0</v>
      </c>
      <c r="P190">
        <v>-0.85</v>
      </c>
      <c r="Q190">
        <v>-0.95799999999999996</v>
      </c>
      <c r="R190">
        <v>-0.873</v>
      </c>
      <c r="S190">
        <v>-0.80300000000000005</v>
      </c>
      <c r="T190">
        <v>-0.91200000000000003</v>
      </c>
      <c r="U190">
        <v>-0.84099999999999997</v>
      </c>
      <c r="V190">
        <v>-0.79</v>
      </c>
      <c r="W190">
        <v>-0.93400000000000005</v>
      </c>
      <c r="X190">
        <v>-0.191</v>
      </c>
      <c r="Y190">
        <v>-0.193</v>
      </c>
      <c r="Z190">
        <v>0.379</v>
      </c>
      <c r="AA190">
        <v>0.28000000000000003</v>
      </c>
      <c r="AB190">
        <v>-6.0999999999999999E-2</v>
      </c>
      <c r="AC190">
        <v>-0.40500000000000003</v>
      </c>
      <c r="AD190">
        <v>0.375</v>
      </c>
      <c r="AE190">
        <v>-0.96099999999999997</v>
      </c>
      <c r="AF190">
        <v>-0.81899999999999995</v>
      </c>
      <c r="AG190">
        <v>-0.97199999999999998</v>
      </c>
      <c r="AH190">
        <v>-0.308</v>
      </c>
      <c r="AI190">
        <v>-0.20899999999999999</v>
      </c>
      <c r="AJ190">
        <v>-0.84299999999999997</v>
      </c>
      <c r="AK190">
        <v>-0.35499999999999998</v>
      </c>
      <c r="AL190">
        <v>0.56699999999999995</v>
      </c>
      <c r="AM190">
        <v>-0.74299999999999999</v>
      </c>
      <c r="AN190">
        <v>-0.55000000000000004</v>
      </c>
      <c r="AO190">
        <v>0.63500000000000001</v>
      </c>
      <c r="AP190">
        <v>0.34</v>
      </c>
      <c r="AQ190">
        <v>-0.38800000000000001</v>
      </c>
      <c r="AR190">
        <v>-1.0999999999999999E-2</v>
      </c>
      <c r="AS190">
        <v>0.13400000000000001</v>
      </c>
      <c r="AT190">
        <v>2E-3</v>
      </c>
      <c r="AU190">
        <v>-0.30199999999999999</v>
      </c>
      <c r="AV190">
        <v>-0.29199999999999998</v>
      </c>
      <c r="AW190">
        <v>0.871</v>
      </c>
      <c r="AX190">
        <v>0.44500000000000001</v>
      </c>
      <c r="AY190">
        <v>0.253</v>
      </c>
      <c r="AZ190">
        <v>-0.67700000000000005</v>
      </c>
      <c r="BA190">
        <v>-0.39800000000000002</v>
      </c>
      <c r="BB190">
        <v>3.2000000000000001E-2</v>
      </c>
      <c r="BC190">
        <v>1</v>
      </c>
      <c r="BD190">
        <v>1</v>
      </c>
      <c r="BE190">
        <v>-0.217</v>
      </c>
      <c r="BF190">
        <v>-0.56799999999999995</v>
      </c>
      <c r="BG190">
        <v>-0.13</v>
      </c>
      <c r="BH190">
        <v>-5.8000000000000003E-2</v>
      </c>
      <c r="BI190">
        <v>0.16500000000000001</v>
      </c>
    </row>
    <row r="191" spans="1:61" x14ac:dyDescent="0.3">
      <c r="A191">
        <v>190</v>
      </c>
      <c r="B191" t="s">
        <v>121</v>
      </c>
      <c r="C191">
        <v>4.9679965495512103E-2</v>
      </c>
      <c r="D191">
        <v>3.84341950038425E-2</v>
      </c>
      <c r="J191" t="s">
        <v>248</v>
      </c>
      <c r="K191">
        <v>0.51600000000000001</v>
      </c>
      <c r="L191">
        <v>0.40500000000000003</v>
      </c>
      <c r="M191" t="s">
        <v>57</v>
      </c>
      <c r="N191">
        <v>0</v>
      </c>
      <c r="O191">
        <v>-1E-3</v>
      </c>
      <c r="P191">
        <v>-0.77600000000000002</v>
      </c>
      <c r="Q191">
        <v>-0.84299999999999997</v>
      </c>
      <c r="R191">
        <v>-0.82199999999999995</v>
      </c>
      <c r="S191">
        <v>-0.81799999999999995</v>
      </c>
      <c r="T191">
        <v>-0.86899999999999999</v>
      </c>
      <c r="U191">
        <v>-0.83799999999999997</v>
      </c>
      <c r="V191">
        <v>-0.84599999999999997</v>
      </c>
      <c r="W191">
        <v>-0.93600000000000005</v>
      </c>
      <c r="X191">
        <v>-0.45200000000000001</v>
      </c>
      <c r="Y191">
        <v>-0.45400000000000001</v>
      </c>
      <c r="Z191">
        <v>0.32900000000000001</v>
      </c>
      <c r="AA191">
        <v>0.39600000000000002</v>
      </c>
      <c r="AB191">
        <v>-7.9000000000000001E-2</v>
      </c>
      <c r="AC191">
        <v>-0.19700000000000001</v>
      </c>
      <c r="AD191">
        <v>0.20899999999999999</v>
      </c>
      <c r="AE191">
        <v>-0.83299999999999996</v>
      </c>
      <c r="AF191">
        <v>-0.28100000000000003</v>
      </c>
      <c r="AG191">
        <v>-0.51500000000000001</v>
      </c>
      <c r="AH191">
        <v>-0.74099999999999999</v>
      </c>
      <c r="AI191">
        <v>-1.2999999999999999E-2</v>
      </c>
      <c r="AJ191">
        <v>-1</v>
      </c>
      <c r="AK191">
        <v>-5.5E-2</v>
      </c>
      <c r="AL191">
        <v>-0.13700000000000001</v>
      </c>
      <c r="AM191">
        <v>-0.59299999999999997</v>
      </c>
      <c r="AN191">
        <v>-0.91100000000000003</v>
      </c>
      <c r="AO191">
        <v>-0.05</v>
      </c>
      <c r="AP191">
        <v>1</v>
      </c>
      <c r="AQ191">
        <v>0.24199999999999999</v>
      </c>
      <c r="AR191">
        <v>-0.29599999999999999</v>
      </c>
      <c r="AS191">
        <v>-0.56499999999999995</v>
      </c>
      <c r="AT191">
        <v>-9.2999999999999999E-2</v>
      </c>
      <c r="AU191">
        <v>-0.435</v>
      </c>
      <c r="AV191">
        <v>-0.82899999999999996</v>
      </c>
      <c r="AW191">
        <v>0.52400000000000002</v>
      </c>
      <c r="AX191">
        <v>0.63900000000000001</v>
      </c>
      <c r="AY191">
        <v>0.191</v>
      </c>
      <c r="AZ191">
        <v>0.28100000000000003</v>
      </c>
      <c r="BA191">
        <v>0.1</v>
      </c>
      <c r="BB191">
        <v>0.46300000000000002</v>
      </c>
      <c r="BC191">
        <v>0.47</v>
      </c>
      <c r="BD191">
        <v>-0.54300000000000004</v>
      </c>
      <c r="BE191">
        <v>0.22500000000000001</v>
      </c>
      <c r="BF191">
        <v>0.19600000000000001</v>
      </c>
      <c r="BG191">
        <v>0.58499999999999996</v>
      </c>
      <c r="BH191">
        <v>-0.70499999999999996</v>
      </c>
      <c r="BI191">
        <v>3.2000000000000001E-2</v>
      </c>
    </row>
    <row r="192" spans="1:61" x14ac:dyDescent="0.3">
      <c r="A192">
        <v>191</v>
      </c>
      <c r="B192" t="s">
        <v>148</v>
      </c>
      <c r="C192">
        <v>0</v>
      </c>
      <c r="D192">
        <v>0</v>
      </c>
      <c r="J192" t="s">
        <v>202</v>
      </c>
      <c r="K192">
        <v>0.51500000000000001</v>
      </c>
      <c r="L192">
        <v>0.42699999999999999</v>
      </c>
      <c r="M192" t="s">
        <v>57</v>
      </c>
      <c r="N192">
        <v>0</v>
      </c>
      <c r="O192">
        <v>0</v>
      </c>
      <c r="P192">
        <v>-0.876</v>
      </c>
      <c r="Q192">
        <v>-0.94299999999999995</v>
      </c>
      <c r="R192">
        <v>-0.89200000000000002</v>
      </c>
      <c r="S192">
        <v>-0.89</v>
      </c>
      <c r="T192">
        <v>-0.94499999999999995</v>
      </c>
      <c r="U192">
        <v>-0.85099999999999998</v>
      </c>
      <c r="V192">
        <v>-0.78400000000000003</v>
      </c>
      <c r="W192">
        <v>-0.93400000000000005</v>
      </c>
      <c r="X192">
        <v>-0.30199999999999999</v>
      </c>
      <c r="Y192">
        <v>-0.30499999999999999</v>
      </c>
      <c r="Z192">
        <v>0.30299999999999999</v>
      </c>
      <c r="AA192">
        <v>0.13600000000000001</v>
      </c>
      <c r="AB192">
        <v>1.7000000000000001E-2</v>
      </c>
      <c r="AC192">
        <v>-0.51400000000000001</v>
      </c>
      <c r="AD192">
        <v>-0.754</v>
      </c>
      <c r="AE192">
        <v>-0.91300000000000003</v>
      </c>
      <c r="AF192">
        <v>-0.68500000000000005</v>
      </c>
      <c r="AG192">
        <v>-0.42099999999999999</v>
      </c>
      <c r="AH192">
        <v>-0.83499999999999996</v>
      </c>
      <c r="AI192">
        <v>-0.251</v>
      </c>
      <c r="AJ192">
        <v>-1</v>
      </c>
      <c r="AK192">
        <v>-0.78800000000000003</v>
      </c>
      <c r="AL192">
        <v>0.107</v>
      </c>
      <c r="AM192">
        <v>-0.34899999999999998</v>
      </c>
      <c r="AN192">
        <v>-0.107</v>
      </c>
      <c r="AO192">
        <v>-0.28399999999999997</v>
      </c>
      <c r="AP192">
        <v>-0.49</v>
      </c>
      <c r="AQ192">
        <v>-0.25800000000000001</v>
      </c>
      <c r="AR192">
        <v>-0.19700000000000001</v>
      </c>
      <c r="AS192">
        <v>-0.41399999999999998</v>
      </c>
      <c r="AT192">
        <v>7.6999999999999999E-2</v>
      </c>
      <c r="AU192">
        <v>0.17499999999999999</v>
      </c>
      <c r="AV192">
        <v>-0.26900000000000002</v>
      </c>
      <c r="AW192">
        <v>-0.78300000000000003</v>
      </c>
      <c r="AX192">
        <v>-0.27600000000000002</v>
      </c>
      <c r="AY192">
        <v>0.65800000000000003</v>
      </c>
      <c r="AZ192">
        <v>-0.154</v>
      </c>
      <c r="BA192">
        <v>-0.23300000000000001</v>
      </c>
      <c r="BB192">
        <v>0.48699999999999999</v>
      </c>
      <c r="BC192">
        <v>0.19500000000000001</v>
      </c>
      <c r="BD192">
        <v>0.39900000000000002</v>
      </c>
      <c r="BE192">
        <v>0.45200000000000001</v>
      </c>
      <c r="BF192">
        <v>4.0000000000000001E-3</v>
      </c>
      <c r="BG192">
        <v>0.153</v>
      </c>
      <c r="BH192">
        <v>0.58499999999999996</v>
      </c>
      <c r="BI192">
        <v>0.20599999999999999</v>
      </c>
    </row>
    <row r="193" spans="1:61" x14ac:dyDescent="0.3">
      <c r="A193">
        <v>192</v>
      </c>
      <c r="B193" t="s">
        <v>130</v>
      </c>
      <c r="C193">
        <v>1.24071191852617E-2</v>
      </c>
      <c r="D193">
        <v>1.1528511670401E-2</v>
      </c>
      <c r="J193" t="s">
        <v>195</v>
      </c>
      <c r="K193">
        <v>0.51400000000000001</v>
      </c>
      <c r="L193">
        <v>0.45700000000000002</v>
      </c>
      <c r="M193" t="s">
        <v>57</v>
      </c>
      <c r="N193">
        <v>0</v>
      </c>
      <c r="O193">
        <v>0</v>
      </c>
      <c r="P193">
        <v>-0.94799999999999995</v>
      </c>
      <c r="Q193">
        <v>-0.99099999999999999</v>
      </c>
      <c r="R193">
        <v>-0.997</v>
      </c>
      <c r="S193">
        <v>-0.93799999999999994</v>
      </c>
      <c r="T193">
        <v>-1</v>
      </c>
      <c r="U193">
        <v>-0.85199999999999998</v>
      </c>
      <c r="V193">
        <v>-0.69</v>
      </c>
      <c r="W193">
        <v>-0.97799999999999998</v>
      </c>
      <c r="X193">
        <v>-0.115</v>
      </c>
      <c r="Y193">
        <v>-0.11</v>
      </c>
      <c r="Z193">
        <v>4.0000000000000001E-3</v>
      </c>
      <c r="AA193">
        <v>0.19400000000000001</v>
      </c>
      <c r="AB193">
        <v>9.6000000000000002E-2</v>
      </c>
      <c r="AC193">
        <v>-1</v>
      </c>
      <c r="AD193">
        <v>-0.71799999999999997</v>
      </c>
      <c r="AE193">
        <v>-1</v>
      </c>
      <c r="AF193">
        <v>-1</v>
      </c>
      <c r="AG193">
        <v>-1</v>
      </c>
      <c r="AH193">
        <v>-0.85699999999999998</v>
      </c>
      <c r="AI193">
        <v>-0.38</v>
      </c>
      <c r="AJ193">
        <v>-1</v>
      </c>
      <c r="AK193">
        <v>-0.80100000000000005</v>
      </c>
      <c r="AL193">
        <v>0.311</v>
      </c>
      <c r="AM193">
        <v>-0.66500000000000004</v>
      </c>
      <c r="AN193">
        <v>-0.84699999999999998</v>
      </c>
      <c r="AO193">
        <v>0.27900000000000003</v>
      </c>
      <c r="AP193">
        <v>0.30599999999999999</v>
      </c>
      <c r="AQ193">
        <v>0.28699999999999998</v>
      </c>
      <c r="AR193">
        <v>0.152</v>
      </c>
      <c r="AS193">
        <v>2.5000000000000001E-2</v>
      </c>
      <c r="AT193">
        <v>-0.623</v>
      </c>
      <c r="AU193">
        <v>0</v>
      </c>
      <c r="AV193">
        <v>5.8999999999999997E-2</v>
      </c>
      <c r="AW193">
        <v>-1.0999999999999999E-2</v>
      </c>
      <c r="AX193">
        <v>2.1999999999999999E-2</v>
      </c>
      <c r="AY193">
        <v>0.55300000000000005</v>
      </c>
      <c r="AZ193">
        <v>-0.50900000000000001</v>
      </c>
      <c r="BA193">
        <v>-0.58699999999999997</v>
      </c>
      <c r="BB193">
        <v>-0.25600000000000001</v>
      </c>
      <c r="BC193">
        <v>0.26</v>
      </c>
      <c r="BD193">
        <v>0.435</v>
      </c>
      <c r="BE193">
        <v>0.90300000000000002</v>
      </c>
      <c r="BF193">
        <v>-0.35899999999999999</v>
      </c>
      <c r="BG193">
        <v>-0.61099999999999999</v>
      </c>
      <c r="BH193">
        <v>0.21</v>
      </c>
      <c r="BI193">
        <v>-0.38600000000000001</v>
      </c>
    </row>
    <row r="194" spans="1:61" x14ac:dyDescent="0.3">
      <c r="A194">
        <v>193</v>
      </c>
      <c r="B194" t="s">
        <v>219</v>
      </c>
      <c r="C194">
        <v>0</v>
      </c>
      <c r="D194">
        <v>0</v>
      </c>
      <c r="J194" t="s">
        <v>254</v>
      </c>
      <c r="K194">
        <v>0.51200000000000001</v>
      </c>
      <c r="L194">
        <v>0.42199999999999999</v>
      </c>
      <c r="M194" t="s">
        <v>57</v>
      </c>
      <c r="N194">
        <v>0</v>
      </c>
      <c r="O194">
        <v>-4.0000000000000001E-3</v>
      </c>
      <c r="P194">
        <v>-0.92700000000000005</v>
      </c>
      <c r="Q194">
        <v>-0.91300000000000003</v>
      </c>
      <c r="R194">
        <v>-0.92700000000000005</v>
      </c>
      <c r="S194">
        <v>-0.9</v>
      </c>
      <c r="T194">
        <v>-0.91900000000000004</v>
      </c>
      <c r="U194">
        <v>-0.89700000000000002</v>
      </c>
      <c r="V194">
        <v>-0.84599999999999997</v>
      </c>
      <c r="W194">
        <v>-0.95899999999999996</v>
      </c>
      <c r="X194">
        <v>-0.53</v>
      </c>
      <c r="Y194">
        <v>-0.52900000000000003</v>
      </c>
      <c r="Z194">
        <v>0.54900000000000004</v>
      </c>
      <c r="AA194">
        <v>0.42899999999999999</v>
      </c>
      <c r="AB194">
        <v>8.9999999999999993E-3</v>
      </c>
      <c r="AC194">
        <v>-5.8000000000000003E-2</v>
      </c>
      <c r="AD194">
        <v>-0.186</v>
      </c>
      <c r="AE194">
        <v>-0.72</v>
      </c>
      <c r="AF194">
        <v>-0.55000000000000004</v>
      </c>
      <c r="AG194">
        <v>-1</v>
      </c>
      <c r="AH194">
        <v>-0.98899999999999999</v>
      </c>
      <c r="AI194">
        <v>0.27700000000000002</v>
      </c>
      <c r="AJ194">
        <v>-0.80900000000000005</v>
      </c>
      <c r="AK194">
        <v>0.154</v>
      </c>
      <c r="AL194">
        <v>-0.34300000000000003</v>
      </c>
      <c r="AM194">
        <v>-0.81499999999999995</v>
      </c>
      <c r="AN194">
        <v>-0.58499999999999996</v>
      </c>
      <c r="AO194">
        <v>-0.189</v>
      </c>
      <c r="AP194">
        <v>-0.61199999999999999</v>
      </c>
      <c r="AQ194">
        <v>-0.42199999999999999</v>
      </c>
      <c r="AR194">
        <v>-0.43099999999999999</v>
      </c>
      <c r="AS194">
        <v>-0.16200000000000001</v>
      </c>
      <c r="AT194">
        <v>-0.26100000000000001</v>
      </c>
      <c r="AU194">
        <v>-0.41899999999999998</v>
      </c>
      <c r="AV194">
        <v>-0.33100000000000002</v>
      </c>
      <c r="AW194">
        <v>0.30399999999999999</v>
      </c>
      <c r="AX194">
        <v>-0.27300000000000002</v>
      </c>
      <c r="AY194">
        <v>-3.7999999999999999E-2</v>
      </c>
      <c r="AZ194">
        <v>0.32800000000000001</v>
      </c>
      <c r="BA194">
        <v>4.4999999999999998E-2</v>
      </c>
      <c r="BB194">
        <v>0.08</v>
      </c>
      <c r="BC194">
        <v>0.35899999999999999</v>
      </c>
      <c r="BD194">
        <v>-0.10299999999999999</v>
      </c>
      <c r="BE194">
        <v>0.39900000000000002</v>
      </c>
      <c r="BF194">
        <v>0.65300000000000002</v>
      </c>
      <c r="BG194">
        <v>0.35599999999999998</v>
      </c>
      <c r="BH194">
        <v>-0.622</v>
      </c>
      <c r="BI194">
        <v>-0.26900000000000002</v>
      </c>
    </row>
    <row r="195" spans="1:61" x14ac:dyDescent="0.3">
      <c r="A195">
        <v>194</v>
      </c>
      <c r="B195" t="s">
        <v>227</v>
      </c>
      <c r="C195">
        <v>0</v>
      </c>
      <c r="D195">
        <v>0</v>
      </c>
      <c r="J195" t="s">
        <v>230</v>
      </c>
      <c r="K195">
        <v>0.50800000000000001</v>
      </c>
      <c r="L195">
        <v>0.39500000000000002</v>
      </c>
      <c r="M195" t="s">
        <v>71</v>
      </c>
      <c r="N195">
        <v>0</v>
      </c>
      <c r="O195">
        <v>-2E-3</v>
      </c>
      <c r="P195">
        <v>-1</v>
      </c>
      <c r="Q195">
        <v>-0.98</v>
      </c>
      <c r="R195">
        <v>-1</v>
      </c>
      <c r="S195">
        <v>-0.996</v>
      </c>
      <c r="T195">
        <v>-0.998</v>
      </c>
      <c r="U195">
        <v>-0.95699999999999996</v>
      </c>
      <c r="V195">
        <v>-0.93899999999999995</v>
      </c>
      <c r="W195">
        <v>-0.96099999999999997</v>
      </c>
      <c r="X195">
        <v>-0.48799999999999999</v>
      </c>
      <c r="Y195">
        <v>-0.48799999999999999</v>
      </c>
      <c r="Z195">
        <v>0.23899999999999999</v>
      </c>
      <c r="AA195">
        <v>0.46400000000000002</v>
      </c>
      <c r="AB195">
        <v>0.129</v>
      </c>
      <c r="AC195">
        <v>-0.95699999999999996</v>
      </c>
      <c r="AD195">
        <v>-0.92300000000000004</v>
      </c>
      <c r="AE195">
        <v>-0.97399999999999998</v>
      </c>
      <c r="AF195">
        <v>-0.79800000000000004</v>
      </c>
      <c r="AG195">
        <v>-0.92800000000000005</v>
      </c>
      <c r="AH195">
        <v>-0.93700000000000006</v>
      </c>
      <c r="AI195">
        <v>-0.64500000000000002</v>
      </c>
      <c r="AJ195">
        <v>-0.11</v>
      </c>
      <c r="AK195">
        <v>0.186</v>
      </c>
      <c r="AL195">
        <v>-0.73199999999999998</v>
      </c>
      <c r="AM195">
        <v>-0.61099999999999999</v>
      </c>
      <c r="AN195">
        <v>-0.66900000000000004</v>
      </c>
      <c r="AO195">
        <v>-0.68100000000000005</v>
      </c>
      <c r="AP195">
        <v>0.42</v>
      </c>
      <c r="AQ195">
        <v>-3.2000000000000001E-2</v>
      </c>
      <c r="AR195">
        <v>-0.36699999999999999</v>
      </c>
      <c r="AS195">
        <v>-0.57499999999999996</v>
      </c>
      <c r="AT195">
        <v>-0.81499999999999995</v>
      </c>
      <c r="AU195">
        <v>-0.42899999999999999</v>
      </c>
      <c r="AV195">
        <v>-0.70099999999999996</v>
      </c>
      <c r="AW195">
        <v>0.63</v>
      </c>
      <c r="AX195">
        <v>-1</v>
      </c>
      <c r="AY195">
        <v>0.32900000000000001</v>
      </c>
      <c r="AZ195">
        <v>3.5999999999999997E-2</v>
      </c>
      <c r="BA195">
        <v>-0.02</v>
      </c>
      <c r="BB195">
        <v>0.20799999999999999</v>
      </c>
      <c r="BC195">
        <v>-0.70299999999999996</v>
      </c>
      <c r="BD195">
        <v>-0.437</v>
      </c>
      <c r="BE195">
        <v>-3.4000000000000002E-2</v>
      </c>
      <c r="BF195">
        <v>0.50800000000000001</v>
      </c>
      <c r="BG195">
        <v>0.35699999999999998</v>
      </c>
      <c r="BH195">
        <v>-0.32800000000000001</v>
      </c>
      <c r="BI195">
        <v>9.9000000000000005E-2</v>
      </c>
    </row>
    <row r="196" spans="1:61" x14ac:dyDescent="0.3">
      <c r="A196">
        <v>195</v>
      </c>
      <c r="B196" t="s">
        <v>147</v>
      </c>
      <c r="C196">
        <v>0</v>
      </c>
      <c r="D196">
        <v>0</v>
      </c>
      <c r="J196" t="s">
        <v>212</v>
      </c>
      <c r="K196">
        <v>0.50700000000000001</v>
      </c>
      <c r="L196">
        <v>0.38700000000000001</v>
      </c>
      <c r="M196" t="s">
        <v>57</v>
      </c>
      <c r="N196">
        <v>0</v>
      </c>
      <c r="O196">
        <v>0</v>
      </c>
      <c r="P196">
        <v>-0.97499999999999998</v>
      </c>
      <c r="Q196">
        <v>-1</v>
      </c>
      <c r="R196">
        <v>-0.94199999999999995</v>
      </c>
      <c r="S196">
        <v>-0.95</v>
      </c>
      <c r="T196">
        <v>-0.98699999999999999</v>
      </c>
      <c r="U196">
        <v>-0.93500000000000005</v>
      </c>
      <c r="V196">
        <v>-0.89600000000000002</v>
      </c>
      <c r="W196">
        <v>-0.94499999999999995</v>
      </c>
      <c r="X196">
        <v>-0.317</v>
      </c>
      <c r="Y196">
        <v>-0.314</v>
      </c>
      <c r="Z196">
        <v>0.214</v>
      </c>
      <c r="AA196">
        <v>0.27700000000000002</v>
      </c>
      <c r="AB196">
        <v>-4.1000000000000002E-2</v>
      </c>
      <c r="AC196">
        <v>-0.83899999999999997</v>
      </c>
      <c r="AD196">
        <v>-0.67200000000000004</v>
      </c>
      <c r="AE196">
        <v>-1</v>
      </c>
      <c r="AF196">
        <v>-0.38800000000000001</v>
      </c>
      <c r="AG196">
        <v>-0.57599999999999996</v>
      </c>
      <c r="AH196">
        <v>-0.432</v>
      </c>
      <c r="AI196">
        <v>-0.113</v>
      </c>
      <c r="AJ196">
        <v>-0.32600000000000001</v>
      </c>
      <c r="AK196">
        <v>-0.65400000000000003</v>
      </c>
      <c r="AL196">
        <v>-0.25800000000000001</v>
      </c>
      <c r="AM196">
        <v>-0.76400000000000001</v>
      </c>
      <c r="AN196">
        <v>-0.72099999999999997</v>
      </c>
      <c r="AO196">
        <v>-4.4999999999999998E-2</v>
      </c>
      <c r="AP196">
        <v>-0.375</v>
      </c>
      <c r="AQ196">
        <v>-0.74399999999999999</v>
      </c>
      <c r="AR196">
        <v>0.42299999999999999</v>
      </c>
      <c r="AS196">
        <v>-0.374</v>
      </c>
      <c r="AT196">
        <v>-0.64</v>
      </c>
      <c r="AU196">
        <v>-0.19600000000000001</v>
      </c>
      <c r="AV196">
        <v>0.40100000000000002</v>
      </c>
      <c r="AW196">
        <v>0.68100000000000005</v>
      </c>
      <c r="AX196">
        <v>0.38</v>
      </c>
      <c r="AY196">
        <v>-0.497</v>
      </c>
      <c r="AZ196">
        <v>-0.56799999999999995</v>
      </c>
      <c r="BA196">
        <v>-0.3</v>
      </c>
      <c r="BB196">
        <v>-0.23799999999999999</v>
      </c>
      <c r="BC196">
        <v>0.76400000000000001</v>
      </c>
      <c r="BD196">
        <v>0.60799999999999998</v>
      </c>
      <c r="BE196">
        <v>-8.4000000000000005E-2</v>
      </c>
      <c r="BF196">
        <v>-0.61399999999999999</v>
      </c>
      <c r="BG196">
        <v>0.29099999999999998</v>
      </c>
      <c r="BH196">
        <v>-0.41899999999999998</v>
      </c>
      <c r="BI196">
        <v>0.23499999999999999</v>
      </c>
    </row>
    <row r="197" spans="1:61" x14ac:dyDescent="0.3">
      <c r="A197">
        <v>196</v>
      </c>
      <c r="B197" t="s">
        <v>67</v>
      </c>
      <c r="C197">
        <v>1.5715049155014E-2</v>
      </c>
      <c r="D197">
        <v>1.0094922437337801E-2</v>
      </c>
      <c r="J197" t="s">
        <v>181</v>
      </c>
      <c r="K197">
        <v>0.50600000000000001</v>
      </c>
      <c r="L197">
        <v>0.57099999999999995</v>
      </c>
      <c r="M197" t="s">
        <v>68</v>
      </c>
      <c r="N197">
        <v>0</v>
      </c>
      <c r="O197">
        <v>-2.1000000000000001E-2</v>
      </c>
      <c r="P197">
        <v>-0.89200000000000002</v>
      </c>
      <c r="Q197">
        <v>-0.999</v>
      </c>
      <c r="R197">
        <v>-0.97899999999999998</v>
      </c>
      <c r="S197">
        <v>-0.86599999999999999</v>
      </c>
      <c r="T197">
        <v>-0.98799999999999999</v>
      </c>
      <c r="U197">
        <v>-0.86199999999999999</v>
      </c>
      <c r="V197">
        <v>-0.83399999999999996</v>
      </c>
      <c r="W197">
        <v>-0.92300000000000004</v>
      </c>
      <c r="X197">
        <v>-0.35299999999999998</v>
      </c>
      <c r="Y197">
        <v>-0.35299999999999998</v>
      </c>
      <c r="Z197">
        <v>0.28499999999999998</v>
      </c>
      <c r="AA197">
        <v>0.254</v>
      </c>
      <c r="AB197">
        <v>-0.25900000000000001</v>
      </c>
      <c r="AC197">
        <v>-0.57199999999999995</v>
      </c>
      <c r="AD197">
        <v>-0.64700000000000002</v>
      </c>
      <c r="AE197">
        <v>-0.98399999999999999</v>
      </c>
      <c r="AF197">
        <v>-1</v>
      </c>
      <c r="AG197">
        <v>-1</v>
      </c>
      <c r="AH197">
        <v>-0.72899999999999998</v>
      </c>
      <c r="AI197">
        <v>-0.34599999999999997</v>
      </c>
      <c r="AJ197">
        <v>-0.94</v>
      </c>
      <c r="AK197">
        <v>-0.82199999999999995</v>
      </c>
      <c r="AL197">
        <v>0.32600000000000001</v>
      </c>
      <c r="AM197">
        <v>-0.27300000000000002</v>
      </c>
      <c r="AN197">
        <v>-0.314</v>
      </c>
      <c r="AO197">
        <v>0.45500000000000002</v>
      </c>
      <c r="AP197">
        <v>-0.27700000000000002</v>
      </c>
      <c r="AQ197">
        <v>-0.40799999999999997</v>
      </c>
      <c r="AR197">
        <v>-6.6000000000000003E-2</v>
      </c>
      <c r="AS197">
        <v>-0.64900000000000002</v>
      </c>
      <c r="AT197">
        <v>0.221</v>
      </c>
      <c r="AU197">
        <v>0.36199999999999999</v>
      </c>
      <c r="AV197">
        <v>9.4E-2</v>
      </c>
      <c r="AW197">
        <v>0.26</v>
      </c>
      <c r="AX197">
        <v>0.63</v>
      </c>
      <c r="AY197">
        <v>0.28799999999999998</v>
      </c>
      <c r="AZ197">
        <v>8.4000000000000005E-2</v>
      </c>
      <c r="BA197">
        <v>0.253</v>
      </c>
      <c r="BB197">
        <v>0.34599999999999997</v>
      </c>
      <c r="BC197">
        <v>0.24</v>
      </c>
      <c r="BD197">
        <v>0.92300000000000004</v>
      </c>
      <c r="BE197">
        <v>-0.1</v>
      </c>
      <c r="BF197">
        <v>-1</v>
      </c>
      <c r="BG197">
        <v>0.79800000000000004</v>
      </c>
      <c r="BH197">
        <v>-0.42399999999999999</v>
      </c>
      <c r="BI197">
        <v>-0.80200000000000005</v>
      </c>
    </row>
    <row r="198" spans="1:61" x14ac:dyDescent="0.3">
      <c r="A198">
        <v>197</v>
      </c>
      <c r="B198" t="s">
        <v>90</v>
      </c>
      <c r="C198">
        <v>1.3461488107040899E-2</v>
      </c>
      <c r="D198">
        <v>8.3488414747326205E-3</v>
      </c>
      <c r="J198" t="s">
        <v>213</v>
      </c>
      <c r="K198">
        <v>0.505</v>
      </c>
      <c r="L198">
        <v>0.60499999999999998</v>
      </c>
      <c r="M198" t="s">
        <v>57</v>
      </c>
      <c r="N198">
        <v>0</v>
      </c>
      <c r="O198">
        <v>-7.0000000000000001E-3</v>
      </c>
      <c r="P198">
        <v>-0.95099999999999996</v>
      </c>
      <c r="Q198">
        <v>-1</v>
      </c>
      <c r="R198">
        <v>-0.98499999999999999</v>
      </c>
      <c r="S198">
        <v>-0.88600000000000001</v>
      </c>
      <c r="T198">
        <v>-0.98199999999999998</v>
      </c>
      <c r="U198">
        <v>-0.90500000000000003</v>
      </c>
      <c r="V198">
        <v>-0.82399999999999995</v>
      </c>
      <c r="W198">
        <v>-0.95099999999999996</v>
      </c>
      <c r="X198">
        <v>-0.375</v>
      </c>
      <c r="Y198">
        <v>-0.372</v>
      </c>
      <c r="Z198">
        <v>0.34899999999999998</v>
      </c>
      <c r="AA198">
        <v>0.36499999999999999</v>
      </c>
      <c r="AB198">
        <v>-0.22800000000000001</v>
      </c>
      <c r="AC198">
        <v>-0.60899999999999999</v>
      </c>
      <c r="AD198">
        <v>-0.57799999999999996</v>
      </c>
      <c r="AE198">
        <v>-1</v>
      </c>
      <c r="AF198">
        <v>-0.94799999999999995</v>
      </c>
      <c r="AG198">
        <v>-1</v>
      </c>
      <c r="AH198">
        <v>-0.437</v>
      </c>
      <c r="AI198">
        <v>-0.60399999999999998</v>
      </c>
      <c r="AJ198">
        <v>-0.749</v>
      </c>
      <c r="AK198">
        <v>-0.92300000000000004</v>
      </c>
      <c r="AL198">
        <v>0.53500000000000003</v>
      </c>
      <c r="AM198">
        <v>-0.88500000000000001</v>
      </c>
      <c r="AN198">
        <v>-0.40600000000000003</v>
      </c>
      <c r="AO198">
        <v>0.36899999999999999</v>
      </c>
      <c r="AP198">
        <v>0.20899999999999999</v>
      </c>
      <c r="AQ198">
        <v>0.154</v>
      </c>
      <c r="AR198">
        <v>0.25600000000000001</v>
      </c>
      <c r="AS198">
        <v>0.154</v>
      </c>
      <c r="AT198">
        <v>0.16800000000000001</v>
      </c>
      <c r="AU198">
        <v>0.21299999999999999</v>
      </c>
      <c r="AV198">
        <v>-0.41699999999999998</v>
      </c>
      <c r="AW198">
        <v>0.876</v>
      </c>
      <c r="AX198">
        <v>0.59299999999999997</v>
      </c>
      <c r="AY198">
        <v>-0.309</v>
      </c>
      <c r="AZ198">
        <v>-0.85299999999999998</v>
      </c>
      <c r="BA198">
        <v>-1</v>
      </c>
      <c r="BB198">
        <v>-0.497</v>
      </c>
      <c r="BC198">
        <v>-0.26200000000000001</v>
      </c>
      <c r="BD198">
        <v>-1</v>
      </c>
      <c r="BE198">
        <v>-0.371</v>
      </c>
      <c r="BF198">
        <v>-0.20899999999999999</v>
      </c>
      <c r="BG198">
        <v>-0.11600000000000001</v>
      </c>
      <c r="BH198">
        <v>-0.311</v>
      </c>
      <c r="BI198">
        <v>-0.621</v>
      </c>
    </row>
    <row r="199" spans="1:61" x14ac:dyDescent="0.3">
      <c r="A199">
        <v>198</v>
      </c>
      <c r="B199" t="s">
        <v>79</v>
      </c>
      <c r="C199">
        <v>1.0299107233462199E-2</v>
      </c>
      <c r="D199">
        <v>1.16008431051586E-2</v>
      </c>
      <c r="J199" t="s">
        <v>249</v>
      </c>
      <c r="K199">
        <v>0.501</v>
      </c>
      <c r="L199">
        <v>0.35099999999999998</v>
      </c>
      <c r="M199" t="s">
        <v>71</v>
      </c>
      <c r="N199">
        <v>0</v>
      </c>
      <c r="O199">
        <v>0</v>
      </c>
      <c r="P199">
        <v>-0.85399999999999998</v>
      </c>
      <c r="Q199">
        <v>-0.56799999999999995</v>
      </c>
      <c r="R199">
        <v>-0.79800000000000004</v>
      </c>
      <c r="S199">
        <v>-0.91900000000000004</v>
      </c>
      <c r="T199">
        <v>-0.83099999999999996</v>
      </c>
      <c r="U199">
        <v>-0.93899999999999995</v>
      </c>
      <c r="V199">
        <v>-0.97199999999999998</v>
      </c>
      <c r="W199">
        <v>-0.84099999999999997</v>
      </c>
      <c r="X199">
        <v>-0.39</v>
      </c>
      <c r="Y199">
        <v>-0.40100000000000002</v>
      </c>
      <c r="Z199">
        <v>-1</v>
      </c>
      <c r="AA199">
        <v>-1</v>
      </c>
      <c r="AB199">
        <v>-5.6000000000000001E-2</v>
      </c>
      <c r="AC199">
        <v>-1</v>
      </c>
      <c r="AD199">
        <v>-1</v>
      </c>
      <c r="AE199">
        <v>-0.34399999999999997</v>
      </c>
      <c r="AF199">
        <v>-0.63900000000000001</v>
      </c>
      <c r="AG199">
        <v>1</v>
      </c>
      <c r="AH199">
        <v>-0.66100000000000003</v>
      </c>
      <c r="AI199">
        <v>-0.55300000000000005</v>
      </c>
      <c r="AJ199">
        <v>-1</v>
      </c>
      <c r="AK199">
        <v>-0.41299999999999998</v>
      </c>
      <c r="AL199">
        <v>-0.40500000000000003</v>
      </c>
      <c r="AM199">
        <v>0.79800000000000004</v>
      </c>
      <c r="AN199">
        <v>0.91600000000000004</v>
      </c>
      <c r="AO199">
        <v>-0.66800000000000004</v>
      </c>
      <c r="AP199">
        <v>-1</v>
      </c>
      <c r="AQ199">
        <v>-2.5999999999999999E-2</v>
      </c>
      <c r="AR199">
        <v>-0.67700000000000005</v>
      </c>
      <c r="AS199">
        <v>-0.02</v>
      </c>
      <c r="AT199">
        <v>-0.52400000000000002</v>
      </c>
      <c r="AU199">
        <v>-0.77800000000000002</v>
      </c>
      <c r="AV199">
        <v>-9.9000000000000005E-2</v>
      </c>
      <c r="AW199">
        <v>-0.56200000000000006</v>
      </c>
      <c r="AX199">
        <v>-0.88600000000000001</v>
      </c>
      <c r="AY199">
        <v>0.875</v>
      </c>
      <c r="AZ199">
        <v>0.49199999999999999</v>
      </c>
      <c r="BA199">
        <v>0.17699999999999999</v>
      </c>
      <c r="BB199">
        <v>0.73799999999999999</v>
      </c>
      <c r="BC199">
        <v>-0.63</v>
      </c>
      <c r="BD199">
        <v>-0.10299999999999999</v>
      </c>
      <c r="BE199">
        <v>-1</v>
      </c>
      <c r="BF199">
        <v>0.155</v>
      </c>
      <c r="BG199">
        <v>0.36099999999999999</v>
      </c>
      <c r="BH199">
        <v>0.83599999999999997</v>
      </c>
      <c r="BI199">
        <v>0.72599999999999998</v>
      </c>
    </row>
    <row r="200" spans="1:61" x14ac:dyDescent="0.3">
      <c r="A200">
        <v>199</v>
      </c>
      <c r="B200" t="s">
        <v>120</v>
      </c>
      <c r="C200">
        <v>1.26016785796235E-2</v>
      </c>
      <c r="D200">
        <v>1.01111098295611E-2</v>
      </c>
      <c r="J200" t="s">
        <v>245</v>
      </c>
      <c r="K200">
        <v>0.5</v>
      </c>
      <c r="L200">
        <v>0.37</v>
      </c>
      <c r="M200" t="s">
        <v>57</v>
      </c>
      <c r="N200">
        <v>0</v>
      </c>
      <c r="O200">
        <v>0</v>
      </c>
      <c r="P200">
        <v>-0.97</v>
      </c>
      <c r="Q200">
        <v>-0.91900000000000004</v>
      </c>
      <c r="R200">
        <v>-0.90900000000000003</v>
      </c>
      <c r="S200">
        <v>-0.94499999999999995</v>
      </c>
      <c r="T200">
        <v>-0.92200000000000004</v>
      </c>
      <c r="U200">
        <v>-0.98099999999999998</v>
      </c>
      <c r="V200">
        <v>-0.98099999999999998</v>
      </c>
      <c r="W200">
        <v>-0.94799999999999995</v>
      </c>
      <c r="X200">
        <v>-0.14199999999999999</v>
      </c>
      <c r="Y200">
        <v>-0.14799999999999999</v>
      </c>
      <c r="Z200">
        <v>-0.33200000000000002</v>
      </c>
      <c r="AA200">
        <v>-0.30599999999999999</v>
      </c>
      <c r="AB200">
        <v>-0.14399999999999999</v>
      </c>
      <c r="AC200">
        <v>-0.38100000000000001</v>
      </c>
      <c r="AD200">
        <v>-0.71</v>
      </c>
      <c r="AE200">
        <v>-0.59399999999999997</v>
      </c>
      <c r="AF200">
        <v>-0.38700000000000001</v>
      </c>
      <c r="AG200">
        <v>-0.55400000000000005</v>
      </c>
      <c r="AH200">
        <v>-0.84199999999999997</v>
      </c>
      <c r="AI200">
        <v>0.114</v>
      </c>
      <c r="AJ200">
        <v>-0.90400000000000003</v>
      </c>
      <c r="AK200">
        <v>0.38100000000000001</v>
      </c>
      <c r="AL200">
        <v>-6.9000000000000006E-2</v>
      </c>
      <c r="AM200">
        <v>-0.33100000000000002</v>
      </c>
      <c r="AN200">
        <v>-0.56000000000000005</v>
      </c>
      <c r="AO200">
        <v>-0.54400000000000004</v>
      </c>
      <c r="AP200">
        <v>-1</v>
      </c>
      <c r="AQ200">
        <v>-0.78900000000000003</v>
      </c>
      <c r="AR200">
        <v>-0.121</v>
      </c>
      <c r="AS200">
        <v>-0.379</v>
      </c>
      <c r="AT200">
        <v>-0.26200000000000001</v>
      </c>
      <c r="AU200">
        <v>-0.81899999999999995</v>
      </c>
      <c r="AV200">
        <v>-0.48099999999999998</v>
      </c>
      <c r="AW200">
        <v>0.46200000000000002</v>
      </c>
      <c r="AX200">
        <v>0.48599999999999999</v>
      </c>
      <c r="AY200">
        <v>-0.73</v>
      </c>
      <c r="AZ200">
        <v>-1E-3</v>
      </c>
      <c r="BA200">
        <v>-0.41099999999999998</v>
      </c>
      <c r="BB200">
        <v>0.249</v>
      </c>
      <c r="BC200">
        <v>0.30199999999999999</v>
      </c>
      <c r="BD200">
        <v>-0.96</v>
      </c>
      <c r="BE200">
        <v>-0.54800000000000004</v>
      </c>
      <c r="BF200">
        <v>0.17399999999999999</v>
      </c>
      <c r="BG200">
        <v>0.56499999999999995</v>
      </c>
      <c r="BH200">
        <v>-7.1999999999999995E-2</v>
      </c>
      <c r="BI200">
        <v>0.29099999999999998</v>
      </c>
    </row>
    <row r="201" spans="1:61" x14ac:dyDescent="0.3">
      <c r="A201">
        <v>200</v>
      </c>
      <c r="B201" t="s">
        <v>94</v>
      </c>
      <c r="C201">
        <v>1.0070510469095101E-2</v>
      </c>
      <c r="D201">
        <v>9.8198343503725898E-3</v>
      </c>
      <c r="J201" t="s">
        <v>243</v>
      </c>
      <c r="K201">
        <v>0.499</v>
      </c>
      <c r="L201">
        <v>0.35299999999999998</v>
      </c>
      <c r="M201" t="s">
        <v>53</v>
      </c>
      <c r="N201">
        <v>0</v>
      </c>
      <c r="O201">
        <v>-1E-3</v>
      </c>
      <c r="P201">
        <v>-0.71299999999999997</v>
      </c>
      <c r="Q201">
        <v>-0.251</v>
      </c>
      <c r="R201">
        <v>-0.73299999999999998</v>
      </c>
      <c r="S201">
        <v>-0.78300000000000003</v>
      </c>
      <c r="T201">
        <v>-0.65800000000000003</v>
      </c>
      <c r="U201">
        <v>-0.89900000000000002</v>
      </c>
      <c r="V201">
        <v>-0.94499999999999995</v>
      </c>
      <c r="W201">
        <v>-0.92200000000000004</v>
      </c>
      <c r="X201">
        <v>-0.57999999999999996</v>
      </c>
      <c r="Y201">
        <v>-0.57999999999999996</v>
      </c>
      <c r="Z201">
        <v>-0.28699999999999998</v>
      </c>
      <c r="AA201">
        <v>-0.54600000000000004</v>
      </c>
      <c r="AB201">
        <v>-0.52600000000000002</v>
      </c>
      <c r="AC201">
        <v>-0.41299999999999998</v>
      </c>
      <c r="AD201">
        <v>0.22</v>
      </c>
      <c r="AE201">
        <v>0.123</v>
      </c>
      <c r="AF201">
        <v>-0.214</v>
      </c>
      <c r="AG201">
        <v>-0.35599999999999998</v>
      </c>
      <c r="AH201">
        <v>-0.80900000000000005</v>
      </c>
      <c r="AI201">
        <v>0.45300000000000001</v>
      </c>
      <c r="AJ201">
        <v>-1</v>
      </c>
      <c r="AK201">
        <v>0.85699999999999998</v>
      </c>
      <c r="AL201">
        <v>-0.29199999999999998</v>
      </c>
      <c r="AM201">
        <v>-0.76500000000000001</v>
      </c>
      <c r="AN201">
        <v>0.93600000000000005</v>
      </c>
      <c r="AO201">
        <v>8.0000000000000002E-3</v>
      </c>
      <c r="AP201">
        <v>-0.36299999999999999</v>
      </c>
      <c r="AQ201">
        <v>-1.4E-2</v>
      </c>
      <c r="AR201">
        <v>-0.26</v>
      </c>
      <c r="AS201">
        <v>-0.33</v>
      </c>
      <c r="AT201">
        <v>-0.41299999999999998</v>
      </c>
      <c r="AU201">
        <v>-0.81200000000000006</v>
      </c>
      <c r="AV201">
        <v>-0.36299999999999999</v>
      </c>
      <c r="AW201">
        <v>0.40799999999999997</v>
      </c>
      <c r="AX201">
        <v>0.52800000000000002</v>
      </c>
      <c r="AY201">
        <v>0.17</v>
      </c>
      <c r="AZ201">
        <v>0.26100000000000001</v>
      </c>
      <c r="BA201">
        <v>-5.1999999999999998E-2</v>
      </c>
      <c r="BB201">
        <v>9.2999999999999999E-2</v>
      </c>
      <c r="BC201">
        <v>-0.627</v>
      </c>
      <c r="BD201">
        <v>0.10199999999999999</v>
      </c>
      <c r="BE201">
        <v>-0.90900000000000003</v>
      </c>
      <c r="BF201">
        <v>1</v>
      </c>
      <c r="BG201">
        <v>0.28499999999999998</v>
      </c>
      <c r="BH201">
        <v>-0.85399999999999998</v>
      </c>
      <c r="BI201">
        <v>-2.5999999999999999E-2</v>
      </c>
    </row>
    <row r="202" spans="1:61" x14ac:dyDescent="0.3">
      <c r="A202">
        <v>201</v>
      </c>
      <c r="B202" t="s">
        <v>113</v>
      </c>
      <c r="C202">
        <v>0</v>
      </c>
      <c r="D202">
        <v>0</v>
      </c>
      <c r="J202" t="s">
        <v>258</v>
      </c>
      <c r="K202">
        <v>0.497</v>
      </c>
      <c r="L202">
        <v>0.36199999999999999</v>
      </c>
      <c r="M202" t="s">
        <v>57</v>
      </c>
      <c r="N202">
        <v>0</v>
      </c>
      <c r="O202">
        <v>0</v>
      </c>
      <c r="P202">
        <v>-0.76600000000000001</v>
      </c>
      <c r="Q202">
        <v>-0.60099999999999998</v>
      </c>
      <c r="R202">
        <v>-0.38200000000000001</v>
      </c>
      <c r="S202">
        <v>-0.90200000000000002</v>
      </c>
      <c r="T202">
        <v>-0.76300000000000001</v>
      </c>
      <c r="U202">
        <v>-0.92400000000000004</v>
      </c>
      <c r="V202">
        <v>-0.94399999999999995</v>
      </c>
      <c r="W202">
        <v>-0.94599999999999995</v>
      </c>
      <c r="X202">
        <v>-0.68700000000000006</v>
      </c>
      <c r="Y202">
        <v>-0.68500000000000005</v>
      </c>
      <c r="Z202">
        <v>-0.20200000000000001</v>
      </c>
      <c r="AA202">
        <v>-0.97399999999999998</v>
      </c>
      <c r="AB202">
        <v>-0.32</v>
      </c>
      <c r="AC202">
        <v>-0.76800000000000002</v>
      </c>
      <c r="AD202">
        <v>-0.41399999999999998</v>
      </c>
      <c r="AE202">
        <v>-0.45900000000000002</v>
      </c>
      <c r="AF202">
        <v>1</v>
      </c>
      <c r="AG202">
        <v>3.5000000000000003E-2</v>
      </c>
      <c r="AH202">
        <v>-0.49</v>
      </c>
      <c r="AI202">
        <v>0.498</v>
      </c>
      <c r="AJ202">
        <v>-0.68799999999999994</v>
      </c>
      <c r="AK202">
        <v>-2.7E-2</v>
      </c>
      <c r="AL202">
        <v>-0.308</v>
      </c>
      <c r="AM202">
        <v>-0.66</v>
      </c>
      <c r="AN202">
        <v>-0.35699999999999998</v>
      </c>
      <c r="AO202">
        <v>-0.43</v>
      </c>
      <c r="AP202">
        <v>-0.30299999999999999</v>
      </c>
      <c r="AQ202">
        <v>-0.23200000000000001</v>
      </c>
      <c r="AR202">
        <v>-0.28699999999999998</v>
      </c>
      <c r="AS202">
        <v>-0.35799999999999998</v>
      </c>
      <c r="AT202">
        <v>-0.71199999999999997</v>
      </c>
      <c r="AU202">
        <v>-0.78500000000000003</v>
      </c>
      <c r="AV202">
        <v>0.39300000000000002</v>
      </c>
      <c r="AW202">
        <v>-6.4000000000000001E-2</v>
      </c>
      <c r="AX202">
        <v>-0.27400000000000002</v>
      </c>
      <c r="AY202">
        <v>-0.34</v>
      </c>
      <c r="AZ202">
        <v>0.624</v>
      </c>
      <c r="BA202">
        <v>1</v>
      </c>
      <c r="BB202">
        <v>-8.9999999999999993E-3</v>
      </c>
      <c r="BC202">
        <v>1</v>
      </c>
      <c r="BD202">
        <v>1</v>
      </c>
      <c r="BE202">
        <v>-0.42399999999999999</v>
      </c>
      <c r="BF202">
        <v>0.747</v>
      </c>
      <c r="BG202">
        <v>0.623</v>
      </c>
      <c r="BH202">
        <v>-0.21</v>
      </c>
      <c r="BI202">
        <v>1</v>
      </c>
    </row>
    <row r="203" spans="1:61" x14ac:dyDescent="0.3">
      <c r="A203">
        <v>202</v>
      </c>
      <c r="B203" t="s">
        <v>134</v>
      </c>
      <c r="C203">
        <v>0</v>
      </c>
      <c r="D203">
        <v>0</v>
      </c>
      <c r="J203" t="s">
        <v>260</v>
      </c>
      <c r="K203">
        <v>0.49199999999999999</v>
      </c>
      <c r="L203">
        <v>0.34499999999999997</v>
      </c>
      <c r="M203" t="s">
        <v>57</v>
      </c>
      <c r="N203">
        <v>0</v>
      </c>
      <c r="O203">
        <v>0</v>
      </c>
      <c r="P203">
        <v>-0.96699999999999997</v>
      </c>
      <c r="Q203">
        <v>-0.93799999999999994</v>
      </c>
      <c r="R203">
        <v>-0.89100000000000001</v>
      </c>
      <c r="S203">
        <v>-0.98199999999999998</v>
      </c>
      <c r="T203">
        <v>-0.95799999999999996</v>
      </c>
      <c r="U203">
        <v>-0.97499999999999998</v>
      </c>
      <c r="V203">
        <v>-0.96699999999999997</v>
      </c>
      <c r="W203">
        <v>-0.99</v>
      </c>
      <c r="X203">
        <v>-0.77800000000000002</v>
      </c>
      <c r="Y203">
        <v>-0.77500000000000002</v>
      </c>
      <c r="Z203">
        <v>-0.36899999999999999</v>
      </c>
      <c r="AA203">
        <v>-0.33700000000000002</v>
      </c>
      <c r="AB203">
        <v>-0.115</v>
      </c>
      <c r="AC203">
        <v>-0.84799999999999998</v>
      </c>
      <c r="AD203">
        <v>-0.68200000000000005</v>
      </c>
      <c r="AE203">
        <v>-0.73399999999999999</v>
      </c>
      <c r="AF203">
        <v>-6.2E-2</v>
      </c>
      <c r="AG203">
        <v>-0.74299999999999999</v>
      </c>
      <c r="AH203">
        <v>-0.86299999999999999</v>
      </c>
      <c r="AI203">
        <v>0.51</v>
      </c>
      <c r="AJ203">
        <v>-0.57799999999999996</v>
      </c>
      <c r="AK203">
        <v>-0.307</v>
      </c>
      <c r="AL203">
        <v>-0.309</v>
      </c>
      <c r="AM203">
        <v>-0.83</v>
      </c>
      <c r="AN203">
        <v>-0.26200000000000001</v>
      </c>
      <c r="AO203">
        <v>-0.92200000000000004</v>
      </c>
      <c r="AP203">
        <v>-0.51600000000000001</v>
      </c>
      <c r="AQ203">
        <v>-0.13200000000000001</v>
      </c>
      <c r="AR203">
        <v>-0.41399999999999998</v>
      </c>
      <c r="AS203">
        <v>-0.79400000000000004</v>
      </c>
      <c r="AT203">
        <v>-0.81499999999999995</v>
      </c>
      <c r="AU203">
        <v>-0.63700000000000001</v>
      </c>
      <c r="AV203">
        <v>-0.33200000000000002</v>
      </c>
      <c r="AW203">
        <v>-0.10299999999999999</v>
      </c>
      <c r="AX203">
        <v>-0.61899999999999999</v>
      </c>
      <c r="AY203">
        <v>-9.4E-2</v>
      </c>
      <c r="AZ203">
        <v>0.63</v>
      </c>
      <c r="BA203">
        <v>0.111</v>
      </c>
      <c r="BB203">
        <v>-7.1999999999999995E-2</v>
      </c>
      <c r="BC203">
        <v>0.54500000000000004</v>
      </c>
      <c r="BD203">
        <v>0.14099999999999999</v>
      </c>
      <c r="BE203">
        <v>9.4E-2</v>
      </c>
      <c r="BF203">
        <v>1</v>
      </c>
      <c r="BG203">
        <v>0.111</v>
      </c>
      <c r="BH203">
        <v>0.32700000000000001</v>
      </c>
      <c r="BI203">
        <v>0.22800000000000001</v>
      </c>
    </row>
    <row r="204" spans="1:61" x14ac:dyDescent="0.3">
      <c r="A204">
        <v>203</v>
      </c>
      <c r="B204" t="s">
        <v>116</v>
      </c>
      <c r="C204">
        <v>9.9530478391366296E-3</v>
      </c>
      <c r="D204">
        <v>8.3576655835055393E-3</v>
      </c>
      <c r="J204" t="s">
        <v>242</v>
      </c>
      <c r="K204">
        <v>0.49199999999999999</v>
      </c>
      <c r="L204">
        <v>0.34399999999999997</v>
      </c>
      <c r="M204" t="s">
        <v>57</v>
      </c>
      <c r="N204">
        <v>0</v>
      </c>
      <c r="O204">
        <v>0</v>
      </c>
      <c r="P204">
        <v>-0.80200000000000005</v>
      </c>
      <c r="Q204">
        <v>-0.76600000000000001</v>
      </c>
      <c r="R204">
        <v>-0.53300000000000003</v>
      </c>
      <c r="S204">
        <v>-0.88200000000000001</v>
      </c>
      <c r="T204">
        <v>-0.79600000000000004</v>
      </c>
      <c r="U204">
        <v>-0.93200000000000005</v>
      </c>
      <c r="V204">
        <v>-0.93200000000000005</v>
      </c>
      <c r="W204">
        <v>-0.99299999999999999</v>
      </c>
      <c r="X204">
        <v>-0.74099999999999999</v>
      </c>
      <c r="Y204">
        <v>-0.74099999999999999</v>
      </c>
      <c r="Z204">
        <v>-0.66400000000000003</v>
      </c>
      <c r="AA204">
        <v>-0.91800000000000004</v>
      </c>
      <c r="AB204">
        <v>-0.312</v>
      </c>
      <c r="AC204">
        <v>-0.624</v>
      </c>
      <c r="AD204">
        <v>4.9000000000000002E-2</v>
      </c>
      <c r="AE204">
        <v>-0.59</v>
      </c>
      <c r="AF204">
        <v>0.624</v>
      </c>
      <c r="AG204">
        <v>-0.4</v>
      </c>
      <c r="AH204">
        <v>-0.56699999999999995</v>
      </c>
      <c r="AI204">
        <v>0.85299999999999998</v>
      </c>
      <c r="AJ204">
        <v>-1</v>
      </c>
      <c r="AK204">
        <v>-3.7999999999999999E-2</v>
      </c>
      <c r="AL204">
        <v>-0.23699999999999999</v>
      </c>
      <c r="AM204">
        <v>-0.87</v>
      </c>
      <c r="AN204">
        <v>-0.49</v>
      </c>
      <c r="AO204">
        <v>-0.32600000000000001</v>
      </c>
      <c r="AP204">
        <v>-0.42899999999999999</v>
      </c>
      <c r="AQ204">
        <v>0.159</v>
      </c>
      <c r="AR204">
        <v>-0.246</v>
      </c>
      <c r="AS204">
        <v>-0.27700000000000002</v>
      </c>
      <c r="AT204">
        <v>-0.41399999999999998</v>
      </c>
      <c r="AU204">
        <v>-0.98099999999999998</v>
      </c>
      <c r="AV204">
        <v>-0.80500000000000005</v>
      </c>
      <c r="AW204">
        <v>-0.92200000000000004</v>
      </c>
      <c r="AX204">
        <v>-1</v>
      </c>
      <c r="AY204">
        <v>0.14099999999999999</v>
      </c>
      <c r="AZ204">
        <v>0.66300000000000003</v>
      </c>
      <c r="BA204">
        <v>0.85299999999999998</v>
      </c>
      <c r="BB204">
        <v>0.28199999999999997</v>
      </c>
      <c r="BC204">
        <v>1</v>
      </c>
      <c r="BD204">
        <v>4.4999999999999998E-2</v>
      </c>
      <c r="BE204">
        <v>-0.193</v>
      </c>
      <c r="BF204">
        <v>1</v>
      </c>
      <c r="BG204">
        <v>0.56499999999999995</v>
      </c>
      <c r="BH204">
        <v>0.14000000000000001</v>
      </c>
      <c r="BI204">
        <v>0.25800000000000001</v>
      </c>
    </row>
    <row r="205" spans="1:61" x14ac:dyDescent="0.3">
      <c r="A205">
        <v>204</v>
      </c>
      <c r="B205" t="s">
        <v>268</v>
      </c>
      <c r="C205">
        <v>0</v>
      </c>
      <c r="D205">
        <v>0</v>
      </c>
      <c r="J205" t="s">
        <v>255</v>
      </c>
      <c r="K205">
        <v>0.48899999999999999</v>
      </c>
      <c r="L205">
        <v>0.51800000000000002</v>
      </c>
      <c r="M205" t="s">
        <v>57</v>
      </c>
      <c r="N205">
        <v>0</v>
      </c>
      <c r="O205">
        <v>0</v>
      </c>
      <c r="P205">
        <v>-0.86499999999999999</v>
      </c>
      <c r="Q205">
        <v>-0.96099999999999997</v>
      </c>
      <c r="R205">
        <v>-0.86199999999999999</v>
      </c>
      <c r="S205">
        <v>-0.92100000000000004</v>
      </c>
      <c r="T205">
        <v>-0.97</v>
      </c>
      <c r="U205">
        <v>-0.89200000000000002</v>
      </c>
      <c r="V205">
        <v>-0.86599999999999999</v>
      </c>
      <c r="W205">
        <v>-0.96499999999999997</v>
      </c>
      <c r="X205">
        <v>-0.89</v>
      </c>
      <c r="Y205">
        <v>-0.89300000000000002</v>
      </c>
      <c r="Z205">
        <v>0.111</v>
      </c>
      <c r="AA205">
        <v>5.0000000000000001E-3</v>
      </c>
      <c r="AB205">
        <v>-0.63400000000000001</v>
      </c>
      <c r="AC205">
        <v>-1</v>
      </c>
      <c r="AD205">
        <v>-2.5999999999999999E-2</v>
      </c>
      <c r="AE205">
        <v>-1</v>
      </c>
      <c r="AF205">
        <v>-0.77400000000000002</v>
      </c>
      <c r="AG205">
        <v>0.48899999999999999</v>
      </c>
      <c r="AH205">
        <v>-0.60899999999999999</v>
      </c>
      <c r="AI205">
        <v>-1</v>
      </c>
      <c r="AJ205">
        <v>-0.75800000000000001</v>
      </c>
      <c r="AK205">
        <v>-0.83499999999999996</v>
      </c>
      <c r="AL205">
        <v>0.2</v>
      </c>
      <c r="AM205">
        <v>-0.81899999999999995</v>
      </c>
      <c r="AN205">
        <v>0.63200000000000001</v>
      </c>
      <c r="AO205">
        <v>0.57799999999999996</v>
      </c>
      <c r="AP205">
        <v>0.28199999999999997</v>
      </c>
      <c r="AQ205">
        <v>0.17799999999999999</v>
      </c>
      <c r="AR205">
        <v>-1</v>
      </c>
      <c r="AS205">
        <v>-0.02</v>
      </c>
      <c r="AT205">
        <v>-0.39300000000000002</v>
      </c>
      <c r="AU205">
        <v>-1.7999999999999999E-2</v>
      </c>
      <c r="AV205">
        <v>-0.34699999999999998</v>
      </c>
      <c r="AW205">
        <v>-0.13</v>
      </c>
      <c r="AX205">
        <v>0.39</v>
      </c>
      <c r="AY205">
        <v>0.71899999999999997</v>
      </c>
      <c r="AZ205">
        <v>-0.60899999999999999</v>
      </c>
      <c r="BA205">
        <v>-0.27700000000000002</v>
      </c>
      <c r="BB205">
        <v>-0.308</v>
      </c>
      <c r="BC205">
        <v>-0.66900000000000004</v>
      </c>
      <c r="BD205">
        <v>-0.45200000000000001</v>
      </c>
      <c r="BE205">
        <v>-0.26900000000000002</v>
      </c>
      <c r="BF205">
        <v>-0.44500000000000001</v>
      </c>
      <c r="BG205">
        <v>-0.188</v>
      </c>
      <c r="BH205">
        <v>0.54700000000000004</v>
      </c>
      <c r="BI205">
        <v>0.17799999999999999</v>
      </c>
    </row>
    <row r="206" spans="1:61" x14ac:dyDescent="0.3">
      <c r="A206">
        <v>205</v>
      </c>
      <c r="B206" t="s">
        <v>146</v>
      </c>
      <c r="C206">
        <v>6.4329873560453693E-2</v>
      </c>
      <c r="D206">
        <v>7.2962312421611497E-2</v>
      </c>
      <c r="J206" t="s">
        <v>256</v>
      </c>
      <c r="K206">
        <v>0.48499999999999999</v>
      </c>
      <c r="L206">
        <v>0.36199999999999999</v>
      </c>
      <c r="M206" t="s">
        <v>68</v>
      </c>
      <c r="N206">
        <v>0</v>
      </c>
      <c r="O206">
        <v>0</v>
      </c>
      <c r="P206">
        <v>-1</v>
      </c>
      <c r="Q206">
        <v>-1</v>
      </c>
      <c r="R206">
        <v>-0.92900000000000005</v>
      </c>
      <c r="S206">
        <v>-1</v>
      </c>
      <c r="T206">
        <v>-1</v>
      </c>
      <c r="U206">
        <v>-1</v>
      </c>
      <c r="V206">
        <v>-0.995</v>
      </c>
      <c r="W206">
        <v>-1</v>
      </c>
      <c r="X206">
        <v>-1</v>
      </c>
      <c r="Y206">
        <v>-1</v>
      </c>
      <c r="Z206">
        <v>-7.1999999999999995E-2</v>
      </c>
      <c r="AA206">
        <v>-6.3E-2</v>
      </c>
      <c r="AB206">
        <v>-0.441</v>
      </c>
      <c r="AC206">
        <v>-1</v>
      </c>
      <c r="AD206">
        <v>-1</v>
      </c>
      <c r="AE206">
        <v>-1</v>
      </c>
      <c r="AF206">
        <v>-0.60199999999999998</v>
      </c>
      <c r="AG206">
        <v>-0.49299999999999999</v>
      </c>
      <c r="AH206">
        <v>-0.57799999999999996</v>
      </c>
      <c r="AI206">
        <v>-0.56000000000000005</v>
      </c>
      <c r="AJ206">
        <v>-1</v>
      </c>
      <c r="AK206">
        <v>-0.45100000000000001</v>
      </c>
      <c r="AL206">
        <v>-1</v>
      </c>
      <c r="AM206">
        <v>-0.95299999999999996</v>
      </c>
      <c r="AN206">
        <v>-0.95099999999999996</v>
      </c>
      <c r="AO206">
        <v>-0.71399999999999997</v>
      </c>
      <c r="AP206">
        <v>-5.2999999999999999E-2</v>
      </c>
      <c r="AQ206">
        <v>-0.109</v>
      </c>
      <c r="AR206">
        <v>-0.56299999999999994</v>
      </c>
      <c r="AS206">
        <v>-0.66500000000000004</v>
      </c>
      <c r="AT206">
        <v>-1</v>
      </c>
      <c r="AU206">
        <v>-0.28100000000000003</v>
      </c>
      <c r="AV206">
        <v>-0.314</v>
      </c>
      <c r="AW206">
        <v>-0.39300000000000002</v>
      </c>
      <c r="AX206">
        <v>-0.15</v>
      </c>
      <c r="AY206">
        <v>3.3000000000000002E-2</v>
      </c>
      <c r="AZ206">
        <v>0.46600000000000003</v>
      </c>
      <c r="BA206">
        <v>0.26600000000000001</v>
      </c>
      <c r="BB206">
        <v>9.9000000000000005E-2</v>
      </c>
      <c r="BC206">
        <v>0.63500000000000001</v>
      </c>
      <c r="BD206">
        <v>4.1000000000000002E-2</v>
      </c>
      <c r="BE206">
        <v>6.3E-2</v>
      </c>
      <c r="BF206">
        <v>0.67200000000000004</v>
      </c>
      <c r="BG206">
        <v>-7.2999999999999995E-2</v>
      </c>
      <c r="BH206">
        <v>0.88700000000000001</v>
      </c>
      <c r="BI206">
        <v>1</v>
      </c>
    </row>
    <row r="207" spans="1:61" x14ac:dyDescent="0.3">
      <c r="A207">
        <v>206</v>
      </c>
      <c r="B207" t="s">
        <v>136</v>
      </c>
      <c r="C207">
        <v>6.6604102001668497E-2</v>
      </c>
      <c r="D207">
        <v>7.3419562520658302E-2</v>
      </c>
      <c r="J207" t="s">
        <v>198</v>
      </c>
      <c r="K207">
        <v>0.48199999999999998</v>
      </c>
      <c r="L207">
        <v>0.34200000000000003</v>
      </c>
      <c r="M207" t="s">
        <v>57</v>
      </c>
      <c r="N207">
        <v>0</v>
      </c>
      <c r="O207">
        <v>0</v>
      </c>
      <c r="P207">
        <v>-0.83</v>
      </c>
      <c r="Q207">
        <v>-0.82799999999999996</v>
      </c>
      <c r="R207">
        <v>-0.64800000000000002</v>
      </c>
      <c r="S207">
        <v>-0.81100000000000005</v>
      </c>
      <c r="T207">
        <v>-0.76400000000000001</v>
      </c>
      <c r="U207">
        <v>-0.95599999999999996</v>
      </c>
      <c r="V207">
        <v>-0.96199999999999997</v>
      </c>
      <c r="W207">
        <v>-0.93799999999999994</v>
      </c>
      <c r="X207">
        <v>-0.93899999999999995</v>
      </c>
      <c r="Y207">
        <v>-0.94</v>
      </c>
      <c r="Z207">
        <v>-0.219</v>
      </c>
      <c r="AA207">
        <v>-0.24</v>
      </c>
      <c r="AB207">
        <v>-1</v>
      </c>
      <c r="AC207">
        <v>-0.36</v>
      </c>
      <c r="AD207">
        <v>-0.14000000000000001</v>
      </c>
      <c r="AE207">
        <v>-0.82499999999999996</v>
      </c>
      <c r="AF207">
        <v>-0.183</v>
      </c>
      <c r="AG207">
        <v>-0.14899999999999999</v>
      </c>
      <c r="AH207">
        <v>1</v>
      </c>
      <c r="AI207">
        <v>6.7000000000000004E-2</v>
      </c>
      <c r="AJ207">
        <v>-1</v>
      </c>
      <c r="AK207">
        <v>-0.67800000000000005</v>
      </c>
      <c r="AL207">
        <v>0.311</v>
      </c>
      <c r="AM207">
        <v>-0.122</v>
      </c>
      <c r="AN207">
        <v>-0.55000000000000004</v>
      </c>
      <c r="AO207">
        <v>0.745</v>
      </c>
      <c r="AP207">
        <v>-1</v>
      </c>
      <c r="AQ207">
        <v>-0.56799999999999995</v>
      </c>
      <c r="AR207">
        <v>-0.126</v>
      </c>
      <c r="AS207">
        <v>-0.183</v>
      </c>
      <c r="AT207">
        <v>0.42</v>
      </c>
      <c r="AU207">
        <v>-0.93100000000000005</v>
      </c>
      <c r="AV207">
        <v>-0.26800000000000002</v>
      </c>
      <c r="AW207">
        <v>-1</v>
      </c>
      <c r="AX207">
        <v>-1</v>
      </c>
      <c r="AY207">
        <v>6.6000000000000003E-2</v>
      </c>
      <c r="AZ207">
        <v>5.8000000000000003E-2</v>
      </c>
      <c r="BA207">
        <v>0.48399999999999999</v>
      </c>
      <c r="BB207">
        <v>0.47099999999999997</v>
      </c>
      <c r="BC207">
        <v>-0.41299999999999998</v>
      </c>
      <c r="BD207">
        <v>-1</v>
      </c>
      <c r="BE207">
        <v>-1</v>
      </c>
      <c r="BF207">
        <v>0.71</v>
      </c>
      <c r="BG207">
        <v>0.14000000000000001</v>
      </c>
      <c r="BH207">
        <v>-0.64800000000000002</v>
      </c>
      <c r="BI207">
        <v>0.82599999999999996</v>
      </c>
    </row>
    <row r="208" spans="1:61" x14ac:dyDescent="0.3">
      <c r="A208">
        <v>207</v>
      </c>
      <c r="B208" t="s">
        <v>195</v>
      </c>
      <c r="C208">
        <v>0</v>
      </c>
      <c r="D208">
        <v>0</v>
      </c>
      <c r="J208" t="s">
        <v>261</v>
      </c>
      <c r="K208">
        <v>0.47799999999999998</v>
      </c>
      <c r="L208">
        <v>0.33600000000000002</v>
      </c>
      <c r="M208" t="s">
        <v>68</v>
      </c>
      <c r="N208">
        <v>0</v>
      </c>
      <c r="O208">
        <v>-1E-3</v>
      </c>
      <c r="P208">
        <v>-1</v>
      </c>
      <c r="Q208">
        <v>-0.94299999999999995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-0.97299999999999998</v>
      </c>
      <c r="X208">
        <v>-0.94099999999999995</v>
      </c>
      <c r="Y208">
        <v>-0.93500000000000005</v>
      </c>
      <c r="Z208">
        <v>-1</v>
      </c>
      <c r="AA208">
        <v>-0.73499999999999999</v>
      </c>
      <c r="AB208">
        <v>-0.55900000000000005</v>
      </c>
      <c r="AC208">
        <v>-1</v>
      </c>
      <c r="AD208">
        <v>-1</v>
      </c>
      <c r="AE208">
        <v>-0.872</v>
      </c>
      <c r="AF208">
        <v>-0.96399999999999997</v>
      </c>
      <c r="AG208">
        <v>-0.29599999999999999</v>
      </c>
      <c r="AH208">
        <v>-0.93400000000000005</v>
      </c>
      <c r="AI208">
        <v>-0.79300000000000004</v>
      </c>
      <c r="AJ208">
        <v>-1</v>
      </c>
      <c r="AK208">
        <v>-0.64800000000000002</v>
      </c>
      <c r="AL208">
        <v>-0.69699999999999995</v>
      </c>
      <c r="AM208">
        <v>0.42299999999999999</v>
      </c>
      <c r="AN208">
        <v>0.41899999999999998</v>
      </c>
      <c r="AO208">
        <v>-0.441</v>
      </c>
      <c r="AP208">
        <v>0.79200000000000004</v>
      </c>
      <c r="AQ208">
        <v>0.123</v>
      </c>
      <c r="AR208">
        <v>-0.60799999999999998</v>
      </c>
      <c r="AS208">
        <v>-0.95699999999999996</v>
      </c>
      <c r="AT208">
        <v>-1</v>
      </c>
      <c r="AU208">
        <v>-0.55800000000000005</v>
      </c>
      <c r="AV208">
        <v>-0.42499999999999999</v>
      </c>
      <c r="AW208">
        <v>-0.35</v>
      </c>
      <c r="AX208">
        <v>-0.95699999999999996</v>
      </c>
      <c r="AY208">
        <v>-4.2999999999999997E-2</v>
      </c>
      <c r="AZ208">
        <v>0.745</v>
      </c>
      <c r="BA208">
        <v>0.36099999999999999</v>
      </c>
      <c r="BB208">
        <v>0.40500000000000003</v>
      </c>
      <c r="BC208">
        <v>-1</v>
      </c>
      <c r="BD208">
        <v>-1</v>
      </c>
      <c r="BE208">
        <v>-1</v>
      </c>
      <c r="BF208">
        <v>0.71299999999999997</v>
      </c>
      <c r="BG208">
        <v>-0.77400000000000002</v>
      </c>
      <c r="BH208">
        <v>-6.9000000000000006E-2</v>
      </c>
      <c r="BI208">
        <v>-0.315</v>
      </c>
    </row>
    <row r="209" spans="1:61" x14ac:dyDescent="0.3">
      <c r="A209">
        <v>208</v>
      </c>
      <c r="B209" t="s">
        <v>160</v>
      </c>
      <c r="C209">
        <v>5.4418808891014301E-3</v>
      </c>
      <c r="D209">
        <v>0</v>
      </c>
      <c r="J209" t="s">
        <v>175</v>
      </c>
      <c r="K209">
        <v>0.47699999999999998</v>
      </c>
      <c r="L209">
        <v>0.33900000000000002</v>
      </c>
      <c r="M209" t="s">
        <v>53</v>
      </c>
      <c r="N209">
        <v>0</v>
      </c>
      <c r="O209">
        <v>0</v>
      </c>
      <c r="P209">
        <v>-0.92700000000000005</v>
      </c>
      <c r="Q209">
        <v>-0.95</v>
      </c>
      <c r="R209">
        <v>-0.80100000000000005</v>
      </c>
      <c r="S209">
        <v>-0.92800000000000005</v>
      </c>
      <c r="T209">
        <v>-0.91100000000000003</v>
      </c>
      <c r="U209">
        <v>-0.99299999999999999</v>
      </c>
      <c r="V209">
        <v>-1</v>
      </c>
      <c r="W209">
        <v>-1</v>
      </c>
      <c r="X209">
        <v>-1</v>
      </c>
      <c r="Y209">
        <v>-1</v>
      </c>
      <c r="Z209">
        <v>-0.62</v>
      </c>
      <c r="AA209">
        <v>-0.98699999999999999</v>
      </c>
      <c r="AB209">
        <v>-1</v>
      </c>
      <c r="AC209">
        <v>-0.47899999999999998</v>
      </c>
      <c r="AD209">
        <v>-2.1999999999999999E-2</v>
      </c>
      <c r="AE209">
        <v>-0.69799999999999995</v>
      </c>
      <c r="AF209">
        <v>0.60899999999999999</v>
      </c>
      <c r="AG209">
        <v>-0.38300000000000001</v>
      </c>
      <c r="AH209">
        <v>-0.29799999999999999</v>
      </c>
      <c r="AI209">
        <v>0.59499999999999997</v>
      </c>
      <c r="AJ209">
        <v>-1</v>
      </c>
      <c r="AK209">
        <v>-0.22500000000000001</v>
      </c>
      <c r="AL209">
        <v>-0.33200000000000002</v>
      </c>
      <c r="AM209">
        <v>-0.82899999999999996</v>
      </c>
      <c r="AN209">
        <v>-0.60299999999999998</v>
      </c>
      <c r="AO209">
        <v>-0.20699999999999999</v>
      </c>
      <c r="AP209">
        <v>-1</v>
      </c>
      <c r="AQ209">
        <v>-0.53800000000000003</v>
      </c>
      <c r="AR209">
        <v>-0.48899999999999999</v>
      </c>
      <c r="AS209">
        <v>-0.81899999999999995</v>
      </c>
      <c r="AT209">
        <v>-9.6000000000000002E-2</v>
      </c>
      <c r="AU209">
        <v>-0.62</v>
      </c>
      <c r="AV209">
        <v>-0.437</v>
      </c>
      <c r="AW209">
        <v>-0.501</v>
      </c>
      <c r="AX209">
        <v>-0.60599999999999998</v>
      </c>
      <c r="AY209">
        <v>0.38100000000000001</v>
      </c>
      <c r="AZ209">
        <v>0.70199999999999996</v>
      </c>
      <c r="BA209">
        <v>0.53100000000000003</v>
      </c>
      <c r="BB209">
        <v>0.33200000000000002</v>
      </c>
      <c r="BC209">
        <v>-0.34300000000000003</v>
      </c>
      <c r="BD209">
        <v>-0.34</v>
      </c>
      <c r="BE209">
        <v>-0.94</v>
      </c>
      <c r="BF209">
        <v>0.35799999999999998</v>
      </c>
      <c r="BG209">
        <v>0.58699999999999997</v>
      </c>
      <c r="BH209">
        <v>-0.59499999999999997</v>
      </c>
      <c r="BI209">
        <v>0.752</v>
      </c>
    </row>
    <row r="210" spans="1:61" x14ac:dyDescent="0.3">
      <c r="A210">
        <v>209</v>
      </c>
      <c r="B210" t="s">
        <v>247</v>
      </c>
      <c r="C210">
        <v>0</v>
      </c>
      <c r="D210">
        <v>0</v>
      </c>
      <c r="J210" t="s">
        <v>239</v>
      </c>
      <c r="K210">
        <v>0.47699999999999998</v>
      </c>
      <c r="L210">
        <v>0.33700000000000002</v>
      </c>
      <c r="M210" t="s">
        <v>57</v>
      </c>
      <c r="N210">
        <v>0</v>
      </c>
      <c r="O210">
        <v>0</v>
      </c>
      <c r="P210">
        <v>-0.88600000000000001</v>
      </c>
      <c r="Q210">
        <v>-0.86299999999999999</v>
      </c>
      <c r="R210">
        <v>-0.63400000000000001</v>
      </c>
      <c r="S210">
        <v>-0.94599999999999995</v>
      </c>
      <c r="T210">
        <v>-0.89500000000000002</v>
      </c>
      <c r="U210">
        <v>-0.96</v>
      </c>
      <c r="V210">
        <v>-0.97799999999999998</v>
      </c>
      <c r="W210">
        <v>-0.97</v>
      </c>
      <c r="X210">
        <v>-1</v>
      </c>
      <c r="Y210">
        <v>-1</v>
      </c>
      <c r="Z210">
        <v>-0.88200000000000001</v>
      </c>
      <c r="AA210">
        <v>-1</v>
      </c>
      <c r="AB210">
        <v>-0.83099999999999996</v>
      </c>
      <c r="AC210">
        <v>-0.77800000000000002</v>
      </c>
      <c r="AD210">
        <v>-0.77300000000000002</v>
      </c>
      <c r="AE210">
        <v>-0.70599999999999996</v>
      </c>
      <c r="AF210">
        <v>-0.39700000000000002</v>
      </c>
      <c r="AG210">
        <v>1</v>
      </c>
      <c r="AH210">
        <v>1</v>
      </c>
      <c r="AI210">
        <v>-0.80300000000000005</v>
      </c>
      <c r="AJ210">
        <v>-1</v>
      </c>
      <c r="AK210">
        <v>-0.47</v>
      </c>
      <c r="AL210">
        <v>-0.32400000000000001</v>
      </c>
      <c r="AM210">
        <v>-0.35899999999999999</v>
      </c>
      <c r="AN210">
        <v>0.81499999999999995</v>
      </c>
      <c r="AO210">
        <v>0.26700000000000002</v>
      </c>
      <c r="AP210">
        <v>-1</v>
      </c>
      <c r="AQ210">
        <v>-0.51400000000000001</v>
      </c>
      <c r="AR210">
        <v>-0.64300000000000002</v>
      </c>
      <c r="AS210">
        <v>-0.84399999999999997</v>
      </c>
      <c r="AT210">
        <v>-0.107</v>
      </c>
      <c r="AU210">
        <v>-0.66400000000000003</v>
      </c>
      <c r="AV210">
        <v>0.17399999999999999</v>
      </c>
      <c r="AW210">
        <v>-0.247</v>
      </c>
      <c r="AX210">
        <v>-0.25800000000000001</v>
      </c>
      <c r="AY210">
        <v>-0.121</v>
      </c>
      <c r="AZ210">
        <v>-0.53900000000000003</v>
      </c>
      <c r="BA210">
        <v>-0.54500000000000004</v>
      </c>
      <c r="BB210">
        <v>0.34300000000000003</v>
      </c>
      <c r="BC210">
        <v>-0.92300000000000004</v>
      </c>
      <c r="BD210">
        <v>-0.54100000000000004</v>
      </c>
      <c r="BE210">
        <v>-0.20499999999999999</v>
      </c>
      <c r="BF210">
        <v>0.29399999999999998</v>
      </c>
      <c r="BG210">
        <v>0.21199999999999999</v>
      </c>
      <c r="BH210">
        <v>-0.188</v>
      </c>
      <c r="BI210">
        <v>0.92</v>
      </c>
    </row>
    <row r="211" spans="1:61" x14ac:dyDescent="0.3">
      <c r="A211">
        <v>210</v>
      </c>
      <c r="B211" t="s">
        <v>206</v>
      </c>
      <c r="C211">
        <v>0</v>
      </c>
      <c r="D211">
        <v>0</v>
      </c>
      <c r="J211" t="s">
        <v>263</v>
      </c>
      <c r="K211">
        <v>0.47699999999999998</v>
      </c>
      <c r="L211">
        <v>0.33400000000000002</v>
      </c>
      <c r="M211" t="s">
        <v>68</v>
      </c>
      <c r="N211">
        <v>0</v>
      </c>
      <c r="O211">
        <v>0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  <c r="AF211">
        <v>-0.59599999999999997</v>
      </c>
      <c r="AG211">
        <v>0.66100000000000003</v>
      </c>
      <c r="AH211">
        <v>-0.57799999999999996</v>
      </c>
      <c r="AI211">
        <v>-0.96599999999999997</v>
      </c>
      <c r="AJ211">
        <v>-1</v>
      </c>
      <c r="AK211">
        <v>-1</v>
      </c>
      <c r="AL211">
        <v>-0.51400000000000001</v>
      </c>
      <c r="AM211">
        <v>0.187</v>
      </c>
      <c r="AN211">
        <v>-1</v>
      </c>
      <c r="AO211">
        <v>-0.59399999999999997</v>
      </c>
      <c r="AP211">
        <v>1.0999999999999999E-2</v>
      </c>
      <c r="AQ211">
        <v>0.23599999999999999</v>
      </c>
      <c r="AR211">
        <v>-1</v>
      </c>
      <c r="AS211">
        <v>-1</v>
      </c>
      <c r="AT211">
        <v>-1</v>
      </c>
      <c r="AU211">
        <v>-0.32800000000000001</v>
      </c>
      <c r="AV211">
        <v>-0.70799999999999996</v>
      </c>
      <c r="AW211">
        <v>-0.45600000000000002</v>
      </c>
      <c r="AX211">
        <v>-1</v>
      </c>
      <c r="AY211">
        <v>0.32900000000000001</v>
      </c>
      <c r="AZ211">
        <v>0.32100000000000001</v>
      </c>
      <c r="BA211">
        <v>-0.28799999999999998</v>
      </c>
      <c r="BB211">
        <v>0.34200000000000003</v>
      </c>
      <c r="BC211">
        <v>1</v>
      </c>
      <c r="BD211">
        <v>-1</v>
      </c>
      <c r="BE211">
        <v>-1</v>
      </c>
      <c r="BF211">
        <v>0.74199999999999999</v>
      </c>
      <c r="BG211">
        <v>-0.27900000000000003</v>
      </c>
      <c r="BH211">
        <v>-0.50900000000000001</v>
      </c>
      <c r="BI211">
        <v>1</v>
      </c>
    </row>
    <row r="212" spans="1:61" x14ac:dyDescent="0.3">
      <c r="A212">
        <v>211</v>
      </c>
      <c r="B212" t="s">
        <v>249</v>
      </c>
      <c r="C212">
        <v>0</v>
      </c>
      <c r="D212">
        <v>0</v>
      </c>
      <c r="J212" t="s">
        <v>259</v>
      </c>
      <c r="K212">
        <v>0.47699999999999998</v>
      </c>
      <c r="L212">
        <v>0.33400000000000002</v>
      </c>
      <c r="M212" t="s">
        <v>57</v>
      </c>
      <c r="N212">
        <v>0</v>
      </c>
      <c r="O212">
        <v>0</v>
      </c>
      <c r="P212">
        <v>-1</v>
      </c>
      <c r="Q212">
        <v>-1</v>
      </c>
      <c r="R212">
        <v>-0.96599999999999997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-0.98299999999999998</v>
      </c>
      <c r="Y212">
        <v>-0.97899999999999998</v>
      </c>
      <c r="Z212">
        <v>-1</v>
      </c>
      <c r="AA212">
        <v>0.23400000000000001</v>
      </c>
      <c r="AB212">
        <v>-1</v>
      </c>
      <c r="AC212">
        <v>-0.91</v>
      </c>
      <c r="AD212">
        <v>-1</v>
      </c>
      <c r="AE212">
        <v>-0.96499999999999997</v>
      </c>
      <c r="AF212">
        <v>0.186</v>
      </c>
      <c r="AG212">
        <v>-0.55300000000000005</v>
      </c>
      <c r="AH212">
        <v>-0.57799999999999996</v>
      </c>
      <c r="AI212">
        <v>-0.79200000000000004</v>
      </c>
      <c r="AJ212">
        <v>-1</v>
      </c>
      <c r="AK212">
        <v>1</v>
      </c>
      <c r="AL212">
        <v>-0.93899999999999995</v>
      </c>
      <c r="AM212">
        <v>-1</v>
      </c>
      <c r="AN212">
        <v>-1</v>
      </c>
      <c r="AO212">
        <v>-0.94699999999999995</v>
      </c>
      <c r="AP212">
        <v>-0.76600000000000001</v>
      </c>
      <c r="AQ212">
        <v>-0.28799999999999998</v>
      </c>
      <c r="AR212">
        <v>-0.80100000000000005</v>
      </c>
      <c r="AS212">
        <v>-1</v>
      </c>
      <c r="AT212">
        <v>-1</v>
      </c>
      <c r="AU212">
        <v>-0.63300000000000001</v>
      </c>
      <c r="AV212">
        <v>-0.745</v>
      </c>
      <c r="AW212">
        <v>-0.71</v>
      </c>
      <c r="AX212">
        <v>-1</v>
      </c>
      <c r="AY212">
        <v>-0.22900000000000001</v>
      </c>
      <c r="AZ212">
        <v>0.54300000000000004</v>
      </c>
      <c r="BA212">
        <v>0.214</v>
      </c>
      <c r="BB212">
        <v>0.11799999999999999</v>
      </c>
      <c r="BC212">
        <v>0.157</v>
      </c>
      <c r="BD212">
        <v>6.8000000000000005E-2</v>
      </c>
      <c r="BE212">
        <v>-0.92200000000000004</v>
      </c>
      <c r="BF212">
        <v>1</v>
      </c>
      <c r="BG212">
        <v>-1E-3</v>
      </c>
      <c r="BH212">
        <v>-0.13800000000000001</v>
      </c>
      <c r="BI212">
        <v>1</v>
      </c>
    </row>
    <row r="213" spans="1:61" x14ac:dyDescent="0.3">
      <c r="J213" t="s">
        <v>267</v>
      </c>
      <c r="K213">
        <v>0.47699999999999998</v>
      </c>
      <c r="L213">
        <v>0.33400000000000002</v>
      </c>
      <c r="M213" t="s">
        <v>53</v>
      </c>
      <c r="N213">
        <v>0</v>
      </c>
      <c r="O213">
        <v>0</v>
      </c>
      <c r="P213">
        <v>-1</v>
      </c>
      <c r="Q213">
        <v>-0.98</v>
      </c>
      <c r="R213">
        <v>-0.93500000000000005</v>
      </c>
      <c r="S213">
        <v>-1</v>
      </c>
      <c r="T213">
        <v>-0.98899999999999999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-0.88500000000000001</v>
      </c>
      <c r="AD213">
        <v>-0.753</v>
      </c>
      <c r="AE213">
        <v>-1</v>
      </c>
      <c r="AF213">
        <v>-0.157</v>
      </c>
      <c r="AG213">
        <v>-0.39200000000000002</v>
      </c>
      <c r="AH213">
        <v>-0.68500000000000005</v>
      </c>
      <c r="AI213">
        <v>-0.217</v>
      </c>
      <c r="AJ213">
        <v>-1</v>
      </c>
      <c r="AK213">
        <v>-0.36399999999999999</v>
      </c>
      <c r="AL213">
        <v>-0.80200000000000005</v>
      </c>
      <c r="AM213">
        <v>-0.46700000000000003</v>
      </c>
      <c r="AN213">
        <v>-0.59899999999999998</v>
      </c>
      <c r="AO213">
        <v>-0.54500000000000004</v>
      </c>
      <c r="AP213">
        <v>-1</v>
      </c>
      <c r="AQ213">
        <v>-0.37</v>
      </c>
      <c r="AR213">
        <v>-0.66300000000000003</v>
      </c>
      <c r="AS213">
        <v>-0.60099999999999998</v>
      </c>
      <c r="AT213">
        <v>-0.80200000000000005</v>
      </c>
      <c r="AU213">
        <v>-0.58399999999999996</v>
      </c>
      <c r="AV213">
        <v>-1</v>
      </c>
      <c r="AW213">
        <v>-0.48499999999999999</v>
      </c>
      <c r="AX213">
        <v>0.10299999999999999</v>
      </c>
      <c r="AY213">
        <v>0.31900000000000001</v>
      </c>
      <c r="AZ213">
        <v>1</v>
      </c>
      <c r="BA213">
        <v>3.1E-2</v>
      </c>
      <c r="BB213">
        <v>0.24099999999999999</v>
      </c>
      <c r="BC213">
        <v>0.16800000000000001</v>
      </c>
      <c r="BD213">
        <v>7.2999999999999995E-2</v>
      </c>
      <c r="BE213">
        <v>-1</v>
      </c>
      <c r="BF213">
        <v>0.998</v>
      </c>
      <c r="BG213">
        <v>0.26700000000000002</v>
      </c>
      <c r="BH213">
        <v>0.317</v>
      </c>
      <c r="BI213">
        <v>0.60099999999999998</v>
      </c>
    </row>
    <row r="214" spans="1:61" x14ac:dyDescent="0.3">
      <c r="J214" t="s">
        <v>268</v>
      </c>
      <c r="K214">
        <v>0.47699999999999998</v>
      </c>
      <c r="L214">
        <v>0.33400000000000002</v>
      </c>
      <c r="M214" t="s">
        <v>71</v>
      </c>
      <c r="N214">
        <v>0</v>
      </c>
      <c r="O214">
        <v>0</v>
      </c>
      <c r="P214">
        <v>-0.996</v>
      </c>
      <c r="Q214">
        <v>-1</v>
      </c>
      <c r="R214">
        <v>-0.93300000000000005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-0.82299999999999995</v>
      </c>
      <c r="AE214">
        <v>-1</v>
      </c>
      <c r="AF214">
        <v>-0.48</v>
      </c>
      <c r="AG214">
        <v>-0.26400000000000001</v>
      </c>
      <c r="AH214">
        <v>-0.39700000000000002</v>
      </c>
      <c r="AI214">
        <v>-0.58499999999999996</v>
      </c>
      <c r="AJ214">
        <v>-1</v>
      </c>
      <c r="AK214">
        <v>-0.95699999999999996</v>
      </c>
      <c r="AL214">
        <v>-1.7000000000000001E-2</v>
      </c>
      <c r="AM214">
        <v>-0.58499999999999996</v>
      </c>
      <c r="AN214">
        <v>-0.378</v>
      </c>
      <c r="AO214">
        <v>0.17100000000000001</v>
      </c>
      <c r="AP214">
        <v>-0.502</v>
      </c>
      <c r="AQ214">
        <v>-0.35599999999999998</v>
      </c>
      <c r="AR214">
        <v>-0.78300000000000003</v>
      </c>
      <c r="AS214">
        <v>-0.81899999999999995</v>
      </c>
      <c r="AT214">
        <v>-0.41699999999999998</v>
      </c>
      <c r="AU214">
        <v>-0.49199999999999999</v>
      </c>
      <c r="AV214">
        <v>-0.77400000000000002</v>
      </c>
      <c r="AW214">
        <v>-0.87</v>
      </c>
      <c r="AX214">
        <v>-0.621</v>
      </c>
      <c r="AY214">
        <v>-0.47699999999999998</v>
      </c>
      <c r="AZ214">
        <v>0.85299999999999998</v>
      </c>
      <c r="BA214">
        <v>0.755</v>
      </c>
      <c r="BB214">
        <v>-2.3E-2</v>
      </c>
      <c r="BC214">
        <v>0.62</v>
      </c>
      <c r="BD214">
        <v>0.69799999999999995</v>
      </c>
      <c r="BE214">
        <v>-0.70799999999999996</v>
      </c>
      <c r="BF214">
        <v>1</v>
      </c>
      <c r="BG214">
        <v>-0.02</v>
      </c>
      <c r="BH214">
        <v>0.68899999999999995</v>
      </c>
      <c r="BI214">
        <v>0.96499999999999997</v>
      </c>
    </row>
  </sheetData>
  <autoFilter ref="J3:BI214" xr:uid="{182D6B5A-2D59-493C-965F-DC6BDF7C28DC}">
    <sortState xmlns:xlrd2="http://schemas.microsoft.com/office/spreadsheetml/2017/richdata2" ref="J4:BI214">
      <sortCondition descending="1" ref="K3:K214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D9E3-DB8D-4FD0-A003-F7C20566E9D5}">
  <dimension ref="A1:BM215"/>
  <sheetViews>
    <sheetView workbookViewId="0">
      <selection activeCell="H26" sqref="H26"/>
    </sheetView>
  </sheetViews>
  <sheetFormatPr defaultRowHeight="14.4" x14ac:dyDescent="0.3"/>
  <sheetData>
    <row r="1" spans="1:65" x14ac:dyDescent="0.3">
      <c r="A1" t="s">
        <v>306</v>
      </c>
      <c r="B1" t="s">
        <v>603</v>
      </c>
      <c r="C1" t="s">
        <v>604</v>
      </c>
      <c r="M1" t="s">
        <v>275</v>
      </c>
    </row>
    <row r="2" spans="1:65" x14ac:dyDescent="0.3">
      <c r="A2" t="s">
        <v>192</v>
      </c>
      <c r="B2">
        <v>0</v>
      </c>
      <c r="C2">
        <v>0</v>
      </c>
    </row>
    <row r="3" spans="1:65" x14ac:dyDescent="0.3">
      <c r="A3" t="s">
        <v>72</v>
      </c>
      <c r="B3">
        <v>1.2246597055507701E-2</v>
      </c>
      <c r="C3">
        <v>1.00727362824839E-2</v>
      </c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272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L3" t="s">
        <v>24</v>
      </c>
      <c r="AM3" t="s">
        <v>25</v>
      </c>
      <c r="AN3" t="s">
        <v>26</v>
      </c>
      <c r="AO3" t="s">
        <v>27</v>
      </c>
      <c r="AP3" t="s">
        <v>28</v>
      </c>
      <c r="AQ3" t="s">
        <v>29</v>
      </c>
      <c r="AR3" t="s">
        <v>30</v>
      </c>
      <c r="AS3" t="s">
        <v>31</v>
      </c>
      <c r="AT3" t="s">
        <v>32</v>
      </c>
      <c r="AU3" t="s">
        <v>33</v>
      </c>
      <c r="AV3" t="s">
        <v>34</v>
      </c>
      <c r="AW3" t="s">
        <v>35</v>
      </c>
      <c r="AX3" t="s">
        <v>36</v>
      </c>
      <c r="AY3" t="s">
        <v>37</v>
      </c>
      <c r="AZ3" t="s">
        <v>38</v>
      </c>
      <c r="BA3" t="s">
        <v>39</v>
      </c>
      <c r="BB3" t="s">
        <v>40</v>
      </c>
      <c r="BC3" t="s">
        <v>41</v>
      </c>
      <c r="BD3" t="s">
        <v>42</v>
      </c>
      <c r="BE3" t="s">
        <v>43</v>
      </c>
      <c r="BF3" t="s">
        <v>44</v>
      </c>
      <c r="BG3" t="s">
        <v>45</v>
      </c>
      <c r="BH3" t="s">
        <v>46</v>
      </c>
      <c r="BI3" t="s">
        <v>47</v>
      </c>
      <c r="BJ3" t="s">
        <v>48</v>
      </c>
      <c r="BK3" t="s">
        <v>49</v>
      </c>
      <c r="BL3" t="s">
        <v>50</v>
      </c>
      <c r="BM3" t="s">
        <v>51</v>
      </c>
    </row>
    <row r="4" spans="1:65" x14ac:dyDescent="0.3">
      <c r="A4" t="s">
        <v>98</v>
      </c>
      <c r="B4">
        <v>0</v>
      </c>
      <c r="C4">
        <v>0</v>
      </c>
      <c r="M4" t="s">
        <v>91</v>
      </c>
      <c r="N4">
        <v>3.6120000000000001</v>
      </c>
      <c r="O4">
        <v>4.6829999999999998</v>
      </c>
      <c r="P4" t="s">
        <v>57</v>
      </c>
      <c r="Q4">
        <v>1.6E-2</v>
      </c>
      <c r="R4">
        <v>8.0000000000000002E-3</v>
      </c>
      <c r="S4">
        <v>80</v>
      </c>
      <c r="T4">
        <v>1</v>
      </c>
      <c r="U4">
        <v>1</v>
      </c>
      <c r="V4">
        <v>0.60599999999999998</v>
      </c>
      <c r="W4">
        <v>1</v>
      </c>
      <c r="X4">
        <v>1</v>
      </c>
      <c r="Y4">
        <v>1</v>
      </c>
      <c r="Z4">
        <v>0.97299999999999998</v>
      </c>
      <c r="AA4">
        <v>1</v>
      </c>
      <c r="AB4">
        <v>0.69499999999999995</v>
      </c>
      <c r="AC4">
        <v>0.69099999999999995</v>
      </c>
      <c r="AD4">
        <v>0.92900000000000005</v>
      </c>
      <c r="AE4">
        <v>0.85899999999999999</v>
      </c>
      <c r="AF4">
        <v>1</v>
      </c>
      <c r="AG4">
        <v>1</v>
      </c>
      <c r="AH4">
        <v>0.93799999999999994</v>
      </c>
      <c r="AI4">
        <v>1</v>
      </c>
      <c r="AJ4">
        <v>-0.41499999999999998</v>
      </c>
      <c r="AK4">
        <v>0.72799999999999998</v>
      </c>
      <c r="AL4">
        <v>0.253</v>
      </c>
      <c r="AM4">
        <v>0.29599999999999999</v>
      </c>
      <c r="AN4">
        <v>-5.2999999999999999E-2</v>
      </c>
      <c r="AO4">
        <v>-0.41099999999999998</v>
      </c>
      <c r="AP4">
        <v>0.313</v>
      </c>
      <c r="AQ4">
        <v>0.63200000000000001</v>
      </c>
      <c r="AR4">
        <v>0.92700000000000005</v>
      </c>
      <c r="AS4">
        <v>0.53200000000000003</v>
      </c>
      <c r="AT4">
        <v>0.182</v>
      </c>
      <c r="AU4">
        <v>0.309</v>
      </c>
      <c r="AV4">
        <v>0.33</v>
      </c>
      <c r="AW4">
        <v>0.41399999999999998</v>
      </c>
      <c r="AX4">
        <v>0.90800000000000003</v>
      </c>
      <c r="AY4">
        <v>-4.4999999999999998E-2</v>
      </c>
      <c r="AZ4">
        <v>0.13600000000000001</v>
      </c>
      <c r="BA4">
        <v>-0.17599999999999999</v>
      </c>
      <c r="BB4">
        <v>0.53700000000000003</v>
      </c>
      <c r="BC4">
        <v>-0.253</v>
      </c>
      <c r="BD4">
        <v>8.0000000000000002E-3</v>
      </c>
      <c r="BE4">
        <v>0.54100000000000004</v>
      </c>
      <c r="BF4">
        <v>0.64700000000000002</v>
      </c>
      <c r="BG4">
        <v>0.217</v>
      </c>
      <c r="BH4">
        <v>0.151</v>
      </c>
      <c r="BI4">
        <v>0.14199999999999999</v>
      </c>
      <c r="BJ4">
        <v>-0.85699999999999998</v>
      </c>
      <c r="BK4">
        <v>0.70399999999999996</v>
      </c>
      <c r="BL4">
        <v>-5.0999999999999997E-2</v>
      </c>
      <c r="BM4">
        <v>-0.25800000000000001</v>
      </c>
    </row>
    <row r="5" spans="1:65" x14ac:dyDescent="0.3">
      <c r="A5" t="s">
        <v>63</v>
      </c>
      <c r="B5">
        <v>8.6939931193655996E-3</v>
      </c>
      <c r="C5">
        <v>0</v>
      </c>
      <c r="M5" t="s">
        <v>52</v>
      </c>
      <c r="N5">
        <v>3.6120000000000001</v>
      </c>
      <c r="O5">
        <v>3.5110000000000001</v>
      </c>
      <c r="P5" t="s">
        <v>53</v>
      </c>
      <c r="Q5">
        <v>1.4999999999999999E-2</v>
      </c>
      <c r="R5">
        <v>1.4999999999999999E-2</v>
      </c>
      <c r="S5">
        <v>80</v>
      </c>
      <c r="T5">
        <v>1</v>
      </c>
      <c r="U5">
        <v>0.96599999999999997</v>
      </c>
      <c r="V5">
        <v>1</v>
      </c>
      <c r="W5">
        <v>1</v>
      </c>
      <c r="X5">
        <v>1</v>
      </c>
      <c r="Y5">
        <v>1</v>
      </c>
      <c r="Z5">
        <v>1</v>
      </c>
      <c r="AA5">
        <v>0.63100000000000001</v>
      </c>
      <c r="AB5">
        <v>0.72399999999999998</v>
      </c>
      <c r="AC5">
        <v>0.72299999999999998</v>
      </c>
      <c r="AD5">
        <v>1</v>
      </c>
      <c r="AE5">
        <v>1</v>
      </c>
      <c r="AF5">
        <v>0.99</v>
      </c>
      <c r="AG5">
        <v>1</v>
      </c>
      <c r="AH5">
        <v>0.20499999999999999</v>
      </c>
      <c r="AI5">
        <v>0.42099999999999999</v>
      </c>
      <c r="AJ5">
        <v>0.54600000000000004</v>
      </c>
      <c r="AK5">
        <v>0.997</v>
      </c>
      <c r="AL5">
        <v>1</v>
      </c>
      <c r="AM5">
        <v>0.55100000000000005</v>
      </c>
      <c r="AN5">
        <v>-0.187</v>
      </c>
      <c r="AO5">
        <v>-0.26300000000000001</v>
      </c>
      <c r="AP5">
        <v>5.5E-2</v>
      </c>
      <c r="AQ5">
        <v>3.5999999999999997E-2</v>
      </c>
      <c r="AR5">
        <v>0.11799999999999999</v>
      </c>
      <c r="AS5">
        <v>0.27100000000000002</v>
      </c>
      <c r="AT5">
        <v>0.157</v>
      </c>
      <c r="AU5">
        <v>-0.34599999999999997</v>
      </c>
      <c r="AV5">
        <v>0.72399999999999998</v>
      </c>
      <c r="AW5">
        <v>0.40300000000000002</v>
      </c>
      <c r="AX5">
        <v>1</v>
      </c>
      <c r="AY5">
        <v>0.36299999999999999</v>
      </c>
      <c r="AZ5">
        <v>-6.2E-2</v>
      </c>
      <c r="BA5">
        <v>0.80400000000000005</v>
      </c>
      <c r="BB5">
        <v>0.496</v>
      </c>
      <c r="BC5">
        <v>-4.2999999999999997E-2</v>
      </c>
      <c r="BD5">
        <v>0.05</v>
      </c>
      <c r="BE5">
        <v>0.06</v>
      </c>
      <c r="BF5">
        <v>0.53500000000000003</v>
      </c>
      <c r="BG5">
        <v>-2.1000000000000001E-2</v>
      </c>
      <c r="BH5">
        <v>1</v>
      </c>
      <c r="BI5">
        <v>0.64100000000000001</v>
      </c>
      <c r="BJ5">
        <v>-0.36099999999999999</v>
      </c>
      <c r="BK5">
        <v>-0.36699999999999999</v>
      </c>
      <c r="BL5">
        <v>0.61399999999999999</v>
      </c>
      <c r="BM5">
        <v>0.69299999999999995</v>
      </c>
    </row>
    <row r="6" spans="1:65" x14ac:dyDescent="0.3">
      <c r="A6" t="s">
        <v>164</v>
      </c>
      <c r="B6">
        <v>0</v>
      </c>
      <c r="C6">
        <v>0</v>
      </c>
      <c r="M6" t="s">
        <v>87</v>
      </c>
      <c r="N6">
        <v>3.6120000000000001</v>
      </c>
      <c r="O6">
        <v>4.5510000000000002</v>
      </c>
      <c r="P6" t="s">
        <v>55</v>
      </c>
      <c r="Q6">
        <v>1.4999999999999999E-2</v>
      </c>
      <c r="R6">
        <v>1.0999999999999999E-2</v>
      </c>
      <c r="S6">
        <v>80</v>
      </c>
      <c r="T6">
        <v>0.753</v>
      </c>
      <c r="U6">
        <v>1</v>
      </c>
      <c r="V6">
        <v>0.51100000000000001</v>
      </c>
      <c r="W6">
        <v>0.89600000000000002</v>
      </c>
      <c r="X6">
        <v>0.88200000000000001</v>
      </c>
      <c r="Y6">
        <v>0.996</v>
      </c>
      <c r="Z6">
        <v>1</v>
      </c>
      <c r="AA6">
        <v>1</v>
      </c>
      <c r="AB6">
        <v>0.53500000000000003</v>
      </c>
      <c r="AC6">
        <v>0.54</v>
      </c>
      <c r="AD6">
        <v>1</v>
      </c>
      <c r="AE6">
        <v>0.99099999999999999</v>
      </c>
      <c r="AF6">
        <v>1</v>
      </c>
      <c r="AG6">
        <v>1</v>
      </c>
      <c r="AH6">
        <v>9.1999999999999998E-2</v>
      </c>
      <c r="AI6">
        <v>0.79700000000000004</v>
      </c>
      <c r="AJ6">
        <v>0.29799999999999999</v>
      </c>
      <c r="AK6">
        <v>0.91800000000000004</v>
      </c>
      <c r="AL6">
        <v>-0.122</v>
      </c>
      <c r="AM6">
        <v>-0.20399999999999999</v>
      </c>
      <c r="AN6">
        <v>0.32700000000000001</v>
      </c>
      <c r="AO6">
        <v>-0.17</v>
      </c>
      <c r="AP6">
        <v>3.3000000000000002E-2</v>
      </c>
      <c r="AQ6">
        <v>0.439</v>
      </c>
      <c r="AR6">
        <v>2.3E-2</v>
      </c>
      <c r="AS6">
        <v>-7.1999999999999995E-2</v>
      </c>
      <c r="AT6">
        <v>0.52700000000000002</v>
      </c>
      <c r="AU6">
        <v>0.52</v>
      </c>
      <c r="AV6">
        <v>-0.109</v>
      </c>
      <c r="AW6">
        <v>0.75900000000000001</v>
      </c>
      <c r="AX6">
        <v>0.41899999999999998</v>
      </c>
      <c r="AY6">
        <v>0.34399999999999997</v>
      </c>
      <c r="AZ6">
        <v>-0.73499999999999999</v>
      </c>
      <c r="BA6">
        <v>0.03</v>
      </c>
      <c r="BB6">
        <v>-0.26200000000000001</v>
      </c>
      <c r="BC6">
        <v>-0.245</v>
      </c>
      <c r="BD6">
        <v>0.13500000000000001</v>
      </c>
      <c r="BE6">
        <v>0.59299999999999997</v>
      </c>
      <c r="BF6">
        <v>0.51</v>
      </c>
      <c r="BG6">
        <v>-0.35099999999999998</v>
      </c>
      <c r="BH6">
        <v>-0.122</v>
      </c>
      <c r="BI6">
        <v>0.72799999999999998</v>
      </c>
      <c r="BJ6">
        <v>-0.41599999999999998</v>
      </c>
      <c r="BK6">
        <v>0.223</v>
      </c>
      <c r="BL6">
        <v>0.36899999999999999</v>
      </c>
      <c r="BM6">
        <v>0.29699999999999999</v>
      </c>
    </row>
    <row r="7" spans="1:65" x14ac:dyDescent="0.3">
      <c r="A7" t="s">
        <v>73</v>
      </c>
      <c r="B7">
        <v>2.9463943015452802E-2</v>
      </c>
      <c r="C7">
        <v>1.89524778439795E-2</v>
      </c>
      <c r="M7" t="s">
        <v>54</v>
      </c>
      <c r="N7">
        <v>3.6120000000000001</v>
      </c>
      <c r="O7">
        <v>3.585</v>
      </c>
      <c r="P7" t="s">
        <v>55</v>
      </c>
      <c r="Q7">
        <v>1.4999999999999999E-2</v>
      </c>
      <c r="R7">
        <v>1.4999999999999999E-2</v>
      </c>
      <c r="S7">
        <v>80</v>
      </c>
      <c r="T7">
        <v>1</v>
      </c>
      <c r="U7">
        <v>1</v>
      </c>
      <c r="V7">
        <v>0.64200000000000002</v>
      </c>
      <c r="W7">
        <v>1</v>
      </c>
      <c r="X7">
        <v>0.93799999999999994</v>
      </c>
      <c r="Y7">
        <v>1</v>
      </c>
      <c r="Z7">
        <v>1</v>
      </c>
      <c r="AA7">
        <v>1</v>
      </c>
      <c r="AB7">
        <v>0.68700000000000006</v>
      </c>
      <c r="AC7">
        <v>0.68899999999999995</v>
      </c>
      <c r="AD7">
        <v>1</v>
      </c>
      <c r="AE7">
        <v>1</v>
      </c>
      <c r="AF7">
        <v>1</v>
      </c>
      <c r="AG7">
        <v>0.55700000000000005</v>
      </c>
      <c r="AH7">
        <v>2E-3</v>
      </c>
      <c r="AI7">
        <v>0.80500000000000005</v>
      </c>
      <c r="AJ7">
        <v>-0.26100000000000001</v>
      </c>
      <c r="AK7">
        <v>1</v>
      </c>
      <c r="AL7">
        <v>0.752</v>
      </c>
      <c r="AM7">
        <v>-0.20499999999999999</v>
      </c>
      <c r="AN7">
        <v>0.13300000000000001</v>
      </c>
      <c r="AO7">
        <v>-0.80500000000000005</v>
      </c>
      <c r="AP7">
        <v>6.4000000000000001E-2</v>
      </c>
      <c r="AQ7">
        <v>0.751</v>
      </c>
      <c r="AR7">
        <v>1</v>
      </c>
      <c r="AS7">
        <v>0.29299999999999998</v>
      </c>
      <c r="AT7">
        <v>0.40500000000000003</v>
      </c>
      <c r="AU7">
        <v>0.47499999999999998</v>
      </c>
      <c r="AV7">
        <v>0.41699999999999998</v>
      </c>
      <c r="AW7">
        <v>0.26</v>
      </c>
      <c r="AX7">
        <v>0.76700000000000002</v>
      </c>
      <c r="AY7">
        <v>0.42599999999999999</v>
      </c>
      <c r="AZ7">
        <v>0.17899999999999999</v>
      </c>
      <c r="BA7">
        <v>0.88500000000000001</v>
      </c>
      <c r="BB7">
        <v>0.104</v>
      </c>
      <c r="BC7">
        <v>0.58299999999999996</v>
      </c>
      <c r="BD7">
        <v>-0.29899999999999999</v>
      </c>
      <c r="BE7">
        <v>-0.20100000000000001</v>
      </c>
      <c r="BF7">
        <v>0.29299999999999998</v>
      </c>
      <c r="BG7">
        <v>-0.371</v>
      </c>
      <c r="BH7">
        <v>0.371</v>
      </c>
      <c r="BI7">
        <v>0.68200000000000005</v>
      </c>
      <c r="BJ7">
        <v>-0.52700000000000002</v>
      </c>
      <c r="BK7">
        <v>-0.40100000000000002</v>
      </c>
      <c r="BL7">
        <v>0.71699999999999997</v>
      </c>
      <c r="BM7">
        <v>0.495</v>
      </c>
    </row>
    <row r="8" spans="1:65" x14ac:dyDescent="0.3">
      <c r="A8" t="s">
        <v>263</v>
      </c>
      <c r="B8">
        <v>0</v>
      </c>
      <c r="C8">
        <v>0</v>
      </c>
      <c r="M8" t="s">
        <v>69</v>
      </c>
      <c r="N8">
        <v>3.6120000000000001</v>
      </c>
      <c r="O8">
        <v>3.556</v>
      </c>
      <c r="P8" t="s">
        <v>57</v>
      </c>
      <c r="Q8">
        <v>1.4E-2</v>
      </c>
      <c r="R8">
        <v>1.4E-2</v>
      </c>
      <c r="S8">
        <v>80</v>
      </c>
      <c r="T8">
        <v>0.90200000000000002</v>
      </c>
      <c r="U8">
        <v>1</v>
      </c>
      <c r="V8">
        <v>0.81699999999999995</v>
      </c>
      <c r="W8">
        <v>0.91100000000000003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0.19400000000000001</v>
      </c>
      <c r="AH8">
        <v>1</v>
      </c>
      <c r="AI8">
        <v>1</v>
      </c>
      <c r="AJ8">
        <v>0.251</v>
      </c>
      <c r="AK8">
        <v>1</v>
      </c>
      <c r="AL8">
        <v>0.23</v>
      </c>
      <c r="AM8">
        <v>7.2999999999999995E-2</v>
      </c>
      <c r="AN8">
        <v>0.54</v>
      </c>
      <c r="AO8">
        <v>0.42</v>
      </c>
      <c r="AP8">
        <v>0.223</v>
      </c>
      <c r="AQ8">
        <v>0.56100000000000005</v>
      </c>
      <c r="AR8">
        <v>0.81299999999999994</v>
      </c>
      <c r="AS8">
        <v>0.55700000000000005</v>
      </c>
      <c r="AT8">
        <v>0.25</v>
      </c>
      <c r="AU8">
        <v>-0.13900000000000001</v>
      </c>
      <c r="AV8">
        <v>2E-3</v>
      </c>
      <c r="AW8">
        <v>-0.26700000000000002</v>
      </c>
      <c r="AX8">
        <v>-0.13100000000000001</v>
      </c>
      <c r="AY8">
        <v>0.51500000000000001</v>
      </c>
      <c r="AZ8">
        <v>-0.09</v>
      </c>
      <c r="BA8">
        <v>0.65500000000000003</v>
      </c>
      <c r="BB8">
        <v>0.249</v>
      </c>
      <c r="BC8">
        <v>-3.0000000000000001E-3</v>
      </c>
      <c r="BD8">
        <v>0.126</v>
      </c>
      <c r="BE8">
        <v>0.215</v>
      </c>
      <c r="BF8">
        <v>-0.73199999999999998</v>
      </c>
      <c r="BG8">
        <v>-0.36299999999999999</v>
      </c>
      <c r="BH8">
        <v>0.186</v>
      </c>
      <c r="BI8">
        <v>0.93600000000000005</v>
      </c>
      <c r="BJ8">
        <v>-0.81</v>
      </c>
      <c r="BK8">
        <v>8.2000000000000003E-2</v>
      </c>
      <c r="BL8">
        <v>0.64</v>
      </c>
      <c r="BM8">
        <v>0.67900000000000005</v>
      </c>
    </row>
    <row r="9" spans="1:65" x14ac:dyDescent="0.3">
      <c r="A9" t="s">
        <v>177</v>
      </c>
      <c r="B9">
        <v>0</v>
      </c>
      <c r="C9">
        <v>0</v>
      </c>
      <c r="M9" t="s">
        <v>59</v>
      </c>
      <c r="N9">
        <v>3.6120000000000001</v>
      </c>
      <c r="O9">
        <v>2.69</v>
      </c>
      <c r="P9" t="s">
        <v>57</v>
      </c>
      <c r="Q9">
        <v>8.0000000000000002E-3</v>
      </c>
      <c r="R9">
        <v>8.0000000000000002E-3</v>
      </c>
      <c r="S9">
        <v>80</v>
      </c>
      <c r="T9">
        <v>1</v>
      </c>
      <c r="U9">
        <v>0.64600000000000002</v>
      </c>
      <c r="V9">
        <v>1</v>
      </c>
      <c r="W9">
        <v>1</v>
      </c>
      <c r="X9">
        <v>1</v>
      </c>
      <c r="Y9">
        <v>1</v>
      </c>
      <c r="Z9">
        <v>1</v>
      </c>
      <c r="AA9">
        <v>0.73699999999999999</v>
      </c>
      <c r="AB9">
        <v>1</v>
      </c>
      <c r="AC9">
        <v>1</v>
      </c>
      <c r="AD9">
        <v>0.73499999999999999</v>
      </c>
      <c r="AE9">
        <v>0.749</v>
      </c>
      <c r="AF9">
        <v>0.92800000000000005</v>
      </c>
      <c r="AG9">
        <v>1</v>
      </c>
      <c r="AH9">
        <v>1</v>
      </c>
      <c r="AI9">
        <v>-0.13800000000000001</v>
      </c>
      <c r="AJ9">
        <v>1</v>
      </c>
      <c r="AK9">
        <v>-0.315</v>
      </c>
      <c r="AL9">
        <v>1</v>
      </c>
      <c r="AM9">
        <v>0.88200000000000001</v>
      </c>
      <c r="AN9">
        <v>1</v>
      </c>
      <c r="AO9">
        <v>0.45100000000000001</v>
      </c>
      <c r="AP9">
        <v>0.65200000000000002</v>
      </c>
      <c r="AQ9">
        <v>-0.80800000000000005</v>
      </c>
      <c r="AR9">
        <v>-0.66500000000000004</v>
      </c>
      <c r="AS9">
        <v>0.30299999999999999</v>
      </c>
      <c r="AT9">
        <v>0.59399999999999997</v>
      </c>
      <c r="AU9">
        <v>9.7000000000000003E-2</v>
      </c>
      <c r="AV9">
        <v>0.69699999999999995</v>
      </c>
      <c r="AW9">
        <v>-0.54800000000000004</v>
      </c>
      <c r="AX9">
        <v>0.90800000000000003</v>
      </c>
      <c r="AY9">
        <v>0.32600000000000001</v>
      </c>
      <c r="AZ9">
        <v>5.3999999999999999E-2</v>
      </c>
      <c r="BA9">
        <v>0.47</v>
      </c>
      <c r="BB9">
        <v>0.60399999999999998</v>
      </c>
      <c r="BC9">
        <v>0.25</v>
      </c>
      <c r="BD9">
        <v>0.29199999999999998</v>
      </c>
      <c r="BE9">
        <v>0.30299999999999999</v>
      </c>
      <c r="BF9">
        <v>0.59399999999999997</v>
      </c>
      <c r="BG9">
        <v>4.2999999999999997E-2</v>
      </c>
      <c r="BH9">
        <v>9.7000000000000003E-2</v>
      </c>
      <c r="BI9">
        <v>0.90700000000000003</v>
      </c>
      <c r="BJ9">
        <v>-0.34499999999999997</v>
      </c>
      <c r="BK9">
        <v>-0.437</v>
      </c>
      <c r="BL9">
        <v>0.52100000000000002</v>
      </c>
      <c r="BM9">
        <v>0.80200000000000005</v>
      </c>
    </row>
    <row r="10" spans="1:65" x14ac:dyDescent="0.3">
      <c r="A10" t="s">
        <v>159</v>
      </c>
      <c r="B10">
        <v>0</v>
      </c>
      <c r="C10">
        <v>0</v>
      </c>
      <c r="M10" t="s">
        <v>60</v>
      </c>
      <c r="N10">
        <v>3.5289999999999999</v>
      </c>
      <c r="O10">
        <v>2.7080000000000002</v>
      </c>
      <c r="P10" t="s">
        <v>57</v>
      </c>
      <c r="Q10">
        <v>1.4999999999999999E-2</v>
      </c>
      <c r="R10">
        <v>1.2999999999999999E-2</v>
      </c>
      <c r="S10">
        <v>80</v>
      </c>
      <c r="T10">
        <v>0.99299999999999999</v>
      </c>
      <c r="U10">
        <v>0.84899999999999998</v>
      </c>
      <c r="V10">
        <v>0.79700000000000004</v>
      </c>
      <c r="W10">
        <v>1</v>
      </c>
      <c r="X10">
        <v>0.96899999999999997</v>
      </c>
      <c r="Y10">
        <v>0.78600000000000003</v>
      </c>
      <c r="Z10">
        <v>0.51400000000000001</v>
      </c>
      <c r="AA10">
        <v>0.755</v>
      </c>
      <c r="AB10">
        <v>0.75700000000000001</v>
      </c>
      <c r="AC10">
        <v>0.752</v>
      </c>
      <c r="AD10">
        <v>0.77800000000000002</v>
      </c>
      <c r="AE10">
        <v>0.79800000000000004</v>
      </c>
      <c r="AF10">
        <v>0.95599999999999996</v>
      </c>
      <c r="AG10">
        <v>1</v>
      </c>
      <c r="AH10">
        <v>1</v>
      </c>
      <c r="AI10">
        <v>0.41799999999999998</v>
      </c>
      <c r="AJ10">
        <v>0.13700000000000001</v>
      </c>
      <c r="AK10">
        <v>0.13300000000000001</v>
      </c>
      <c r="AL10">
        <v>0.61</v>
      </c>
      <c r="AM10">
        <v>0.55600000000000005</v>
      </c>
      <c r="AN10">
        <v>9.0999999999999998E-2</v>
      </c>
      <c r="AO10">
        <v>-0.11799999999999999</v>
      </c>
      <c r="AP10">
        <v>0.47799999999999998</v>
      </c>
      <c r="AQ10">
        <v>0.22700000000000001</v>
      </c>
      <c r="AR10">
        <v>-8.1000000000000003E-2</v>
      </c>
      <c r="AS10">
        <v>0.58399999999999996</v>
      </c>
      <c r="AT10">
        <v>0.76800000000000002</v>
      </c>
      <c r="AU10">
        <v>0.38400000000000001</v>
      </c>
      <c r="AV10">
        <v>0.42799999999999999</v>
      </c>
      <c r="AW10">
        <v>-0.1</v>
      </c>
      <c r="AX10">
        <v>0.95799999999999996</v>
      </c>
      <c r="AY10">
        <v>-0.59099999999999997</v>
      </c>
      <c r="AZ10">
        <v>7.6999999999999999E-2</v>
      </c>
      <c r="BA10">
        <v>0.42299999999999999</v>
      </c>
      <c r="BB10">
        <v>0.629</v>
      </c>
      <c r="BC10">
        <v>-0.314</v>
      </c>
      <c r="BD10">
        <v>0.21099999999999999</v>
      </c>
      <c r="BE10">
        <v>1.9E-2</v>
      </c>
      <c r="BF10">
        <v>0.625</v>
      </c>
      <c r="BG10">
        <v>0.23400000000000001</v>
      </c>
      <c r="BH10">
        <v>-0.28799999999999998</v>
      </c>
      <c r="BI10">
        <v>0.20399999999999999</v>
      </c>
      <c r="BJ10">
        <v>-0.48799999999999999</v>
      </c>
      <c r="BK10">
        <v>0.29199999999999998</v>
      </c>
      <c r="BL10">
        <v>0.253</v>
      </c>
      <c r="BM10">
        <v>0.20599999999999999</v>
      </c>
    </row>
    <row r="11" spans="1:65" x14ac:dyDescent="0.3">
      <c r="A11" t="s">
        <v>172</v>
      </c>
      <c r="B11">
        <v>0</v>
      </c>
      <c r="C11">
        <v>0</v>
      </c>
      <c r="M11" t="s">
        <v>58</v>
      </c>
      <c r="N11">
        <v>3.4969999999999999</v>
      </c>
      <c r="O11">
        <v>4.141</v>
      </c>
      <c r="P11" t="s">
        <v>57</v>
      </c>
      <c r="Q11">
        <v>1.4999999999999999E-2</v>
      </c>
      <c r="R11">
        <v>1.2999999999999999E-2</v>
      </c>
      <c r="S11">
        <v>80</v>
      </c>
      <c r="T11">
        <v>0.73699999999999999</v>
      </c>
      <c r="U11">
        <v>0.61</v>
      </c>
      <c r="V11">
        <v>0.67800000000000005</v>
      </c>
      <c r="W11">
        <v>0.68700000000000006</v>
      </c>
      <c r="X11">
        <v>0.67500000000000004</v>
      </c>
      <c r="Y11">
        <v>1</v>
      </c>
      <c r="Z11">
        <v>1</v>
      </c>
      <c r="AA11">
        <v>0.97799999999999998</v>
      </c>
      <c r="AB11">
        <v>0.55600000000000005</v>
      </c>
      <c r="AC11">
        <v>0.55900000000000005</v>
      </c>
      <c r="AD11">
        <v>0.89400000000000002</v>
      </c>
      <c r="AE11">
        <v>0.83899999999999997</v>
      </c>
      <c r="AF11">
        <v>0.89100000000000001</v>
      </c>
      <c r="AG11">
        <v>0.84699999999999998</v>
      </c>
      <c r="AH11">
        <v>6.3E-2</v>
      </c>
      <c r="AI11">
        <v>-0.123</v>
      </c>
      <c r="AJ11">
        <v>2.7E-2</v>
      </c>
      <c r="AK11">
        <v>0.129</v>
      </c>
      <c r="AL11">
        <v>0.84699999999999998</v>
      </c>
      <c r="AM11">
        <v>0.13500000000000001</v>
      </c>
      <c r="AN11">
        <v>0.94799999999999995</v>
      </c>
      <c r="AO11">
        <v>-0.47699999999999998</v>
      </c>
      <c r="AP11">
        <v>0.54</v>
      </c>
      <c r="AQ11">
        <v>0.16900000000000001</v>
      </c>
      <c r="AR11">
        <v>-0.25800000000000001</v>
      </c>
      <c r="AS11">
        <v>-2.3E-2</v>
      </c>
      <c r="AT11">
        <v>0.29899999999999999</v>
      </c>
      <c r="AU11">
        <v>-0.16800000000000001</v>
      </c>
      <c r="AV11">
        <v>0.20499999999999999</v>
      </c>
      <c r="AW11">
        <v>0.159</v>
      </c>
      <c r="AX11">
        <v>0.17</v>
      </c>
      <c r="AY11">
        <v>0.51800000000000002</v>
      </c>
      <c r="AZ11">
        <v>0.77400000000000002</v>
      </c>
      <c r="BA11">
        <v>0.495</v>
      </c>
      <c r="BB11">
        <v>-4.9000000000000002E-2</v>
      </c>
      <c r="BC11">
        <v>0.10199999999999999</v>
      </c>
      <c r="BD11">
        <v>0.55300000000000005</v>
      </c>
      <c r="BE11">
        <v>0.50700000000000001</v>
      </c>
      <c r="BF11">
        <v>0.54600000000000004</v>
      </c>
      <c r="BG11">
        <v>0.21099999999999999</v>
      </c>
      <c r="BH11">
        <v>4.8000000000000001E-2</v>
      </c>
      <c r="BI11">
        <v>0.82899999999999996</v>
      </c>
      <c r="BJ11">
        <v>-7.4999999999999997E-2</v>
      </c>
      <c r="BK11">
        <v>-0.35799999999999998</v>
      </c>
      <c r="BL11">
        <v>0.19700000000000001</v>
      </c>
      <c r="BM11">
        <v>0.34699999999999998</v>
      </c>
    </row>
    <row r="12" spans="1:65" x14ac:dyDescent="0.3">
      <c r="A12" t="s">
        <v>145</v>
      </c>
      <c r="B12">
        <v>7.6073911103334002E-3</v>
      </c>
      <c r="C12">
        <v>1.0150724563771101E-2</v>
      </c>
      <c r="M12" t="s">
        <v>75</v>
      </c>
      <c r="N12">
        <v>3.3780000000000001</v>
      </c>
      <c r="O12">
        <v>2.5099999999999998</v>
      </c>
      <c r="P12" t="s">
        <v>55</v>
      </c>
      <c r="Q12">
        <v>1.4E-2</v>
      </c>
      <c r="R12">
        <v>1.4E-2</v>
      </c>
      <c r="S12">
        <v>80</v>
      </c>
      <c r="T12">
        <v>1</v>
      </c>
      <c r="U12">
        <v>1</v>
      </c>
      <c r="V12">
        <v>1</v>
      </c>
      <c r="W12">
        <v>0.70199999999999996</v>
      </c>
      <c r="X12">
        <v>1</v>
      </c>
      <c r="Y12">
        <v>0.86</v>
      </c>
      <c r="Z12">
        <v>0.81</v>
      </c>
      <c r="AA12">
        <v>0.47</v>
      </c>
      <c r="AB12">
        <v>0.55700000000000005</v>
      </c>
      <c r="AC12">
        <v>0.55600000000000005</v>
      </c>
      <c r="AD12">
        <v>0.64400000000000002</v>
      </c>
      <c r="AE12">
        <v>0.81</v>
      </c>
      <c r="AF12">
        <v>0.97799999999999998</v>
      </c>
      <c r="AG12">
        <v>0.23699999999999999</v>
      </c>
      <c r="AH12">
        <v>1</v>
      </c>
      <c r="AI12">
        <v>1</v>
      </c>
      <c r="AJ12">
        <v>1</v>
      </c>
      <c r="AK12">
        <v>0.38400000000000001</v>
      </c>
      <c r="AL12">
        <v>-0.22500000000000001</v>
      </c>
      <c r="AM12">
        <v>0.75</v>
      </c>
      <c r="AN12">
        <v>-0.02</v>
      </c>
      <c r="AO12">
        <v>1</v>
      </c>
      <c r="AP12">
        <v>0.77500000000000002</v>
      </c>
      <c r="AQ12">
        <v>-9.7000000000000003E-2</v>
      </c>
      <c r="AR12">
        <v>-0.185</v>
      </c>
      <c r="AS12">
        <v>-0.221</v>
      </c>
      <c r="AT12">
        <v>0.34300000000000003</v>
      </c>
      <c r="AU12">
        <v>0.114</v>
      </c>
      <c r="AV12">
        <v>-0.22800000000000001</v>
      </c>
      <c r="AW12">
        <v>0.47</v>
      </c>
      <c r="AX12">
        <v>-0.33600000000000002</v>
      </c>
      <c r="AY12">
        <v>-4.8000000000000001E-2</v>
      </c>
      <c r="AZ12">
        <v>-0.71399999999999997</v>
      </c>
      <c r="BA12">
        <v>-0.34399999999999997</v>
      </c>
      <c r="BB12">
        <v>0.126</v>
      </c>
      <c r="BC12">
        <v>0.84699999999999998</v>
      </c>
      <c r="BD12">
        <v>0.16600000000000001</v>
      </c>
      <c r="BE12">
        <v>0.73899999999999999</v>
      </c>
      <c r="BF12">
        <v>0.32600000000000001</v>
      </c>
      <c r="BG12">
        <v>-1E-3</v>
      </c>
      <c r="BH12">
        <v>0.315</v>
      </c>
      <c r="BI12">
        <v>0.28299999999999997</v>
      </c>
      <c r="BJ12">
        <v>0.154</v>
      </c>
      <c r="BK12">
        <v>0.81899999999999995</v>
      </c>
      <c r="BL12">
        <v>0.621</v>
      </c>
      <c r="BM12">
        <v>0.97399999999999998</v>
      </c>
    </row>
    <row r="13" spans="1:65" x14ac:dyDescent="0.3">
      <c r="A13" t="s">
        <v>256</v>
      </c>
      <c r="B13">
        <v>0</v>
      </c>
      <c r="C13">
        <v>0</v>
      </c>
      <c r="M13" t="s">
        <v>67</v>
      </c>
      <c r="N13">
        <v>3.3239999999999998</v>
      </c>
      <c r="O13">
        <v>3.2320000000000002</v>
      </c>
      <c r="P13" t="s">
        <v>68</v>
      </c>
      <c r="Q13">
        <v>1.4E-2</v>
      </c>
      <c r="R13">
        <v>0.01</v>
      </c>
      <c r="S13">
        <v>80</v>
      </c>
      <c r="T13">
        <v>0.621</v>
      </c>
      <c r="U13">
        <v>0.14000000000000001</v>
      </c>
      <c r="V13">
        <v>0.39700000000000002</v>
      </c>
      <c r="W13">
        <v>0.92300000000000004</v>
      </c>
      <c r="X13">
        <v>0.53900000000000003</v>
      </c>
      <c r="Y13">
        <v>0.84799999999999998</v>
      </c>
      <c r="Z13">
        <v>0.81599999999999995</v>
      </c>
      <c r="AA13">
        <v>1</v>
      </c>
      <c r="AB13">
        <v>0.63200000000000001</v>
      </c>
      <c r="AC13">
        <v>0.63300000000000001</v>
      </c>
      <c r="AD13">
        <v>0.94599999999999995</v>
      </c>
      <c r="AE13">
        <v>0.86</v>
      </c>
      <c r="AF13">
        <v>0.85399999999999998</v>
      </c>
      <c r="AG13">
        <v>1</v>
      </c>
      <c r="AH13">
        <v>0.59</v>
      </c>
      <c r="AI13">
        <v>0.154</v>
      </c>
      <c r="AJ13">
        <v>-0.45400000000000001</v>
      </c>
      <c r="AK13">
        <v>-0.03</v>
      </c>
      <c r="AL13">
        <v>9.6000000000000002E-2</v>
      </c>
      <c r="AM13">
        <v>-3.5000000000000003E-2</v>
      </c>
      <c r="AN13">
        <v>0.628</v>
      </c>
      <c r="AO13">
        <v>-0.68500000000000005</v>
      </c>
      <c r="AP13">
        <v>0.375</v>
      </c>
      <c r="AQ13">
        <v>0.28699999999999998</v>
      </c>
      <c r="AR13">
        <v>0.44800000000000001</v>
      </c>
      <c r="AS13">
        <v>0.59899999999999998</v>
      </c>
      <c r="AT13">
        <v>0.28299999999999997</v>
      </c>
      <c r="AU13">
        <v>-0.498</v>
      </c>
      <c r="AV13">
        <v>0.61399999999999999</v>
      </c>
      <c r="AW13">
        <v>-0.33700000000000002</v>
      </c>
      <c r="AX13">
        <v>0.64400000000000002</v>
      </c>
      <c r="AY13">
        <v>0.41</v>
      </c>
      <c r="AZ13">
        <v>0.114</v>
      </c>
      <c r="BA13">
        <v>0.84299999999999997</v>
      </c>
      <c r="BB13">
        <v>0.74099999999999999</v>
      </c>
      <c r="BC13">
        <v>0.22600000000000001</v>
      </c>
      <c r="BD13">
        <v>-0.159</v>
      </c>
      <c r="BE13">
        <v>-0.188</v>
      </c>
      <c r="BF13">
        <v>0.438</v>
      </c>
      <c r="BG13">
        <v>-0.41699999999999998</v>
      </c>
      <c r="BH13">
        <v>0.14599999999999999</v>
      </c>
      <c r="BI13">
        <v>0.34599999999999997</v>
      </c>
      <c r="BJ13">
        <v>-0.96099999999999997</v>
      </c>
      <c r="BK13">
        <v>0.17199999999999999</v>
      </c>
      <c r="BL13">
        <v>0.73</v>
      </c>
      <c r="BM13">
        <v>-0.151</v>
      </c>
    </row>
    <row r="14" spans="1:65" x14ac:dyDescent="0.3">
      <c r="A14" t="s">
        <v>222</v>
      </c>
      <c r="B14">
        <v>0</v>
      </c>
      <c r="C14">
        <v>0</v>
      </c>
      <c r="M14" t="s">
        <v>86</v>
      </c>
      <c r="N14">
        <v>3.23</v>
      </c>
      <c r="O14">
        <v>3.4990000000000001</v>
      </c>
      <c r="P14" t="s">
        <v>57</v>
      </c>
      <c r="Q14">
        <v>2.1000000000000001E-2</v>
      </c>
      <c r="R14">
        <v>2.1000000000000001E-2</v>
      </c>
      <c r="S14">
        <v>80</v>
      </c>
      <c r="T14">
        <v>0.68799999999999994</v>
      </c>
      <c r="U14">
        <v>0.79400000000000004</v>
      </c>
      <c r="V14">
        <v>0.80100000000000005</v>
      </c>
      <c r="W14">
        <v>0.52</v>
      </c>
      <c r="X14">
        <v>0.76700000000000002</v>
      </c>
      <c r="Y14">
        <v>0.68799999999999994</v>
      </c>
      <c r="Z14">
        <v>0.66700000000000004</v>
      </c>
      <c r="AA14">
        <v>0.60199999999999998</v>
      </c>
      <c r="AB14">
        <v>0.67600000000000005</v>
      </c>
      <c r="AC14">
        <v>0.67200000000000004</v>
      </c>
      <c r="AD14">
        <v>1</v>
      </c>
      <c r="AE14">
        <v>0.93400000000000005</v>
      </c>
      <c r="AF14">
        <v>0.93700000000000006</v>
      </c>
      <c r="AG14">
        <v>-2.5999999999999999E-2</v>
      </c>
      <c r="AH14">
        <v>1</v>
      </c>
      <c r="AI14">
        <v>0.53500000000000003</v>
      </c>
      <c r="AJ14">
        <v>1</v>
      </c>
      <c r="AK14">
        <v>0.45600000000000002</v>
      </c>
      <c r="AL14">
        <v>1.6E-2</v>
      </c>
      <c r="AM14">
        <v>0.14699999999999999</v>
      </c>
      <c r="AN14">
        <v>0.69899999999999995</v>
      </c>
      <c r="AO14">
        <v>0.31900000000000001</v>
      </c>
      <c r="AP14">
        <v>0.41599999999999998</v>
      </c>
      <c r="AQ14">
        <v>-0.13100000000000001</v>
      </c>
      <c r="AR14">
        <v>-0.245</v>
      </c>
      <c r="AS14">
        <v>0.252</v>
      </c>
      <c r="AT14">
        <v>0.54600000000000004</v>
      </c>
      <c r="AU14">
        <v>0.17100000000000001</v>
      </c>
      <c r="AV14">
        <v>-3.1E-2</v>
      </c>
      <c r="AW14">
        <v>-0.32700000000000001</v>
      </c>
      <c r="AX14">
        <v>-0.23899999999999999</v>
      </c>
      <c r="AY14">
        <v>-1.4999999999999999E-2</v>
      </c>
      <c r="AZ14">
        <v>-0.32600000000000001</v>
      </c>
      <c r="BA14">
        <v>0.67800000000000005</v>
      </c>
      <c r="BB14">
        <v>0.185</v>
      </c>
      <c r="BC14">
        <v>5.8000000000000003E-2</v>
      </c>
      <c r="BD14">
        <v>-0.186</v>
      </c>
      <c r="BE14">
        <v>-7.0000000000000007E-2</v>
      </c>
      <c r="BF14">
        <v>0.24399999999999999</v>
      </c>
      <c r="BG14">
        <v>-0.151</v>
      </c>
      <c r="BH14">
        <v>0.36699999999999999</v>
      </c>
      <c r="BI14">
        <v>0.85299999999999998</v>
      </c>
      <c r="BJ14">
        <v>-6.0999999999999999E-2</v>
      </c>
      <c r="BK14">
        <v>0.12</v>
      </c>
      <c r="BL14">
        <v>0.60899999999999999</v>
      </c>
      <c r="BM14">
        <v>0.875</v>
      </c>
    </row>
    <row r="15" spans="1:65" x14ac:dyDescent="0.3">
      <c r="A15" t="s">
        <v>253</v>
      </c>
      <c r="B15">
        <v>0</v>
      </c>
      <c r="C15">
        <v>0</v>
      </c>
      <c r="M15" t="s">
        <v>126</v>
      </c>
      <c r="N15">
        <v>2.9369999999999998</v>
      </c>
      <c r="O15">
        <v>2.1110000000000002</v>
      </c>
      <c r="P15" t="s">
        <v>57</v>
      </c>
      <c r="Q15">
        <v>1.0999999999999999E-2</v>
      </c>
      <c r="R15">
        <v>1.0999999999999999E-2</v>
      </c>
      <c r="S15">
        <v>80</v>
      </c>
      <c r="T15">
        <v>1</v>
      </c>
      <c r="U15">
        <v>1</v>
      </c>
      <c r="V15">
        <v>1</v>
      </c>
      <c r="W15">
        <v>1</v>
      </c>
      <c r="X15">
        <v>1</v>
      </c>
      <c r="Y15">
        <v>0.184</v>
      </c>
      <c r="Z15">
        <v>-0.57499999999999996</v>
      </c>
      <c r="AA15">
        <v>0.38900000000000001</v>
      </c>
      <c r="AB15">
        <v>0.34799999999999998</v>
      </c>
      <c r="AC15">
        <v>0.34699999999999998</v>
      </c>
      <c r="AD15">
        <v>0.76600000000000001</v>
      </c>
      <c r="AE15">
        <v>0.79300000000000004</v>
      </c>
      <c r="AF15">
        <v>1</v>
      </c>
      <c r="AG15">
        <v>1</v>
      </c>
      <c r="AH15">
        <v>1</v>
      </c>
      <c r="AI15">
        <v>1</v>
      </c>
      <c r="AJ15">
        <v>0.58799999999999997</v>
      </c>
      <c r="AK15">
        <v>0.89800000000000002</v>
      </c>
      <c r="AL15">
        <v>1</v>
      </c>
      <c r="AM15">
        <v>0.42399999999999999</v>
      </c>
      <c r="AN15">
        <v>-0.80900000000000005</v>
      </c>
      <c r="AO15">
        <v>0.44500000000000001</v>
      </c>
      <c r="AP15">
        <v>0.34100000000000003</v>
      </c>
      <c r="AQ15">
        <v>0.35499999999999998</v>
      </c>
      <c r="AR15">
        <v>0.38200000000000001</v>
      </c>
      <c r="AS15">
        <v>0.7</v>
      </c>
      <c r="AT15">
        <v>0.66400000000000003</v>
      </c>
      <c r="AU15">
        <v>0.36599999999999999</v>
      </c>
      <c r="AV15">
        <v>0.13700000000000001</v>
      </c>
      <c r="AW15">
        <v>-0.44500000000000001</v>
      </c>
      <c r="AX15">
        <v>0.85799999999999998</v>
      </c>
      <c r="AY15">
        <v>-0.52800000000000002</v>
      </c>
      <c r="AZ15">
        <v>0.35799999999999998</v>
      </c>
      <c r="BA15">
        <v>0.41299999999999998</v>
      </c>
      <c r="BB15">
        <v>-0.318</v>
      </c>
      <c r="BC15">
        <v>0.93200000000000005</v>
      </c>
      <c r="BD15">
        <v>0.33600000000000002</v>
      </c>
      <c r="BE15">
        <v>0.23400000000000001</v>
      </c>
      <c r="BF15">
        <v>0.79900000000000004</v>
      </c>
      <c r="BG15">
        <v>-1</v>
      </c>
      <c r="BH15">
        <v>-0.38200000000000001</v>
      </c>
      <c r="BI15">
        <v>-1</v>
      </c>
      <c r="BJ15">
        <v>0.53300000000000003</v>
      </c>
      <c r="BK15">
        <v>-0.127</v>
      </c>
      <c r="BL15">
        <v>0.91700000000000004</v>
      </c>
      <c r="BM15">
        <v>0.46400000000000002</v>
      </c>
    </row>
    <row r="16" spans="1:65" x14ac:dyDescent="0.3">
      <c r="A16" t="s">
        <v>185</v>
      </c>
      <c r="B16">
        <v>0</v>
      </c>
      <c r="C16">
        <v>1.12206284031049E-2</v>
      </c>
      <c r="M16" t="s">
        <v>70</v>
      </c>
      <c r="N16">
        <v>2.92</v>
      </c>
      <c r="O16">
        <v>3.7519999999999998</v>
      </c>
      <c r="P16" t="s">
        <v>71</v>
      </c>
      <c r="Q16">
        <v>1.6E-2</v>
      </c>
      <c r="R16">
        <v>1.6E-2</v>
      </c>
      <c r="S16">
        <v>80</v>
      </c>
      <c r="T16">
        <v>8.6999999999999994E-2</v>
      </c>
      <c r="U16">
        <v>0.432</v>
      </c>
      <c r="V16">
        <v>-0.19</v>
      </c>
      <c r="W16">
        <v>0.2</v>
      </c>
      <c r="X16">
        <v>0.191</v>
      </c>
      <c r="Y16">
        <v>0.58199999999999996</v>
      </c>
      <c r="Z16">
        <v>0.73</v>
      </c>
      <c r="AA16">
        <v>0.879</v>
      </c>
      <c r="AB16">
        <v>0.97299999999999998</v>
      </c>
      <c r="AC16">
        <v>0.96799999999999997</v>
      </c>
      <c r="AD16">
        <v>0.78900000000000003</v>
      </c>
      <c r="AE16">
        <v>0.78700000000000003</v>
      </c>
      <c r="AF16">
        <v>1</v>
      </c>
      <c r="AG16">
        <v>-0.129</v>
      </c>
      <c r="AH16">
        <v>-0.58699999999999997</v>
      </c>
      <c r="AI16">
        <v>0.44400000000000001</v>
      </c>
      <c r="AJ16">
        <v>-0.63800000000000001</v>
      </c>
      <c r="AK16">
        <v>0.17100000000000001</v>
      </c>
      <c r="AL16">
        <v>-0.49099999999999999</v>
      </c>
      <c r="AM16">
        <v>-0.30599999999999999</v>
      </c>
      <c r="AN16">
        <v>0.66</v>
      </c>
      <c r="AO16">
        <v>-0.439</v>
      </c>
      <c r="AP16">
        <v>-0.48899999999999999</v>
      </c>
      <c r="AQ16">
        <v>0.79900000000000004</v>
      </c>
      <c r="AR16">
        <v>0.125</v>
      </c>
      <c r="AS16">
        <v>-0.77600000000000002</v>
      </c>
      <c r="AT16">
        <v>0.68600000000000005</v>
      </c>
      <c r="AU16">
        <v>0.40699999999999997</v>
      </c>
      <c r="AV16">
        <v>4.3999999999999997E-2</v>
      </c>
      <c r="AW16">
        <v>7.1999999999999995E-2</v>
      </c>
      <c r="AX16">
        <v>0.11899999999999999</v>
      </c>
      <c r="AY16">
        <v>0.67600000000000005</v>
      </c>
      <c r="AZ16">
        <v>8.5999999999999993E-2</v>
      </c>
      <c r="BA16">
        <v>0.61399999999999999</v>
      </c>
      <c r="BB16">
        <v>-0.94099999999999995</v>
      </c>
      <c r="BC16">
        <v>0.86699999999999999</v>
      </c>
      <c r="BD16">
        <v>-9.0999999999999998E-2</v>
      </c>
      <c r="BE16">
        <v>0.377</v>
      </c>
      <c r="BF16">
        <v>0.58299999999999996</v>
      </c>
      <c r="BG16">
        <v>-0.45700000000000002</v>
      </c>
      <c r="BH16">
        <v>-4.0000000000000001E-3</v>
      </c>
      <c r="BI16">
        <v>0.71799999999999997</v>
      </c>
      <c r="BJ16">
        <v>-0.34899999999999998</v>
      </c>
      <c r="BK16">
        <v>-0.53200000000000003</v>
      </c>
      <c r="BL16">
        <v>1</v>
      </c>
      <c r="BM16">
        <v>9.6000000000000002E-2</v>
      </c>
    </row>
    <row r="17" spans="1:65" x14ac:dyDescent="0.3">
      <c r="A17" t="s">
        <v>165</v>
      </c>
      <c r="B17">
        <v>0</v>
      </c>
      <c r="C17">
        <v>0</v>
      </c>
      <c r="M17" t="s">
        <v>66</v>
      </c>
      <c r="N17">
        <v>2.9009999999999998</v>
      </c>
      <c r="O17">
        <v>2.21</v>
      </c>
      <c r="P17" t="s">
        <v>55</v>
      </c>
      <c r="Q17">
        <v>1.4E-2</v>
      </c>
      <c r="R17">
        <v>1.4E-2</v>
      </c>
      <c r="S17">
        <v>80</v>
      </c>
      <c r="T17">
        <v>0.61099999999999999</v>
      </c>
      <c r="U17">
        <v>-4.0000000000000001E-3</v>
      </c>
      <c r="V17">
        <v>1</v>
      </c>
      <c r="W17">
        <v>0.67100000000000004</v>
      </c>
      <c r="X17">
        <v>0.65800000000000003</v>
      </c>
      <c r="Y17">
        <v>0.82</v>
      </c>
      <c r="Z17">
        <v>0.98299999999999998</v>
      </c>
      <c r="AA17">
        <v>0.42399999999999999</v>
      </c>
      <c r="AB17">
        <v>0.42</v>
      </c>
      <c r="AC17">
        <v>0.41899999999999998</v>
      </c>
      <c r="AD17">
        <v>0.89400000000000002</v>
      </c>
      <c r="AE17">
        <v>0.81499999999999995</v>
      </c>
      <c r="AF17">
        <v>0.751</v>
      </c>
      <c r="AG17">
        <v>1</v>
      </c>
      <c r="AH17">
        <v>1</v>
      </c>
      <c r="AI17">
        <v>-0.63500000000000001</v>
      </c>
      <c r="AJ17">
        <v>1</v>
      </c>
      <c r="AK17">
        <v>-0.185</v>
      </c>
      <c r="AL17">
        <v>1</v>
      </c>
      <c r="AM17">
        <v>0.377</v>
      </c>
      <c r="AN17">
        <v>1</v>
      </c>
      <c r="AO17">
        <v>0.215</v>
      </c>
      <c r="AP17">
        <v>-0.28199999999999997</v>
      </c>
      <c r="AQ17">
        <v>-0.56499999999999995</v>
      </c>
      <c r="AR17">
        <v>-0.497</v>
      </c>
      <c r="AS17">
        <v>0.69499999999999995</v>
      </c>
      <c r="AT17">
        <v>-0.375</v>
      </c>
      <c r="AU17">
        <v>-2.7E-2</v>
      </c>
      <c r="AV17">
        <v>-0.11899999999999999</v>
      </c>
      <c r="AW17">
        <v>0.14599999999999999</v>
      </c>
      <c r="AX17">
        <v>0.379</v>
      </c>
      <c r="AY17">
        <v>0.23799999999999999</v>
      </c>
      <c r="AZ17">
        <v>-0.35799999999999998</v>
      </c>
      <c r="BA17">
        <v>5.2999999999999999E-2</v>
      </c>
      <c r="BB17">
        <v>-0.182</v>
      </c>
      <c r="BC17">
        <v>7.0000000000000001E-3</v>
      </c>
      <c r="BD17">
        <v>0.60199999999999998</v>
      </c>
      <c r="BE17">
        <v>0.73</v>
      </c>
      <c r="BF17">
        <v>0.622</v>
      </c>
      <c r="BG17">
        <v>-0.114</v>
      </c>
      <c r="BH17">
        <v>-0.53700000000000003</v>
      </c>
      <c r="BI17">
        <v>0.54200000000000004</v>
      </c>
      <c r="BJ17">
        <v>-0.85199999999999998</v>
      </c>
      <c r="BK17">
        <v>9.9000000000000005E-2</v>
      </c>
      <c r="BL17">
        <v>0.66900000000000004</v>
      </c>
      <c r="BM17">
        <v>0.82199999999999995</v>
      </c>
    </row>
    <row r="18" spans="1:65" x14ac:dyDescent="0.3">
      <c r="A18" t="s">
        <v>179</v>
      </c>
      <c r="B18">
        <v>0</v>
      </c>
      <c r="C18">
        <v>0</v>
      </c>
      <c r="M18" t="s">
        <v>73</v>
      </c>
      <c r="N18">
        <v>2.8340000000000001</v>
      </c>
      <c r="O18">
        <v>4.2439999999999998</v>
      </c>
      <c r="P18" t="s">
        <v>57</v>
      </c>
      <c r="Q18">
        <v>1.4E-2</v>
      </c>
      <c r="R18">
        <v>5.0000000000000001E-3</v>
      </c>
      <c r="S18">
        <v>80</v>
      </c>
      <c r="T18">
        <v>0.249</v>
      </c>
      <c r="U18">
        <v>0.52800000000000002</v>
      </c>
      <c r="V18">
        <v>-3.1E-2</v>
      </c>
      <c r="W18">
        <v>0.371</v>
      </c>
      <c r="X18">
        <v>0.36099999999999999</v>
      </c>
      <c r="Y18">
        <v>0.53400000000000003</v>
      </c>
      <c r="Z18">
        <v>0.67200000000000004</v>
      </c>
      <c r="AA18">
        <v>0.57099999999999995</v>
      </c>
      <c r="AB18">
        <v>0.91200000000000003</v>
      </c>
      <c r="AC18">
        <v>0.91100000000000003</v>
      </c>
      <c r="AD18">
        <v>0.86299999999999999</v>
      </c>
      <c r="AE18">
        <v>0.91400000000000003</v>
      </c>
      <c r="AF18">
        <v>0.94499999999999995</v>
      </c>
      <c r="AG18">
        <v>-7.6999999999999999E-2</v>
      </c>
      <c r="AH18">
        <v>0.65100000000000002</v>
      </c>
      <c r="AI18">
        <v>0.92400000000000004</v>
      </c>
      <c r="AJ18">
        <v>-3.7999999999999999E-2</v>
      </c>
      <c r="AK18">
        <v>-0.27300000000000002</v>
      </c>
      <c r="AL18">
        <v>-0.625</v>
      </c>
      <c r="AM18">
        <v>-5.8000000000000003E-2</v>
      </c>
      <c r="AN18">
        <v>0.32</v>
      </c>
      <c r="AO18">
        <v>0.58299999999999996</v>
      </c>
      <c r="AP18">
        <v>0.34200000000000003</v>
      </c>
      <c r="AQ18">
        <v>0.114</v>
      </c>
      <c r="AR18">
        <v>-0.51400000000000001</v>
      </c>
      <c r="AS18">
        <v>0.13800000000000001</v>
      </c>
      <c r="AT18">
        <v>0.32100000000000001</v>
      </c>
      <c r="AU18">
        <v>0.24099999999999999</v>
      </c>
      <c r="AV18">
        <v>-0.16200000000000001</v>
      </c>
      <c r="AW18">
        <v>-0.23799999999999999</v>
      </c>
      <c r="AX18">
        <v>-0.21199999999999999</v>
      </c>
      <c r="AY18">
        <v>0.442</v>
      </c>
      <c r="AZ18">
        <v>-0.39300000000000002</v>
      </c>
      <c r="BA18">
        <v>0.67</v>
      </c>
      <c r="BB18">
        <v>0.39300000000000002</v>
      </c>
      <c r="BC18">
        <v>0.65700000000000003</v>
      </c>
      <c r="BD18">
        <v>-0.40899999999999997</v>
      </c>
      <c r="BE18">
        <v>-0.23400000000000001</v>
      </c>
      <c r="BF18">
        <v>0.34</v>
      </c>
      <c r="BG18">
        <v>-4.3999999999999997E-2</v>
      </c>
      <c r="BH18">
        <v>0.29099999999999998</v>
      </c>
      <c r="BI18">
        <v>0.95799999999999996</v>
      </c>
      <c r="BJ18">
        <v>-0.47799999999999998</v>
      </c>
      <c r="BK18">
        <v>-8.8999999999999996E-2</v>
      </c>
      <c r="BL18">
        <v>0.20300000000000001</v>
      </c>
      <c r="BM18">
        <v>0.42599999999999999</v>
      </c>
    </row>
    <row r="19" spans="1:65" x14ac:dyDescent="0.3">
      <c r="A19" t="s">
        <v>204</v>
      </c>
      <c r="B19">
        <v>0</v>
      </c>
      <c r="C19">
        <v>0</v>
      </c>
      <c r="M19" t="s">
        <v>163</v>
      </c>
      <c r="N19">
        <v>2.64</v>
      </c>
      <c r="O19">
        <v>3.94</v>
      </c>
      <c r="P19" t="s">
        <v>68</v>
      </c>
      <c r="Q19">
        <v>0.02</v>
      </c>
      <c r="R19">
        <v>1.6E-2</v>
      </c>
      <c r="S19">
        <v>80</v>
      </c>
      <c r="T19">
        <v>0.499</v>
      </c>
      <c r="U19">
        <v>0.28100000000000003</v>
      </c>
      <c r="V19">
        <v>0.11</v>
      </c>
      <c r="W19">
        <v>0.375</v>
      </c>
      <c r="X19">
        <v>0.126</v>
      </c>
      <c r="Y19">
        <v>0.67300000000000004</v>
      </c>
      <c r="Z19">
        <v>0.95299999999999996</v>
      </c>
      <c r="AA19">
        <v>0.191</v>
      </c>
      <c r="AB19">
        <v>0.70199999999999996</v>
      </c>
      <c r="AC19">
        <v>0.69699999999999995</v>
      </c>
      <c r="AD19">
        <v>0.90400000000000003</v>
      </c>
      <c r="AE19">
        <v>0.88800000000000001</v>
      </c>
      <c r="AF19">
        <v>0.84499999999999997</v>
      </c>
      <c r="AG19">
        <v>2.1999999999999999E-2</v>
      </c>
      <c r="AH19">
        <v>0.11600000000000001</v>
      </c>
      <c r="AI19">
        <v>-0.16500000000000001</v>
      </c>
      <c r="AJ19">
        <v>-0.34100000000000003</v>
      </c>
      <c r="AK19">
        <v>0.34599999999999997</v>
      </c>
      <c r="AL19">
        <v>6.0000000000000001E-3</v>
      </c>
      <c r="AM19">
        <v>-5.6000000000000001E-2</v>
      </c>
      <c r="AN19">
        <v>-0.23599999999999999</v>
      </c>
      <c r="AO19">
        <v>-0.61699999999999999</v>
      </c>
      <c r="AP19">
        <v>0.82499999999999996</v>
      </c>
      <c r="AQ19">
        <v>0.20899999999999999</v>
      </c>
      <c r="AR19">
        <v>-0.249</v>
      </c>
      <c r="AS19">
        <v>0.34</v>
      </c>
      <c r="AT19">
        <v>0.86399999999999999</v>
      </c>
      <c r="AU19">
        <v>0.25800000000000001</v>
      </c>
      <c r="AV19">
        <v>0.436</v>
      </c>
      <c r="AW19">
        <v>0.442</v>
      </c>
      <c r="AX19">
        <v>0.32500000000000001</v>
      </c>
      <c r="AY19">
        <v>0.39700000000000002</v>
      </c>
      <c r="AZ19">
        <v>4.3999999999999997E-2</v>
      </c>
      <c r="BA19">
        <v>0.38400000000000001</v>
      </c>
      <c r="BB19">
        <v>0.60699999999999998</v>
      </c>
      <c r="BC19">
        <v>0.46600000000000003</v>
      </c>
      <c r="BD19">
        <v>-0.29299999999999998</v>
      </c>
      <c r="BE19">
        <v>-0.375</v>
      </c>
      <c r="BF19">
        <v>0.39900000000000002</v>
      </c>
      <c r="BG19">
        <v>-0.373</v>
      </c>
      <c r="BH19">
        <v>-0.309</v>
      </c>
      <c r="BI19">
        <v>0.80800000000000005</v>
      </c>
      <c r="BJ19">
        <v>-0.48299999999999998</v>
      </c>
      <c r="BK19">
        <v>0.215</v>
      </c>
      <c r="BL19">
        <v>0.29499999999999998</v>
      </c>
      <c r="BM19">
        <v>4.7E-2</v>
      </c>
    </row>
    <row r="20" spans="1:65" x14ac:dyDescent="0.3">
      <c r="A20" t="s">
        <v>194</v>
      </c>
      <c r="B20">
        <v>0</v>
      </c>
      <c r="C20">
        <v>0</v>
      </c>
      <c r="M20" t="s">
        <v>130</v>
      </c>
      <c r="N20">
        <v>2.6240000000000001</v>
      </c>
      <c r="O20">
        <v>1.821</v>
      </c>
      <c r="P20" t="s">
        <v>71</v>
      </c>
      <c r="Q20">
        <v>8.0000000000000002E-3</v>
      </c>
      <c r="R20">
        <v>8.0000000000000002E-3</v>
      </c>
      <c r="S20">
        <v>80</v>
      </c>
      <c r="T20">
        <v>0.33</v>
      </c>
      <c r="U20">
        <v>0.65800000000000003</v>
      </c>
      <c r="V20">
        <v>-0.46700000000000003</v>
      </c>
      <c r="W20">
        <v>0.58899999999999997</v>
      </c>
      <c r="X20">
        <v>0.20300000000000001</v>
      </c>
      <c r="Y20">
        <v>0.22700000000000001</v>
      </c>
      <c r="Z20">
        <v>-0.08</v>
      </c>
      <c r="AA20">
        <v>0.47</v>
      </c>
      <c r="AB20">
        <v>1</v>
      </c>
      <c r="AC20">
        <v>1</v>
      </c>
      <c r="AD20">
        <v>0.871</v>
      </c>
      <c r="AE20">
        <v>0.996</v>
      </c>
      <c r="AF20">
        <v>0.96599999999999997</v>
      </c>
      <c r="AG20">
        <v>-0.26500000000000001</v>
      </c>
      <c r="AH20">
        <v>-0.50800000000000001</v>
      </c>
      <c r="AI20">
        <v>1</v>
      </c>
      <c r="AJ20">
        <v>-0.754</v>
      </c>
      <c r="AK20">
        <v>4.1000000000000002E-2</v>
      </c>
      <c r="AL20">
        <v>-0.67800000000000005</v>
      </c>
      <c r="AM20">
        <v>0.10100000000000001</v>
      </c>
      <c r="AN20">
        <v>-0.54600000000000004</v>
      </c>
      <c r="AO20">
        <v>-0.20200000000000001</v>
      </c>
      <c r="AP20">
        <v>-0.54300000000000004</v>
      </c>
      <c r="AQ20">
        <v>0.83399999999999996</v>
      </c>
      <c r="AR20">
        <v>0.81100000000000005</v>
      </c>
      <c r="AS20">
        <v>0.495</v>
      </c>
      <c r="AT20">
        <v>0.92200000000000004</v>
      </c>
      <c r="AU20">
        <v>0.36299999999999999</v>
      </c>
      <c r="AV20">
        <v>0.95599999999999996</v>
      </c>
      <c r="AW20">
        <v>0.373</v>
      </c>
      <c r="AX20">
        <v>0.83499999999999996</v>
      </c>
      <c r="AY20">
        <v>4.5999999999999999E-2</v>
      </c>
      <c r="AZ20">
        <v>0.16700000000000001</v>
      </c>
      <c r="BA20">
        <v>-0.35299999999999998</v>
      </c>
      <c r="BB20">
        <v>0.14099999999999999</v>
      </c>
      <c r="BC20">
        <v>0.65700000000000003</v>
      </c>
      <c r="BD20">
        <v>-0.28199999999999997</v>
      </c>
      <c r="BE20">
        <v>0.33</v>
      </c>
      <c r="BF20">
        <v>0.64600000000000002</v>
      </c>
      <c r="BG20">
        <v>1</v>
      </c>
      <c r="BH20">
        <v>-0.36399999999999999</v>
      </c>
      <c r="BI20">
        <v>-0.78600000000000003</v>
      </c>
      <c r="BJ20">
        <v>-1</v>
      </c>
      <c r="BK20">
        <v>0.36099999999999999</v>
      </c>
      <c r="BL20">
        <v>-1.9E-2</v>
      </c>
      <c r="BM20">
        <v>-0.45500000000000002</v>
      </c>
    </row>
    <row r="21" spans="1:65" x14ac:dyDescent="0.3">
      <c r="A21" t="s">
        <v>169</v>
      </c>
      <c r="B21">
        <v>0</v>
      </c>
      <c r="C21">
        <v>0</v>
      </c>
      <c r="M21" t="s">
        <v>82</v>
      </c>
      <c r="N21">
        <v>2.61</v>
      </c>
      <c r="O21">
        <v>5.508</v>
      </c>
      <c r="P21" t="s">
        <v>71</v>
      </c>
      <c r="Q21">
        <v>1.7000000000000001E-2</v>
      </c>
      <c r="R21">
        <v>0</v>
      </c>
      <c r="S21">
        <v>59</v>
      </c>
      <c r="T21">
        <v>-0.11700000000000001</v>
      </c>
      <c r="U21">
        <v>0.40799999999999997</v>
      </c>
      <c r="V21">
        <v>-0.56599999999999995</v>
      </c>
      <c r="W21">
        <v>0.127</v>
      </c>
      <c r="X21">
        <v>5.5E-2</v>
      </c>
      <c r="Y21">
        <v>0.433</v>
      </c>
      <c r="Z21">
        <v>0.59299999999999997</v>
      </c>
      <c r="AA21">
        <v>0.84799999999999998</v>
      </c>
      <c r="AB21">
        <v>0.81299999999999994</v>
      </c>
      <c r="AC21">
        <v>0.80900000000000005</v>
      </c>
      <c r="AD21">
        <v>0.86499999999999999</v>
      </c>
      <c r="AE21">
        <v>0.76700000000000002</v>
      </c>
      <c r="AF21">
        <v>0.93899999999999995</v>
      </c>
      <c r="AG21">
        <v>-0.158</v>
      </c>
      <c r="AH21">
        <v>-0.60499999999999998</v>
      </c>
      <c r="AI21">
        <v>0.57399999999999995</v>
      </c>
      <c r="AJ21">
        <v>-0.65</v>
      </c>
      <c r="AK21">
        <v>0.29799999999999999</v>
      </c>
      <c r="AL21">
        <v>-0.49099999999999999</v>
      </c>
      <c r="AM21">
        <v>-0.30599999999999999</v>
      </c>
      <c r="AN21">
        <v>0.621</v>
      </c>
      <c r="AO21">
        <v>-0.439</v>
      </c>
      <c r="AP21">
        <v>-0.49099999999999999</v>
      </c>
      <c r="AQ21">
        <v>0.871</v>
      </c>
      <c r="AR21">
        <v>0.22500000000000001</v>
      </c>
      <c r="AS21">
        <v>-0.77200000000000002</v>
      </c>
      <c r="AT21">
        <v>0.68600000000000005</v>
      </c>
      <c r="AU21">
        <v>0.40300000000000002</v>
      </c>
      <c r="AV21">
        <v>4.3999999999999997E-2</v>
      </c>
      <c r="AW21">
        <v>0.12</v>
      </c>
      <c r="AX21">
        <v>0.11899999999999999</v>
      </c>
      <c r="AY21">
        <v>0.56299999999999994</v>
      </c>
      <c r="AZ21">
        <v>0.02</v>
      </c>
      <c r="BA21">
        <v>0.55300000000000005</v>
      </c>
      <c r="BB21">
        <v>-0.78700000000000003</v>
      </c>
      <c r="BC21">
        <v>0.34100000000000003</v>
      </c>
      <c r="BD21">
        <v>-9.0999999999999998E-2</v>
      </c>
      <c r="BE21">
        <v>0.377</v>
      </c>
      <c r="BF21">
        <v>0.60199999999999998</v>
      </c>
      <c r="BG21">
        <v>-0.32700000000000001</v>
      </c>
      <c r="BH21">
        <v>0.33500000000000002</v>
      </c>
      <c r="BI21">
        <v>0.67300000000000004</v>
      </c>
      <c r="BJ21">
        <v>-0.40300000000000002</v>
      </c>
      <c r="BK21">
        <v>-0.36</v>
      </c>
      <c r="BL21">
        <v>-0.27700000000000002</v>
      </c>
      <c r="BM21">
        <v>9.6000000000000002E-2</v>
      </c>
    </row>
    <row r="22" spans="1:65" x14ac:dyDescent="0.3">
      <c r="A22" t="s">
        <v>100</v>
      </c>
      <c r="B22">
        <v>8.8618861192489191E-3</v>
      </c>
      <c r="C22">
        <v>6.1499591114760098E-3</v>
      </c>
      <c r="M22" t="s">
        <v>167</v>
      </c>
      <c r="N22">
        <v>2.6019999999999999</v>
      </c>
      <c r="O22">
        <v>2.5619999999999998</v>
      </c>
      <c r="P22" t="s">
        <v>57</v>
      </c>
      <c r="Q22">
        <v>0.02</v>
      </c>
      <c r="R22">
        <v>1.4999999999999999E-2</v>
      </c>
      <c r="S22">
        <v>80</v>
      </c>
      <c r="T22">
        <v>0.71299999999999997</v>
      </c>
      <c r="U22">
        <v>0.61099999999999999</v>
      </c>
      <c r="V22">
        <v>0.23200000000000001</v>
      </c>
      <c r="W22">
        <v>0.68300000000000005</v>
      </c>
      <c r="X22">
        <v>0.433</v>
      </c>
      <c r="Y22">
        <v>0.27500000000000002</v>
      </c>
      <c r="Z22">
        <v>-7.0000000000000001E-3</v>
      </c>
      <c r="AA22">
        <v>0.34300000000000003</v>
      </c>
      <c r="AB22">
        <v>0.23300000000000001</v>
      </c>
      <c r="AC22">
        <v>0.23599999999999999</v>
      </c>
      <c r="AD22">
        <v>0.99399999999999999</v>
      </c>
      <c r="AE22">
        <v>0.89</v>
      </c>
      <c r="AF22">
        <v>0.877</v>
      </c>
      <c r="AG22">
        <v>0.83399999999999996</v>
      </c>
      <c r="AH22">
        <v>-0.13900000000000001</v>
      </c>
      <c r="AI22">
        <v>0.11600000000000001</v>
      </c>
      <c r="AJ22">
        <v>-0.40100000000000002</v>
      </c>
      <c r="AK22">
        <v>0.13900000000000001</v>
      </c>
      <c r="AL22">
        <v>0.27800000000000002</v>
      </c>
      <c r="AM22">
        <v>0.113</v>
      </c>
      <c r="AN22">
        <v>-0.28799999999999998</v>
      </c>
      <c r="AO22">
        <v>-0.69799999999999995</v>
      </c>
      <c r="AP22">
        <v>0.72099999999999997</v>
      </c>
      <c r="AQ22">
        <v>0.29199999999999998</v>
      </c>
      <c r="AR22">
        <v>0.79100000000000004</v>
      </c>
      <c r="AS22">
        <v>7.5999999999999998E-2</v>
      </c>
      <c r="AT22">
        <v>0.81499999999999995</v>
      </c>
      <c r="AU22">
        <v>0.80400000000000005</v>
      </c>
      <c r="AV22">
        <v>0.59399999999999997</v>
      </c>
      <c r="AW22">
        <v>-0.22900000000000001</v>
      </c>
      <c r="AX22">
        <v>0.84199999999999997</v>
      </c>
      <c r="AY22">
        <v>0.182</v>
      </c>
      <c r="AZ22">
        <v>0.495</v>
      </c>
      <c r="BA22">
        <v>0.755</v>
      </c>
      <c r="BB22">
        <v>-0.27100000000000002</v>
      </c>
      <c r="BC22">
        <v>0.61799999999999999</v>
      </c>
      <c r="BD22">
        <v>8.6999999999999994E-2</v>
      </c>
      <c r="BE22">
        <v>0.41299999999999998</v>
      </c>
      <c r="BF22">
        <v>0.44400000000000001</v>
      </c>
      <c r="BG22">
        <v>-0.99399999999999999</v>
      </c>
      <c r="BH22">
        <v>-1</v>
      </c>
      <c r="BI22">
        <v>-0.44700000000000001</v>
      </c>
      <c r="BJ22">
        <v>0.16500000000000001</v>
      </c>
      <c r="BK22">
        <v>3.7999999999999999E-2</v>
      </c>
      <c r="BL22">
        <v>2.5000000000000001E-2</v>
      </c>
      <c r="BM22">
        <v>-0.151</v>
      </c>
    </row>
    <row r="23" spans="1:65" x14ac:dyDescent="0.3">
      <c r="A23" t="s">
        <v>175</v>
      </c>
      <c r="B23">
        <v>0</v>
      </c>
      <c r="C23">
        <v>0</v>
      </c>
      <c r="M23" t="s">
        <v>137</v>
      </c>
      <c r="N23">
        <v>2.593</v>
      </c>
      <c r="O23">
        <v>1.83</v>
      </c>
      <c r="P23" t="s">
        <v>57</v>
      </c>
      <c r="Q23">
        <v>1.2E-2</v>
      </c>
      <c r="R23">
        <v>0.01</v>
      </c>
      <c r="S23">
        <v>80</v>
      </c>
      <c r="T23">
        <v>0.79900000000000004</v>
      </c>
      <c r="U23">
        <v>0.628</v>
      </c>
      <c r="V23">
        <v>0.58799999999999997</v>
      </c>
      <c r="W23">
        <v>0.72499999999999998</v>
      </c>
      <c r="X23">
        <v>0.60099999999999998</v>
      </c>
      <c r="Y23">
        <v>0.41299999999999998</v>
      </c>
      <c r="Z23">
        <v>0.161</v>
      </c>
      <c r="AA23">
        <v>0.16400000000000001</v>
      </c>
      <c r="AB23">
        <v>0.2</v>
      </c>
      <c r="AC23">
        <v>0.2</v>
      </c>
      <c r="AD23">
        <v>0.82199999999999995</v>
      </c>
      <c r="AE23">
        <v>0.58299999999999996</v>
      </c>
      <c r="AF23">
        <v>0.88800000000000001</v>
      </c>
      <c r="AG23">
        <v>0.877</v>
      </c>
      <c r="AH23">
        <v>0.45700000000000002</v>
      </c>
      <c r="AI23">
        <v>0.33700000000000002</v>
      </c>
      <c r="AJ23">
        <v>-3.4000000000000002E-2</v>
      </c>
      <c r="AK23">
        <v>1</v>
      </c>
      <c r="AL23">
        <v>1</v>
      </c>
      <c r="AM23">
        <v>0.184</v>
      </c>
      <c r="AN23">
        <v>-0.76</v>
      </c>
      <c r="AO23">
        <v>-0.52800000000000002</v>
      </c>
      <c r="AP23">
        <v>0.45700000000000002</v>
      </c>
      <c r="AQ23">
        <v>0.25</v>
      </c>
      <c r="AR23">
        <v>0.47199999999999998</v>
      </c>
      <c r="AS23">
        <v>0.47199999999999998</v>
      </c>
      <c r="AT23">
        <v>0.55900000000000005</v>
      </c>
      <c r="AU23">
        <v>3.7999999999999999E-2</v>
      </c>
      <c r="AV23">
        <v>0.45900000000000002</v>
      </c>
      <c r="AW23">
        <v>0.08</v>
      </c>
      <c r="AX23">
        <v>0.998</v>
      </c>
      <c r="AY23">
        <v>-0.629</v>
      </c>
      <c r="AZ23">
        <v>2E-3</v>
      </c>
      <c r="BA23">
        <v>0.747</v>
      </c>
      <c r="BB23">
        <v>0.52500000000000002</v>
      </c>
      <c r="BC23">
        <v>0.27300000000000002</v>
      </c>
      <c r="BD23">
        <v>-8.0000000000000002E-3</v>
      </c>
      <c r="BE23">
        <v>4.9000000000000002E-2</v>
      </c>
      <c r="BF23">
        <v>0.52600000000000002</v>
      </c>
      <c r="BG23">
        <v>-0.13500000000000001</v>
      </c>
      <c r="BH23">
        <v>0.54400000000000004</v>
      </c>
      <c r="BI23">
        <v>0.223</v>
      </c>
      <c r="BJ23">
        <v>-0.623</v>
      </c>
      <c r="BK23">
        <v>0.27300000000000002</v>
      </c>
      <c r="BL23">
        <v>-4.9000000000000002E-2</v>
      </c>
      <c r="BM23">
        <v>0.54700000000000004</v>
      </c>
    </row>
    <row r="24" spans="1:65" x14ac:dyDescent="0.3">
      <c r="A24" t="s">
        <v>193</v>
      </c>
      <c r="B24">
        <v>0</v>
      </c>
      <c r="C24">
        <v>0</v>
      </c>
      <c r="M24" t="s">
        <v>136</v>
      </c>
      <c r="N24">
        <v>2.5590000000000002</v>
      </c>
      <c r="O24">
        <v>2.8370000000000002</v>
      </c>
      <c r="P24" t="s">
        <v>71</v>
      </c>
      <c r="Q24">
        <v>0</v>
      </c>
      <c r="R24">
        <v>0</v>
      </c>
      <c r="S24">
        <v>3</v>
      </c>
      <c r="T24">
        <v>-0.29399999999999998</v>
      </c>
      <c r="U24">
        <v>0.28000000000000003</v>
      </c>
      <c r="V24">
        <v>-0.85299999999999998</v>
      </c>
      <c r="W24">
        <v>0.315</v>
      </c>
      <c r="X24">
        <v>-0.04</v>
      </c>
      <c r="Y24">
        <v>0.44700000000000001</v>
      </c>
      <c r="Z24">
        <v>0.53100000000000003</v>
      </c>
      <c r="AA24">
        <v>1</v>
      </c>
      <c r="AB24">
        <v>1</v>
      </c>
      <c r="AC24">
        <v>1</v>
      </c>
      <c r="AD24">
        <v>0.56100000000000005</v>
      </c>
      <c r="AE24">
        <v>0.73</v>
      </c>
      <c r="AF24">
        <v>0.88900000000000001</v>
      </c>
      <c r="AG24">
        <v>-1.7999999999999999E-2</v>
      </c>
      <c r="AH24">
        <v>-0.745</v>
      </c>
      <c r="AI24">
        <v>1</v>
      </c>
      <c r="AJ24">
        <v>-0.93500000000000005</v>
      </c>
      <c r="AK24">
        <v>-0.54400000000000004</v>
      </c>
      <c r="AL24">
        <v>-0.92200000000000004</v>
      </c>
      <c r="AM24">
        <v>0.151</v>
      </c>
      <c r="AN24">
        <v>0.432</v>
      </c>
      <c r="AO24">
        <v>-0.54200000000000004</v>
      </c>
      <c r="AP24">
        <v>-0.64700000000000002</v>
      </c>
      <c r="AQ24">
        <v>0.94399999999999995</v>
      </c>
      <c r="AR24">
        <v>1</v>
      </c>
      <c r="AS24">
        <v>-0.33500000000000002</v>
      </c>
      <c r="AT24">
        <v>0.14499999999999999</v>
      </c>
      <c r="AU24">
        <v>3.5000000000000003E-2</v>
      </c>
      <c r="AV24">
        <v>0.41199999999999998</v>
      </c>
      <c r="AW24">
        <v>0.26900000000000002</v>
      </c>
      <c r="AX24">
        <v>0.23</v>
      </c>
      <c r="AY24">
        <v>0.503</v>
      </c>
      <c r="AZ24">
        <v>-0.21199999999999999</v>
      </c>
      <c r="BA24">
        <v>0.74299999999999999</v>
      </c>
      <c r="BB24">
        <v>0.38900000000000001</v>
      </c>
      <c r="BC24">
        <v>0.39100000000000001</v>
      </c>
      <c r="BD24">
        <v>-0.151</v>
      </c>
      <c r="BE24">
        <v>-0.21299999999999999</v>
      </c>
      <c r="BF24">
        <v>0.60099999999999998</v>
      </c>
      <c r="BG24">
        <v>-0.67900000000000005</v>
      </c>
      <c r="BH24">
        <v>0.29299999999999998</v>
      </c>
      <c r="BI24">
        <v>0.39200000000000002</v>
      </c>
      <c r="BJ24">
        <v>-0.90700000000000003</v>
      </c>
      <c r="BK24">
        <v>-1</v>
      </c>
      <c r="BL24">
        <v>-0.247</v>
      </c>
      <c r="BM24">
        <v>-0.89800000000000002</v>
      </c>
    </row>
    <row r="25" spans="1:65" x14ac:dyDescent="0.3">
      <c r="A25" t="s">
        <v>259</v>
      </c>
      <c r="B25">
        <v>0</v>
      </c>
      <c r="C25">
        <v>0</v>
      </c>
      <c r="M25" t="s">
        <v>84</v>
      </c>
      <c r="N25">
        <v>2.5230000000000001</v>
      </c>
      <c r="O25">
        <v>1.881</v>
      </c>
      <c r="P25" t="s">
        <v>57</v>
      </c>
      <c r="Q25">
        <v>1.0999999999999999E-2</v>
      </c>
      <c r="R25">
        <v>1.0999999999999999E-2</v>
      </c>
      <c r="S25">
        <v>80</v>
      </c>
      <c r="T25">
        <v>0.32600000000000001</v>
      </c>
      <c r="U25">
        <v>0.39200000000000002</v>
      </c>
      <c r="V25">
        <v>0.23499999999999999</v>
      </c>
      <c r="W25">
        <v>0.47599999999999998</v>
      </c>
      <c r="X25">
        <v>0.39900000000000002</v>
      </c>
      <c r="Y25">
        <v>0.13800000000000001</v>
      </c>
      <c r="Z25">
        <v>-4.8000000000000001E-2</v>
      </c>
      <c r="AA25">
        <v>0.49299999999999999</v>
      </c>
      <c r="AB25">
        <v>0.47299999999999998</v>
      </c>
      <c r="AC25">
        <v>0.47</v>
      </c>
      <c r="AD25">
        <v>0.88400000000000001</v>
      </c>
      <c r="AE25">
        <v>0.92400000000000004</v>
      </c>
      <c r="AF25">
        <v>0.94599999999999995</v>
      </c>
      <c r="AG25">
        <v>-0.17499999999999999</v>
      </c>
      <c r="AH25">
        <v>0.65700000000000003</v>
      </c>
      <c r="AI25">
        <v>0.65500000000000003</v>
      </c>
      <c r="AJ25">
        <v>-0.40300000000000002</v>
      </c>
      <c r="AK25">
        <v>1</v>
      </c>
      <c r="AL25">
        <v>0.65300000000000002</v>
      </c>
      <c r="AM25">
        <v>-0.112</v>
      </c>
      <c r="AN25">
        <v>-7.0000000000000007E-2</v>
      </c>
      <c r="AO25">
        <v>-0.40699999999999997</v>
      </c>
      <c r="AP25">
        <v>5.8000000000000003E-2</v>
      </c>
      <c r="AQ25">
        <v>0.54300000000000004</v>
      </c>
      <c r="AR25">
        <v>0.46600000000000003</v>
      </c>
      <c r="AS25">
        <v>0.99199999999999999</v>
      </c>
      <c r="AT25">
        <v>0.51200000000000001</v>
      </c>
      <c r="AU25">
        <v>-0.16300000000000001</v>
      </c>
      <c r="AV25">
        <v>0.192</v>
      </c>
      <c r="AW25">
        <v>-0.23200000000000001</v>
      </c>
      <c r="AX25">
        <v>8.5000000000000006E-2</v>
      </c>
      <c r="AY25">
        <v>0.36399999999999999</v>
      </c>
      <c r="AZ25">
        <v>-0.14099999999999999</v>
      </c>
      <c r="BA25">
        <v>0.47599999999999998</v>
      </c>
      <c r="BB25">
        <v>0.44400000000000001</v>
      </c>
      <c r="BC25">
        <v>0.33300000000000002</v>
      </c>
      <c r="BD25">
        <v>-0.502</v>
      </c>
      <c r="BE25">
        <v>-2.3E-2</v>
      </c>
      <c r="BF25">
        <v>-0.60299999999999998</v>
      </c>
      <c r="BG25">
        <v>-0.496</v>
      </c>
      <c r="BH25">
        <v>0.188</v>
      </c>
      <c r="BI25">
        <v>-0.108</v>
      </c>
      <c r="BJ25">
        <v>-1</v>
      </c>
      <c r="BK25">
        <v>-0.20399999999999999</v>
      </c>
      <c r="BL25">
        <v>0.437</v>
      </c>
      <c r="BM25">
        <v>0.63800000000000001</v>
      </c>
    </row>
    <row r="26" spans="1:65" x14ac:dyDescent="0.3">
      <c r="A26" t="s">
        <v>127</v>
      </c>
      <c r="B26">
        <v>7.6983881156998503E-3</v>
      </c>
      <c r="C26">
        <v>1.04060173502255E-2</v>
      </c>
      <c r="M26" t="s">
        <v>90</v>
      </c>
      <c r="N26">
        <v>2.5179999999999998</v>
      </c>
      <c r="O26">
        <v>3.669</v>
      </c>
      <c r="P26" t="s">
        <v>68</v>
      </c>
      <c r="Q26">
        <v>1.7000000000000001E-2</v>
      </c>
      <c r="R26">
        <v>4.0000000000000001E-3</v>
      </c>
      <c r="S26">
        <v>65</v>
      </c>
      <c r="T26">
        <v>0.34</v>
      </c>
      <c r="U26">
        <v>-0.216</v>
      </c>
      <c r="V26">
        <v>-7.0000000000000001E-3</v>
      </c>
      <c r="W26">
        <v>0.64300000000000002</v>
      </c>
      <c r="X26">
        <v>0.16800000000000001</v>
      </c>
      <c r="Y26">
        <v>0.67900000000000005</v>
      </c>
      <c r="Z26">
        <v>0.75700000000000001</v>
      </c>
      <c r="AA26">
        <v>0.58099999999999996</v>
      </c>
      <c r="AB26">
        <v>0.311</v>
      </c>
      <c r="AC26">
        <v>0.313</v>
      </c>
      <c r="AD26">
        <v>0.79800000000000004</v>
      </c>
      <c r="AE26">
        <v>0.77900000000000003</v>
      </c>
      <c r="AF26">
        <v>0.69299999999999995</v>
      </c>
      <c r="AG26">
        <v>1</v>
      </c>
      <c r="AH26">
        <v>0.57499999999999996</v>
      </c>
      <c r="AI26">
        <v>-0.214</v>
      </c>
      <c r="AJ26">
        <v>-0.45900000000000002</v>
      </c>
      <c r="AK26">
        <v>-0.30599999999999999</v>
      </c>
      <c r="AL26">
        <v>8.7999999999999995E-2</v>
      </c>
      <c r="AM26">
        <v>-3.5000000000000003E-2</v>
      </c>
      <c r="AN26">
        <v>0.433</v>
      </c>
      <c r="AO26">
        <v>-0.68500000000000005</v>
      </c>
      <c r="AP26">
        <v>0.42799999999999999</v>
      </c>
      <c r="AQ26">
        <v>5.7000000000000002E-2</v>
      </c>
      <c r="AR26">
        <v>0.312</v>
      </c>
      <c r="AS26">
        <v>0.59899999999999998</v>
      </c>
      <c r="AT26">
        <v>0.28299999999999997</v>
      </c>
      <c r="AU26">
        <v>-0.498</v>
      </c>
      <c r="AV26">
        <v>0.61399999999999999</v>
      </c>
      <c r="AW26">
        <v>-0.33700000000000002</v>
      </c>
      <c r="AX26">
        <v>0.63900000000000001</v>
      </c>
      <c r="AY26">
        <v>0.41399999999999998</v>
      </c>
      <c r="AZ26">
        <v>0.114</v>
      </c>
      <c r="BA26">
        <v>0.84299999999999997</v>
      </c>
      <c r="BB26">
        <v>0.56100000000000005</v>
      </c>
      <c r="BC26">
        <v>0.44800000000000001</v>
      </c>
      <c r="BD26">
        <v>-0.159</v>
      </c>
      <c r="BE26">
        <v>-0.188</v>
      </c>
      <c r="BF26">
        <v>0.3</v>
      </c>
      <c r="BG26">
        <v>-0.187</v>
      </c>
      <c r="BH26">
        <v>2.7E-2</v>
      </c>
      <c r="BI26">
        <v>0.58799999999999997</v>
      </c>
      <c r="BJ26">
        <v>-0.85399999999999998</v>
      </c>
      <c r="BK26">
        <v>0.34599999999999997</v>
      </c>
      <c r="BL26">
        <v>-0.38200000000000001</v>
      </c>
      <c r="BM26">
        <v>-0.151</v>
      </c>
    </row>
    <row r="27" spans="1:65" x14ac:dyDescent="0.3">
      <c r="A27" t="s">
        <v>173</v>
      </c>
      <c r="B27">
        <v>0</v>
      </c>
      <c r="C27">
        <v>0</v>
      </c>
      <c r="M27" t="s">
        <v>146</v>
      </c>
      <c r="N27">
        <v>2.4710000000000001</v>
      </c>
      <c r="O27">
        <v>2.4460000000000002</v>
      </c>
      <c r="P27" t="s">
        <v>71</v>
      </c>
      <c r="Q27">
        <v>0</v>
      </c>
      <c r="R27">
        <v>0</v>
      </c>
      <c r="S27">
        <v>4</v>
      </c>
      <c r="T27">
        <v>-0.308</v>
      </c>
      <c r="U27">
        <v>0.26300000000000001</v>
      </c>
      <c r="V27">
        <v>-0.84799999999999998</v>
      </c>
      <c r="W27">
        <v>0.26500000000000001</v>
      </c>
      <c r="X27">
        <v>-6.7000000000000004E-2</v>
      </c>
      <c r="Y27">
        <v>0.35799999999999998</v>
      </c>
      <c r="Z27">
        <v>0.39600000000000002</v>
      </c>
      <c r="AA27">
        <v>0.94599999999999995</v>
      </c>
      <c r="AB27">
        <v>1</v>
      </c>
      <c r="AC27">
        <v>1</v>
      </c>
      <c r="AD27">
        <v>0.59599999999999997</v>
      </c>
      <c r="AE27">
        <v>0.75600000000000001</v>
      </c>
      <c r="AF27">
        <v>0.88500000000000001</v>
      </c>
      <c r="AG27">
        <v>-8.8999999999999996E-2</v>
      </c>
      <c r="AH27">
        <v>-0.77100000000000002</v>
      </c>
      <c r="AI27">
        <v>1</v>
      </c>
      <c r="AJ27">
        <v>-0.94399999999999995</v>
      </c>
      <c r="AK27">
        <v>-0.56799999999999995</v>
      </c>
      <c r="AL27">
        <v>-0.92600000000000005</v>
      </c>
      <c r="AM27">
        <v>0.151</v>
      </c>
      <c r="AN27">
        <v>0.35699999999999998</v>
      </c>
      <c r="AO27">
        <v>-0.54200000000000004</v>
      </c>
      <c r="AP27">
        <v>-0.65800000000000003</v>
      </c>
      <c r="AQ27">
        <v>0.93500000000000005</v>
      </c>
      <c r="AR27">
        <v>1</v>
      </c>
      <c r="AS27">
        <v>-0.33500000000000002</v>
      </c>
      <c r="AT27">
        <v>0.14499999999999999</v>
      </c>
      <c r="AU27">
        <v>3.5000000000000003E-2</v>
      </c>
      <c r="AV27">
        <v>0.41199999999999998</v>
      </c>
      <c r="AW27">
        <v>0.26900000000000002</v>
      </c>
      <c r="AX27">
        <v>0.223</v>
      </c>
      <c r="AY27">
        <v>0.40899999999999997</v>
      </c>
      <c r="AZ27">
        <v>-0.21199999999999999</v>
      </c>
      <c r="BA27">
        <v>0.74299999999999999</v>
      </c>
      <c r="BB27">
        <v>0.438</v>
      </c>
      <c r="BC27">
        <v>0.498</v>
      </c>
      <c r="BD27">
        <v>-0.151</v>
      </c>
      <c r="BE27">
        <v>-0.21299999999999999</v>
      </c>
      <c r="BF27">
        <v>0.624</v>
      </c>
      <c r="BG27">
        <v>-0.70499999999999996</v>
      </c>
      <c r="BH27">
        <v>0.311</v>
      </c>
      <c r="BI27">
        <v>0.27</v>
      </c>
      <c r="BJ27">
        <v>-0.89300000000000002</v>
      </c>
      <c r="BK27">
        <v>-1</v>
      </c>
      <c r="BL27">
        <v>-8.5000000000000006E-2</v>
      </c>
      <c r="BM27">
        <v>-0.89800000000000002</v>
      </c>
    </row>
    <row r="28" spans="1:65" x14ac:dyDescent="0.3">
      <c r="A28" t="s">
        <v>241</v>
      </c>
      <c r="B28">
        <v>0</v>
      </c>
      <c r="C28">
        <v>0</v>
      </c>
      <c r="M28" t="s">
        <v>77</v>
      </c>
      <c r="N28">
        <v>2.4249999999999998</v>
      </c>
      <c r="O28">
        <v>1.792</v>
      </c>
      <c r="P28" t="s">
        <v>57</v>
      </c>
      <c r="Q28">
        <v>1.2999999999999999E-2</v>
      </c>
      <c r="R28">
        <v>1.2999999999999999E-2</v>
      </c>
      <c r="S28">
        <v>80</v>
      </c>
      <c r="T28">
        <v>0.69099999999999995</v>
      </c>
      <c r="U28">
        <v>-1.4E-2</v>
      </c>
      <c r="V28">
        <v>0.99</v>
      </c>
      <c r="W28">
        <v>0.68799999999999994</v>
      </c>
      <c r="X28">
        <v>0.60299999999999998</v>
      </c>
      <c r="Y28">
        <v>0.48699999999999999</v>
      </c>
      <c r="Z28">
        <v>0.433</v>
      </c>
      <c r="AA28">
        <v>0.112</v>
      </c>
      <c r="AB28">
        <v>0.14899999999999999</v>
      </c>
      <c r="AC28">
        <v>0.14799999999999999</v>
      </c>
      <c r="AD28">
        <v>0.90500000000000003</v>
      </c>
      <c r="AE28">
        <v>0.70099999999999996</v>
      </c>
      <c r="AF28">
        <v>0.64300000000000002</v>
      </c>
      <c r="AG28">
        <v>1</v>
      </c>
      <c r="AH28">
        <v>1</v>
      </c>
      <c r="AI28">
        <v>-0.46100000000000002</v>
      </c>
      <c r="AJ28">
        <v>0.72799999999999998</v>
      </c>
      <c r="AK28">
        <v>-0.22800000000000001</v>
      </c>
      <c r="AL28">
        <v>1</v>
      </c>
      <c r="AM28">
        <v>0.63300000000000001</v>
      </c>
      <c r="AN28">
        <v>0.309</v>
      </c>
      <c r="AO28">
        <v>-0.39200000000000002</v>
      </c>
      <c r="AP28">
        <v>0.60899999999999999</v>
      </c>
      <c r="AQ28">
        <v>-0.624</v>
      </c>
      <c r="AR28">
        <v>-0.60399999999999998</v>
      </c>
      <c r="AS28">
        <v>0.73399999999999999</v>
      </c>
      <c r="AT28">
        <v>2.1000000000000001E-2</v>
      </c>
      <c r="AU28">
        <v>-0.56699999999999995</v>
      </c>
      <c r="AV28">
        <v>0.41</v>
      </c>
      <c r="AW28">
        <v>0.08</v>
      </c>
      <c r="AX28">
        <v>0.89700000000000002</v>
      </c>
      <c r="AY28">
        <v>-0.28599999999999998</v>
      </c>
      <c r="AZ28">
        <v>0.03</v>
      </c>
      <c r="BA28">
        <v>0.74399999999999999</v>
      </c>
      <c r="BB28">
        <v>0.218</v>
      </c>
      <c r="BC28">
        <v>0.45</v>
      </c>
      <c r="BD28">
        <v>9.8000000000000004E-2</v>
      </c>
      <c r="BE28">
        <v>0.17100000000000001</v>
      </c>
      <c r="BF28">
        <v>0.26800000000000002</v>
      </c>
      <c r="BG28">
        <v>1</v>
      </c>
      <c r="BH28">
        <v>1</v>
      </c>
      <c r="BI28">
        <v>5.6000000000000001E-2</v>
      </c>
      <c r="BJ28">
        <v>-0.29499999999999998</v>
      </c>
      <c r="BK28">
        <v>0.28499999999999998</v>
      </c>
      <c r="BL28">
        <v>0.73399999999999999</v>
      </c>
      <c r="BM28">
        <v>0.55700000000000005</v>
      </c>
    </row>
    <row r="29" spans="1:65" x14ac:dyDescent="0.3">
      <c r="A29" t="s">
        <v>123</v>
      </c>
      <c r="B29">
        <v>5.80980753775121E-3</v>
      </c>
      <c r="C29">
        <v>6.7487803863418997E-3</v>
      </c>
      <c r="M29" t="s">
        <v>101</v>
      </c>
      <c r="N29">
        <v>2.3660000000000001</v>
      </c>
      <c r="O29">
        <v>2.5529999999999999</v>
      </c>
      <c r="P29" t="s">
        <v>71</v>
      </c>
      <c r="Q29">
        <v>1.2E-2</v>
      </c>
      <c r="R29">
        <v>1.2E-2</v>
      </c>
      <c r="S29">
        <v>80</v>
      </c>
      <c r="T29">
        <v>0.33100000000000002</v>
      </c>
      <c r="U29">
        <v>0.40899999999999997</v>
      </c>
      <c r="V29">
        <v>-0.13100000000000001</v>
      </c>
      <c r="W29">
        <v>0.32400000000000001</v>
      </c>
      <c r="X29">
        <v>0.11899999999999999</v>
      </c>
      <c r="Y29">
        <v>0.48399999999999999</v>
      </c>
      <c r="Z29">
        <v>0.35</v>
      </c>
      <c r="AA29">
        <v>6.2E-2</v>
      </c>
      <c r="AB29">
        <v>0.72299999999999998</v>
      </c>
      <c r="AC29">
        <v>0.71799999999999997</v>
      </c>
      <c r="AD29">
        <v>0.75</v>
      </c>
      <c r="AE29">
        <v>0.86</v>
      </c>
      <c r="AF29">
        <v>0.99099999999999999</v>
      </c>
      <c r="AG29">
        <v>-0.318</v>
      </c>
      <c r="AH29">
        <v>-8.4000000000000005E-2</v>
      </c>
      <c r="AI29">
        <v>0.57399999999999995</v>
      </c>
      <c r="AJ29">
        <v>-0.499</v>
      </c>
      <c r="AK29">
        <v>1</v>
      </c>
      <c r="AL29">
        <v>0.28999999999999998</v>
      </c>
      <c r="AM29">
        <v>-0.30499999999999999</v>
      </c>
      <c r="AN29">
        <v>-0.94299999999999995</v>
      </c>
      <c r="AO29">
        <v>-0.72199999999999998</v>
      </c>
      <c r="AP29">
        <v>0.55600000000000005</v>
      </c>
      <c r="AQ29">
        <v>0.76500000000000001</v>
      </c>
      <c r="AR29">
        <v>0.74</v>
      </c>
      <c r="AS29">
        <v>0.81299999999999994</v>
      </c>
      <c r="AT29">
        <v>0.69599999999999995</v>
      </c>
      <c r="AU29">
        <v>0.12</v>
      </c>
      <c r="AV29">
        <v>0.191</v>
      </c>
      <c r="AW29">
        <v>-0.28899999999999998</v>
      </c>
      <c r="AX29">
        <v>0.54600000000000004</v>
      </c>
      <c r="AY29">
        <v>0.503</v>
      </c>
      <c r="AZ29">
        <v>-0.16300000000000001</v>
      </c>
      <c r="BA29">
        <v>0.67100000000000004</v>
      </c>
      <c r="BB29">
        <v>-0.49</v>
      </c>
      <c r="BC29">
        <v>0.96599999999999997</v>
      </c>
      <c r="BD29">
        <v>-0.371</v>
      </c>
      <c r="BE29">
        <v>-0.73</v>
      </c>
      <c r="BF29">
        <v>0.54600000000000004</v>
      </c>
      <c r="BG29">
        <v>-0.59299999999999997</v>
      </c>
      <c r="BH29">
        <v>0.24099999999999999</v>
      </c>
      <c r="BI29">
        <v>0.80900000000000005</v>
      </c>
      <c r="BJ29">
        <v>-0.61499999999999999</v>
      </c>
      <c r="BK29">
        <v>-0.83799999999999997</v>
      </c>
      <c r="BL29">
        <v>0.66</v>
      </c>
      <c r="BM29">
        <v>0.64500000000000002</v>
      </c>
    </row>
    <row r="30" spans="1:65" x14ac:dyDescent="0.3">
      <c r="A30" t="s">
        <v>102</v>
      </c>
      <c r="B30">
        <v>0</v>
      </c>
      <c r="C30">
        <v>0</v>
      </c>
      <c r="M30" t="s">
        <v>599</v>
      </c>
      <c r="N30">
        <v>2.359</v>
      </c>
      <c r="O30">
        <v>1.7</v>
      </c>
      <c r="P30" t="s">
        <v>57</v>
      </c>
      <c r="Q30">
        <v>8.0000000000000002E-3</v>
      </c>
      <c r="R30">
        <v>8.0000000000000002E-3</v>
      </c>
      <c r="S30">
        <v>80</v>
      </c>
      <c r="T30">
        <v>0.84699999999999998</v>
      </c>
      <c r="U30">
        <v>0.872</v>
      </c>
      <c r="V30">
        <v>1</v>
      </c>
      <c r="W30">
        <v>0.53700000000000003</v>
      </c>
      <c r="X30">
        <v>0.86299999999999999</v>
      </c>
      <c r="Y30">
        <v>0.23100000000000001</v>
      </c>
      <c r="Z30">
        <v>-0.08</v>
      </c>
      <c r="AA30">
        <v>-0.224</v>
      </c>
      <c r="AB30">
        <v>0.215</v>
      </c>
      <c r="AC30">
        <v>0.214</v>
      </c>
      <c r="AD30">
        <v>0.80700000000000005</v>
      </c>
      <c r="AE30">
        <v>0.76600000000000001</v>
      </c>
      <c r="AF30">
        <v>0.79200000000000004</v>
      </c>
      <c r="AG30">
        <v>0.96399999999999997</v>
      </c>
      <c r="AH30">
        <v>1</v>
      </c>
      <c r="AI30">
        <v>0.189</v>
      </c>
      <c r="AJ30">
        <v>1</v>
      </c>
      <c r="AK30">
        <v>0.64900000000000002</v>
      </c>
      <c r="AL30">
        <v>0.61699999999999999</v>
      </c>
      <c r="AM30">
        <v>0.17599999999999999</v>
      </c>
      <c r="AN30">
        <v>-0.72299999999999998</v>
      </c>
      <c r="AO30">
        <v>0.64100000000000001</v>
      </c>
      <c r="AP30">
        <v>0.60099999999999998</v>
      </c>
      <c r="AQ30">
        <v>-0.32200000000000001</v>
      </c>
      <c r="AR30">
        <v>0.13600000000000001</v>
      </c>
      <c r="AS30">
        <v>0.47099999999999997</v>
      </c>
      <c r="AT30">
        <v>0.252</v>
      </c>
      <c r="AU30">
        <v>-0.14299999999999999</v>
      </c>
      <c r="AV30">
        <v>-4.1000000000000002E-2</v>
      </c>
      <c r="AW30">
        <v>-0.28199999999999997</v>
      </c>
      <c r="AX30">
        <v>0.46200000000000002</v>
      </c>
      <c r="AY30">
        <v>-0.19400000000000001</v>
      </c>
      <c r="AZ30">
        <v>-0.33</v>
      </c>
      <c r="BA30">
        <v>0.94299999999999995</v>
      </c>
      <c r="BB30">
        <v>-0.35899999999999999</v>
      </c>
      <c r="BC30">
        <v>0.98499999999999999</v>
      </c>
      <c r="BD30">
        <v>0.14799999999999999</v>
      </c>
      <c r="BE30">
        <v>3.5000000000000003E-2</v>
      </c>
      <c r="BF30">
        <v>0.35</v>
      </c>
      <c r="BG30">
        <v>1</v>
      </c>
      <c r="BH30">
        <v>0.46800000000000003</v>
      </c>
      <c r="BI30">
        <v>0.3</v>
      </c>
      <c r="BJ30">
        <v>0.64500000000000002</v>
      </c>
      <c r="BK30">
        <v>-0.68</v>
      </c>
      <c r="BL30">
        <v>0.81499999999999995</v>
      </c>
      <c r="BM30">
        <v>1</v>
      </c>
    </row>
    <row r="31" spans="1:65" x14ac:dyDescent="0.3">
      <c r="A31" t="s">
        <v>144</v>
      </c>
      <c r="B31">
        <v>0</v>
      </c>
      <c r="C31">
        <v>6.5103979915535799E-3</v>
      </c>
      <c r="M31" t="s">
        <v>85</v>
      </c>
      <c r="N31">
        <v>2.3580000000000001</v>
      </c>
      <c r="O31">
        <v>1.9419999999999999</v>
      </c>
      <c r="P31" t="s">
        <v>57</v>
      </c>
      <c r="Q31">
        <v>1.4E-2</v>
      </c>
      <c r="R31">
        <v>8.0000000000000002E-3</v>
      </c>
      <c r="S31">
        <v>80</v>
      </c>
      <c r="T31">
        <v>0.55000000000000004</v>
      </c>
      <c r="U31">
        <v>0.58799999999999997</v>
      </c>
      <c r="V31">
        <v>0.40200000000000002</v>
      </c>
      <c r="W31">
        <v>0.60199999999999998</v>
      </c>
      <c r="X31">
        <v>0.54700000000000004</v>
      </c>
      <c r="Y31">
        <v>0.17</v>
      </c>
      <c r="Z31">
        <v>0.128</v>
      </c>
      <c r="AA31">
        <v>-0.11700000000000001</v>
      </c>
      <c r="AB31">
        <v>0.56399999999999995</v>
      </c>
      <c r="AC31">
        <v>0.56499999999999995</v>
      </c>
      <c r="AD31">
        <v>0.92600000000000005</v>
      </c>
      <c r="AE31">
        <v>0.91100000000000003</v>
      </c>
      <c r="AF31">
        <v>0.88200000000000001</v>
      </c>
      <c r="AG31">
        <v>0.504</v>
      </c>
      <c r="AH31">
        <v>1</v>
      </c>
      <c r="AI31">
        <v>0.47199999999999998</v>
      </c>
      <c r="AJ31">
        <v>0.10199999999999999</v>
      </c>
      <c r="AK31">
        <v>0.19500000000000001</v>
      </c>
      <c r="AL31">
        <v>0.47899999999999998</v>
      </c>
      <c r="AM31">
        <v>-0.04</v>
      </c>
      <c r="AN31">
        <v>-0.91200000000000003</v>
      </c>
      <c r="AO31">
        <v>0.17199999999999999</v>
      </c>
      <c r="AP31">
        <v>0.36699999999999999</v>
      </c>
      <c r="AQ31">
        <v>-5.6000000000000001E-2</v>
      </c>
      <c r="AR31">
        <v>-0.22500000000000001</v>
      </c>
      <c r="AS31">
        <v>0.61699999999999999</v>
      </c>
      <c r="AT31">
        <v>1</v>
      </c>
      <c r="AU31">
        <v>0.251</v>
      </c>
      <c r="AV31">
        <v>0.432</v>
      </c>
      <c r="AW31">
        <v>0.65900000000000003</v>
      </c>
      <c r="AX31">
        <v>0.51800000000000002</v>
      </c>
      <c r="AY31">
        <v>-0.34</v>
      </c>
      <c r="AZ31">
        <v>-0.29799999999999999</v>
      </c>
      <c r="BA31">
        <v>0.58299999999999996</v>
      </c>
      <c r="BB31">
        <v>0.23799999999999999</v>
      </c>
      <c r="BC31">
        <v>0.65</v>
      </c>
      <c r="BD31">
        <v>-0.21</v>
      </c>
      <c r="BE31">
        <v>-0.64600000000000002</v>
      </c>
      <c r="BF31">
        <v>0.42399999999999999</v>
      </c>
      <c r="BG31">
        <v>-0.81299999999999994</v>
      </c>
      <c r="BH31">
        <v>0.372</v>
      </c>
      <c r="BI31">
        <v>-7.4999999999999997E-2</v>
      </c>
      <c r="BJ31">
        <v>-0.44</v>
      </c>
      <c r="BK31">
        <v>-0.157</v>
      </c>
      <c r="BL31">
        <v>0.34699999999999998</v>
      </c>
      <c r="BM31">
        <v>0.38700000000000001</v>
      </c>
    </row>
    <row r="32" spans="1:65" x14ac:dyDescent="0.3">
      <c r="A32" t="s">
        <v>153</v>
      </c>
      <c r="B32">
        <v>6.00028078699577E-3</v>
      </c>
      <c r="C32">
        <v>1.1762547525581301E-2</v>
      </c>
      <c r="M32" t="s">
        <v>109</v>
      </c>
      <c r="N32">
        <v>2.34</v>
      </c>
      <c r="O32">
        <v>3.2330000000000001</v>
      </c>
      <c r="P32" t="s">
        <v>57</v>
      </c>
      <c r="Q32">
        <v>2.1999999999999999E-2</v>
      </c>
      <c r="R32">
        <v>2.1999999999999999E-2</v>
      </c>
      <c r="S32">
        <v>80</v>
      </c>
      <c r="T32">
        <v>-0.02</v>
      </c>
      <c r="U32">
        <v>-0.124</v>
      </c>
      <c r="V32">
        <v>-0.47699999999999998</v>
      </c>
      <c r="W32">
        <v>0.216</v>
      </c>
      <c r="X32">
        <v>-0.156</v>
      </c>
      <c r="Y32">
        <v>0.42499999999999999</v>
      </c>
      <c r="Z32">
        <v>0.67</v>
      </c>
      <c r="AA32">
        <v>0.54</v>
      </c>
      <c r="AB32">
        <v>0.67600000000000005</v>
      </c>
      <c r="AC32">
        <v>0.67500000000000004</v>
      </c>
      <c r="AD32">
        <v>0.872</v>
      </c>
      <c r="AE32">
        <v>0.84499999999999997</v>
      </c>
      <c r="AF32">
        <v>0.86399999999999999</v>
      </c>
      <c r="AG32">
        <v>0.14699999999999999</v>
      </c>
      <c r="AH32">
        <v>-0.222</v>
      </c>
      <c r="AI32">
        <v>0.09</v>
      </c>
      <c r="AJ32">
        <v>-0.96399999999999997</v>
      </c>
      <c r="AK32">
        <v>-0.75800000000000001</v>
      </c>
      <c r="AL32">
        <v>-0.81599999999999995</v>
      </c>
      <c r="AM32">
        <v>-0.17399999999999999</v>
      </c>
      <c r="AN32">
        <v>0.21099999999999999</v>
      </c>
      <c r="AO32">
        <v>-0.67900000000000005</v>
      </c>
      <c r="AP32">
        <v>-0.20799999999999999</v>
      </c>
      <c r="AQ32">
        <v>0.498</v>
      </c>
      <c r="AR32">
        <v>-5.6000000000000001E-2</v>
      </c>
      <c r="AS32">
        <v>8.9999999999999993E-3</v>
      </c>
      <c r="AT32">
        <v>0.30599999999999999</v>
      </c>
      <c r="AU32">
        <v>0.41299999999999998</v>
      </c>
      <c r="AV32">
        <v>-1E-3</v>
      </c>
      <c r="AW32">
        <v>-2E-3</v>
      </c>
      <c r="AX32">
        <v>0.40300000000000002</v>
      </c>
      <c r="AY32">
        <v>0.499</v>
      </c>
      <c r="AZ32">
        <v>-0.40100000000000002</v>
      </c>
      <c r="BA32">
        <v>0.91</v>
      </c>
      <c r="BB32">
        <v>0.66800000000000004</v>
      </c>
      <c r="BC32">
        <v>0.96699999999999997</v>
      </c>
      <c r="BD32">
        <v>-0.20699999999999999</v>
      </c>
      <c r="BE32">
        <v>1.4E-2</v>
      </c>
      <c r="BF32">
        <v>0.55700000000000005</v>
      </c>
      <c r="BG32">
        <v>-0.215</v>
      </c>
      <c r="BH32">
        <v>-0.33900000000000002</v>
      </c>
      <c r="BI32">
        <v>0.84099999999999997</v>
      </c>
      <c r="BJ32">
        <v>-0.65600000000000003</v>
      </c>
      <c r="BK32">
        <v>-0.14599999999999999</v>
      </c>
      <c r="BL32">
        <v>0.90300000000000002</v>
      </c>
      <c r="BM32">
        <v>-0.70899999999999996</v>
      </c>
    </row>
    <row r="33" spans="1:65" x14ac:dyDescent="0.3">
      <c r="A33" t="s">
        <v>64</v>
      </c>
      <c r="B33">
        <v>9.1309271102165603E-3</v>
      </c>
      <c r="C33">
        <v>6.2456631390070102E-3</v>
      </c>
      <c r="M33" t="s">
        <v>97</v>
      </c>
      <c r="N33">
        <v>2.2639999999999998</v>
      </c>
      <c r="O33">
        <v>3.7440000000000002</v>
      </c>
      <c r="P33" t="s">
        <v>57</v>
      </c>
      <c r="Q33">
        <v>1.6E-2</v>
      </c>
      <c r="R33">
        <v>0.01</v>
      </c>
      <c r="S33">
        <v>80</v>
      </c>
      <c r="T33">
        <v>-0.02</v>
      </c>
      <c r="U33">
        <v>0.153</v>
      </c>
      <c r="V33">
        <v>-0.27700000000000002</v>
      </c>
      <c r="W33">
        <v>-1.7000000000000001E-2</v>
      </c>
      <c r="X33">
        <v>-4.9000000000000002E-2</v>
      </c>
      <c r="Y33">
        <v>0.30599999999999999</v>
      </c>
      <c r="Z33">
        <v>0.439</v>
      </c>
      <c r="AA33">
        <v>0.38400000000000001</v>
      </c>
      <c r="AB33">
        <v>0.75700000000000001</v>
      </c>
      <c r="AC33">
        <v>0.753</v>
      </c>
      <c r="AD33">
        <v>0.84799999999999998</v>
      </c>
      <c r="AE33">
        <v>0.874</v>
      </c>
      <c r="AF33">
        <v>0.90300000000000002</v>
      </c>
      <c r="AG33">
        <v>-0.61099999999999999</v>
      </c>
      <c r="AH33">
        <v>0.41199999999999998</v>
      </c>
      <c r="AI33">
        <v>0.61799999999999999</v>
      </c>
      <c r="AJ33">
        <v>-0.28499999999999998</v>
      </c>
      <c r="AK33">
        <v>5.2999999999999999E-2</v>
      </c>
      <c r="AL33">
        <v>-0.77900000000000003</v>
      </c>
      <c r="AM33">
        <v>-0.11899999999999999</v>
      </c>
      <c r="AN33">
        <v>0.26100000000000001</v>
      </c>
      <c r="AO33">
        <v>-9.1999999999999998E-2</v>
      </c>
      <c r="AP33">
        <v>0.16900000000000001</v>
      </c>
      <c r="AQ33">
        <v>0.27700000000000002</v>
      </c>
      <c r="AR33">
        <v>-0.112</v>
      </c>
      <c r="AS33">
        <v>4.2999999999999997E-2</v>
      </c>
      <c r="AT33">
        <v>0.20799999999999999</v>
      </c>
      <c r="AU33">
        <v>-0.34</v>
      </c>
      <c r="AV33">
        <v>-0.13500000000000001</v>
      </c>
      <c r="AW33">
        <v>-0.27700000000000002</v>
      </c>
      <c r="AX33">
        <v>-0.55100000000000005</v>
      </c>
      <c r="AY33">
        <v>0.64800000000000002</v>
      </c>
      <c r="AZ33">
        <v>9.7000000000000003E-2</v>
      </c>
      <c r="BA33">
        <v>0.80700000000000005</v>
      </c>
      <c r="BB33">
        <v>0.58399999999999996</v>
      </c>
      <c r="BC33">
        <v>0.52</v>
      </c>
      <c r="BD33">
        <v>-0.33700000000000002</v>
      </c>
      <c r="BE33">
        <v>-0.107</v>
      </c>
      <c r="BF33">
        <v>0.47199999999999998</v>
      </c>
      <c r="BG33">
        <v>-0.17599999999999999</v>
      </c>
      <c r="BH33">
        <v>0.84799999999999998</v>
      </c>
      <c r="BI33">
        <v>0.92100000000000004</v>
      </c>
      <c r="BJ33">
        <v>-0.59399999999999997</v>
      </c>
      <c r="BK33">
        <v>-0.251</v>
      </c>
      <c r="BL33">
        <v>0.41899999999999998</v>
      </c>
      <c r="BM33">
        <v>0.433</v>
      </c>
    </row>
    <row r="34" spans="1:65" x14ac:dyDescent="0.3">
      <c r="A34" t="s">
        <v>56</v>
      </c>
      <c r="B34">
        <v>8.4169303194631707E-3</v>
      </c>
      <c r="C34">
        <v>5.9304222303044702E-3</v>
      </c>
      <c r="M34" t="s">
        <v>65</v>
      </c>
      <c r="N34">
        <v>2.2480000000000002</v>
      </c>
      <c r="O34">
        <v>2.4319999999999999</v>
      </c>
      <c r="P34" t="s">
        <v>57</v>
      </c>
      <c r="Q34">
        <v>1.4999999999999999E-2</v>
      </c>
      <c r="R34">
        <v>1.4999999999999999E-2</v>
      </c>
      <c r="S34">
        <v>80</v>
      </c>
      <c r="T34">
        <v>5.8999999999999997E-2</v>
      </c>
      <c r="U34">
        <v>-7.4999999999999997E-2</v>
      </c>
      <c r="V34">
        <v>0.40300000000000002</v>
      </c>
      <c r="W34">
        <v>2.9000000000000001E-2</v>
      </c>
      <c r="X34">
        <v>0.16800000000000001</v>
      </c>
      <c r="Y34">
        <v>0.28799999999999998</v>
      </c>
      <c r="Z34">
        <v>0.45600000000000002</v>
      </c>
      <c r="AA34">
        <v>0.35</v>
      </c>
      <c r="AB34">
        <v>0.56799999999999995</v>
      </c>
      <c r="AC34">
        <v>0.56599999999999995</v>
      </c>
      <c r="AD34">
        <v>0.85399999999999998</v>
      </c>
      <c r="AE34">
        <v>0.90800000000000003</v>
      </c>
      <c r="AF34">
        <v>0.77100000000000002</v>
      </c>
      <c r="AG34">
        <v>0.13700000000000001</v>
      </c>
      <c r="AH34">
        <v>0.11700000000000001</v>
      </c>
      <c r="AI34">
        <v>-0.40699999999999997</v>
      </c>
      <c r="AJ34">
        <v>0.85299999999999998</v>
      </c>
      <c r="AK34">
        <v>6.8000000000000005E-2</v>
      </c>
      <c r="AL34">
        <v>-2.1999999999999999E-2</v>
      </c>
      <c r="AM34">
        <v>-0.36099999999999999</v>
      </c>
      <c r="AN34">
        <v>0.97799999999999998</v>
      </c>
      <c r="AO34">
        <v>-3.5999999999999997E-2</v>
      </c>
      <c r="AP34">
        <v>-0.10299999999999999</v>
      </c>
      <c r="AQ34">
        <v>-0.28199999999999997</v>
      </c>
      <c r="AR34">
        <v>-0.55100000000000005</v>
      </c>
      <c r="AS34">
        <v>6.0000000000000001E-3</v>
      </c>
      <c r="AT34">
        <v>0.55400000000000005</v>
      </c>
      <c r="AU34">
        <v>0.47599999999999998</v>
      </c>
      <c r="AV34">
        <v>-0.105</v>
      </c>
      <c r="AW34">
        <v>-0.44600000000000001</v>
      </c>
      <c r="AX34">
        <v>-0.04</v>
      </c>
      <c r="AY34">
        <v>0.59099999999999997</v>
      </c>
      <c r="AZ34">
        <v>-0.29299999999999998</v>
      </c>
      <c r="BA34">
        <v>0.53400000000000003</v>
      </c>
      <c r="BB34">
        <v>0.36599999999999999</v>
      </c>
      <c r="BC34">
        <v>-3.4000000000000002E-2</v>
      </c>
      <c r="BD34">
        <v>-0.38300000000000001</v>
      </c>
      <c r="BE34">
        <v>-0.69199999999999995</v>
      </c>
      <c r="BF34">
        <v>-0.154</v>
      </c>
      <c r="BG34">
        <v>-0.43</v>
      </c>
      <c r="BH34">
        <v>-0.33600000000000002</v>
      </c>
      <c r="BI34">
        <v>0.78800000000000003</v>
      </c>
      <c r="BJ34">
        <v>-0.27800000000000002</v>
      </c>
      <c r="BK34">
        <v>0.104</v>
      </c>
      <c r="BL34">
        <v>0.73699999999999999</v>
      </c>
      <c r="BM34">
        <v>0.69299999999999995</v>
      </c>
    </row>
    <row r="35" spans="1:65" x14ac:dyDescent="0.3">
      <c r="A35" t="s">
        <v>62</v>
      </c>
      <c r="B35">
        <v>3.9065201793042098E-2</v>
      </c>
      <c r="C35">
        <v>3.2401949084773299E-2</v>
      </c>
      <c r="M35" t="s">
        <v>92</v>
      </c>
      <c r="N35">
        <v>2.2050000000000001</v>
      </c>
      <c r="O35">
        <v>2.7309999999999999</v>
      </c>
      <c r="P35" t="s">
        <v>57</v>
      </c>
      <c r="Q35">
        <v>1.7000000000000001E-2</v>
      </c>
      <c r="R35">
        <v>1.2E-2</v>
      </c>
      <c r="S35">
        <v>80</v>
      </c>
      <c r="T35">
        <v>0.41599999999999998</v>
      </c>
      <c r="U35">
        <v>0.14599999999999999</v>
      </c>
      <c r="V35">
        <v>0.371</v>
      </c>
      <c r="W35">
        <v>0.23599999999999999</v>
      </c>
      <c r="X35">
        <v>0.13500000000000001</v>
      </c>
      <c r="Y35">
        <v>0.38100000000000001</v>
      </c>
      <c r="Z35">
        <v>0.26</v>
      </c>
      <c r="AA35">
        <v>0.126</v>
      </c>
      <c r="AB35">
        <v>0.14399999999999999</v>
      </c>
      <c r="AC35">
        <v>0.14099999999999999</v>
      </c>
      <c r="AD35">
        <v>0.77700000000000002</v>
      </c>
      <c r="AE35">
        <v>0.93799999999999994</v>
      </c>
      <c r="AF35">
        <v>0.84399999999999997</v>
      </c>
      <c r="AG35">
        <v>0.222</v>
      </c>
      <c r="AH35">
        <v>-0.113</v>
      </c>
      <c r="AI35">
        <v>-0.27400000000000002</v>
      </c>
      <c r="AJ35">
        <v>-0.377</v>
      </c>
      <c r="AK35">
        <v>0.998</v>
      </c>
      <c r="AL35">
        <v>1</v>
      </c>
      <c r="AM35">
        <v>-0.34200000000000003</v>
      </c>
      <c r="AN35">
        <v>-0.16300000000000001</v>
      </c>
      <c r="AO35">
        <v>-0.86599999999999999</v>
      </c>
      <c r="AP35">
        <v>-7.4999999999999997E-2</v>
      </c>
      <c r="AQ35">
        <v>0.182</v>
      </c>
      <c r="AR35">
        <v>0.68300000000000005</v>
      </c>
      <c r="AS35">
        <v>0.432</v>
      </c>
      <c r="AT35">
        <v>0.36699999999999999</v>
      </c>
      <c r="AU35">
        <v>0.39100000000000001</v>
      </c>
      <c r="AV35">
        <v>0.38100000000000001</v>
      </c>
      <c r="AW35">
        <v>-0.434</v>
      </c>
      <c r="AX35">
        <v>0.66300000000000003</v>
      </c>
      <c r="AY35">
        <v>0.22</v>
      </c>
      <c r="AZ35">
        <v>0.51700000000000002</v>
      </c>
      <c r="BA35">
        <v>0.92800000000000005</v>
      </c>
      <c r="BB35">
        <v>0.55100000000000005</v>
      </c>
      <c r="BC35">
        <v>0.90200000000000002</v>
      </c>
      <c r="BD35">
        <v>-3.2000000000000001E-2</v>
      </c>
      <c r="BE35">
        <v>-5.1999999999999998E-2</v>
      </c>
      <c r="BF35">
        <v>-0.78200000000000003</v>
      </c>
      <c r="BG35">
        <v>-0.45</v>
      </c>
      <c r="BH35">
        <v>0.56799999999999995</v>
      </c>
      <c r="BI35">
        <v>0.69</v>
      </c>
      <c r="BJ35">
        <v>-0.58299999999999996</v>
      </c>
      <c r="BK35">
        <v>-9.8000000000000004E-2</v>
      </c>
      <c r="BL35">
        <v>0.30399999999999999</v>
      </c>
      <c r="BM35">
        <v>0.20799999999999999</v>
      </c>
    </row>
    <row r="36" spans="1:65" x14ac:dyDescent="0.3">
      <c r="A36" t="s">
        <v>117</v>
      </c>
      <c r="B36">
        <v>0</v>
      </c>
      <c r="C36">
        <v>6.6787887965355898E-3</v>
      </c>
      <c r="M36" t="s">
        <v>79</v>
      </c>
      <c r="N36">
        <v>2.1789999999999998</v>
      </c>
      <c r="O36">
        <v>3.2050000000000001</v>
      </c>
      <c r="P36" t="s">
        <v>68</v>
      </c>
      <c r="Q36">
        <v>1.2999999999999999E-2</v>
      </c>
      <c r="R36">
        <v>8.0000000000000002E-3</v>
      </c>
      <c r="S36">
        <v>80</v>
      </c>
      <c r="T36">
        <v>0.03</v>
      </c>
      <c r="U36">
        <v>-0.222</v>
      </c>
      <c r="V36">
        <v>-3.6999999999999998E-2</v>
      </c>
      <c r="W36">
        <v>0.252</v>
      </c>
      <c r="X36">
        <v>-2.3E-2</v>
      </c>
      <c r="Y36">
        <v>0.34</v>
      </c>
      <c r="Z36">
        <v>0.51</v>
      </c>
      <c r="AA36">
        <v>0.33300000000000002</v>
      </c>
      <c r="AB36">
        <v>0.71499999999999997</v>
      </c>
      <c r="AC36">
        <v>0.71399999999999997</v>
      </c>
      <c r="AD36">
        <v>0.83599999999999997</v>
      </c>
      <c r="AE36">
        <v>0.76500000000000001</v>
      </c>
      <c r="AF36">
        <v>0.73599999999999999</v>
      </c>
      <c r="AG36">
        <v>0.22800000000000001</v>
      </c>
      <c r="AH36">
        <v>-0.32900000000000001</v>
      </c>
      <c r="AI36">
        <v>-0.27500000000000002</v>
      </c>
      <c r="AJ36">
        <v>-0.49</v>
      </c>
      <c r="AK36">
        <v>6.3E-2</v>
      </c>
      <c r="AL36">
        <v>0.27300000000000002</v>
      </c>
      <c r="AM36">
        <v>-0.14599999999999999</v>
      </c>
      <c r="AN36">
        <v>0.28000000000000003</v>
      </c>
      <c r="AO36">
        <v>-0.88600000000000001</v>
      </c>
      <c r="AP36">
        <v>1.9E-2</v>
      </c>
      <c r="AQ36">
        <v>8.7999999999999995E-2</v>
      </c>
      <c r="AR36">
        <v>0.33100000000000002</v>
      </c>
      <c r="AS36">
        <v>0.23699999999999999</v>
      </c>
      <c r="AT36">
        <v>0.377</v>
      </c>
      <c r="AU36">
        <v>-7.6999999999999999E-2</v>
      </c>
      <c r="AV36">
        <v>0.995</v>
      </c>
      <c r="AW36">
        <v>-0.30599999999999999</v>
      </c>
      <c r="AX36">
        <v>0.54200000000000004</v>
      </c>
      <c r="AY36">
        <v>0.65400000000000003</v>
      </c>
      <c r="AZ36">
        <v>-4.8000000000000001E-2</v>
      </c>
      <c r="BA36">
        <v>0.71</v>
      </c>
      <c r="BB36">
        <v>0.69599999999999995</v>
      </c>
      <c r="BC36">
        <v>-0.58399999999999996</v>
      </c>
      <c r="BD36">
        <v>-0.23799999999999999</v>
      </c>
      <c r="BE36">
        <v>-0.55800000000000005</v>
      </c>
      <c r="BF36">
        <v>7.5999999999999998E-2</v>
      </c>
      <c r="BG36">
        <v>-0.56899999999999995</v>
      </c>
      <c r="BH36">
        <v>8.5999999999999993E-2</v>
      </c>
      <c r="BI36">
        <v>0.66400000000000003</v>
      </c>
      <c r="BJ36">
        <v>-0.47199999999999998</v>
      </c>
      <c r="BK36">
        <v>-0.04</v>
      </c>
      <c r="BL36">
        <v>0.47199999999999998</v>
      </c>
      <c r="BM36">
        <v>3.4000000000000002E-2</v>
      </c>
    </row>
    <row r="37" spans="1:65" x14ac:dyDescent="0.3">
      <c r="A37" t="s">
        <v>70</v>
      </c>
      <c r="B37">
        <v>1.2990933572681501E-2</v>
      </c>
      <c r="C37">
        <v>9.8427471128918302E-3</v>
      </c>
      <c r="M37" t="s">
        <v>600</v>
      </c>
      <c r="N37">
        <v>2.1739999999999999</v>
      </c>
      <c r="O37">
        <v>2.31</v>
      </c>
      <c r="P37" t="s">
        <v>68</v>
      </c>
      <c r="Q37">
        <v>1.4E-2</v>
      </c>
      <c r="R37">
        <v>1.4E-2</v>
      </c>
      <c r="S37">
        <v>80</v>
      </c>
      <c r="T37">
        <v>0.28499999999999998</v>
      </c>
      <c r="U37">
        <v>9.8000000000000004E-2</v>
      </c>
      <c r="V37">
        <v>0.184</v>
      </c>
      <c r="W37">
        <v>0.26900000000000002</v>
      </c>
      <c r="X37">
        <v>0.104</v>
      </c>
      <c r="Y37">
        <v>7.3999999999999996E-2</v>
      </c>
      <c r="Z37">
        <v>-1.4E-2</v>
      </c>
      <c r="AA37">
        <v>2.3E-2</v>
      </c>
      <c r="AB37">
        <v>0.77200000000000002</v>
      </c>
      <c r="AC37">
        <v>0.76800000000000002</v>
      </c>
      <c r="AD37">
        <v>1</v>
      </c>
      <c r="AE37">
        <v>0.91200000000000003</v>
      </c>
      <c r="AF37">
        <v>0.89700000000000002</v>
      </c>
      <c r="AG37">
        <v>7.0000000000000007E-2</v>
      </c>
      <c r="AH37">
        <v>-5.1999999999999998E-2</v>
      </c>
      <c r="AI37">
        <v>-0.122</v>
      </c>
      <c r="AJ37">
        <v>-0.22800000000000001</v>
      </c>
      <c r="AK37">
        <v>-2.5999999999999999E-2</v>
      </c>
      <c r="AL37">
        <v>0.157</v>
      </c>
      <c r="AM37">
        <v>0.14399999999999999</v>
      </c>
      <c r="AN37">
        <v>-0.28000000000000003</v>
      </c>
      <c r="AO37">
        <v>-0.20100000000000001</v>
      </c>
      <c r="AP37">
        <v>-0.51100000000000001</v>
      </c>
      <c r="AQ37">
        <v>0.13900000000000001</v>
      </c>
      <c r="AR37">
        <v>3.5000000000000003E-2</v>
      </c>
      <c r="AS37">
        <v>0.33400000000000002</v>
      </c>
      <c r="AT37">
        <v>0.63600000000000001</v>
      </c>
      <c r="AU37">
        <v>0.34200000000000003</v>
      </c>
      <c r="AV37">
        <v>0.36099999999999999</v>
      </c>
      <c r="AW37">
        <v>-0.13300000000000001</v>
      </c>
      <c r="AX37">
        <v>0.34599999999999997</v>
      </c>
      <c r="AY37">
        <v>0.61</v>
      </c>
      <c r="AZ37">
        <v>0.124</v>
      </c>
      <c r="BA37">
        <v>0.76200000000000001</v>
      </c>
      <c r="BB37">
        <v>0.51100000000000001</v>
      </c>
      <c r="BC37">
        <v>0.66300000000000003</v>
      </c>
      <c r="BD37">
        <v>-0.26700000000000002</v>
      </c>
      <c r="BE37">
        <v>-0.32200000000000001</v>
      </c>
      <c r="BF37">
        <v>0.68200000000000005</v>
      </c>
      <c r="BG37">
        <v>-1</v>
      </c>
      <c r="BH37">
        <v>-2.4E-2</v>
      </c>
      <c r="BI37">
        <v>-6.9000000000000006E-2</v>
      </c>
      <c r="BJ37">
        <v>-0.69299999999999995</v>
      </c>
      <c r="BK37">
        <v>-2.5000000000000001E-2</v>
      </c>
      <c r="BL37">
        <v>0.97899999999999998</v>
      </c>
      <c r="BM37">
        <v>0.14000000000000001</v>
      </c>
    </row>
    <row r="38" spans="1:65" x14ac:dyDescent="0.3">
      <c r="A38" t="s">
        <v>82</v>
      </c>
      <c r="B38">
        <v>4.68234171223278E-2</v>
      </c>
      <c r="C38">
        <v>4.0834445815344803E-2</v>
      </c>
      <c r="M38" t="s">
        <v>597</v>
      </c>
      <c r="N38">
        <v>2.1589999999999998</v>
      </c>
      <c r="O38">
        <v>2.2669999999999999</v>
      </c>
      <c r="P38" t="s">
        <v>57</v>
      </c>
      <c r="Q38">
        <v>0.01</v>
      </c>
      <c r="R38">
        <v>0.01</v>
      </c>
      <c r="S38">
        <v>80</v>
      </c>
      <c r="T38">
        <v>0.23</v>
      </c>
      <c r="U38">
        <v>-0.16900000000000001</v>
      </c>
      <c r="V38">
        <v>0.54100000000000004</v>
      </c>
      <c r="W38">
        <v>0.184</v>
      </c>
      <c r="X38">
        <v>0.20599999999999999</v>
      </c>
      <c r="Y38">
        <v>0.29799999999999999</v>
      </c>
      <c r="Z38">
        <v>0.46700000000000003</v>
      </c>
      <c r="AA38">
        <v>0.17</v>
      </c>
      <c r="AB38">
        <v>0.41</v>
      </c>
      <c r="AC38">
        <v>0.41099999999999998</v>
      </c>
      <c r="AD38">
        <v>0.78500000000000003</v>
      </c>
      <c r="AE38">
        <v>0.70899999999999996</v>
      </c>
      <c r="AF38">
        <v>0.752</v>
      </c>
      <c r="AG38">
        <v>0.52700000000000002</v>
      </c>
      <c r="AH38">
        <v>-0.121</v>
      </c>
      <c r="AI38">
        <v>-0.72199999999999998</v>
      </c>
      <c r="AJ38">
        <v>0.47599999999999998</v>
      </c>
      <c r="AK38">
        <v>2.8000000000000001E-2</v>
      </c>
      <c r="AL38">
        <v>1</v>
      </c>
      <c r="AM38">
        <v>-7.1999999999999995E-2</v>
      </c>
      <c r="AN38">
        <v>0.32500000000000001</v>
      </c>
      <c r="AO38">
        <v>-0.60399999999999998</v>
      </c>
      <c r="AP38">
        <v>0.36399999999999999</v>
      </c>
      <c r="AQ38">
        <v>-0.13100000000000001</v>
      </c>
      <c r="AR38">
        <v>-0.33700000000000002</v>
      </c>
      <c r="AS38">
        <v>6.0000000000000001E-3</v>
      </c>
      <c r="AT38">
        <v>9.6000000000000002E-2</v>
      </c>
      <c r="AU38">
        <v>-0.35</v>
      </c>
      <c r="AV38">
        <v>0.57199999999999995</v>
      </c>
      <c r="AW38">
        <v>2.3E-2</v>
      </c>
      <c r="AX38">
        <v>0.43</v>
      </c>
      <c r="AY38">
        <v>0.64600000000000002</v>
      </c>
      <c r="AZ38">
        <v>-7.8E-2</v>
      </c>
      <c r="BA38">
        <v>0.88900000000000001</v>
      </c>
      <c r="BB38">
        <v>0.36699999999999999</v>
      </c>
      <c r="BC38">
        <v>0.90700000000000003</v>
      </c>
      <c r="BD38">
        <v>-0.3</v>
      </c>
      <c r="BE38">
        <v>-0.32</v>
      </c>
      <c r="BF38">
        <v>-9.6000000000000002E-2</v>
      </c>
      <c r="BG38">
        <v>-0.63200000000000001</v>
      </c>
      <c r="BH38">
        <v>4.3999999999999997E-2</v>
      </c>
      <c r="BI38">
        <v>0.376</v>
      </c>
      <c r="BJ38">
        <v>-0.39400000000000002</v>
      </c>
      <c r="BK38">
        <v>-0.68</v>
      </c>
      <c r="BL38">
        <v>0.874</v>
      </c>
      <c r="BM38">
        <v>0.90300000000000002</v>
      </c>
    </row>
    <row r="39" spans="1:65" x14ac:dyDescent="0.3">
      <c r="A39" t="s">
        <v>200</v>
      </c>
      <c r="B39">
        <v>0</v>
      </c>
      <c r="C39">
        <v>0</v>
      </c>
      <c r="M39" t="s">
        <v>116</v>
      </c>
      <c r="N39">
        <v>2.105</v>
      </c>
      <c r="O39">
        <v>2.4540000000000002</v>
      </c>
      <c r="P39" t="s">
        <v>53</v>
      </c>
      <c r="Q39">
        <v>1.7000000000000001E-2</v>
      </c>
      <c r="R39">
        <v>1.4E-2</v>
      </c>
      <c r="S39">
        <v>80</v>
      </c>
      <c r="T39">
        <v>0.29699999999999999</v>
      </c>
      <c r="U39">
        <v>0.32900000000000001</v>
      </c>
      <c r="V39">
        <v>6.6000000000000003E-2</v>
      </c>
      <c r="W39">
        <v>0.16700000000000001</v>
      </c>
      <c r="X39">
        <v>8.5000000000000006E-2</v>
      </c>
      <c r="Y39">
        <v>0.188</v>
      </c>
      <c r="Z39">
        <v>0.156</v>
      </c>
      <c r="AA39">
        <v>2.1999999999999999E-2</v>
      </c>
      <c r="AB39">
        <v>0.41499999999999998</v>
      </c>
      <c r="AC39">
        <v>0.40899999999999997</v>
      </c>
      <c r="AD39">
        <v>0.85299999999999998</v>
      </c>
      <c r="AE39">
        <v>0.91300000000000003</v>
      </c>
      <c r="AF39">
        <v>0.88200000000000001</v>
      </c>
      <c r="AG39">
        <v>-0.127</v>
      </c>
      <c r="AH39">
        <v>-0.36899999999999999</v>
      </c>
      <c r="AI39">
        <v>0.111</v>
      </c>
      <c r="AJ39">
        <v>-0.34499999999999997</v>
      </c>
      <c r="AK39">
        <v>1</v>
      </c>
      <c r="AL39">
        <v>0.24199999999999999</v>
      </c>
      <c r="AM39">
        <v>-6.8000000000000005E-2</v>
      </c>
      <c r="AN39">
        <v>-0.58099999999999996</v>
      </c>
      <c r="AO39">
        <v>-0.56899999999999995</v>
      </c>
      <c r="AP39">
        <v>0.23100000000000001</v>
      </c>
      <c r="AQ39">
        <v>0.47199999999999998</v>
      </c>
      <c r="AR39">
        <v>-0.38600000000000001</v>
      </c>
      <c r="AS39">
        <v>0.245</v>
      </c>
      <c r="AT39">
        <v>0.36699999999999999</v>
      </c>
      <c r="AU39">
        <v>0.42299999999999999</v>
      </c>
      <c r="AV39">
        <v>0.436</v>
      </c>
      <c r="AW39">
        <v>-0.443</v>
      </c>
      <c r="AX39">
        <v>0.51400000000000001</v>
      </c>
      <c r="AY39">
        <v>0.33400000000000002</v>
      </c>
      <c r="AZ39">
        <v>-0.16800000000000001</v>
      </c>
      <c r="BA39">
        <v>0.997</v>
      </c>
      <c r="BB39">
        <v>0.65200000000000002</v>
      </c>
      <c r="BC39">
        <v>0.69699999999999995</v>
      </c>
      <c r="BD39">
        <v>-0.255</v>
      </c>
      <c r="BE39">
        <v>-0.24399999999999999</v>
      </c>
      <c r="BF39">
        <v>0.46300000000000002</v>
      </c>
      <c r="BG39">
        <v>0.33200000000000002</v>
      </c>
      <c r="BH39">
        <v>0.45800000000000002</v>
      </c>
      <c r="BI39">
        <v>0.55800000000000005</v>
      </c>
      <c r="BJ39">
        <v>-0.17199999999999999</v>
      </c>
      <c r="BK39">
        <v>4.3999999999999997E-2</v>
      </c>
      <c r="BL39">
        <v>0.23599999999999999</v>
      </c>
      <c r="BM39">
        <v>0.44600000000000001</v>
      </c>
    </row>
    <row r="40" spans="1:65" x14ac:dyDescent="0.3">
      <c r="A40" t="s">
        <v>601</v>
      </c>
      <c r="B40">
        <v>0</v>
      </c>
      <c r="C40">
        <v>0</v>
      </c>
      <c r="M40" t="s">
        <v>64</v>
      </c>
      <c r="N40">
        <v>2.0529999999999999</v>
      </c>
      <c r="O40">
        <v>1.6619999999999999</v>
      </c>
      <c r="P40" t="s">
        <v>55</v>
      </c>
      <c r="Q40">
        <v>1.2E-2</v>
      </c>
      <c r="R40">
        <v>1.2E-2</v>
      </c>
      <c r="S40">
        <v>80</v>
      </c>
      <c r="T40">
        <v>-2.4E-2</v>
      </c>
      <c r="U40">
        <v>-4.5999999999999999E-2</v>
      </c>
      <c r="V40">
        <v>-0.154</v>
      </c>
      <c r="W40">
        <v>0.249</v>
      </c>
      <c r="X40">
        <v>0.06</v>
      </c>
      <c r="Y40">
        <v>0.17</v>
      </c>
      <c r="Z40">
        <v>0.28699999999999998</v>
      </c>
      <c r="AA40">
        <v>0.30399999999999999</v>
      </c>
      <c r="AB40">
        <v>0.505</v>
      </c>
      <c r="AC40">
        <v>0.50800000000000001</v>
      </c>
      <c r="AD40">
        <v>0.85599999999999998</v>
      </c>
      <c r="AE40">
        <v>0.78700000000000003</v>
      </c>
      <c r="AF40">
        <v>0.78800000000000003</v>
      </c>
      <c r="AG40">
        <v>0.36299999999999999</v>
      </c>
      <c r="AH40">
        <v>-0.16</v>
      </c>
      <c r="AI40">
        <v>0.621</v>
      </c>
      <c r="AJ40">
        <v>-0.56100000000000005</v>
      </c>
      <c r="AK40">
        <v>-0.47599999999999998</v>
      </c>
      <c r="AL40">
        <v>-0.40699999999999997</v>
      </c>
      <c r="AM40">
        <v>0.40799999999999997</v>
      </c>
      <c r="AN40">
        <v>-0.32500000000000001</v>
      </c>
      <c r="AO40">
        <v>-0.34300000000000003</v>
      </c>
      <c r="AP40">
        <v>-0.32</v>
      </c>
      <c r="AQ40">
        <v>0.28999999999999998</v>
      </c>
      <c r="AR40">
        <v>-0.624</v>
      </c>
      <c r="AS40">
        <v>-1.4E-2</v>
      </c>
      <c r="AT40">
        <v>-0.52400000000000002</v>
      </c>
      <c r="AU40">
        <v>-0.79100000000000004</v>
      </c>
      <c r="AV40">
        <v>0.17199999999999999</v>
      </c>
      <c r="AW40">
        <v>0.26400000000000001</v>
      </c>
      <c r="AX40">
        <v>0.44</v>
      </c>
      <c r="AY40">
        <v>0.60899999999999999</v>
      </c>
      <c r="AZ40">
        <v>-9.5000000000000001E-2</v>
      </c>
      <c r="BA40">
        <v>-0.214</v>
      </c>
      <c r="BB40">
        <v>0.70199999999999996</v>
      </c>
      <c r="BC40">
        <v>0.76</v>
      </c>
      <c r="BD40">
        <v>1.7999999999999999E-2</v>
      </c>
      <c r="BE40">
        <v>0.47699999999999998</v>
      </c>
      <c r="BF40">
        <v>0.502</v>
      </c>
      <c r="BG40">
        <v>-0.107</v>
      </c>
      <c r="BH40">
        <v>0.72</v>
      </c>
      <c r="BI40">
        <v>9.8000000000000004E-2</v>
      </c>
      <c r="BJ40">
        <v>-0.79100000000000004</v>
      </c>
      <c r="BK40">
        <v>0.16400000000000001</v>
      </c>
      <c r="BL40">
        <v>0.98099999999999998</v>
      </c>
      <c r="BM40">
        <v>0.109</v>
      </c>
    </row>
    <row r="41" spans="1:65" x14ac:dyDescent="0.3">
      <c r="A41" t="s">
        <v>110</v>
      </c>
      <c r="B41">
        <v>5.3004663802665598E-3</v>
      </c>
      <c r="C41">
        <v>1.0142589635836001E-2</v>
      </c>
      <c r="M41" t="s">
        <v>118</v>
      </c>
      <c r="N41">
        <v>2.016</v>
      </c>
      <c r="O41">
        <v>1.627</v>
      </c>
      <c r="P41" t="s">
        <v>57</v>
      </c>
      <c r="Q41">
        <v>1.4999999999999999E-2</v>
      </c>
      <c r="R41">
        <v>0.01</v>
      </c>
      <c r="S41">
        <v>80</v>
      </c>
      <c r="T41">
        <v>0.16900000000000001</v>
      </c>
      <c r="U41">
        <v>-0.09</v>
      </c>
      <c r="V41">
        <v>-2.7E-2</v>
      </c>
      <c r="W41">
        <v>0.28699999999999998</v>
      </c>
      <c r="X41">
        <v>0.05</v>
      </c>
      <c r="Y41">
        <v>0.20799999999999999</v>
      </c>
      <c r="Z41">
        <v>9.8000000000000004E-2</v>
      </c>
      <c r="AA41">
        <v>0.30199999999999999</v>
      </c>
      <c r="AB41">
        <v>0.182</v>
      </c>
      <c r="AC41">
        <v>0.17699999999999999</v>
      </c>
      <c r="AD41">
        <v>0.877</v>
      </c>
      <c r="AE41">
        <v>0.78100000000000003</v>
      </c>
      <c r="AF41">
        <v>0.755</v>
      </c>
      <c r="AG41">
        <v>0.35499999999999998</v>
      </c>
      <c r="AH41">
        <v>0.69499999999999995</v>
      </c>
      <c r="AI41">
        <v>-4.7E-2</v>
      </c>
      <c r="AJ41">
        <v>-0.11899999999999999</v>
      </c>
      <c r="AK41">
        <v>0.69099999999999995</v>
      </c>
      <c r="AL41">
        <v>-0.13900000000000001</v>
      </c>
      <c r="AM41">
        <v>-0.27</v>
      </c>
      <c r="AN41">
        <v>0.255</v>
      </c>
      <c r="AO41">
        <v>-0.56200000000000006</v>
      </c>
      <c r="AP41">
        <v>0.21</v>
      </c>
      <c r="AQ41">
        <v>0.114</v>
      </c>
      <c r="AR41">
        <v>8.8999999999999996E-2</v>
      </c>
      <c r="AS41">
        <v>0.48499999999999999</v>
      </c>
      <c r="AT41">
        <v>0.55700000000000005</v>
      </c>
      <c r="AU41">
        <v>0.38</v>
      </c>
      <c r="AV41">
        <v>0.14000000000000001</v>
      </c>
      <c r="AW41">
        <v>-0.23899999999999999</v>
      </c>
      <c r="AX41">
        <v>0.26</v>
      </c>
      <c r="AY41">
        <v>-0.30599999999999999</v>
      </c>
      <c r="AZ41">
        <v>4.4999999999999998E-2</v>
      </c>
      <c r="BA41">
        <v>0.80400000000000005</v>
      </c>
      <c r="BB41">
        <v>0.91800000000000004</v>
      </c>
      <c r="BC41">
        <v>-7.8E-2</v>
      </c>
      <c r="BD41">
        <v>-0.78200000000000003</v>
      </c>
      <c r="BE41">
        <v>-0.47899999999999998</v>
      </c>
      <c r="BF41">
        <v>0.123</v>
      </c>
      <c r="BG41">
        <v>0.26600000000000001</v>
      </c>
      <c r="BH41">
        <v>0.27600000000000002</v>
      </c>
      <c r="BI41">
        <v>0.27600000000000002</v>
      </c>
      <c r="BJ41">
        <v>-0.98699999999999999</v>
      </c>
      <c r="BK41">
        <v>0.90400000000000003</v>
      </c>
      <c r="BL41">
        <v>-0.56499999999999995</v>
      </c>
      <c r="BM41">
        <v>0.113</v>
      </c>
    </row>
    <row r="42" spans="1:65" x14ac:dyDescent="0.3">
      <c r="A42" t="s">
        <v>135</v>
      </c>
      <c r="B42">
        <v>0</v>
      </c>
      <c r="C42">
        <v>0</v>
      </c>
      <c r="M42" t="s">
        <v>100</v>
      </c>
      <c r="N42">
        <v>1.992</v>
      </c>
      <c r="O42">
        <v>2.4359999999999999</v>
      </c>
      <c r="P42" t="s">
        <v>68</v>
      </c>
      <c r="Q42">
        <v>1.2E-2</v>
      </c>
      <c r="R42">
        <v>1.2E-2</v>
      </c>
      <c r="S42">
        <v>80</v>
      </c>
      <c r="T42">
        <v>5.8999999999999997E-2</v>
      </c>
      <c r="U42">
        <v>4.0000000000000001E-3</v>
      </c>
      <c r="V42">
        <v>7.9000000000000001E-2</v>
      </c>
      <c r="W42">
        <v>-0.23499999999999999</v>
      </c>
      <c r="X42">
        <v>-0.13900000000000001</v>
      </c>
      <c r="Y42">
        <v>0.152</v>
      </c>
      <c r="Z42">
        <v>0.215</v>
      </c>
      <c r="AA42">
        <v>0.223</v>
      </c>
      <c r="AB42">
        <v>0.58899999999999997</v>
      </c>
      <c r="AC42">
        <v>0.58499999999999996</v>
      </c>
      <c r="AD42">
        <v>0.79200000000000004</v>
      </c>
      <c r="AE42">
        <v>0.69799999999999995</v>
      </c>
      <c r="AF42">
        <v>0.80600000000000005</v>
      </c>
      <c r="AG42">
        <v>-0.42499999999999999</v>
      </c>
      <c r="AH42">
        <v>-0.64</v>
      </c>
      <c r="AI42">
        <v>-0.22800000000000001</v>
      </c>
      <c r="AJ42">
        <v>5.1999999999999998E-2</v>
      </c>
      <c r="AK42">
        <v>0.23200000000000001</v>
      </c>
      <c r="AL42">
        <v>-0.252</v>
      </c>
      <c r="AM42">
        <v>-6.9000000000000006E-2</v>
      </c>
      <c r="AN42">
        <v>0.32900000000000001</v>
      </c>
      <c r="AO42">
        <v>-0.48699999999999999</v>
      </c>
      <c r="AP42">
        <v>0.34200000000000003</v>
      </c>
      <c r="AQ42">
        <v>0.26200000000000001</v>
      </c>
      <c r="AR42">
        <v>-0.161</v>
      </c>
      <c r="AS42">
        <v>-0.32200000000000001</v>
      </c>
      <c r="AT42">
        <v>6.4000000000000001E-2</v>
      </c>
      <c r="AU42">
        <v>-0.52400000000000002</v>
      </c>
      <c r="AV42">
        <v>0.20699999999999999</v>
      </c>
      <c r="AW42">
        <v>-0.32900000000000001</v>
      </c>
      <c r="AX42">
        <v>-0.20899999999999999</v>
      </c>
      <c r="AY42">
        <v>0.69</v>
      </c>
      <c r="AZ42">
        <v>0.51</v>
      </c>
      <c r="BA42">
        <v>0.90800000000000003</v>
      </c>
      <c r="BB42">
        <v>0.90200000000000002</v>
      </c>
      <c r="BC42">
        <v>0.61299999999999999</v>
      </c>
      <c r="BD42">
        <v>-2.5999999999999999E-2</v>
      </c>
      <c r="BE42">
        <v>-8.8999999999999996E-2</v>
      </c>
      <c r="BF42">
        <v>0.36599999999999999</v>
      </c>
      <c r="BG42">
        <v>-0.43099999999999999</v>
      </c>
      <c r="BH42">
        <v>-9.8000000000000004E-2</v>
      </c>
      <c r="BI42">
        <v>0.51500000000000001</v>
      </c>
      <c r="BJ42">
        <v>-0.28699999999999998</v>
      </c>
      <c r="BK42">
        <v>2.7E-2</v>
      </c>
      <c r="BL42">
        <v>0.88200000000000001</v>
      </c>
      <c r="BM42">
        <v>0.371</v>
      </c>
    </row>
    <row r="43" spans="1:65" x14ac:dyDescent="0.3">
      <c r="A43" t="s">
        <v>112</v>
      </c>
      <c r="B43">
        <v>0</v>
      </c>
      <c r="C43">
        <v>5.7787622874315797E-2</v>
      </c>
      <c r="M43" t="s">
        <v>106</v>
      </c>
      <c r="N43">
        <v>1.9890000000000001</v>
      </c>
      <c r="O43">
        <v>1.615</v>
      </c>
      <c r="P43" t="s">
        <v>57</v>
      </c>
      <c r="Q43">
        <v>1.6E-2</v>
      </c>
      <c r="R43">
        <v>1.4999999999999999E-2</v>
      </c>
      <c r="S43">
        <v>80</v>
      </c>
      <c r="T43">
        <v>0.35</v>
      </c>
      <c r="U43">
        <v>0.72399999999999998</v>
      </c>
      <c r="V43">
        <v>0.42399999999999999</v>
      </c>
      <c r="W43">
        <v>8.1000000000000003E-2</v>
      </c>
      <c r="X43">
        <v>0.435</v>
      </c>
      <c r="Y43">
        <v>-0.189</v>
      </c>
      <c r="Z43">
        <v>-0.51900000000000002</v>
      </c>
      <c r="AA43">
        <v>-0.14799999999999999</v>
      </c>
      <c r="AB43">
        <v>0.46600000000000003</v>
      </c>
      <c r="AC43">
        <v>0.46100000000000002</v>
      </c>
      <c r="AD43">
        <v>0.81399999999999995</v>
      </c>
      <c r="AE43">
        <v>0.89900000000000002</v>
      </c>
      <c r="AF43">
        <v>0.94</v>
      </c>
      <c r="AG43">
        <v>-0.11899999999999999</v>
      </c>
      <c r="AH43">
        <v>0.56799999999999995</v>
      </c>
      <c r="AI43">
        <v>0.60399999999999998</v>
      </c>
      <c r="AJ43">
        <v>1</v>
      </c>
      <c r="AK43">
        <v>0.56999999999999995</v>
      </c>
      <c r="AL43">
        <v>-0.42099999999999999</v>
      </c>
      <c r="AM43">
        <v>0.75</v>
      </c>
      <c r="AN43">
        <v>-0.17599999999999999</v>
      </c>
      <c r="AO43">
        <v>0.68899999999999995</v>
      </c>
      <c r="AP43">
        <v>-0.20399999999999999</v>
      </c>
      <c r="AQ43">
        <v>-0.21099999999999999</v>
      </c>
      <c r="AR43">
        <v>0.38700000000000001</v>
      </c>
      <c r="AS43">
        <v>-0.48299999999999998</v>
      </c>
      <c r="AT43">
        <v>0.27100000000000002</v>
      </c>
      <c r="AU43">
        <v>0.19900000000000001</v>
      </c>
      <c r="AV43">
        <v>6.0000000000000001E-3</v>
      </c>
      <c r="AW43">
        <v>-0.434</v>
      </c>
      <c r="AX43">
        <v>-0.26200000000000001</v>
      </c>
      <c r="AY43">
        <v>-0.13200000000000001</v>
      </c>
      <c r="AZ43">
        <v>-0.109</v>
      </c>
      <c r="BA43">
        <v>0.59599999999999997</v>
      </c>
      <c r="BB43">
        <v>-0.17699999999999999</v>
      </c>
      <c r="BC43">
        <v>0.45500000000000002</v>
      </c>
      <c r="BD43">
        <v>0.17799999999999999</v>
      </c>
      <c r="BE43">
        <v>0.504</v>
      </c>
      <c r="BF43">
        <v>0.29599999999999999</v>
      </c>
      <c r="BG43">
        <v>7.2999999999999995E-2</v>
      </c>
      <c r="BH43">
        <v>0.41799999999999998</v>
      </c>
      <c r="BI43">
        <v>-0.05</v>
      </c>
      <c r="BJ43">
        <v>0.17899999999999999</v>
      </c>
      <c r="BK43">
        <v>-7.0000000000000001E-3</v>
      </c>
      <c r="BL43">
        <v>0.21199999999999999</v>
      </c>
      <c r="BM43">
        <v>0.85099999999999998</v>
      </c>
    </row>
    <row r="44" spans="1:65" x14ac:dyDescent="0.3">
      <c r="A44" t="s">
        <v>156</v>
      </c>
      <c r="B44">
        <v>0</v>
      </c>
      <c r="C44">
        <v>0</v>
      </c>
      <c r="M44" t="s">
        <v>74</v>
      </c>
      <c r="N44">
        <v>1.97</v>
      </c>
      <c r="O44">
        <v>1.5049999999999999</v>
      </c>
      <c r="P44" t="s">
        <v>53</v>
      </c>
      <c r="Q44">
        <v>1.0999999999999999E-2</v>
      </c>
      <c r="R44">
        <v>1.0999999999999999E-2</v>
      </c>
      <c r="S44">
        <v>80</v>
      </c>
      <c r="T44">
        <v>0.23499999999999999</v>
      </c>
      <c r="U44">
        <v>-9.9000000000000005E-2</v>
      </c>
      <c r="V44">
        <v>0.58599999999999997</v>
      </c>
      <c r="W44">
        <v>0.27400000000000002</v>
      </c>
      <c r="X44">
        <v>0.33300000000000002</v>
      </c>
      <c r="Y44">
        <v>0.125</v>
      </c>
      <c r="Z44">
        <v>5.0000000000000001E-3</v>
      </c>
      <c r="AA44">
        <v>1.9E-2</v>
      </c>
      <c r="AB44">
        <v>0.45300000000000001</v>
      </c>
      <c r="AC44">
        <v>0.45200000000000001</v>
      </c>
      <c r="AD44">
        <v>0.64100000000000001</v>
      </c>
      <c r="AE44">
        <v>0.754</v>
      </c>
      <c r="AF44">
        <v>0.72299999999999998</v>
      </c>
      <c r="AG44">
        <v>0.61899999999999999</v>
      </c>
      <c r="AH44">
        <v>0.497</v>
      </c>
      <c r="AI44">
        <v>-0.12</v>
      </c>
      <c r="AJ44">
        <v>1</v>
      </c>
      <c r="AK44">
        <v>2.5000000000000001E-2</v>
      </c>
      <c r="AL44">
        <v>0.158</v>
      </c>
      <c r="AM44">
        <v>0.78600000000000003</v>
      </c>
      <c r="AN44">
        <v>0.155</v>
      </c>
      <c r="AO44">
        <v>0.13600000000000001</v>
      </c>
      <c r="AP44">
        <v>0.14499999999999999</v>
      </c>
      <c r="AQ44">
        <v>-0.30599999999999999</v>
      </c>
      <c r="AR44">
        <v>-0.23799999999999999</v>
      </c>
      <c r="AS44">
        <v>0.186</v>
      </c>
      <c r="AT44">
        <v>-0.23200000000000001</v>
      </c>
      <c r="AU44">
        <v>-0.62</v>
      </c>
      <c r="AV44">
        <v>0.33</v>
      </c>
      <c r="AW44">
        <v>-0.60699999999999998</v>
      </c>
      <c r="AX44">
        <v>0.21299999999999999</v>
      </c>
      <c r="AY44">
        <v>0.23400000000000001</v>
      </c>
      <c r="AZ44">
        <v>-0.128</v>
      </c>
      <c r="BA44">
        <v>0.878</v>
      </c>
      <c r="BB44">
        <v>0.28599999999999998</v>
      </c>
      <c r="BC44">
        <v>0.16200000000000001</v>
      </c>
      <c r="BD44">
        <v>-6.7000000000000004E-2</v>
      </c>
      <c r="BE44">
        <v>4.2999999999999997E-2</v>
      </c>
      <c r="BF44">
        <v>0.16400000000000001</v>
      </c>
      <c r="BG44">
        <v>0.34200000000000003</v>
      </c>
      <c r="BH44">
        <v>-0.14199999999999999</v>
      </c>
      <c r="BI44">
        <v>0.24099999999999999</v>
      </c>
      <c r="BJ44">
        <v>-0.70199999999999996</v>
      </c>
      <c r="BK44">
        <v>-0.11600000000000001</v>
      </c>
      <c r="BL44">
        <v>0.83199999999999996</v>
      </c>
      <c r="BM44">
        <v>0.745</v>
      </c>
    </row>
    <row r="45" spans="1:65" x14ac:dyDescent="0.3">
      <c r="A45" t="s">
        <v>246</v>
      </c>
      <c r="B45">
        <v>0</v>
      </c>
      <c r="C45">
        <v>0</v>
      </c>
      <c r="M45" t="s">
        <v>120</v>
      </c>
      <c r="N45">
        <v>1.9690000000000001</v>
      </c>
      <c r="O45">
        <v>4.22</v>
      </c>
      <c r="P45" t="s">
        <v>71</v>
      </c>
      <c r="Q45">
        <v>0.02</v>
      </c>
      <c r="R45">
        <v>-5.0000000000000001E-3</v>
      </c>
      <c r="S45">
        <v>50</v>
      </c>
      <c r="T45">
        <v>-0.27500000000000002</v>
      </c>
      <c r="U45">
        <v>0.45600000000000002</v>
      </c>
      <c r="V45">
        <v>-0.63400000000000001</v>
      </c>
      <c r="W45">
        <v>-2.1000000000000001E-2</v>
      </c>
      <c r="X45">
        <v>4.0000000000000001E-3</v>
      </c>
      <c r="Y45">
        <v>-0.05</v>
      </c>
      <c r="Z45">
        <v>-0.32600000000000001</v>
      </c>
      <c r="AA45">
        <v>0.25800000000000001</v>
      </c>
      <c r="AB45">
        <v>1</v>
      </c>
      <c r="AC45">
        <v>1</v>
      </c>
      <c r="AD45">
        <v>0.90500000000000003</v>
      </c>
      <c r="AE45">
        <v>0.97199999999999998</v>
      </c>
      <c r="AF45">
        <v>0.95699999999999996</v>
      </c>
      <c r="AG45">
        <v>-0.14399999999999999</v>
      </c>
      <c r="AH45">
        <v>-0.36399999999999999</v>
      </c>
      <c r="AI45">
        <v>1</v>
      </c>
      <c r="AJ45">
        <v>-0.45500000000000002</v>
      </c>
      <c r="AK45">
        <v>-0.218</v>
      </c>
      <c r="AL45">
        <v>-0.874</v>
      </c>
      <c r="AM45">
        <v>0.55200000000000005</v>
      </c>
      <c r="AN45">
        <v>-0.19800000000000001</v>
      </c>
      <c r="AO45">
        <v>0.55600000000000005</v>
      </c>
      <c r="AP45">
        <v>-0.623</v>
      </c>
      <c r="AQ45">
        <v>0.55000000000000004</v>
      </c>
      <c r="AR45">
        <v>0.30099999999999999</v>
      </c>
      <c r="AS45">
        <v>-0.86</v>
      </c>
      <c r="AT45">
        <v>0.48</v>
      </c>
      <c r="AU45">
        <v>0.40200000000000002</v>
      </c>
      <c r="AV45">
        <v>9.7000000000000003E-2</v>
      </c>
      <c r="AW45">
        <v>-0.53500000000000003</v>
      </c>
      <c r="AX45">
        <v>-0.152</v>
      </c>
      <c r="AY45">
        <v>0.41199999999999998</v>
      </c>
      <c r="AZ45">
        <v>-6.0999999999999999E-2</v>
      </c>
      <c r="BA45">
        <v>0.8</v>
      </c>
      <c r="BB45">
        <v>-0.158</v>
      </c>
      <c r="BC45">
        <v>-9.5000000000000001E-2</v>
      </c>
      <c r="BD45">
        <v>0.20100000000000001</v>
      </c>
      <c r="BE45">
        <v>7.2999999999999995E-2</v>
      </c>
      <c r="BF45">
        <v>0.69299999999999995</v>
      </c>
      <c r="BG45">
        <v>-1</v>
      </c>
      <c r="BH45">
        <v>-0.67</v>
      </c>
      <c r="BI45">
        <v>0.36499999999999999</v>
      </c>
      <c r="BJ45">
        <v>-0.35099999999999998</v>
      </c>
      <c r="BK45">
        <v>-0.45900000000000002</v>
      </c>
      <c r="BL45">
        <v>-0.183</v>
      </c>
      <c r="BM45">
        <v>-7.9000000000000001E-2</v>
      </c>
    </row>
    <row r="46" spans="1:65" x14ac:dyDescent="0.3">
      <c r="A46" t="s">
        <v>58</v>
      </c>
      <c r="B46">
        <v>1.88887601055743E-2</v>
      </c>
      <c r="C46">
        <v>9.5426164802232295E-3</v>
      </c>
      <c r="M46" t="s">
        <v>121</v>
      </c>
      <c r="N46">
        <v>1.9079999999999999</v>
      </c>
      <c r="O46">
        <v>2.637</v>
      </c>
      <c r="P46" t="s">
        <v>57</v>
      </c>
      <c r="Q46">
        <v>0</v>
      </c>
      <c r="R46">
        <v>0</v>
      </c>
      <c r="S46">
        <v>9</v>
      </c>
      <c r="T46">
        <v>-0.25</v>
      </c>
      <c r="U46">
        <v>-0.26600000000000001</v>
      </c>
      <c r="V46">
        <v>-0.77200000000000002</v>
      </c>
      <c r="W46">
        <v>9.1999999999999998E-2</v>
      </c>
      <c r="X46">
        <v>-0.34300000000000003</v>
      </c>
      <c r="Y46">
        <v>0.26100000000000001</v>
      </c>
      <c r="Z46">
        <v>0.53300000000000003</v>
      </c>
      <c r="AA46">
        <v>0.42899999999999999</v>
      </c>
      <c r="AB46">
        <v>0.50800000000000001</v>
      </c>
      <c r="AC46">
        <v>0.50800000000000001</v>
      </c>
      <c r="AD46">
        <v>0.77700000000000002</v>
      </c>
      <c r="AE46">
        <v>0.83099999999999996</v>
      </c>
      <c r="AF46">
        <v>0.77100000000000002</v>
      </c>
      <c r="AG46">
        <v>0.123</v>
      </c>
      <c r="AH46">
        <v>-0.218</v>
      </c>
      <c r="AI46">
        <v>6.3E-2</v>
      </c>
      <c r="AJ46">
        <v>-0.96399999999999997</v>
      </c>
      <c r="AK46">
        <v>-0.76200000000000001</v>
      </c>
      <c r="AL46">
        <v>-0.83</v>
      </c>
      <c r="AM46">
        <v>-0.17399999999999999</v>
      </c>
      <c r="AN46">
        <v>0.221</v>
      </c>
      <c r="AO46">
        <v>-0.67900000000000005</v>
      </c>
      <c r="AP46">
        <v>-0.20599999999999999</v>
      </c>
      <c r="AQ46">
        <v>0.46300000000000002</v>
      </c>
      <c r="AR46">
        <v>-4.5999999999999999E-2</v>
      </c>
      <c r="AS46">
        <v>8.9999999999999993E-3</v>
      </c>
      <c r="AT46">
        <v>0.30599999999999999</v>
      </c>
      <c r="AU46">
        <v>0.41299999999999998</v>
      </c>
      <c r="AV46">
        <v>-1E-3</v>
      </c>
      <c r="AW46">
        <v>-2E-3</v>
      </c>
      <c r="AX46">
        <v>0.379</v>
      </c>
      <c r="AY46">
        <v>0.436</v>
      </c>
      <c r="AZ46">
        <v>-0.40100000000000002</v>
      </c>
      <c r="BA46">
        <v>0.91</v>
      </c>
      <c r="BB46">
        <v>0.68799999999999994</v>
      </c>
      <c r="BC46">
        <v>0.65300000000000002</v>
      </c>
      <c r="BD46">
        <v>-0.20699999999999999</v>
      </c>
      <c r="BE46">
        <v>1.4E-2</v>
      </c>
      <c r="BF46">
        <v>0.55000000000000004</v>
      </c>
      <c r="BG46">
        <v>-0.128</v>
      </c>
      <c r="BH46">
        <v>-0.39500000000000002</v>
      </c>
      <c r="BI46">
        <v>0.82399999999999995</v>
      </c>
      <c r="BJ46">
        <v>-0.68</v>
      </c>
      <c r="BK46">
        <v>-0.08</v>
      </c>
      <c r="BL46">
        <v>-0.182</v>
      </c>
      <c r="BM46">
        <v>-0.70899999999999996</v>
      </c>
    </row>
    <row r="47" spans="1:65" x14ac:dyDescent="0.3">
      <c r="A47" t="s">
        <v>207</v>
      </c>
      <c r="B47">
        <v>0</v>
      </c>
      <c r="C47">
        <v>0</v>
      </c>
      <c r="M47" t="s">
        <v>72</v>
      </c>
      <c r="N47">
        <v>1.9039999999999999</v>
      </c>
      <c r="O47">
        <v>1.65</v>
      </c>
      <c r="P47" t="s">
        <v>57</v>
      </c>
      <c r="Q47">
        <v>1.4999999999999999E-2</v>
      </c>
      <c r="R47">
        <v>0.01</v>
      </c>
      <c r="S47">
        <v>80</v>
      </c>
      <c r="T47">
        <v>0.26600000000000001</v>
      </c>
      <c r="U47">
        <v>-0.21299999999999999</v>
      </c>
      <c r="V47">
        <v>0.12</v>
      </c>
      <c r="W47">
        <v>0.49299999999999999</v>
      </c>
      <c r="X47">
        <v>0.151</v>
      </c>
      <c r="Y47">
        <v>0.20699999999999999</v>
      </c>
      <c r="Z47">
        <v>0.20599999999999999</v>
      </c>
      <c r="AA47">
        <v>9.1999999999999998E-2</v>
      </c>
      <c r="AB47">
        <v>8.5999999999999993E-2</v>
      </c>
      <c r="AC47">
        <v>8.5000000000000006E-2</v>
      </c>
      <c r="AD47">
        <v>0.77600000000000002</v>
      </c>
      <c r="AE47">
        <v>0.75900000000000001</v>
      </c>
      <c r="AF47">
        <v>0.67200000000000004</v>
      </c>
      <c r="AG47">
        <v>0.90800000000000003</v>
      </c>
      <c r="AH47">
        <v>0.92500000000000004</v>
      </c>
      <c r="AI47">
        <v>-0.60099999999999998</v>
      </c>
      <c r="AJ47">
        <v>-0.52400000000000002</v>
      </c>
      <c r="AK47">
        <v>-0.45600000000000002</v>
      </c>
      <c r="AL47">
        <v>0.24399999999999999</v>
      </c>
      <c r="AM47">
        <v>-0.34200000000000003</v>
      </c>
      <c r="AN47">
        <v>-6.8000000000000005E-2</v>
      </c>
      <c r="AO47">
        <v>-0.79100000000000004</v>
      </c>
      <c r="AP47">
        <v>0.497</v>
      </c>
      <c r="AQ47">
        <v>1.7999999999999999E-2</v>
      </c>
      <c r="AR47">
        <v>-0.70199999999999996</v>
      </c>
      <c r="AS47">
        <v>0.82099999999999995</v>
      </c>
      <c r="AT47">
        <v>0.55200000000000005</v>
      </c>
      <c r="AU47">
        <v>0.51100000000000001</v>
      </c>
      <c r="AV47">
        <v>0.30299999999999999</v>
      </c>
      <c r="AW47">
        <v>-2.1000000000000001E-2</v>
      </c>
      <c r="AX47">
        <v>0.71399999999999997</v>
      </c>
      <c r="AY47">
        <v>-1.7000000000000001E-2</v>
      </c>
      <c r="AZ47">
        <v>7.1999999999999995E-2</v>
      </c>
      <c r="BA47">
        <v>-5.2999999999999999E-2</v>
      </c>
      <c r="BB47">
        <v>6.0999999999999999E-2</v>
      </c>
      <c r="BC47">
        <v>0.35</v>
      </c>
      <c r="BD47">
        <v>0.33800000000000002</v>
      </c>
      <c r="BE47">
        <v>-9.0999999999999998E-2</v>
      </c>
      <c r="BF47">
        <v>0.45600000000000002</v>
      </c>
      <c r="BG47">
        <v>-0.38400000000000001</v>
      </c>
      <c r="BH47">
        <v>-1.7999999999999999E-2</v>
      </c>
      <c r="BI47">
        <v>9.8000000000000004E-2</v>
      </c>
      <c r="BJ47">
        <v>-8.0000000000000002E-3</v>
      </c>
      <c r="BK47">
        <v>0.219</v>
      </c>
      <c r="BL47">
        <v>0.221</v>
      </c>
      <c r="BM47">
        <v>-0.24099999999999999</v>
      </c>
    </row>
    <row r="48" spans="1:65" x14ac:dyDescent="0.3">
      <c r="A48" t="s">
        <v>220</v>
      </c>
      <c r="B48">
        <v>0</v>
      </c>
      <c r="C48">
        <v>0</v>
      </c>
      <c r="M48" t="s">
        <v>56</v>
      </c>
      <c r="N48">
        <v>1.8919999999999999</v>
      </c>
      <c r="O48">
        <v>1.976</v>
      </c>
      <c r="P48" t="s">
        <v>55</v>
      </c>
      <c r="Q48">
        <v>1.4999999999999999E-2</v>
      </c>
      <c r="R48">
        <v>1.4999999999999999E-2</v>
      </c>
      <c r="S48">
        <v>80</v>
      </c>
      <c r="T48">
        <v>-7.0999999999999994E-2</v>
      </c>
      <c r="U48">
        <v>-0.20300000000000001</v>
      </c>
      <c r="V48">
        <v>-0.26700000000000002</v>
      </c>
      <c r="W48">
        <v>0.17299999999999999</v>
      </c>
      <c r="X48">
        <v>-7.4999999999999997E-2</v>
      </c>
      <c r="Y48">
        <v>0.26600000000000001</v>
      </c>
      <c r="Z48">
        <v>0.48599999999999999</v>
      </c>
      <c r="AA48">
        <v>0.17699999999999999</v>
      </c>
      <c r="AB48">
        <v>0.436</v>
      </c>
      <c r="AC48">
        <v>0.438</v>
      </c>
      <c r="AD48">
        <v>0.88900000000000001</v>
      </c>
      <c r="AE48">
        <v>0.68200000000000005</v>
      </c>
      <c r="AF48">
        <v>0.73499999999999999</v>
      </c>
      <c r="AG48">
        <v>0.41399999999999998</v>
      </c>
      <c r="AH48">
        <v>-0.13300000000000001</v>
      </c>
      <c r="AI48">
        <v>0.26500000000000001</v>
      </c>
      <c r="AJ48">
        <v>-0.54800000000000004</v>
      </c>
      <c r="AK48">
        <v>-0.58799999999999997</v>
      </c>
      <c r="AL48">
        <v>-0.40799999999999997</v>
      </c>
      <c r="AM48">
        <v>0.40799999999999997</v>
      </c>
      <c r="AN48">
        <v>-0.20300000000000001</v>
      </c>
      <c r="AO48">
        <v>-0.34300000000000003</v>
      </c>
      <c r="AP48">
        <v>-0.254</v>
      </c>
      <c r="AQ48">
        <v>0.109</v>
      </c>
      <c r="AR48">
        <v>-0.3</v>
      </c>
      <c r="AS48">
        <v>-1.4E-2</v>
      </c>
      <c r="AT48">
        <v>-0.52400000000000002</v>
      </c>
      <c r="AU48">
        <v>-0.79100000000000004</v>
      </c>
      <c r="AV48">
        <v>0.17199999999999999</v>
      </c>
      <c r="AW48">
        <v>0.26400000000000001</v>
      </c>
      <c r="AX48">
        <v>0.44</v>
      </c>
      <c r="AY48">
        <v>0.73499999999999999</v>
      </c>
      <c r="AZ48">
        <v>-9.5000000000000001E-2</v>
      </c>
      <c r="BA48">
        <v>-0.214</v>
      </c>
      <c r="BB48">
        <v>0.42599999999999999</v>
      </c>
      <c r="BC48">
        <v>1</v>
      </c>
      <c r="BD48">
        <v>1.7999999999999999E-2</v>
      </c>
      <c r="BE48">
        <v>0.47699999999999998</v>
      </c>
      <c r="BF48">
        <v>0.39500000000000002</v>
      </c>
      <c r="BG48">
        <v>-0.25700000000000001</v>
      </c>
      <c r="BH48">
        <v>0.46100000000000002</v>
      </c>
      <c r="BI48">
        <v>0.374</v>
      </c>
      <c r="BJ48">
        <v>-0.68400000000000005</v>
      </c>
      <c r="BK48">
        <v>-0.10299999999999999</v>
      </c>
      <c r="BL48">
        <v>0.621</v>
      </c>
      <c r="BM48">
        <v>0.109</v>
      </c>
    </row>
    <row r="49" spans="1:65" x14ac:dyDescent="0.3">
      <c r="A49" t="s">
        <v>217</v>
      </c>
      <c r="B49">
        <v>0</v>
      </c>
      <c r="C49">
        <v>0</v>
      </c>
      <c r="M49" t="s">
        <v>81</v>
      </c>
      <c r="N49">
        <v>1.88</v>
      </c>
      <c r="O49">
        <v>2.0870000000000002</v>
      </c>
      <c r="P49" t="s">
        <v>55</v>
      </c>
      <c r="Q49">
        <v>1.2999999999999999E-2</v>
      </c>
      <c r="R49">
        <v>1.2999999999999999E-2</v>
      </c>
      <c r="S49">
        <v>31</v>
      </c>
      <c r="T49">
        <v>2.5999999999999999E-2</v>
      </c>
      <c r="U49">
        <v>-0.56200000000000006</v>
      </c>
      <c r="V49">
        <v>-0.47899999999999998</v>
      </c>
      <c r="W49">
        <v>0.40400000000000003</v>
      </c>
      <c r="X49">
        <v>-0.26100000000000001</v>
      </c>
      <c r="Y49">
        <v>0.49099999999999999</v>
      </c>
      <c r="Z49">
        <v>0.74</v>
      </c>
      <c r="AA49">
        <v>0.122</v>
      </c>
      <c r="AB49">
        <v>0.45</v>
      </c>
      <c r="AC49">
        <v>0.44700000000000001</v>
      </c>
      <c r="AD49">
        <v>0.81299999999999994</v>
      </c>
      <c r="AE49">
        <v>0.78900000000000003</v>
      </c>
      <c r="AF49">
        <v>0.63300000000000001</v>
      </c>
      <c r="AG49">
        <v>0.752</v>
      </c>
      <c r="AH49">
        <v>8.7999999999999995E-2</v>
      </c>
      <c r="AI49">
        <v>-0.53400000000000003</v>
      </c>
      <c r="AJ49">
        <v>-0.90400000000000003</v>
      </c>
      <c r="AK49">
        <v>-0.86</v>
      </c>
      <c r="AL49">
        <v>-0.49199999999999999</v>
      </c>
      <c r="AM49">
        <v>0.32500000000000001</v>
      </c>
      <c r="AN49">
        <v>-2.1000000000000001E-2</v>
      </c>
      <c r="AO49">
        <v>-0.82699999999999996</v>
      </c>
      <c r="AP49">
        <v>-0.128</v>
      </c>
      <c r="AQ49">
        <v>-7.0999999999999994E-2</v>
      </c>
      <c r="AR49">
        <v>-0.251</v>
      </c>
      <c r="AS49">
        <v>0.53800000000000003</v>
      </c>
      <c r="AT49">
        <v>0.26400000000000001</v>
      </c>
      <c r="AU49">
        <v>-0.314</v>
      </c>
      <c r="AV49">
        <v>0.433</v>
      </c>
      <c r="AW49">
        <v>0.246</v>
      </c>
      <c r="AX49">
        <v>1</v>
      </c>
      <c r="AY49">
        <v>0.72699999999999998</v>
      </c>
      <c r="AZ49">
        <v>0.17299999999999999</v>
      </c>
      <c r="BA49">
        <v>0.77500000000000002</v>
      </c>
      <c r="BB49">
        <v>0.39300000000000002</v>
      </c>
      <c r="BC49">
        <v>0.89500000000000002</v>
      </c>
      <c r="BD49">
        <v>0.28399999999999997</v>
      </c>
      <c r="BE49">
        <v>0.39700000000000002</v>
      </c>
      <c r="BF49">
        <v>0.61299999999999999</v>
      </c>
      <c r="BG49">
        <v>0.27</v>
      </c>
      <c r="BH49">
        <v>0.66300000000000003</v>
      </c>
      <c r="BI49">
        <v>0.35399999999999998</v>
      </c>
      <c r="BJ49">
        <v>-0.70299999999999996</v>
      </c>
      <c r="BK49">
        <v>-0.36199999999999999</v>
      </c>
      <c r="BL49">
        <v>2.1000000000000001E-2</v>
      </c>
      <c r="BM49">
        <v>-0.53600000000000003</v>
      </c>
    </row>
    <row r="50" spans="1:65" x14ac:dyDescent="0.3">
      <c r="A50" t="s">
        <v>254</v>
      </c>
      <c r="B50">
        <v>0</v>
      </c>
      <c r="C50">
        <v>0</v>
      </c>
      <c r="M50" t="s">
        <v>95</v>
      </c>
      <c r="N50">
        <v>1.865</v>
      </c>
      <c r="O50">
        <v>2.5670000000000002</v>
      </c>
      <c r="P50" t="s">
        <v>53</v>
      </c>
      <c r="Q50">
        <v>1.4E-2</v>
      </c>
      <c r="R50">
        <v>1.4E-2</v>
      </c>
      <c r="S50">
        <v>29</v>
      </c>
      <c r="T50">
        <v>-0.41899999999999998</v>
      </c>
      <c r="U50">
        <v>-0.45200000000000001</v>
      </c>
      <c r="V50">
        <v>-0.64400000000000002</v>
      </c>
      <c r="W50">
        <v>0.107</v>
      </c>
      <c r="X50">
        <v>-0.23699999999999999</v>
      </c>
      <c r="Y50">
        <v>0.377</v>
      </c>
      <c r="Z50">
        <v>0.89</v>
      </c>
      <c r="AA50">
        <v>0.46200000000000002</v>
      </c>
      <c r="AB50">
        <v>0.55200000000000005</v>
      </c>
      <c r="AC50">
        <v>0.55400000000000005</v>
      </c>
      <c r="AD50">
        <v>0.75700000000000001</v>
      </c>
      <c r="AE50">
        <v>0.75</v>
      </c>
      <c r="AF50">
        <v>0.61</v>
      </c>
      <c r="AG50">
        <v>8.4000000000000005E-2</v>
      </c>
      <c r="AH50">
        <v>0.68600000000000005</v>
      </c>
      <c r="AI50">
        <v>-0.183</v>
      </c>
      <c r="AJ50">
        <v>-0.82499999999999996</v>
      </c>
      <c r="AK50">
        <v>-0.84799999999999998</v>
      </c>
      <c r="AL50">
        <v>-0.64900000000000002</v>
      </c>
      <c r="AM50">
        <v>-0.27900000000000003</v>
      </c>
      <c r="AN50">
        <v>0.57599999999999996</v>
      </c>
      <c r="AO50">
        <v>-0.94199999999999995</v>
      </c>
      <c r="AP50">
        <v>0.26700000000000002</v>
      </c>
      <c r="AQ50">
        <v>0.23</v>
      </c>
      <c r="AR50">
        <v>0.34300000000000003</v>
      </c>
      <c r="AS50">
        <v>5.0999999999999997E-2</v>
      </c>
      <c r="AT50">
        <v>0.26600000000000001</v>
      </c>
      <c r="AU50">
        <v>-0.35399999999999998</v>
      </c>
      <c r="AV50">
        <v>0.71499999999999997</v>
      </c>
      <c r="AW50">
        <v>0.21</v>
      </c>
      <c r="AX50">
        <v>-0.185</v>
      </c>
      <c r="AY50">
        <v>0.95099999999999996</v>
      </c>
      <c r="AZ50">
        <v>0.71899999999999997</v>
      </c>
      <c r="BA50">
        <v>0.71599999999999997</v>
      </c>
      <c r="BB50">
        <v>-0.23699999999999999</v>
      </c>
      <c r="BC50">
        <v>-0.64900000000000002</v>
      </c>
      <c r="BD50">
        <v>-0.10299999999999999</v>
      </c>
      <c r="BE50">
        <v>0.02</v>
      </c>
      <c r="BF50">
        <v>-1</v>
      </c>
      <c r="BG50">
        <v>-0.63200000000000001</v>
      </c>
      <c r="BH50">
        <v>-7.0999999999999994E-2</v>
      </c>
      <c r="BI50">
        <v>0.92800000000000005</v>
      </c>
      <c r="BJ50">
        <v>-0.40799999999999997</v>
      </c>
      <c r="BK50">
        <v>-0.628</v>
      </c>
      <c r="BL50">
        <v>-6.7000000000000004E-2</v>
      </c>
      <c r="BM50">
        <v>-0.60299999999999998</v>
      </c>
    </row>
    <row r="51" spans="1:65" x14ac:dyDescent="0.3">
      <c r="A51" t="s">
        <v>155</v>
      </c>
      <c r="B51">
        <v>0</v>
      </c>
      <c r="C51">
        <v>0</v>
      </c>
      <c r="M51" t="s">
        <v>119</v>
      </c>
      <c r="N51">
        <v>1.851</v>
      </c>
      <c r="O51">
        <v>2.0640000000000001</v>
      </c>
      <c r="P51" t="s">
        <v>57</v>
      </c>
      <c r="Q51">
        <v>2.5000000000000001E-2</v>
      </c>
      <c r="R51">
        <v>2.1000000000000001E-2</v>
      </c>
      <c r="S51">
        <v>80</v>
      </c>
      <c r="T51">
        <v>0.29699999999999999</v>
      </c>
      <c r="U51">
        <v>9.5000000000000001E-2</v>
      </c>
      <c r="V51">
        <v>0.105</v>
      </c>
      <c r="W51">
        <v>0.20100000000000001</v>
      </c>
      <c r="X51">
        <v>5.5E-2</v>
      </c>
      <c r="Y51">
        <v>0.22900000000000001</v>
      </c>
      <c r="Z51">
        <v>0.28100000000000003</v>
      </c>
      <c r="AA51">
        <v>-0.13900000000000001</v>
      </c>
      <c r="AB51">
        <v>0.20799999999999999</v>
      </c>
      <c r="AC51">
        <v>0.20599999999999999</v>
      </c>
      <c r="AD51">
        <v>0.82199999999999995</v>
      </c>
      <c r="AE51">
        <v>0.88100000000000001</v>
      </c>
      <c r="AF51">
        <v>0.69699999999999995</v>
      </c>
      <c r="AG51">
        <v>0.40799999999999997</v>
      </c>
      <c r="AH51">
        <v>0.46700000000000003</v>
      </c>
      <c r="AI51">
        <v>-0.23499999999999999</v>
      </c>
      <c r="AJ51">
        <v>-0.19400000000000001</v>
      </c>
      <c r="AK51">
        <v>-0.09</v>
      </c>
      <c r="AL51">
        <v>-2.1000000000000001E-2</v>
      </c>
      <c r="AM51">
        <v>-0.10199999999999999</v>
      </c>
      <c r="AN51">
        <v>-0.21299999999999999</v>
      </c>
      <c r="AO51">
        <v>-0.186</v>
      </c>
      <c r="AP51">
        <v>0.74299999999999999</v>
      </c>
      <c r="AQ51">
        <v>-0.309</v>
      </c>
      <c r="AR51">
        <v>-1.7000000000000001E-2</v>
      </c>
      <c r="AS51">
        <v>0.47899999999999998</v>
      </c>
      <c r="AT51">
        <v>0.39200000000000002</v>
      </c>
      <c r="AU51">
        <v>0.35299999999999998</v>
      </c>
      <c r="AV51">
        <v>-5.3999999999999999E-2</v>
      </c>
      <c r="AW51">
        <v>0.432</v>
      </c>
      <c r="AX51">
        <v>0.34499999999999997</v>
      </c>
      <c r="AY51">
        <v>-0.111</v>
      </c>
      <c r="AZ51">
        <v>0.186</v>
      </c>
      <c r="BA51">
        <v>0.442</v>
      </c>
      <c r="BB51">
        <v>0.63100000000000001</v>
      </c>
      <c r="BC51">
        <v>0</v>
      </c>
      <c r="BD51">
        <v>-4.9000000000000002E-2</v>
      </c>
      <c r="BE51">
        <v>-8.5000000000000006E-2</v>
      </c>
      <c r="BF51">
        <v>0.24399999999999999</v>
      </c>
      <c r="BG51">
        <v>0.33500000000000002</v>
      </c>
      <c r="BH51">
        <v>-0.154</v>
      </c>
      <c r="BI51">
        <v>0.20300000000000001</v>
      </c>
      <c r="BJ51">
        <v>-0.156</v>
      </c>
      <c r="BK51">
        <v>0.45700000000000002</v>
      </c>
      <c r="BL51">
        <v>-1.2E-2</v>
      </c>
      <c r="BM51">
        <v>0.03</v>
      </c>
    </row>
    <row r="52" spans="1:65" x14ac:dyDescent="0.3">
      <c r="A52" t="s">
        <v>213</v>
      </c>
      <c r="B52">
        <v>0</v>
      </c>
      <c r="C52">
        <v>0</v>
      </c>
      <c r="M52" t="s">
        <v>94</v>
      </c>
      <c r="N52">
        <v>1.8089999999999999</v>
      </c>
      <c r="O52">
        <v>3.8759999999999999</v>
      </c>
      <c r="P52" t="s">
        <v>55</v>
      </c>
      <c r="Q52">
        <v>3.1E-2</v>
      </c>
      <c r="R52">
        <v>1.4999999999999999E-2</v>
      </c>
      <c r="S52">
        <v>60</v>
      </c>
      <c r="T52">
        <v>0.253</v>
      </c>
      <c r="U52">
        <v>4.2000000000000003E-2</v>
      </c>
      <c r="V52">
        <v>-0.32400000000000001</v>
      </c>
      <c r="W52">
        <v>0.22500000000000001</v>
      </c>
      <c r="X52">
        <v>-0.19500000000000001</v>
      </c>
      <c r="Y52">
        <v>0.498</v>
      </c>
      <c r="Z52">
        <v>0.81599999999999995</v>
      </c>
      <c r="AA52">
        <v>-0.22</v>
      </c>
      <c r="AB52">
        <v>0.249</v>
      </c>
      <c r="AC52">
        <v>0.247</v>
      </c>
      <c r="AD52">
        <v>0.81100000000000005</v>
      </c>
      <c r="AE52">
        <v>0.78</v>
      </c>
      <c r="AF52">
        <v>0.63</v>
      </c>
      <c r="AG52">
        <v>7.6999999999999999E-2</v>
      </c>
      <c r="AH52">
        <v>-5.1999999999999998E-2</v>
      </c>
      <c r="AI52">
        <v>-0.32100000000000001</v>
      </c>
      <c r="AJ52">
        <v>-0.79100000000000004</v>
      </c>
      <c r="AK52">
        <v>-0.16200000000000001</v>
      </c>
      <c r="AL52">
        <v>2.8000000000000001E-2</v>
      </c>
      <c r="AM52">
        <v>-0.31</v>
      </c>
      <c r="AN52">
        <v>-0.69599999999999995</v>
      </c>
      <c r="AO52">
        <v>-0.67900000000000005</v>
      </c>
      <c r="AP52">
        <v>-0.20899999999999999</v>
      </c>
      <c r="AQ52">
        <v>6.2E-2</v>
      </c>
      <c r="AR52">
        <v>0.36299999999999999</v>
      </c>
      <c r="AS52">
        <v>0.80300000000000005</v>
      </c>
      <c r="AT52">
        <v>0.71599999999999997</v>
      </c>
      <c r="AU52">
        <v>0.37</v>
      </c>
      <c r="AV52">
        <v>0.20399999999999999</v>
      </c>
      <c r="AW52">
        <v>0.92800000000000005</v>
      </c>
      <c r="AX52">
        <v>0.81100000000000005</v>
      </c>
      <c r="AY52">
        <v>0.224</v>
      </c>
      <c r="AZ52">
        <v>-0.16300000000000001</v>
      </c>
      <c r="BA52">
        <v>0.48399999999999999</v>
      </c>
      <c r="BB52">
        <v>0.54900000000000004</v>
      </c>
      <c r="BC52">
        <v>0.51200000000000001</v>
      </c>
      <c r="BD52">
        <v>0.40600000000000003</v>
      </c>
      <c r="BE52">
        <v>9.0999999999999998E-2</v>
      </c>
      <c r="BF52">
        <v>0.52200000000000002</v>
      </c>
      <c r="BG52">
        <v>-0.29599999999999999</v>
      </c>
      <c r="BH52">
        <v>-0.23300000000000001</v>
      </c>
      <c r="BI52">
        <v>0.55300000000000005</v>
      </c>
      <c r="BJ52">
        <v>-0.4</v>
      </c>
      <c r="BK52">
        <v>0.46500000000000002</v>
      </c>
      <c r="BL52">
        <v>-0.23799999999999999</v>
      </c>
      <c r="BM52">
        <v>-0.17899999999999999</v>
      </c>
    </row>
    <row r="53" spans="1:65" x14ac:dyDescent="0.3">
      <c r="A53" t="s">
        <v>218</v>
      </c>
      <c r="B53">
        <v>0</v>
      </c>
      <c r="C53">
        <v>0</v>
      </c>
      <c r="M53" t="s">
        <v>127</v>
      </c>
      <c r="N53">
        <v>1.7310000000000001</v>
      </c>
      <c r="O53">
        <v>1.974</v>
      </c>
      <c r="P53" t="s">
        <v>53</v>
      </c>
      <c r="Q53">
        <v>1.2999999999999999E-2</v>
      </c>
      <c r="R53">
        <v>1.2999999999999999E-2</v>
      </c>
      <c r="S53">
        <v>49</v>
      </c>
      <c r="T53">
        <v>-6.3E-2</v>
      </c>
      <c r="U53">
        <v>-0.33200000000000002</v>
      </c>
      <c r="V53">
        <v>-0.53900000000000003</v>
      </c>
      <c r="W53">
        <v>0.13600000000000001</v>
      </c>
      <c r="X53">
        <v>-0.34200000000000003</v>
      </c>
      <c r="Y53">
        <v>0.36099999999999999</v>
      </c>
      <c r="Z53">
        <v>0.59399999999999997</v>
      </c>
      <c r="AA53">
        <v>2.5000000000000001E-2</v>
      </c>
      <c r="AB53">
        <v>0.45700000000000002</v>
      </c>
      <c r="AC53">
        <v>0.45600000000000002</v>
      </c>
      <c r="AD53">
        <v>0.76900000000000002</v>
      </c>
      <c r="AE53">
        <v>0.80100000000000005</v>
      </c>
      <c r="AF53">
        <v>0.68200000000000005</v>
      </c>
      <c r="AG53">
        <v>-2.4E-2</v>
      </c>
      <c r="AH53">
        <v>0.21299999999999999</v>
      </c>
      <c r="AI53">
        <v>-0.29199999999999998</v>
      </c>
      <c r="AJ53">
        <v>-0.874</v>
      </c>
      <c r="AK53">
        <v>-0.77400000000000002</v>
      </c>
      <c r="AL53">
        <v>-0.38400000000000001</v>
      </c>
      <c r="AM53">
        <v>-5.1999999999999998E-2</v>
      </c>
      <c r="AN53">
        <v>-0.26200000000000001</v>
      </c>
      <c r="AO53">
        <v>-0.73699999999999999</v>
      </c>
      <c r="AP53">
        <v>0.19400000000000001</v>
      </c>
      <c r="AQ53">
        <v>0.16</v>
      </c>
      <c r="AR53">
        <v>0.222</v>
      </c>
      <c r="AS53">
        <v>0.49099999999999999</v>
      </c>
      <c r="AT53">
        <v>0.36099999999999999</v>
      </c>
      <c r="AU53">
        <v>0.12</v>
      </c>
      <c r="AV53">
        <v>0.37</v>
      </c>
      <c r="AW53">
        <v>0.13600000000000001</v>
      </c>
      <c r="AX53">
        <v>0.35399999999999998</v>
      </c>
      <c r="AY53">
        <v>0.78600000000000003</v>
      </c>
      <c r="AZ53">
        <v>0.23799999999999999</v>
      </c>
      <c r="BA53">
        <v>0.90800000000000003</v>
      </c>
      <c r="BB53">
        <v>1</v>
      </c>
      <c r="BC53">
        <v>0.46700000000000003</v>
      </c>
      <c r="BD53">
        <v>-0.13</v>
      </c>
      <c r="BE53">
        <v>9.6000000000000002E-2</v>
      </c>
      <c r="BF53">
        <v>-0.185</v>
      </c>
      <c r="BG53">
        <v>-0.39</v>
      </c>
      <c r="BH53">
        <v>0.441</v>
      </c>
      <c r="BI53">
        <v>0.58499999999999996</v>
      </c>
      <c r="BJ53">
        <v>-0.73399999999999999</v>
      </c>
      <c r="BK53">
        <v>-0.39200000000000002</v>
      </c>
      <c r="BL53">
        <v>7.9000000000000001E-2</v>
      </c>
      <c r="BM53">
        <v>-0.26200000000000001</v>
      </c>
    </row>
    <row r="54" spans="1:65" x14ac:dyDescent="0.3">
      <c r="A54" t="s">
        <v>80</v>
      </c>
      <c r="B54">
        <v>0</v>
      </c>
      <c r="C54">
        <v>0</v>
      </c>
      <c r="M54" t="s">
        <v>105</v>
      </c>
      <c r="N54">
        <v>1.71</v>
      </c>
      <c r="O54">
        <v>1.236</v>
      </c>
      <c r="P54" t="s">
        <v>57</v>
      </c>
      <c r="Q54">
        <v>1.4E-2</v>
      </c>
      <c r="R54">
        <v>1.2999999999999999E-2</v>
      </c>
      <c r="S54">
        <v>80</v>
      </c>
      <c r="T54">
        <v>-0.153</v>
      </c>
      <c r="U54">
        <v>0.29399999999999998</v>
      </c>
      <c r="V54">
        <v>7.2999999999999995E-2</v>
      </c>
      <c r="W54">
        <v>-0.18</v>
      </c>
      <c r="X54">
        <v>0.22500000000000001</v>
      </c>
      <c r="Y54">
        <v>-0.40799999999999997</v>
      </c>
      <c r="Z54">
        <v>-0.51600000000000001</v>
      </c>
      <c r="AA54">
        <v>0.44500000000000001</v>
      </c>
      <c r="AB54">
        <v>7.0999999999999994E-2</v>
      </c>
      <c r="AC54">
        <v>7.0000000000000007E-2</v>
      </c>
      <c r="AD54">
        <v>0.58699999999999997</v>
      </c>
      <c r="AE54">
        <v>0.79800000000000004</v>
      </c>
      <c r="AF54">
        <v>0.78600000000000003</v>
      </c>
      <c r="AG54">
        <v>-0.443</v>
      </c>
      <c r="AH54">
        <v>-7.4999999999999997E-2</v>
      </c>
      <c r="AI54">
        <v>1</v>
      </c>
      <c r="AJ54">
        <v>0.95299999999999996</v>
      </c>
      <c r="AK54">
        <v>0.97299999999999998</v>
      </c>
      <c r="AL54">
        <v>-0.73299999999999998</v>
      </c>
      <c r="AM54">
        <v>0.70499999999999996</v>
      </c>
      <c r="AN54">
        <v>0.54100000000000004</v>
      </c>
      <c r="AO54">
        <v>-0.29899999999999999</v>
      </c>
      <c r="AP54">
        <v>8.6999999999999994E-2</v>
      </c>
      <c r="AQ54">
        <v>0.52700000000000002</v>
      </c>
      <c r="AR54">
        <v>8.1000000000000003E-2</v>
      </c>
      <c r="AS54">
        <v>-0.33</v>
      </c>
      <c r="AT54">
        <v>-1</v>
      </c>
      <c r="AU54">
        <v>-1</v>
      </c>
      <c r="AV54">
        <v>-9.8000000000000004E-2</v>
      </c>
      <c r="AW54">
        <v>-0.42199999999999999</v>
      </c>
      <c r="AX54">
        <v>-0.60499999999999998</v>
      </c>
      <c r="AY54">
        <v>-0.56799999999999995</v>
      </c>
      <c r="AZ54">
        <v>-0.59299999999999997</v>
      </c>
      <c r="BA54">
        <v>0.109</v>
      </c>
      <c r="BB54">
        <v>-0.23499999999999999</v>
      </c>
      <c r="BC54">
        <v>4.4999999999999998E-2</v>
      </c>
      <c r="BD54">
        <v>0.27700000000000002</v>
      </c>
      <c r="BE54">
        <v>0.41199999999999998</v>
      </c>
      <c r="BF54">
        <v>0.46899999999999997</v>
      </c>
      <c r="BG54">
        <v>0.56699999999999995</v>
      </c>
      <c r="BH54">
        <v>0.38600000000000001</v>
      </c>
      <c r="BI54">
        <v>3.6999999999999998E-2</v>
      </c>
      <c r="BJ54">
        <v>-0.27</v>
      </c>
      <c r="BK54">
        <v>1</v>
      </c>
      <c r="BL54">
        <v>0.40500000000000003</v>
      </c>
      <c r="BM54">
        <v>0.626</v>
      </c>
    </row>
    <row r="55" spans="1:65" x14ac:dyDescent="0.3">
      <c r="A55" t="s">
        <v>191</v>
      </c>
      <c r="B55">
        <v>0</v>
      </c>
      <c r="C55">
        <v>0</v>
      </c>
      <c r="M55" t="s">
        <v>145</v>
      </c>
      <c r="N55">
        <v>1.71</v>
      </c>
      <c r="O55">
        <v>1.2330000000000001</v>
      </c>
      <c r="P55" t="s">
        <v>57</v>
      </c>
      <c r="Q55">
        <v>7.0000000000000001E-3</v>
      </c>
      <c r="R55">
        <v>7.0000000000000001E-3</v>
      </c>
      <c r="S55">
        <v>80</v>
      </c>
      <c r="T55">
        <v>6.0000000000000001E-3</v>
      </c>
      <c r="U55">
        <v>-9.4E-2</v>
      </c>
      <c r="V55">
        <v>-0.16</v>
      </c>
      <c r="W55">
        <v>-3.4000000000000002E-2</v>
      </c>
      <c r="X55">
        <v>-0.221</v>
      </c>
      <c r="Y55">
        <v>-1.2999999999999999E-2</v>
      </c>
      <c r="Z55">
        <v>-9.8000000000000004E-2</v>
      </c>
      <c r="AA55">
        <v>-5.0999999999999997E-2</v>
      </c>
      <c r="AB55">
        <v>0.50700000000000001</v>
      </c>
      <c r="AC55">
        <v>0.505</v>
      </c>
      <c r="AD55">
        <v>0.90200000000000002</v>
      </c>
      <c r="AE55">
        <v>0.85699999999999998</v>
      </c>
      <c r="AF55">
        <v>0.85199999999999998</v>
      </c>
      <c r="AG55">
        <v>-0.41</v>
      </c>
      <c r="AH55">
        <v>-0.11700000000000001</v>
      </c>
      <c r="AI55">
        <v>6.0999999999999999E-2</v>
      </c>
      <c r="AJ55">
        <v>-0.72399999999999998</v>
      </c>
      <c r="AK55">
        <v>0.127</v>
      </c>
      <c r="AL55">
        <v>-0.04</v>
      </c>
      <c r="AM55">
        <v>-0.216</v>
      </c>
      <c r="AN55">
        <v>-0.40200000000000002</v>
      </c>
      <c r="AO55">
        <v>-0.58799999999999997</v>
      </c>
      <c r="AP55">
        <v>-0.48099999999999998</v>
      </c>
      <c r="AQ55">
        <v>0.26300000000000001</v>
      </c>
      <c r="AR55">
        <v>0.69199999999999995</v>
      </c>
      <c r="AS55">
        <v>0.432</v>
      </c>
      <c r="AT55">
        <v>0.57999999999999996</v>
      </c>
      <c r="AU55">
        <v>0.41599999999999998</v>
      </c>
      <c r="AV55">
        <v>0.28999999999999998</v>
      </c>
      <c r="AW55">
        <v>-0.11</v>
      </c>
      <c r="AX55">
        <v>0.16600000000000001</v>
      </c>
      <c r="AY55">
        <v>0.34599999999999997</v>
      </c>
      <c r="AZ55">
        <v>0.185</v>
      </c>
      <c r="BA55">
        <v>0.66800000000000004</v>
      </c>
      <c r="BB55">
        <v>1</v>
      </c>
      <c r="BC55">
        <v>0.48499999999999999</v>
      </c>
      <c r="BD55">
        <v>-0.68200000000000005</v>
      </c>
      <c r="BE55">
        <v>-0.14699999999999999</v>
      </c>
      <c r="BF55">
        <v>-0.60399999999999998</v>
      </c>
      <c r="BG55">
        <v>0.25900000000000001</v>
      </c>
      <c r="BH55">
        <v>-0.67100000000000004</v>
      </c>
      <c r="BI55">
        <v>0.221</v>
      </c>
      <c r="BJ55">
        <v>-1</v>
      </c>
      <c r="BK55">
        <v>0.27400000000000002</v>
      </c>
      <c r="BL55">
        <v>0.92300000000000004</v>
      </c>
      <c r="BM55">
        <v>0.38800000000000001</v>
      </c>
    </row>
    <row r="56" spans="1:65" x14ac:dyDescent="0.3">
      <c r="A56" t="s">
        <v>597</v>
      </c>
      <c r="B56">
        <v>9.6037182535170205E-3</v>
      </c>
      <c r="C56">
        <v>0</v>
      </c>
      <c r="M56" t="s">
        <v>62</v>
      </c>
      <c r="N56">
        <v>1.603</v>
      </c>
      <c r="O56">
        <v>3.1840000000000002</v>
      </c>
      <c r="P56" t="s">
        <v>55</v>
      </c>
      <c r="Q56">
        <v>1.6E-2</v>
      </c>
      <c r="R56">
        <v>-8.0000000000000002E-3</v>
      </c>
      <c r="S56">
        <v>80</v>
      </c>
      <c r="T56">
        <v>-0.30199999999999999</v>
      </c>
      <c r="U56">
        <v>-0.313</v>
      </c>
      <c r="V56">
        <v>-0.52800000000000002</v>
      </c>
      <c r="W56">
        <v>9.5000000000000001E-2</v>
      </c>
      <c r="X56">
        <v>-0.189</v>
      </c>
      <c r="Y56">
        <v>9.2999999999999999E-2</v>
      </c>
      <c r="Z56">
        <v>0.35199999999999998</v>
      </c>
      <c r="AA56">
        <v>0.125</v>
      </c>
      <c r="AB56">
        <v>0.42099999999999999</v>
      </c>
      <c r="AC56">
        <v>0.42299999999999999</v>
      </c>
      <c r="AD56">
        <v>0.84099999999999997</v>
      </c>
      <c r="AE56">
        <v>0.78800000000000003</v>
      </c>
      <c r="AF56">
        <v>0.68</v>
      </c>
      <c r="AG56">
        <v>0.39800000000000002</v>
      </c>
      <c r="AH56">
        <v>-0.14000000000000001</v>
      </c>
      <c r="AI56">
        <v>0.35499999999999998</v>
      </c>
      <c r="AJ56">
        <v>-0.55200000000000005</v>
      </c>
      <c r="AK56">
        <v>-0.55400000000000005</v>
      </c>
      <c r="AL56">
        <v>-0.41099999999999998</v>
      </c>
      <c r="AM56">
        <v>0.40799999999999997</v>
      </c>
      <c r="AN56">
        <v>-0.222</v>
      </c>
      <c r="AO56">
        <v>-0.34300000000000003</v>
      </c>
      <c r="AP56">
        <v>-0.26900000000000002</v>
      </c>
      <c r="AQ56">
        <v>0.13800000000000001</v>
      </c>
      <c r="AR56">
        <v>-0.39800000000000002</v>
      </c>
      <c r="AS56">
        <v>-1.4E-2</v>
      </c>
      <c r="AT56">
        <v>-0.52400000000000002</v>
      </c>
      <c r="AU56">
        <v>-0.79100000000000004</v>
      </c>
      <c r="AV56">
        <v>0.17199999999999999</v>
      </c>
      <c r="AW56">
        <v>0.26400000000000001</v>
      </c>
      <c r="AX56">
        <v>0.438</v>
      </c>
      <c r="AY56">
        <v>0.71</v>
      </c>
      <c r="AZ56">
        <v>-9.5000000000000001E-2</v>
      </c>
      <c r="BA56">
        <v>-0.214</v>
      </c>
      <c r="BB56">
        <v>0.36299999999999999</v>
      </c>
      <c r="BC56">
        <v>0.21</v>
      </c>
      <c r="BD56">
        <v>1.7999999999999999E-2</v>
      </c>
      <c r="BE56">
        <v>0.47699999999999998</v>
      </c>
      <c r="BF56">
        <v>0.41099999999999998</v>
      </c>
      <c r="BG56">
        <v>-0.21</v>
      </c>
      <c r="BH56">
        <v>0.59099999999999997</v>
      </c>
      <c r="BI56">
        <v>0.379</v>
      </c>
      <c r="BJ56">
        <v>-0.76700000000000002</v>
      </c>
      <c r="BK56">
        <v>-2E-3</v>
      </c>
      <c r="BL56">
        <v>-7.0000000000000007E-2</v>
      </c>
      <c r="BM56">
        <v>0.109</v>
      </c>
    </row>
    <row r="57" spans="1:65" x14ac:dyDescent="0.3">
      <c r="A57" t="s">
        <v>181</v>
      </c>
      <c r="B57">
        <v>0</v>
      </c>
      <c r="C57">
        <v>0</v>
      </c>
      <c r="M57" t="s">
        <v>96</v>
      </c>
      <c r="N57">
        <v>1.573</v>
      </c>
      <c r="O57">
        <v>2.3660000000000001</v>
      </c>
      <c r="P57" t="s">
        <v>57</v>
      </c>
      <c r="Q57">
        <v>1.7000000000000001E-2</v>
      </c>
      <c r="R57">
        <v>3.0000000000000001E-3</v>
      </c>
      <c r="S57">
        <v>63</v>
      </c>
      <c r="T57">
        <v>-7.0999999999999994E-2</v>
      </c>
      <c r="U57">
        <v>-0.74199999999999999</v>
      </c>
      <c r="V57">
        <v>-0.29099999999999998</v>
      </c>
      <c r="W57">
        <v>0.33</v>
      </c>
      <c r="X57">
        <v>-0.255</v>
      </c>
      <c r="Y57">
        <v>0.19700000000000001</v>
      </c>
      <c r="Z57">
        <v>0.27800000000000002</v>
      </c>
      <c r="AA57">
        <v>0.13600000000000001</v>
      </c>
      <c r="AB57">
        <v>0.29599999999999999</v>
      </c>
      <c r="AC57">
        <v>0.29599999999999999</v>
      </c>
      <c r="AD57">
        <v>0.76100000000000001</v>
      </c>
      <c r="AE57">
        <v>0.56399999999999995</v>
      </c>
      <c r="AF57">
        <v>0.54600000000000004</v>
      </c>
      <c r="AG57">
        <v>1</v>
      </c>
      <c r="AH57">
        <v>0.29799999999999999</v>
      </c>
      <c r="AI57">
        <v>-0.85799999999999998</v>
      </c>
      <c r="AJ57">
        <v>-0.61699999999999999</v>
      </c>
      <c r="AK57">
        <v>-0.755</v>
      </c>
      <c r="AL57">
        <v>-3.0000000000000001E-3</v>
      </c>
      <c r="AM57">
        <v>-7.3999999999999996E-2</v>
      </c>
      <c r="AN57">
        <v>0.39100000000000001</v>
      </c>
      <c r="AO57">
        <v>-0.874</v>
      </c>
      <c r="AP57">
        <v>0.27</v>
      </c>
      <c r="AQ57">
        <v>-0.32900000000000001</v>
      </c>
      <c r="AR57">
        <v>-0.57299999999999995</v>
      </c>
      <c r="AS57">
        <v>0.38800000000000001</v>
      </c>
      <c r="AT57">
        <v>0.33400000000000002</v>
      </c>
      <c r="AU57">
        <v>4.2999999999999997E-2</v>
      </c>
      <c r="AV57">
        <v>1</v>
      </c>
      <c r="AW57">
        <v>-5.2999999999999999E-2</v>
      </c>
      <c r="AX57">
        <v>0.85599999999999998</v>
      </c>
      <c r="AY57">
        <v>0.111</v>
      </c>
      <c r="AZ57">
        <v>0.34</v>
      </c>
      <c r="BA57">
        <v>0.76900000000000002</v>
      </c>
      <c r="BB57">
        <v>0.98499999999999999</v>
      </c>
      <c r="BC57">
        <v>0.35499999999999998</v>
      </c>
      <c r="BD57">
        <v>-0.81399999999999995</v>
      </c>
      <c r="BE57">
        <v>-0.158</v>
      </c>
      <c r="BF57">
        <v>0.20200000000000001</v>
      </c>
      <c r="BG57">
        <v>0.13300000000000001</v>
      </c>
      <c r="BH57">
        <v>-0.20699999999999999</v>
      </c>
      <c r="BI57">
        <v>1E-3</v>
      </c>
      <c r="BJ57">
        <v>-0.94399999999999995</v>
      </c>
      <c r="BK57">
        <v>0.30399999999999999</v>
      </c>
      <c r="BL57">
        <v>-0.53100000000000003</v>
      </c>
      <c r="BM57">
        <v>-0.35799999999999998</v>
      </c>
    </row>
    <row r="58" spans="1:65" x14ac:dyDescent="0.3">
      <c r="A58" t="s">
        <v>598</v>
      </c>
      <c r="B58">
        <v>1.3710622167563099E-2</v>
      </c>
      <c r="C58">
        <v>2.68385389447422E-2</v>
      </c>
      <c r="M58" t="s">
        <v>188</v>
      </c>
      <c r="N58">
        <v>1.4990000000000001</v>
      </c>
      <c r="O58">
        <v>1.881</v>
      </c>
      <c r="P58" t="s">
        <v>55</v>
      </c>
      <c r="Q58">
        <v>0.02</v>
      </c>
      <c r="R58">
        <v>0.02</v>
      </c>
      <c r="S58">
        <v>33</v>
      </c>
      <c r="T58">
        <v>-0.214</v>
      </c>
      <c r="U58">
        <v>-0.21</v>
      </c>
      <c r="V58">
        <v>-0.80400000000000005</v>
      </c>
      <c r="W58">
        <v>-0.109</v>
      </c>
      <c r="X58">
        <v>-0.51500000000000001</v>
      </c>
      <c r="Y58">
        <v>0.17399999999999999</v>
      </c>
      <c r="Z58">
        <v>0.36199999999999999</v>
      </c>
      <c r="AA58">
        <v>-2.9000000000000001E-2</v>
      </c>
      <c r="AB58">
        <v>0.40500000000000003</v>
      </c>
      <c r="AC58">
        <v>0.40699999999999997</v>
      </c>
      <c r="AD58">
        <v>0.80400000000000005</v>
      </c>
      <c r="AE58">
        <v>0.81799999999999995</v>
      </c>
      <c r="AF58">
        <v>0.72799999999999998</v>
      </c>
      <c r="AG58">
        <v>-0.42899999999999999</v>
      </c>
      <c r="AH58">
        <v>-0.252</v>
      </c>
      <c r="AI58">
        <v>0.14899999999999999</v>
      </c>
      <c r="AJ58">
        <v>-1</v>
      </c>
      <c r="AK58">
        <v>-0.65</v>
      </c>
      <c r="AL58">
        <v>-0.84599999999999997</v>
      </c>
      <c r="AM58">
        <v>-0.378</v>
      </c>
      <c r="AN58">
        <v>-0.33600000000000002</v>
      </c>
      <c r="AO58">
        <v>-0.55300000000000005</v>
      </c>
      <c r="AP58">
        <v>-0.317</v>
      </c>
      <c r="AQ58">
        <v>0.41299999999999998</v>
      </c>
      <c r="AR58">
        <v>0.52900000000000003</v>
      </c>
      <c r="AS58">
        <v>0.46899999999999997</v>
      </c>
      <c r="AT58">
        <v>1</v>
      </c>
      <c r="AU58">
        <v>0.65</v>
      </c>
      <c r="AV58">
        <v>-0.216</v>
      </c>
      <c r="AW58">
        <v>2E-3</v>
      </c>
      <c r="AX58">
        <v>0.17899999999999999</v>
      </c>
      <c r="AY58">
        <v>0.33</v>
      </c>
      <c r="AZ58">
        <v>-0.58199999999999996</v>
      </c>
      <c r="BA58">
        <v>0.63900000000000001</v>
      </c>
      <c r="BB58">
        <v>0.43</v>
      </c>
      <c r="BC58">
        <v>0.80500000000000005</v>
      </c>
      <c r="BD58">
        <v>-7.3999999999999996E-2</v>
      </c>
      <c r="BE58">
        <v>-0.29499999999999998</v>
      </c>
      <c r="BF58">
        <v>0.70899999999999996</v>
      </c>
      <c r="BG58">
        <v>0.24199999999999999</v>
      </c>
      <c r="BH58">
        <v>0.61399999999999999</v>
      </c>
      <c r="BI58">
        <v>0.753</v>
      </c>
      <c r="BJ58">
        <v>-0.71899999999999997</v>
      </c>
      <c r="BK58">
        <v>9.7000000000000003E-2</v>
      </c>
      <c r="BL58">
        <v>0.21299999999999999</v>
      </c>
      <c r="BM58">
        <v>-1</v>
      </c>
    </row>
    <row r="59" spans="1:65" x14ac:dyDescent="0.3">
      <c r="A59" t="s">
        <v>108</v>
      </c>
      <c r="B59">
        <v>0</v>
      </c>
      <c r="C59">
        <v>0</v>
      </c>
      <c r="M59" t="s">
        <v>93</v>
      </c>
      <c r="N59">
        <v>1.488</v>
      </c>
      <c r="O59">
        <v>3.1890000000000001</v>
      </c>
      <c r="P59" t="s">
        <v>55</v>
      </c>
      <c r="Q59">
        <v>2.5999999999999999E-2</v>
      </c>
      <c r="R59">
        <v>-1.4999999999999999E-2</v>
      </c>
      <c r="S59">
        <v>36</v>
      </c>
      <c r="T59">
        <v>-0.26300000000000001</v>
      </c>
      <c r="U59">
        <v>-0.16400000000000001</v>
      </c>
      <c r="V59">
        <v>-0.69699999999999995</v>
      </c>
      <c r="W59">
        <v>-0.217</v>
      </c>
      <c r="X59">
        <v>-0.44500000000000001</v>
      </c>
      <c r="Y59">
        <v>0.25700000000000001</v>
      </c>
      <c r="Z59">
        <v>0.68600000000000005</v>
      </c>
      <c r="AA59">
        <v>-1.2999999999999999E-2</v>
      </c>
      <c r="AB59">
        <v>0.314</v>
      </c>
      <c r="AC59">
        <v>0.313</v>
      </c>
      <c r="AD59">
        <v>0.77</v>
      </c>
      <c r="AE59">
        <v>0.76400000000000001</v>
      </c>
      <c r="AF59">
        <v>0.624</v>
      </c>
      <c r="AG59">
        <v>-8.5000000000000006E-2</v>
      </c>
      <c r="AH59">
        <v>-0.38500000000000001</v>
      </c>
      <c r="AI59">
        <v>-3.6999999999999998E-2</v>
      </c>
      <c r="AJ59">
        <v>-0.76800000000000002</v>
      </c>
      <c r="AK59">
        <v>-0.25</v>
      </c>
      <c r="AL59">
        <v>-0.53100000000000003</v>
      </c>
      <c r="AM59">
        <v>-0.11700000000000001</v>
      </c>
      <c r="AN59">
        <v>-0.122</v>
      </c>
      <c r="AO59">
        <v>-0.53400000000000003</v>
      </c>
      <c r="AP59">
        <v>0.129</v>
      </c>
      <c r="AQ59">
        <v>0.129</v>
      </c>
      <c r="AR59">
        <v>0.32900000000000001</v>
      </c>
      <c r="AS59">
        <v>-0.251</v>
      </c>
      <c r="AT59">
        <v>0.27800000000000002</v>
      </c>
      <c r="AU59">
        <v>-0.41399999999999998</v>
      </c>
      <c r="AV59">
        <v>-0.10299999999999999</v>
      </c>
      <c r="AW59">
        <v>0.81200000000000006</v>
      </c>
      <c r="AX59">
        <v>0.20599999999999999</v>
      </c>
      <c r="AY59">
        <v>0.316</v>
      </c>
      <c r="AZ59">
        <v>0.29399999999999998</v>
      </c>
      <c r="BA59">
        <v>0.51</v>
      </c>
      <c r="BB59">
        <v>0.45300000000000001</v>
      </c>
      <c r="BC59">
        <v>-0.314</v>
      </c>
      <c r="BD59">
        <v>0.216</v>
      </c>
      <c r="BE59">
        <v>0.216</v>
      </c>
      <c r="BF59">
        <v>0.503</v>
      </c>
      <c r="BG59">
        <v>-0.108</v>
      </c>
      <c r="BH59">
        <v>-0.22600000000000001</v>
      </c>
      <c r="BI59">
        <v>0.76100000000000001</v>
      </c>
      <c r="BJ59">
        <v>-0.45700000000000002</v>
      </c>
      <c r="BK59">
        <v>0.38200000000000001</v>
      </c>
      <c r="BL59">
        <v>-0.60699999999999998</v>
      </c>
      <c r="BM59">
        <v>-0.40400000000000003</v>
      </c>
    </row>
    <row r="60" spans="1:65" x14ac:dyDescent="0.3">
      <c r="A60" t="s">
        <v>104</v>
      </c>
      <c r="B60">
        <v>0</v>
      </c>
      <c r="C60">
        <v>0</v>
      </c>
      <c r="M60" t="s">
        <v>131</v>
      </c>
      <c r="N60">
        <v>1.4590000000000001</v>
      </c>
      <c r="O60">
        <v>2.0939999999999999</v>
      </c>
      <c r="P60" t="s">
        <v>71</v>
      </c>
      <c r="Q60">
        <v>1.0999999999999999E-2</v>
      </c>
      <c r="R60">
        <v>1E-3</v>
      </c>
      <c r="S60">
        <v>70</v>
      </c>
      <c r="T60">
        <v>-0.62</v>
      </c>
      <c r="U60">
        <v>0.30199999999999999</v>
      </c>
      <c r="V60">
        <v>-0.76900000000000002</v>
      </c>
      <c r="W60">
        <v>-0.52400000000000002</v>
      </c>
      <c r="X60">
        <v>-0.27400000000000002</v>
      </c>
      <c r="Y60">
        <v>-0.13800000000000001</v>
      </c>
      <c r="Z60">
        <v>-0.11700000000000001</v>
      </c>
      <c r="AA60">
        <v>0.36699999999999999</v>
      </c>
      <c r="AB60">
        <v>0.54200000000000004</v>
      </c>
      <c r="AC60">
        <v>0.54200000000000004</v>
      </c>
      <c r="AD60">
        <v>0.503</v>
      </c>
      <c r="AE60">
        <v>0.63200000000000001</v>
      </c>
      <c r="AF60">
        <v>0.76700000000000002</v>
      </c>
      <c r="AG60">
        <v>-0.84599999999999997</v>
      </c>
      <c r="AH60">
        <v>-0.82899999999999996</v>
      </c>
      <c r="AI60">
        <v>1</v>
      </c>
      <c r="AJ60">
        <v>-0.27500000000000002</v>
      </c>
      <c r="AK60">
        <v>0.75</v>
      </c>
      <c r="AL60">
        <v>-0.72099999999999997</v>
      </c>
      <c r="AM60">
        <v>-0.316</v>
      </c>
      <c r="AN60">
        <v>0.35799999999999998</v>
      </c>
      <c r="AO60">
        <v>-0.127</v>
      </c>
      <c r="AP60">
        <v>0.03</v>
      </c>
      <c r="AQ60">
        <v>0.496</v>
      </c>
      <c r="AR60">
        <v>0.98299999999999998</v>
      </c>
      <c r="AS60">
        <v>-0.51100000000000001</v>
      </c>
      <c r="AT60">
        <v>-0.16</v>
      </c>
      <c r="AU60">
        <v>-0.52100000000000002</v>
      </c>
      <c r="AV60">
        <v>2E-3</v>
      </c>
      <c r="AW60">
        <v>8.7999999999999995E-2</v>
      </c>
      <c r="AX60">
        <v>-0.79800000000000004</v>
      </c>
      <c r="AY60">
        <v>0.33800000000000002</v>
      </c>
      <c r="AZ60">
        <v>0.156</v>
      </c>
      <c r="BA60">
        <v>0.80400000000000005</v>
      </c>
      <c r="BB60">
        <v>0.28100000000000003</v>
      </c>
      <c r="BC60">
        <v>-0.17499999999999999</v>
      </c>
      <c r="BD60">
        <v>-8.1000000000000003E-2</v>
      </c>
      <c r="BE60">
        <v>-0.47399999999999998</v>
      </c>
      <c r="BF60">
        <v>-0.24199999999999999</v>
      </c>
      <c r="BG60">
        <v>-0.22900000000000001</v>
      </c>
      <c r="BH60">
        <v>2.8000000000000001E-2</v>
      </c>
      <c r="BI60">
        <v>0.48299999999999998</v>
      </c>
      <c r="BJ60">
        <v>-0.13600000000000001</v>
      </c>
      <c r="BK60">
        <v>-0.95699999999999996</v>
      </c>
      <c r="BL60">
        <v>-0.49</v>
      </c>
      <c r="BM60">
        <v>0.46500000000000002</v>
      </c>
    </row>
    <row r="61" spans="1:65" x14ac:dyDescent="0.3">
      <c r="A61" t="s">
        <v>124</v>
      </c>
      <c r="B61">
        <v>0</v>
      </c>
      <c r="C61">
        <v>3.8237643673972699E-2</v>
      </c>
      <c r="M61" t="s">
        <v>201</v>
      </c>
      <c r="N61">
        <v>1.44</v>
      </c>
      <c r="O61">
        <v>1.081</v>
      </c>
      <c r="P61" t="s">
        <v>71</v>
      </c>
      <c r="Q61">
        <v>0.01</v>
      </c>
      <c r="R61">
        <v>0.01</v>
      </c>
      <c r="S61">
        <v>80</v>
      </c>
      <c r="T61">
        <v>2E-3</v>
      </c>
      <c r="U61">
        <v>0.64300000000000002</v>
      </c>
      <c r="V61">
        <v>0.04</v>
      </c>
      <c r="W61">
        <v>-0.309</v>
      </c>
      <c r="X61">
        <v>0.13300000000000001</v>
      </c>
      <c r="Y61">
        <v>-0.26200000000000001</v>
      </c>
      <c r="Z61">
        <v>-0.55800000000000005</v>
      </c>
      <c r="AA61">
        <v>-0.47699999999999998</v>
      </c>
      <c r="AB61">
        <v>0.34100000000000003</v>
      </c>
      <c r="AC61">
        <v>0.34200000000000003</v>
      </c>
      <c r="AD61">
        <v>0.96299999999999997</v>
      </c>
      <c r="AE61">
        <v>1</v>
      </c>
      <c r="AF61">
        <v>0.90600000000000003</v>
      </c>
      <c r="AG61">
        <v>-0.151</v>
      </c>
      <c r="AH61">
        <v>-0.185</v>
      </c>
      <c r="AI61">
        <v>0.86899999999999999</v>
      </c>
      <c r="AJ61">
        <v>0.80900000000000005</v>
      </c>
      <c r="AK61">
        <v>0.67</v>
      </c>
      <c r="AL61">
        <v>-0.65700000000000003</v>
      </c>
      <c r="AM61">
        <v>0.33100000000000002</v>
      </c>
      <c r="AN61">
        <v>-0.86399999999999999</v>
      </c>
      <c r="AO61">
        <v>0.44900000000000001</v>
      </c>
      <c r="AP61">
        <v>-0.16700000000000001</v>
      </c>
      <c r="AQ61">
        <v>-2.9000000000000001E-2</v>
      </c>
      <c r="AR61">
        <v>0.52200000000000002</v>
      </c>
      <c r="AS61">
        <v>-1</v>
      </c>
      <c r="AT61">
        <v>0.91700000000000004</v>
      </c>
      <c r="AU61">
        <v>7.0000000000000007E-2</v>
      </c>
      <c r="AV61">
        <v>-0.21199999999999999</v>
      </c>
      <c r="AW61">
        <v>-0.39800000000000002</v>
      </c>
      <c r="AX61">
        <v>-0.26200000000000001</v>
      </c>
      <c r="AY61">
        <v>0.22600000000000001</v>
      </c>
      <c r="AZ61">
        <v>-0.13200000000000001</v>
      </c>
      <c r="BA61">
        <v>-3.9E-2</v>
      </c>
      <c r="BB61">
        <v>-0.92500000000000004</v>
      </c>
      <c r="BC61">
        <v>0.72</v>
      </c>
      <c r="BD61">
        <v>3.4000000000000002E-2</v>
      </c>
      <c r="BE61">
        <v>6.4000000000000001E-2</v>
      </c>
      <c r="BF61">
        <v>2.3E-2</v>
      </c>
      <c r="BG61">
        <v>1.7000000000000001E-2</v>
      </c>
      <c r="BH61">
        <v>0.33900000000000002</v>
      </c>
      <c r="BI61">
        <v>0.39700000000000002</v>
      </c>
      <c r="BJ61">
        <v>0.44400000000000001</v>
      </c>
      <c r="BK61">
        <v>-0.56799999999999995</v>
      </c>
      <c r="BL61">
        <v>0.627</v>
      </c>
      <c r="BM61">
        <v>0.82799999999999996</v>
      </c>
    </row>
    <row r="62" spans="1:65" x14ac:dyDescent="0.3">
      <c r="A62" t="s">
        <v>142</v>
      </c>
      <c r="B62">
        <v>0</v>
      </c>
      <c r="C62">
        <v>0</v>
      </c>
      <c r="M62" t="s">
        <v>184</v>
      </c>
      <c r="N62">
        <v>1.4330000000000001</v>
      </c>
      <c r="O62">
        <v>1.7310000000000001</v>
      </c>
      <c r="P62" t="s">
        <v>57</v>
      </c>
      <c r="Q62">
        <v>0</v>
      </c>
      <c r="R62">
        <v>0</v>
      </c>
      <c r="S62">
        <v>8</v>
      </c>
      <c r="T62">
        <v>-0.18099999999999999</v>
      </c>
      <c r="U62">
        <v>-0.20100000000000001</v>
      </c>
      <c r="V62">
        <v>-0.82499999999999996</v>
      </c>
      <c r="W62">
        <v>-3.6999999999999998E-2</v>
      </c>
      <c r="X62">
        <v>-0.53400000000000003</v>
      </c>
      <c r="Y62">
        <v>0.22600000000000001</v>
      </c>
      <c r="Z62">
        <v>0.749</v>
      </c>
      <c r="AA62">
        <v>-0.17499999999999999</v>
      </c>
      <c r="AB62">
        <v>0.39500000000000002</v>
      </c>
      <c r="AC62">
        <v>0.39600000000000002</v>
      </c>
      <c r="AD62">
        <v>0.70099999999999996</v>
      </c>
      <c r="AE62">
        <v>0.72399999999999998</v>
      </c>
      <c r="AF62">
        <v>0.626</v>
      </c>
      <c r="AG62">
        <v>-3.1E-2</v>
      </c>
      <c r="AH62">
        <v>-0.59599999999999997</v>
      </c>
      <c r="AI62">
        <v>-0.32</v>
      </c>
      <c r="AJ62">
        <v>-0.999</v>
      </c>
      <c r="AK62">
        <v>-0.751</v>
      </c>
      <c r="AL62">
        <v>-0.73599999999999999</v>
      </c>
      <c r="AM62">
        <v>-0.38</v>
      </c>
      <c r="AN62">
        <v>-0.52900000000000003</v>
      </c>
      <c r="AO62">
        <v>-0.998</v>
      </c>
      <c r="AP62">
        <v>-0.20499999999999999</v>
      </c>
      <c r="AQ62">
        <v>0.314</v>
      </c>
      <c r="AR62">
        <v>0.40799999999999997</v>
      </c>
      <c r="AS62">
        <v>0.22500000000000001</v>
      </c>
      <c r="AT62">
        <v>0.435</v>
      </c>
      <c r="AU62">
        <v>0.78</v>
      </c>
      <c r="AV62">
        <v>0.45200000000000001</v>
      </c>
      <c r="AW62">
        <v>1</v>
      </c>
      <c r="AX62">
        <v>0.74</v>
      </c>
      <c r="AY62">
        <v>-2.1000000000000001E-2</v>
      </c>
      <c r="AZ62">
        <v>0.161</v>
      </c>
      <c r="BA62">
        <v>0.17699999999999999</v>
      </c>
      <c r="BB62">
        <v>-6.9000000000000006E-2</v>
      </c>
      <c r="BC62">
        <v>0.44600000000000001</v>
      </c>
      <c r="BD62">
        <v>0.23699999999999999</v>
      </c>
      <c r="BE62">
        <v>0.28000000000000003</v>
      </c>
      <c r="BF62">
        <v>0.41099999999999998</v>
      </c>
      <c r="BG62">
        <v>3.9E-2</v>
      </c>
      <c r="BH62">
        <v>0.23300000000000001</v>
      </c>
      <c r="BI62">
        <v>0.90600000000000003</v>
      </c>
      <c r="BJ62">
        <v>-0.35799999999999998</v>
      </c>
      <c r="BK62">
        <v>0.315</v>
      </c>
      <c r="BL62">
        <v>-0.504</v>
      </c>
      <c r="BM62">
        <v>-0.78900000000000003</v>
      </c>
    </row>
    <row r="63" spans="1:65" x14ac:dyDescent="0.3">
      <c r="A63" t="s">
        <v>74</v>
      </c>
      <c r="B63">
        <v>8.7643798142093901E-3</v>
      </c>
      <c r="C63">
        <v>0</v>
      </c>
      <c r="M63" t="s">
        <v>205</v>
      </c>
      <c r="N63">
        <v>1.381</v>
      </c>
      <c r="O63">
        <v>1.661</v>
      </c>
      <c r="P63" t="s">
        <v>57</v>
      </c>
      <c r="Q63">
        <v>1.9E-2</v>
      </c>
      <c r="R63">
        <v>1.9E-2</v>
      </c>
      <c r="S63">
        <v>20</v>
      </c>
      <c r="T63">
        <v>-0.39900000000000002</v>
      </c>
      <c r="U63">
        <v>-0.157</v>
      </c>
      <c r="V63">
        <v>-0.88600000000000001</v>
      </c>
      <c r="W63">
        <v>-8.7999999999999995E-2</v>
      </c>
      <c r="X63">
        <v>-0.48199999999999998</v>
      </c>
      <c r="Y63">
        <v>-0.26500000000000001</v>
      </c>
      <c r="Z63">
        <v>-0.34799999999999998</v>
      </c>
      <c r="AA63">
        <v>0.10299999999999999</v>
      </c>
      <c r="AB63">
        <v>0.64300000000000002</v>
      </c>
      <c r="AC63">
        <v>0.64500000000000002</v>
      </c>
      <c r="AD63">
        <v>0.72599999999999998</v>
      </c>
      <c r="AE63">
        <v>0.8</v>
      </c>
      <c r="AF63">
        <v>0.81</v>
      </c>
      <c r="AG63">
        <v>-0.46899999999999997</v>
      </c>
      <c r="AH63">
        <v>-0.34799999999999998</v>
      </c>
      <c r="AI63">
        <v>0.52900000000000003</v>
      </c>
      <c r="AJ63">
        <v>-0.92200000000000004</v>
      </c>
      <c r="AK63">
        <v>-0.39800000000000002</v>
      </c>
      <c r="AL63">
        <v>-0.97</v>
      </c>
      <c r="AM63">
        <v>-4.8000000000000001E-2</v>
      </c>
      <c r="AN63">
        <v>-0.378</v>
      </c>
      <c r="AO63">
        <v>-0.65100000000000002</v>
      </c>
      <c r="AP63">
        <v>-0.28000000000000003</v>
      </c>
      <c r="AQ63">
        <v>0.70699999999999996</v>
      </c>
      <c r="AR63">
        <v>0.44400000000000001</v>
      </c>
      <c r="AS63">
        <v>0.27800000000000002</v>
      </c>
      <c r="AT63">
        <v>0.88500000000000001</v>
      </c>
      <c r="AU63">
        <v>0.39700000000000002</v>
      </c>
      <c r="AV63">
        <v>0.52900000000000003</v>
      </c>
      <c r="AW63">
        <v>-0.61599999999999999</v>
      </c>
      <c r="AX63">
        <v>-7.0000000000000001E-3</v>
      </c>
      <c r="AY63">
        <v>0.184</v>
      </c>
      <c r="AZ63">
        <v>-0.36699999999999999</v>
      </c>
      <c r="BA63">
        <v>0.53200000000000003</v>
      </c>
      <c r="BB63">
        <v>0.57799999999999996</v>
      </c>
      <c r="BC63">
        <v>-4.2999999999999997E-2</v>
      </c>
      <c r="BD63">
        <v>-0.11700000000000001</v>
      </c>
      <c r="BE63">
        <v>0.11899999999999999</v>
      </c>
      <c r="BF63">
        <v>0.78100000000000003</v>
      </c>
      <c r="BG63">
        <v>-0.87</v>
      </c>
      <c r="BH63">
        <v>-0.64600000000000002</v>
      </c>
      <c r="BI63">
        <v>0.41699999999999998</v>
      </c>
      <c r="BJ63">
        <v>-0.70099999999999996</v>
      </c>
      <c r="BK63">
        <v>-0.314</v>
      </c>
      <c r="BL63">
        <v>-0.41099999999999998</v>
      </c>
      <c r="BM63">
        <v>-0.57699999999999996</v>
      </c>
    </row>
    <row r="64" spans="1:65" x14ac:dyDescent="0.3">
      <c r="A64" t="s">
        <v>106</v>
      </c>
      <c r="B64">
        <v>9.1995543410352404E-3</v>
      </c>
      <c r="C64">
        <v>0</v>
      </c>
      <c r="M64" t="s">
        <v>153</v>
      </c>
      <c r="N64">
        <v>1.349</v>
      </c>
      <c r="O64">
        <v>1.444</v>
      </c>
      <c r="P64" t="s">
        <v>57</v>
      </c>
      <c r="Q64">
        <v>1.7999999999999999E-2</v>
      </c>
      <c r="R64">
        <v>1.7999999999999999E-2</v>
      </c>
      <c r="S64">
        <v>22</v>
      </c>
      <c r="T64">
        <v>-0.41199999999999998</v>
      </c>
      <c r="U64">
        <v>-8.7999999999999995E-2</v>
      </c>
      <c r="V64">
        <v>-0.88500000000000001</v>
      </c>
      <c r="W64">
        <v>-0.13400000000000001</v>
      </c>
      <c r="X64">
        <v>-0.45200000000000001</v>
      </c>
      <c r="Y64">
        <v>-0.253</v>
      </c>
      <c r="Z64">
        <v>-0.24299999999999999</v>
      </c>
      <c r="AA64">
        <v>1.6E-2</v>
      </c>
      <c r="AB64">
        <v>0.66700000000000004</v>
      </c>
      <c r="AC64">
        <v>0.66900000000000004</v>
      </c>
      <c r="AD64">
        <v>0.54100000000000004</v>
      </c>
      <c r="AE64">
        <v>0.83399999999999996</v>
      </c>
      <c r="AF64">
        <v>0.82899999999999996</v>
      </c>
      <c r="AG64">
        <v>-0.63800000000000001</v>
      </c>
      <c r="AH64">
        <v>-0.309</v>
      </c>
      <c r="AI64">
        <v>0.70699999999999996</v>
      </c>
      <c r="AJ64">
        <v>-0.91300000000000003</v>
      </c>
      <c r="AK64">
        <v>-0.27600000000000002</v>
      </c>
      <c r="AL64">
        <v>-0.93300000000000005</v>
      </c>
      <c r="AM64">
        <v>-9.5000000000000001E-2</v>
      </c>
      <c r="AN64">
        <v>-0.46300000000000002</v>
      </c>
      <c r="AO64">
        <v>-0.64400000000000002</v>
      </c>
      <c r="AP64">
        <v>0.10199999999999999</v>
      </c>
      <c r="AQ64">
        <v>0.70599999999999996</v>
      </c>
      <c r="AR64">
        <v>0.65</v>
      </c>
      <c r="AS64">
        <v>0.315</v>
      </c>
      <c r="AT64">
        <v>0.71699999999999997</v>
      </c>
      <c r="AU64">
        <v>0.41799999999999998</v>
      </c>
      <c r="AV64">
        <v>0.54700000000000004</v>
      </c>
      <c r="AW64">
        <v>-0.61899999999999999</v>
      </c>
      <c r="AX64">
        <v>-0.122</v>
      </c>
      <c r="AY64">
        <v>9.7000000000000003E-2</v>
      </c>
      <c r="AZ64">
        <v>-0.154</v>
      </c>
      <c r="BA64">
        <v>0.89800000000000002</v>
      </c>
      <c r="BB64">
        <v>-0.25800000000000001</v>
      </c>
      <c r="BC64">
        <v>0.57999999999999996</v>
      </c>
      <c r="BD64">
        <v>-0.51400000000000001</v>
      </c>
      <c r="BE64">
        <v>-0.501</v>
      </c>
      <c r="BF64">
        <v>0.52900000000000003</v>
      </c>
      <c r="BG64">
        <v>-0.70099999999999996</v>
      </c>
      <c r="BH64">
        <v>-0.16500000000000001</v>
      </c>
      <c r="BI64">
        <v>0.68600000000000005</v>
      </c>
      <c r="BJ64">
        <v>-0.52900000000000003</v>
      </c>
      <c r="BK64">
        <v>-0.57899999999999996</v>
      </c>
      <c r="BL64">
        <v>-0.17799999999999999</v>
      </c>
      <c r="BM64">
        <v>-0.502</v>
      </c>
    </row>
    <row r="65" spans="1:65" x14ac:dyDescent="0.3">
      <c r="A65" t="s">
        <v>229</v>
      </c>
      <c r="B65">
        <v>0</v>
      </c>
      <c r="C65">
        <v>1.88906835716924E-2</v>
      </c>
      <c r="M65" t="s">
        <v>152</v>
      </c>
      <c r="N65">
        <v>1.3220000000000001</v>
      </c>
      <c r="O65">
        <v>1.1220000000000001</v>
      </c>
      <c r="P65" t="s">
        <v>57</v>
      </c>
      <c r="Q65">
        <v>1.7000000000000001E-2</v>
      </c>
      <c r="R65">
        <v>7.0000000000000001E-3</v>
      </c>
      <c r="S65">
        <v>80</v>
      </c>
      <c r="T65">
        <v>0.19</v>
      </c>
      <c r="U65">
        <v>-6.0999999999999999E-2</v>
      </c>
      <c r="V65">
        <v>-0.24199999999999999</v>
      </c>
      <c r="W65">
        <v>0.26500000000000001</v>
      </c>
      <c r="X65">
        <v>-9.6000000000000002E-2</v>
      </c>
      <c r="Y65">
        <v>-0.20399999999999999</v>
      </c>
      <c r="Z65">
        <v>-0.51</v>
      </c>
      <c r="AA65">
        <v>-0.221</v>
      </c>
      <c r="AB65">
        <v>2.7E-2</v>
      </c>
      <c r="AC65">
        <v>2.4E-2</v>
      </c>
      <c r="AD65">
        <v>0.82799999999999996</v>
      </c>
      <c r="AE65">
        <v>0.76500000000000001</v>
      </c>
      <c r="AF65">
        <v>0.57699999999999996</v>
      </c>
      <c r="AG65">
        <v>0.14399999999999999</v>
      </c>
      <c r="AH65">
        <v>0.40400000000000003</v>
      </c>
      <c r="AI65">
        <v>-3.4000000000000002E-2</v>
      </c>
      <c r="AJ65">
        <v>-0.53</v>
      </c>
      <c r="AK65">
        <v>0.40400000000000003</v>
      </c>
      <c r="AL65">
        <v>0.371</v>
      </c>
      <c r="AM65">
        <v>-0.112</v>
      </c>
      <c r="AN65">
        <v>-0.752</v>
      </c>
      <c r="AO65">
        <v>-0.73699999999999999</v>
      </c>
      <c r="AP65">
        <v>0.377</v>
      </c>
      <c r="AQ65">
        <v>0.26700000000000002</v>
      </c>
      <c r="AR65">
        <v>0.214</v>
      </c>
      <c r="AS65">
        <v>1</v>
      </c>
      <c r="AT65">
        <v>0.58499999999999996</v>
      </c>
      <c r="AU65">
        <v>0.29299999999999998</v>
      </c>
      <c r="AV65">
        <v>0.47199999999999998</v>
      </c>
      <c r="AW65">
        <v>-0.23499999999999999</v>
      </c>
      <c r="AX65">
        <v>0.70199999999999996</v>
      </c>
      <c r="AY65">
        <v>-0.30399999999999999</v>
      </c>
      <c r="AZ65">
        <v>1.9E-2</v>
      </c>
      <c r="BA65">
        <v>-0.47599999999999998</v>
      </c>
      <c r="BB65">
        <v>0.85199999999999998</v>
      </c>
      <c r="BC65">
        <v>0.51900000000000002</v>
      </c>
      <c r="BD65">
        <v>-0.496</v>
      </c>
      <c r="BE65">
        <v>-0.14199999999999999</v>
      </c>
      <c r="BF65">
        <v>0.47699999999999998</v>
      </c>
      <c r="BG65">
        <v>0.11</v>
      </c>
      <c r="BH65">
        <v>-0.52200000000000002</v>
      </c>
      <c r="BI65">
        <v>-0.433</v>
      </c>
      <c r="BJ65">
        <v>-0.67</v>
      </c>
      <c r="BK65">
        <v>0.41799999999999998</v>
      </c>
      <c r="BL65">
        <v>-0.72899999999999998</v>
      </c>
      <c r="BM65">
        <v>2.5000000000000001E-2</v>
      </c>
    </row>
    <row r="66" spans="1:65" x14ac:dyDescent="0.3">
      <c r="A66" t="s">
        <v>99</v>
      </c>
      <c r="B66">
        <v>0</v>
      </c>
      <c r="C66">
        <v>0</v>
      </c>
      <c r="M66" t="s">
        <v>107</v>
      </c>
      <c r="N66">
        <v>1.3080000000000001</v>
      </c>
      <c r="O66">
        <v>1.7370000000000001</v>
      </c>
      <c r="P66" t="s">
        <v>53</v>
      </c>
      <c r="Q66">
        <v>1.4999999999999999E-2</v>
      </c>
      <c r="R66">
        <v>1.4999999999999999E-2</v>
      </c>
      <c r="S66">
        <v>43</v>
      </c>
      <c r="T66">
        <v>-0.64300000000000002</v>
      </c>
      <c r="U66">
        <v>-0.5</v>
      </c>
      <c r="V66">
        <v>-0.81799999999999995</v>
      </c>
      <c r="W66">
        <v>-0.16900000000000001</v>
      </c>
      <c r="X66">
        <v>-0.45900000000000002</v>
      </c>
      <c r="Y66">
        <v>-7.4999999999999997E-2</v>
      </c>
      <c r="Z66">
        <v>0.45</v>
      </c>
      <c r="AA66">
        <v>0.16500000000000001</v>
      </c>
      <c r="AB66">
        <v>0.39</v>
      </c>
      <c r="AC66">
        <v>0.39400000000000002</v>
      </c>
      <c r="AD66">
        <v>0.755</v>
      </c>
      <c r="AE66">
        <v>0.77500000000000002</v>
      </c>
      <c r="AF66">
        <v>0.66100000000000003</v>
      </c>
      <c r="AG66">
        <v>-0.246</v>
      </c>
      <c r="AH66">
        <v>-0.112</v>
      </c>
      <c r="AI66">
        <v>0.11600000000000001</v>
      </c>
      <c r="AJ66">
        <v>-0.91600000000000004</v>
      </c>
      <c r="AK66">
        <v>-0.57499999999999996</v>
      </c>
      <c r="AL66">
        <v>-0.57999999999999996</v>
      </c>
      <c r="AM66">
        <v>-0.23100000000000001</v>
      </c>
      <c r="AN66">
        <v>9.4E-2</v>
      </c>
      <c r="AO66">
        <v>-0.9</v>
      </c>
      <c r="AP66">
        <v>-0.16500000000000001</v>
      </c>
      <c r="AQ66">
        <v>0.49</v>
      </c>
      <c r="AR66">
        <v>0.34300000000000003</v>
      </c>
      <c r="AS66">
        <v>5.1999999999999998E-2</v>
      </c>
      <c r="AT66">
        <v>0.30499999999999999</v>
      </c>
      <c r="AU66">
        <v>9.9000000000000005E-2</v>
      </c>
      <c r="AV66">
        <v>0.21199999999999999</v>
      </c>
      <c r="AW66">
        <v>0.156</v>
      </c>
      <c r="AX66">
        <v>5.0999999999999997E-2</v>
      </c>
      <c r="AY66">
        <v>0.81699999999999995</v>
      </c>
      <c r="AZ66">
        <v>-0.15</v>
      </c>
      <c r="BA66">
        <v>0.85699999999999998</v>
      </c>
      <c r="BB66">
        <v>-0.66600000000000004</v>
      </c>
      <c r="BC66">
        <v>-0.157</v>
      </c>
      <c r="BD66">
        <v>-0.17799999999999999</v>
      </c>
      <c r="BE66">
        <v>-0.03</v>
      </c>
      <c r="BF66">
        <v>-0.89400000000000002</v>
      </c>
      <c r="BG66">
        <v>-0.27200000000000002</v>
      </c>
      <c r="BH66">
        <v>0.72599999999999998</v>
      </c>
      <c r="BI66">
        <v>0.84899999999999998</v>
      </c>
      <c r="BJ66">
        <v>-0.63</v>
      </c>
      <c r="BK66">
        <v>-0.379</v>
      </c>
      <c r="BL66">
        <v>0.22700000000000001</v>
      </c>
      <c r="BM66">
        <v>-0.496</v>
      </c>
    </row>
    <row r="67" spans="1:65" x14ac:dyDescent="0.3">
      <c r="A67" t="s">
        <v>161</v>
      </c>
      <c r="B67">
        <v>0</v>
      </c>
      <c r="C67">
        <v>0</v>
      </c>
      <c r="M67" t="s">
        <v>123</v>
      </c>
      <c r="N67">
        <v>1.306</v>
      </c>
      <c r="O67">
        <v>1.6240000000000001</v>
      </c>
      <c r="P67" t="s">
        <v>55</v>
      </c>
      <c r="Q67">
        <v>1.6E-2</v>
      </c>
      <c r="R67">
        <v>1.6E-2</v>
      </c>
      <c r="S67">
        <v>26</v>
      </c>
      <c r="T67">
        <v>-0.36099999999999999</v>
      </c>
      <c r="U67">
        <v>-0.57299999999999995</v>
      </c>
      <c r="V67">
        <v>-0.79</v>
      </c>
      <c r="W67">
        <v>-5.5E-2</v>
      </c>
      <c r="X67">
        <v>-0.57699999999999996</v>
      </c>
      <c r="Y67">
        <v>0.112</v>
      </c>
      <c r="Z67">
        <v>0.38</v>
      </c>
      <c r="AA67">
        <v>-0.19400000000000001</v>
      </c>
      <c r="AB67">
        <v>0.60099999999999998</v>
      </c>
      <c r="AC67">
        <v>0.59699999999999998</v>
      </c>
      <c r="AD67">
        <v>0.77</v>
      </c>
      <c r="AE67">
        <v>0.83499999999999996</v>
      </c>
      <c r="AF67">
        <v>0.68700000000000006</v>
      </c>
      <c r="AG67">
        <v>6.0999999999999999E-2</v>
      </c>
      <c r="AH67">
        <v>-0.311</v>
      </c>
      <c r="AI67">
        <v>-0.376</v>
      </c>
      <c r="AJ67">
        <v>-0.996</v>
      </c>
      <c r="AK67">
        <v>-0.84199999999999997</v>
      </c>
      <c r="AL67">
        <v>-0.74399999999999999</v>
      </c>
      <c r="AM67">
        <v>-0.20799999999999999</v>
      </c>
      <c r="AN67">
        <v>-0.38400000000000001</v>
      </c>
      <c r="AO67">
        <v>-0.52500000000000002</v>
      </c>
      <c r="AP67">
        <v>-0.54</v>
      </c>
      <c r="AQ67">
        <v>0.13400000000000001</v>
      </c>
      <c r="AR67">
        <v>-0.14699999999999999</v>
      </c>
      <c r="AS67">
        <v>0.32900000000000001</v>
      </c>
      <c r="AT67">
        <v>0.34899999999999998</v>
      </c>
      <c r="AU67">
        <v>0.379</v>
      </c>
      <c r="AV67">
        <v>0.13500000000000001</v>
      </c>
      <c r="AW67">
        <v>0.03</v>
      </c>
      <c r="AX67">
        <v>0.77100000000000002</v>
      </c>
      <c r="AY67">
        <v>0.83699999999999997</v>
      </c>
      <c r="AZ67">
        <v>-0.11</v>
      </c>
      <c r="BA67">
        <v>0.99399999999999999</v>
      </c>
      <c r="BB67">
        <v>0.40600000000000003</v>
      </c>
      <c r="BC67">
        <v>0.72399999999999998</v>
      </c>
      <c r="BD67">
        <v>4.2000000000000003E-2</v>
      </c>
      <c r="BE67">
        <v>-3.5999999999999997E-2</v>
      </c>
      <c r="BF67">
        <v>0.54400000000000004</v>
      </c>
      <c r="BG67">
        <v>-3.5999999999999997E-2</v>
      </c>
      <c r="BH67">
        <v>0.59299999999999997</v>
      </c>
      <c r="BI67">
        <v>0.64300000000000002</v>
      </c>
      <c r="BJ67">
        <v>-0.63800000000000001</v>
      </c>
      <c r="BK67">
        <v>-0.375</v>
      </c>
      <c r="BL67">
        <v>6.9000000000000006E-2</v>
      </c>
      <c r="BM67">
        <v>-0.79800000000000004</v>
      </c>
    </row>
    <row r="68" spans="1:65" x14ac:dyDescent="0.3">
      <c r="A68" t="s">
        <v>162</v>
      </c>
      <c r="B68">
        <v>0</v>
      </c>
      <c r="C68">
        <v>0</v>
      </c>
      <c r="M68" t="s">
        <v>63</v>
      </c>
      <c r="N68">
        <v>1.2529999999999999</v>
      </c>
      <c r="O68">
        <v>1.833</v>
      </c>
      <c r="P68" t="s">
        <v>57</v>
      </c>
      <c r="Q68">
        <v>2.3E-2</v>
      </c>
      <c r="R68">
        <v>1.7999999999999999E-2</v>
      </c>
      <c r="S68">
        <v>80</v>
      </c>
      <c r="T68">
        <v>-0.44600000000000001</v>
      </c>
      <c r="U68">
        <v>-0.81699999999999995</v>
      </c>
      <c r="V68">
        <v>-0.20100000000000001</v>
      </c>
      <c r="W68">
        <v>-0.23</v>
      </c>
      <c r="X68">
        <v>-0.438</v>
      </c>
      <c r="Y68">
        <v>0.19800000000000001</v>
      </c>
      <c r="Z68">
        <v>0.624</v>
      </c>
      <c r="AA68">
        <v>0.05</v>
      </c>
      <c r="AB68">
        <v>0.30499999999999999</v>
      </c>
      <c r="AC68">
        <v>0.308</v>
      </c>
      <c r="AD68">
        <v>0.63700000000000001</v>
      </c>
      <c r="AE68">
        <v>0.505</v>
      </c>
      <c r="AF68">
        <v>0.44</v>
      </c>
      <c r="AG68">
        <v>0.26800000000000002</v>
      </c>
      <c r="AH68">
        <v>7.0000000000000001E-3</v>
      </c>
      <c r="AI68">
        <v>-0.93300000000000005</v>
      </c>
      <c r="AJ68">
        <v>-0.23100000000000001</v>
      </c>
      <c r="AK68">
        <v>-0.76600000000000001</v>
      </c>
      <c r="AL68">
        <v>0.24299999999999999</v>
      </c>
      <c r="AM68">
        <v>-0.251</v>
      </c>
      <c r="AN68">
        <v>1</v>
      </c>
      <c r="AO68">
        <v>-0.74399999999999999</v>
      </c>
      <c r="AP68">
        <v>0.52700000000000002</v>
      </c>
      <c r="AQ68">
        <v>-0.71099999999999997</v>
      </c>
      <c r="AR68">
        <v>-0.317</v>
      </c>
      <c r="AS68">
        <v>0.151</v>
      </c>
      <c r="AT68">
        <v>-5.6000000000000001E-2</v>
      </c>
      <c r="AU68">
        <v>-0.5</v>
      </c>
      <c r="AV68">
        <v>0.67</v>
      </c>
      <c r="AW68">
        <v>0.114</v>
      </c>
      <c r="AX68">
        <v>-1.0999999999999999E-2</v>
      </c>
      <c r="AY68">
        <v>0.42199999999999999</v>
      </c>
      <c r="AZ68">
        <v>3.1E-2</v>
      </c>
      <c r="BA68">
        <v>0.58299999999999996</v>
      </c>
      <c r="BB68">
        <v>1</v>
      </c>
      <c r="BC68">
        <v>-0.193</v>
      </c>
      <c r="BD68">
        <v>-0.79900000000000004</v>
      </c>
      <c r="BE68">
        <v>-0.77700000000000002</v>
      </c>
      <c r="BF68">
        <v>-0.51900000000000002</v>
      </c>
      <c r="BG68">
        <v>6.4000000000000001E-2</v>
      </c>
      <c r="BH68">
        <v>0.23899999999999999</v>
      </c>
      <c r="BI68">
        <v>0.752</v>
      </c>
      <c r="BJ68">
        <v>-0.60299999999999998</v>
      </c>
      <c r="BK68">
        <v>-0.17100000000000001</v>
      </c>
      <c r="BL68">
        <v>0.20899999999999999</v>
      </c>
      <c r="BM68">
        <v>0.115</v>
      </c>
    </row>
    <row r="69" spans="1:65" x14ac:dyDescent="0.3">
      <c r="A69" t="s">
        <v>171</v>
      </c>
      <c r="B69">
        <v>0</v>
      </c>
      <c r="C69">
        <v>0</v>
      </c>
      <c r="M69" t="s">
        <v>76</v>
      </c>
      <c r="N69">
        <v>1.2310000000000001</v>
      </c>
      <c r="O69">
        <v>0.873</v>
      </c>
      <c r="P69" t="s">
        <v>57</v>
      </c>
      <c r="Q69">
        <v>8.0000000000000002E-3</v>
      </c>
      <c r="R69">
        <v>8.0000000000000002E-3</v>
      </c>
      <c r="S69">
        <v>80</v>
      </c>
      <c r="T69">
        <v>5.5E-2</v>
      </c>
      <c r="U69">
        <v>-0.45700000000000002</v>
      </c>
      <c r="V69">
        <v>0.45700000000000002</v>
      </c>
      <c r="W69">
        <v>-0.217</v>
      </c>
      <c r="X69">
        <v>-6.5000000000000002E-2</v>
      </c>
      <c r="Y69">
        <v>-6.4000000000000001E-2</v>
      </c>
      <c r="Z69">
        <v>-3.1E-2</v>
      </c>
      <c r="AA69">
        <v>-0.34899999999999998</v>
      </c>
      <c r="AB69">
        <v>4.2999999999999997E-2</v>
      </c>
      <c r="AC69">
        <v>4.1000000000000002E-2</v>
      </c>
      <c r="AD69">
        <v>0.79600000000000004</v>
      </c>
      <c r="AE69">
        <v>0.58199999999999996</v>
      </c>
      <c r="AF69">
        <v>0.52400000000000002</v>
      </c>
      <c r="AG69">
        <v>-9.2999999999999999E-2</v>
      </c>
      <c r="AH69">
        <v>0.84799999999999998</v>
      </c>
      <c r="AI69">
        <v>-0.68799999999999994</v>
      </c>
      <c r="AJ69">
        <v>0.66100000000000003</v>
      </c>
      <c r="AK69">
        <v>-0.27200000000000002</v>
      </c>
      <c r="AL69">
        <v>0.29799999999999999</v>
      </c>
      <c r="AM69">
        <v>-2.8000000000000001E-2</v>
      </c>
      <c r="AN69">
        <v>0.30199999999999999</v>
      </c>
      <c r="AO69">
        <v>-0.20599999999999999</v>
      </c>
      <c r="AP69">
        <v>0.70399999999999996</v>
      </c>
      <c r="AQ69">
        <v>-0.47099999999999997</v>
      </c>
      <c r="AR69">
        <v>-1</v>
      </c>
      <c r="AS69">
        <v>0.42799999999999999</v>
      </c>
      <c r="AT69">
        <v>-1.7000000000000001E-2</v>
      </c>
      <c r="AU69">
        <v>-0.37</v>
      </c>
      <c r="AV69">
        <v>-1.2E-2</v>
      </c>
      <c r="AW69">
        <v>-9.8000000000000004E-2</v>
      </c>
      <c r="AX69">
        <v>-0.28199999999999997</v>
      </c>
      <c r="AY69">
        <v>-0.32500000000000001</v>
      </c>
      <c r="AZ69">
        <v>5.2999999999999999E-2</v>
      </c>
      <c r="BA69">
        <v>0.63</v>
      </c>
      <c r="BB69">
        <v>0.254</v>
      </c>
      <c r="BC69">
        <v>0.66600000000000004</v>
      </c>
      <c r="BD69">
        <v>4.7E-2</v>
      </c>
      <c r="BE69">
        <v>-0.106</v>
      </c>
      <c r="BF69">
        <v>0.245</v>
      </c>
      <c r="BG69">
        <v>1</v>
      </c>
      <c r="BH69">
        <v>0.47299999999999998</v>
      </c>
      <c r="BI69">
        <v>0.32300000000000001</v>
      </c>
      <c r="BJ69">
        <v>-0.38200000000000001</v>
      </c>
      <c r="BK69">
        <v>0.71399999999999997</v>
      </c>
      <c r="BL69">
        <v>0.79700000000000004</v>
      </c>
      <c r="BM69">
        <v>0.52500000000000002</v>
      </c>
    </row>
    <row r="70" spans="1:65" x14ac:dyDescent="0.3">
      <c r="A70" t="s">
        <v>84</v>
      </c>
      <c r="B70">
        <v>1.12231082572282E-2</v>
      </c>
      <c r="C70">
        <v>1.4505219814832999E-2</v>
      </c>
      <c r="M70" t="s">
        <v>166</v>
      </c>
      <c r="N70">
        <v>1.228</v>
      </c>
      <c r="O70">
        <v>1.2649999999999999</v>
      </c>
      <c r="P70" t="s">
        <v>55</v>
      </c>
      <c r="Q70">
        <v>1.6E-2</v>
      </c>
      <c r="R70">
        <v>1.6E-2</v>
      </c>
      <c r="S70">
        <v>80</v>
      </c>
      <c r="T70">
        <v>-0.68600000000000005</v>
      </c>
      <c r="U70">
        <v>-0.32100000000000001</v>
      </c>
      <c r="V70">
        <v>-0.82399999999999995</v>
      </c>
      <c r="W70">
        <v>-0.503</v>
      </c>
      <c r="X70">
        <v>-0.56200000000000006</v>
      </c>
      <c r="Y70">
        <v>-0.26100000000000001</v>
      </c>
      <c r="Z70">
        <v>-0.107</v>
      </c>
      <c r="AA70">
        <v>0.217</v>
      </c>
      <c r="AB70">
        <v>0.61</v>
      </c>
      <c r="AC70">
        <v>0.61399999999999999</v>
      </c>
      <c r="AD70">
        <v>0.65300000000000002</v>
      </c>
      <c r="AE70">
        <v>0.748</v>
      </c>
      <c r="AF70">
        <v>0.72099999999999997</v>
      </c>
      <c r="AG70">
        <v>-0.83</v>
      </c>
      <c r="AH70">
        <v>-0.77</v>
      </c>
      <c r="AI70">
        <v>0.54100000000000004</v>
      </c>
      <c r="AJ70">
        <v>-0.91100000000000003</v>
      </c>
      <c r="AK70">
        <v>-0.38500000000000001</v>
      </c>
      <c r="AL70">
        <v>-0.96199999999999997</v>
      </c>
      <c r="AM70">
        <v>-0.32400000000000001</v>
      </c>
      <c r="AN70">
        <v>0.185</v>
      </c>
      <c r="AO70">
        <v>-0.52200000000000002</v>
      </c>
      <c r="AP70">
        <v>-0.58899999999999997</v>
      </c>
      <c r="AQ70">
        <v>0.52400000000000002</v>
      </c>
      <c r="AR70">
        <v>0.99199999999999999</v>
      </c>
      <c r="AS70">
        <v>-0.23799999999999999</v>
      </c>
      <c r="AT70">
        <v>0.187</v>
      </c>
      <c r="AU70">
        <v>-0.246</v>
      </c>
      <c r="AV70">
        <v>0.2</v>
      </c>
      <c r="AW70">
        <v>-0.33100000000000002</v>
      </c>
      <c r="AX70">
        <v>-0.54600000000000004</v>
      </c>
      <c r="AY70">
        <v>0.58799999999999997</v>
      </c>
      <c r="AZ70">
        <v>-0.59699999999999998</v>
      </c>
      <c r="BA70">
        <v>0.85299999999999998</v>
      </c>
      <c r="BB70">
        <v>0.56599999999999995</v>
      </c>
      <c r="BC70">
        <v>0.10299999999999999</v>
      </c>
      <c r="BD70">
        <v>-0.432</v>
      </c>
      <c r="BE70">
        <v>-0.66500000000000004</v>
      </c>
      <c r="BF70">
        <v>0.23499999999999999</v>
      </c>
      <c r="BG70">
        <v>3.1E-2</v>
      </c>
      <c r="BH70">
        <v>-0.13400000000000001</v>
      </c>
      <c r="BI70">
        <v>0.54</v>
      </c>
      <c r="BJ70">
        <v>-0.53200000000000003</v>
      </c>
      <c r="BK70">
        <v>-0.40899999999999997</v>
      </c>
      <c r="BL70">
        <v>0.95199999999999996</v>
      </c>
      <c r="BM70">
        <v>-0.378</v>
      </c>
    </row>
    <row r="71" spans="1:65" x14ac:dyDescent="0.3">
      <c r="A71" t="s">
        <v>91</v>
      </c>
      <c r="B71">
        <v>3.6202387538346703E-2</v>
      </c>
      <c r="C71">
        <v>3.26808525613944E-2</v>
      </c>
      <c r="M71" t="s">
        <v>110</v>
      </c>
      <c r="N71">
        <v>1.1910000000000001</v>
      </c>
      <c r="O71">
        <v>1.6459999999999999</v>
      </c>
      <c r="P71" t="s">
        <v>57</v>
      </c>
      <c r="Q71">
        <v>1.9E-2</v>
      </c>
      <c r="R71">
        <v>1.9E-2</v>
      </c>
      <c r="S71">
        <v>80</v>
      </c>
      <c r="T71">
        <v>-0.748</v>
      </c>
      <c r="U71">
        <v>-0.55700000000000005</v>
      </c>
      <c r="V71">
        <v>-0.86899999999999999</v>
      </c>
      <c r="W71">
        <v>-0.34499999999999997</v>
      </c>
      <c r="X71">
        <v>-0.56499999999999995</v>
      </c>
      <c r="Y71">
        <v>-0.28499999999999998</v>
      </c>
      <c r="Z71">
        <v>-3.1E-2</v>
      </c>
      <c r="AA71">
        <v>0.20699999999999999</v>
      </c>
      <c r="AB71">
        <v>0.61599999999999999</v>
      </c>
      <c r="AC71">
        <v>0.61499999999999999</v>
      </c>
      <c r="AD71">
        <v>0.76300000000000001</v>
      </c>
      <c r="AE71">
        <v>0.78100000000000003</v>
      </c>
      <c r="AF71">
        <v>0.69499999999999995</v>
      </c>
      <c r="AG71">
        <v>-0.58399999999999996</v>
      </c>
      <c r="AH71">
        <v>9.6000000000000002E-2</v>
      </c>
      <c r="AI71">
        <v>0.36</v>
      </c>
      <c r="AJ71">
        <v>-0.94799999999999995</v>
      </c>
      <c r="AK71">
        <v>-0.74399999999999999</v>
      </c>
      <c r="AL71">
        <v>-0.96099999999999997</v>
      </c>
      <c r="AM71">
        <v>-0.247</v>
      </c>
      <c r="AN71">
        <v>0.13500000000000001</v>
      </c>
      <c r="AO71">
        <v>-0.55700000000000005</v>
      </c>
      <c r="AP71">
        <v>-0.193</v>
      </c>
      <c r="AQ71">
        <v>0.56699999999999995</v>
      </c>
      <c r="AR71">
        <v>7.3999999999999996E-2</v>
      </c>
      <c r="AS71">
        <v>0.23400000000000001</v>
      </c>
      <c r="AT71">
        <v>0.26900000000000002</v>
      </c>
      <c r="AU71">
        <v>-0.112</v>
      </c>
      <c r="AV71">
        <v>-8.1000000000000003E-2</v>
      </c>
      <c r="AW71">
        <v>-0.222</v>
      </c>
      <c r="AX71">
        <v>-0.20899999999999999</v>
      </c>
      <c r="AY71">
        <v>0.47399999999999998</v>
      </c>
      <c r="AZ71">
        <v>-0.45300000000000001</v>
      </c>
      <c r="BA71">
        <v>0.16200000000000001</v>
      </c>
      <c r="BB71">
        <v>0.61199999999999999</v>
      </c>
      <c r="BC71">
        <v>-0.46200000000000002</v>
      </c>
      <c r="BD71">
        <v>-0.34100000000000003</v>
      </c>
      <c r="BE71">
        <v>-0.317</v>
      </c>
      <c r="BF71">
        <v>-0.82699999999999996</v>
      </c>
      <c r="BG71">
        <v>-9.1999999999999998E-2</v>
      </c>
      <c r="BH71">
        <v>-3.5999999999999997E-2</v>
      </c>
      <c r="BI71">
        <v>0.82</v>
      </c>
      <c r="BJ71">
        <v>-0.82899999999999996</v>
      </c>
      <c r="BK71">
        <v>-0.22900000000000001</v>
      </c>
      <c r="BL71">
        <v>0.34300000000000003</v>
      </c>
      <c r="BM71">
        <v>-0.93899999999999995</v>
      </c>
    </row>
    <row r="72" spans="1:65" x14ac:dyDescent="0.3">
      <c r="A72" t="s">
        <v>158</v>
      </c>
      <c r="B72">
        <v>0</v>
      </c>
      <c r="C72">
        <v>0</v>
      </c>
      <c r="M72" t="s">
        <v>598</v>
      </c>
      <c r="N72">
        <v>1.1519999999999999</v>
      </c>
      <c r="O72">
        <v>1.472</v>
      </c>
      <c r="P72" t="s">
        <v>53</v>
      </c>
      <c r="Q72">
        <v>1.0999999999999999E-2</v>
      </c>
      <c r="R72">
        <v>0</v>
      </c>
      <c r="S72">
        <v>80</v>
      </c>
      <c r="T72">
        <v>-0.45</v>
      </c>
      <c r="U72">
        <v>-0.51100000000000001</v>
      </c>
      <c r="V72">
        <v>-0.71599999999999997</v>
      </c>
      <c r="W72">
        <v>-0.20599999999999999</v>
      </c>
      <c r="X72">
        <v>-0.52700000000000002</v>
      </c>
      <c r="Y72">
        <v>-0.13600000000000001</v>
      </c>
      <c r="Z72">
        <v>6.5000000000000002E-2</v>
      </c>
      <c r="AA72">
        <v>3.7999999999999999E-2</v>
      </c>
      <c r="AB72">
        <v>0.29699999999999999</v>
      </c>
      <c r="AC72">
        <v>0.29799999999999999</v>
      </c>
      <c r="AD72">
        <v>0.59099999999999997</v>
      </c>
      <c r="AE72">
        <v>0.66100000000000003</v>
      </c>
      <c r="AF72">
        <v>0.626</v>
      </c>
      <c r="AG72">
        <v>-3.3000000000000002E-2</v>
      </c>
      <c r="AH72">
        <v>-0.84499999999999997</v>
      </c>
      <c r="AI72">
        <v>-0.31900000000000001</v>
      </c>
      <c r="AJ72">
        <v>-0.98699999999999999</v>
      </c>
      <c r="AK72">
        <v>-0.49099999999999999</v>
      </c>
      <c r="AL72">
        <v>-0.441</v>
      </c>
      <c r="AM72">
        <v>-0.50700000000000001</v>
      </c>
      <c r="AN72">
        <v>-0.122</v>
      </c>
      <c r="AO72">
        <v>-0.94599999999999995</v>
      </c>
      <c r="AP72">
        <v>-0.94799999999999995</v>
      </c>
      <c r="AQ72">
        <v>0.35499999999999998</v>
      </c>
      <c r="AR72">
        <v>0.98599999999999999</v>
      </c>
      <c r="AS72">
        <v>-9.6000000000000002E-2</v>
      </c>
      <c r="AT72">
        <v>0.187</v>
      </c>
      <c r="AU72">
        <v>-0.7</v>
      </c>
      <c r="AV72">
        <v>0.96</v>
      </c>
      <c r="AW72">
        <v>-3.9E-2</v>
      </c>
      <c r="AX72">
        <v>0.90800000000000003</v>
      </c>
      <c r="AY72">
        <v>0.73199999999999998</v>
      </c>
      <c r="AZ72">
        <v>0.66600000000000004</v>
      </c>
      <c r="BA72">
        <v>0.64700000000000002</v>
      </c>
      <c r="BB72">
        <v>0.41399999999999998</v>
      </c>
      <c r="BC72">
        <v>0.999</v>
      </c>
      <c r="BD72">
        <v>0.224</v>
      </c>
      <c r="BE72">
        <v>9.4E-2</v>
      </c>
      <c r="BF72">
        <v>-0.876</v>
      </c>
      <c r="BG72">
        <v>-4.7E-2</v>
      </c>
      <c r="BH72">
        <v>-0.38600000000000001</v>
      </c>
      <c r="BI72">
        <v>0.19400000000000001</v>
      </c>
      <c r="BJ72">
        <v>-0.47499999999999998</v>
      </c>
      <c r="BK72">
        <v>-0.19900000000000001</v>
      </c>
      <c r="BL72">
        <v>0.114</v>
      </c>
      <c r="BM72">
        <v>-0.73699999999999999</v>
      </c>
    </row>
    <row r="73" spans="1:65" x14ac:dyDescent="0.3">
      <c r="A73" t="s">
        <v>119</v>
      </c>
      <c r="B73">
        <v>1.26109122436376E-2</v>
      </c>
      <c r="C73">
        <v>0</v>
      </c>
      <c r="M73" t="s">
        <v>160</v>
      </c>
      <c r="N73">
        <v>1.151</v>
      </c>
      <c r="O73">
        <v>0.83799999999999997</v>
      </c>
      <c r="P73" t="s">
        <v>57</v>
      </c>
      <c r="Q73">
        <v>1.2E-2</v>
      </c>
      <c r="R73">
        <v>1.2E-2</v>
      </c>
      <c r="S73">
        <v>80</v>
      </c>
      <c r="T73">
        <v>-0.11700000000000001</v>
      </c>
      <c r="U73">
        <v>-0.14199999999999999</v>
      </c>
      <c r="V73">
        <v>-0.17599999999999999</v>
      </c>
      <c r="W73">
        <v>-0.16500000000000001</v>
      </c>
      <c r="X73">
        <v>-0.17799999999999999</v>
      </c>
      <c r="Y73">
        <v>-0.34399999999999997</v>
      </c>
      <c r="Z73">
        <v>-0.32</v>
      </c>
      <c r="AA73">
        <v>-0.502</v>
      </c>
      <c r="AB73">
        <v>0.45300000000000001</v>
      </c>
      <c r="AC73">
        <v>0.45</v>
      </c>
      <c r="AD73">
        <v>0.81599999999999995</v>
      </c>
      <c r="AE73">
        <v>1</v>
      </c>
      <c r="AF73">
        <v>0.67200000000000004</v>
      </c>
      <c r="AG73">
        <v>-0.156</v>
      </c>
      <c r="AH73">
        <v>0.70199999999999996</v>
      </c>
      <c r="AI73">
        <v>-0.19900000000000001</v>
      </c>
      <c r="AJ73">
        <v>-0.47799999999999998</v>
      </c>
      <c r="AK73">
        <v>-0.82599999999999996</v>
      </c>
      <c r="AL73">
        <v>-0.55000000000000004</v>
      </c>
      <c r="AM73">
        <v>0.42899999999999999</v>
      </c>
      <c r="AN73">
        <v>-0.48399999999999999</v>
      </c>
      <c r="AO73">
        <v>-3.4000000000000002E-2</v>
      </c>
      <c r="AP73">
        <v>0.95299999999999996</v>
      </c>
      <c r="AQ73">
        <v>-0.218</v>
      </c>
      <c r="AR73">
        <v>-6.3E-2</v>
      </c>
      <c r="AS73">
        <v>5.6000000000000001E-2</v>
      </c>
      <c r="AT73">
        <v>0.26300000000000001</v>
      </c>
      <c r="AU73">
        <v>-7.2999999999999995E-2</v>
      </c>
      <c r="AV73">
        <v>0.17799999999999999</v>
      </c>
      <c r="AW73">
        <v>0.40799999999999997</v>
      </c>
      <c r="AX73">
        <v>-0.39200000000000002</v>
      </c>
      <c r="AY73">
        <v>4.2000000000000003E-2</v>
      </c>
      <c r="AZ73">
        <v>-0.16500000000000001</v>
      </c>
      <c r="BA73">
        <v>8.8999999999999996E-2</v>
      </c>
      <c r="BB73">
        <v>-1.4E-2</v>
      </c>
      <c r="BC73">
        <v>-0.02</v>
      </c>
      <c r="BD73">
        <v>-5.3999999999999999E-2</v>
      </c>
      <c r="BE73">
        <v>0.24399999999999999</v>
      </c>
      <c r="BF73">
        <v>0.33600000000000002</v>
      </c>
      <c r="BG73">
        <v>8.9999999999999993E-3</v>
      </c>
      <c r="BH73">
        <v>0.437</v>
      </c>
      <c r="BI73">
        <v>-0.24</v>
      </c>
      <c r="BJ73">
        <v>0.27400000000000002</v>
      </c>
      <c r="BK73">
        <v>-0.16500000000000001</v>
      </c>
      <c r="BL73">
        <v>0.99199999999999999</v>
      </c>
      <c r="BM73">
        <v>-0.11899999999999999</v>
      </c>
    </row>
    <row r="74" spans="1:65" x14ac:dyDescent="0.3">
      <c r="A74" t="s">
        <v>140</v>
      </c>
      <c r="B74">
        <v>0</v>
      </c>
      <c r="C74">
        <v>0</v>
      </c>
      <c r="M74" t="s">
        <v>150</v>
      </c>
      <c r="N74">
        <v>1.143</v>
      </c>
      <c r="O74">
        <v>0.96599999999999997</v>
      </c>
      <c r="P74" t="s">
        <v>53</v>
      </c>
      <c r="Q74">
        <v>0</v>
      </c>
      <c r="R74">
        <v>-1E-3</v>
      </c>
      <c r="S74">
        <v>80</v>
      </c>
      <c r="T74">
        <v>-0.18099999999999999</v>
      </c>
      <c r="U74">
        <v>-3.6999999999999998E-2</v>
      </c>
      <c r="V74">
        <v>-0.18</v>
      </c>
      <c r="W74">
        <v>-0.503</v>
      </c>
      <c r="X74">
        <v>-0.35399999999999998</v>
      </c>
      <c r="Y74">
        <v>-0.182</v>
      </c>
      <c r="Z74">
        <v>-0.112</v>
      </c>
      <c r="AA74">
        <v>-0.28299999999999997</v>
      </c>
      <c r="AB74">
        <v>0.14499999999999999</v>
      </c>
      <c r="AC74">
        <v>0.14299999999999999</v>
      </c>
      <c r="AD74">
        <v>0.69799999999999995</v>
      </c>
      <c r="AE74">
        <v>0.59599999999999997</v>
      </c>
      <c r="AF74">
        <v>0.70099999999999996</v>
      </c>
      <c r="AG74">
        <v>-0.39900000000000002</v>
      </c>
      <c r="AH74">
        <v>-0.86699999999999999</v>
      </c>
      <c r="AI74">
        <v>-0.25700000000000001</v>
      </c>
      <c r="AJ74">
        <v>-0.32700000000000001</v>
      </c>
      <c r="AK74">
        <v>0.317</v>
      </c>
      <c r="AL74">
        <v>-0.17499999999999999</v>
      </c>
      <c r="AM74">
        <v>-0.218</v>
      </c>
      <c r="AN74">
        <v>-0.33</v>
      </c>
      <c r="AO74">
        <v>-0.46899999999999997</v>
      </c>
      <c r="AP74">
        <v>0.254</v>
      </c>
      <c r="AQ74">
        <v>0.185</v>
      </c>
      <c r="AR74">
        <v>0.32900000000000001</v>
      </c>
      <c r="AS74">
        <v>-0.26500000000000001</v>
      </c>
      <c r="AT74">
        <v>-0.32800000000000001</v>
      </c>
      <c r="AU74">
        <v>-0.30199999999999999</v>
      </c>
      <c r="AV74">
        <v>6.0999999999999999E-2</v>
      </c>
      <c r="AW74">
        <v>-0.14299999999999999</v>
      </c>
      <c r="AX74">
        <v>3.5000000000000003E-2</v>
      </c>
      <c r="AY74">
        <v>0.28799999999999998</v>
      </c>
      <c r="AZ74">
        <v>0.254</v>
      </c>
      <c r="BA74">
        <v>0.81699999999999995</v>
      </c>
      <c r="BB74">
        <v>0.78</v>
      </c>
      <c r="BC74">
        <v>0.60299999999999998</v>
      </c>
      <c r="BD74">
        <v>-7.3999999999999996E-2</v>
      </c>
      <c r="BE74">
        <v>-0.17100000000000001</v>
      </c>
      <c r="BF74">
        <v>0.21299999999999999</v>
      </c>
      <c r="BG74">
        <v>-0.33300000000000002</v>
      </c>
      <c r="BH74">
        <v>0.5</v>
      </c>
      <c r="BI74">
        <v>0.48599999999999999</v>
      </c>
      <c r="BJ74">
        <v>0.26600000000000001</v>
      </c>
      <c r="BK74">
        <v>-0.153</v>
      </c>
      <c r="BL74">
        <v>0.70699999999999996</v>
      </c>
      <c r="BM74">
        <v>0.35</v>
      </c>
    </row>
    <row r="75" spans="1:65" x14ac:dyDescent="0.3">
      <c r="A75" t="s">
        <v>78</v>
      </c>
      <c r="B75">
        <v>0</v>
      </c>
      <c r="C75">
        <v>0</v>
      </c>
      <c r="M75" t="s">
        <v>165</v>
      </c>
      <c r="N75">
        <v>1.1279999999999999</v>
      </c>
      <c r="O75">
        <v>0.82899999999999996</v>
      </c>
      <c r="P75" t="s">
        <v>71</v>
      </c>
      <c r="Q75">
        <v>0</v>
      </c>
      <c r="R75">
        <v>0</v>
      </c>
      <c r="S75">
        <v>80</v>
      </c>
      <c r="T75">
        <v>-0.36399999999999999</v>
      </c>
      <c r="U75">
        <v>0.245</v>
      </c>
      <c r="V75">
        <v>-0.63600000000000001</v>
      </c>
      <c r="W75">
        <v>-0.31</v>
      </c>
      <c r="X75">
        <v>-0.18099999999999999</v>
      </c>
      <c r="Y75">
        <v>-0.64400000000000002</v>
      </c>
      <c r="Z75">
        <v>-0.82399999999999995</v>
      </c>
      <c r="AA75">
        <v>-0.13800000000000001</v>
      </c>
      <c r="AB75">
        <v>0.48299999999999998</v>
      </c>
      <c r="AC75">
        <v>0.48399999999999999</v>
      </c>
      <c r="AD75">
        <v>0.61099999999999999</v>
      </c>
      <c r="AE75">
        <v>0.57199999999999995</v>
      </c>
      <c r="AF75">
        <v>0.879</v>
      </c>
      <c r="AG75">
        <v>-0.20499999999999999</v>
      </c>
      <c r="AH75">
        <v>-0.49099999999999999</v>
      </c>
      <c r="AI75">
        <v>0.98</v>
      </c>
      <c r="AJ75">
        <v>-0.73099999999999998</v>
      </c>
      <c r="AK75">
        <v>-0.23</v>
      </c>
      <c r="AL75">
        <v>-0.92100000000000004</v>
      </c>
      <c r="AM75">
        <v>-0.254</v>
      </c>
      <c r="AN75">
        <v>-0.67500000000000004</v>
      </c>
      <c r="AO75">
        <v>0.224</v>
      </c>
      <c r="AP75">
        <v>-0.46</v>
      </c>
      <c r="AQ75">
        <v>0.66800000000000004</v>
      </c>
      <c r="AR75">
        <v>0.626</v>
      </c>
      <c r="AS75">
        <v>-0.53500000000000003</v>
      </c>
      <c r="AT75">
        <v>1</v>
      </c>
      <c r="AU75">
        <v>0.155</v>
      </c>
      <c r="AV75">
        <v>-0.11799999999999999</v>
      </c>
      <c r="AW75">
        <v>-0.8</v>
      </c>
      <c r="AX75">
        <v>6.7000000000000004E-2</v>
      </c>
      <c r="AY75">
        <v>-0.13400000000000001</v>
      </c>
      <c r="AZ75">
        <v>0.124</v>
      </c>
      <c r="BA75">
        <v>0.622</v>
      </c>
      <c r="BB75">
        <v>-1</v>
      </c>
      <c r="BC75">
        <v>0.74299999999999999</v>
      </c>
      <c r="BD75">
        <v>0.50600000000000001</v>
      </c>
      <c r="BE75">
        <v>0.26600000000000001</v>
      </c>
      <c r="BF75">
        <v>0.77300000000000002</v>
      </c>
      <c r="BG75">
        <v>-1</v>
      </c>
      <c r="BH75">
        <v>0.62</v>
      </c>
      <c r="BI75">
        <v>-0.42599999999999999</v>
      </c>
      <c r="BJ75">
        <v>3.0000000000000001E-3</v>
      </c>
      <c r="BK75">
        <v>-0.32400000000000001</v>
      </c>
      <c r="BL75">
        <v>0.83499999999999996</v>
      </c>
      <c r="BM75">
        <v>-8.9999999999999993E-3</v>
      </c>
    </row>
    <row r="76" spans="1:65" x14ac:dyDescent="0.3">
      <c r="A76" t="s">
        <v>129</v>
      </c>
      <c r="B76">
        <v>0</v>
      </c>
      <c r="C76">
        <v>0</v>
      </c>
      <c r="M76" t="s">
        <v>99</v>
      </c>
      <c r="N76">
        <v>1.111</v>
      </c>
      <c r="O76">
        <v>1.268</v>
      </c>
      <c r="P76" t="s">
        <v>57</v>
      </c>
      <c r="Q76">
        <v>0</v>
      </c>
      <c r="R76">
        <v>-3.0000000000000001E-3</v>
      </c>
      <c r="S76">
        <v>80</v>
      </c>
      <c r="T76">
        <v>-0.17100000000000001</v>
      </c>
      <c r="U76">
        <v>-0.58899999999999997</v>
      </c>
      <c r="V76">
        <v>0.26900000000000002</v>
      </c>
      <c r="W76">
        <v>-0.23899999999999999</v>
      </c>
      <c r="X76">
        <v>-0.151</v>
      </c>
      <c r="Y76">
        <v>-3.1E-2</v>
      </c>
      <c r="Z76">
        <v>7.1999999999999995E-2</v>
      </c>
      <c r="AA76">
        <v>-0.36799999999999999</v>
      </c>
      <c r="AB76">
        <v>0.17799999999999999</v>
      </c>
      <c r="AC76">
        <v>0.17699999999999999</v>
      </c>
      <c r="AD76">
        <v>0.53100000000000003</v>
      </c>
      <c r="AE76">
        <v>0.61699999999999999</v>
      </c>
      <c r="AF76">
        <v>0.55100000000000005</v>
      </c>
      <c r="AG76">
        <v>0.32600000000000001</v>
      </c>
      <c r="AH76">
        <v>0.53</v>
      </c>
      <c r="AI76">
        <v>-0.65800000000000003</v>
      </c>
      <c r="AJ76">
        <v>0.60399999999999998</v>
      </c>
      <c r="AK76">
        <v>-0.376</v>
      </c>
      <c r="AL76">
        <v>0.159</v>
      </c>
      <c r="AM76">
        <v>-0.223</v>
      </c>
      <c r="AN76">
        <v>0.378</v>
      </c>
      <c r="AO76">
        <v>9.0999999999999998E-2</v>
      </c>
      <c r="AP76">
        <v>0.157</v>
      </c>
      <c r="AQ76">
        <v>-0.753</v>
      </c>
      <c r="AR76">
        <v>-0.84499999999999997</v>
      </c>
      <c r="AS76">
        <v>0.38700000000000001</v>
      </c>
      <c r="AT76">
        <v>-6.3E-2</v>
      </c>
      <c r="AU76">
        <v>-0.158</v>
      </c>
      <c r="AV76">
        <v>-0.14399999999999999</v>
      </c>
      <c r="AW76">
        <v>-0.45800000000000002</v>
      </c>
      <c r="AX76">
        <v>5.6000000000000001E-2</v>
      </c>
      <c r="AY76">
        <v>6.6000000000000003E-2</v>
      </c>
      <c r="AZ76">
        <v>-2E-3</v>
      </c>
      <c r="BA76">
        <v>0.64</v>
      </c>
      <c r="BB76">
        <v>0.32500000000000001</v>
      </c>
      <c r="BC76">
        <v>0.1</v>
      </c>
      <c r="BD76">
        <v>-9.9000000000000005E-2</v>
      </c>
      <c r="BE76">
        <v>-0.442</v>
      </c>
      <c r="BF76">
        <v>7.2999999999999995E-2</v>
      </c>
      <c r="BG76">
        <v>0.60599999999999998</v>
      </c>
      <c r="BH76">
        <v>0.3</v>
      </c>
      <c r="BI76">
        <v>0.86099999999999999</v>
      </c>
      <c r="BJ76">
        <v>-0.26700000000000002</v>
      </c>
      <c r="BK76">
        <v>0.187</v>
      </c>
      <c r="BL76">
        <v>0.53400000000000003</v>
      </c>
      <c r="BM76">
        <v>0.49299999999999999</v>
      </c>
    </row>
    <row r="77" spans="1:65" x14ac:dyDescent="0.3">
      <c r="A77" t="s">
        <v>248</v>
      </c>
      <c r="B77">
        <v>0</v>
      </c>
      <c r="C77">
        <v>0</v>
      </c>
      <c r="M77" t="s">
        <v>237</v>
      </c>
      <c r="N77">
        <v>1.097</v>
      </c>
      <c r="O77">
        <v>0.749</v>
      </c>
      <c r="P77" t="s">
        <v>53</v>
      </c>
      <c r="Q77">
        <v>0</v>
      </c>
      <c r="R77">
        <v>0</v>
      </c>
      <c r="S77">
        <v>80</v>
      </c>
      <c r="T77">
        <v>0.38700000000000001</v>
      </c>
      <c r="U77">
        <v>0.82799999999999996</v>
      </c>
      <c r="V77">
        <v>0.56000000000000005</v>
      </c>
      <c r="W77">
        <v>9.0999999999999998E-2</v>
      </c>
      <c r="X77">
        <v>0.56499999999999995</v>
      </c>
      <c r="Y77">
        <v>-0.57099999999999995</v>
      </c>
      <c r="Z77">
        <v>-0.79</v>
      </c>
      <c r="AA77">
        <v>-0.503</v>
      </c>
      <c r="AB77">
        <v>-0.14899999999999999</v>
      </c>
      <c r="AC77">
        <v>-0.14799999999999999</v>
      </c>
      <c r="AD77">
        <v>0.32400000000000001</v>
      </c>
      <c r="AE77">
        <v>0.42499999999999999</v>
      </c>
      <c r="AF77">
        <v>0.312</v>
      </c>
      <c r="AG77">
        <v>0.437</v>
      </c>
      <c r="AH77">
        <v>0.64</v>
      </c>
      <c r="AI77">
        <v>0.76400000000000001</v>
      </c>
      <c r="AJ77">
        <v>1</v>
      </c>
      <c r="AK77">
        <v>0.65800000000000003</v>
      </c>
      <c r="AL77">
        <v>-0.52400000000000002</v>
      </c>
      <c r="AM77">
        <v>0.67400000000000004</v>
      </c>
      <c r="AN77">
        <v>-0.89100000000000001</v>
      </c>
      <c r="AO77">
        <v>0.80200000000000005</v>
      </c>
      <c r="AP77">
        <v>0.217</v>
      </c>
      <c r="AQ77">
        <v>-0.22800000000000001</v>
      </c>
      <c r="AR77">
        <v>0.249</v>
      </c>
      <c r="AS77">
        <v>-0.30399999999999999</v>
      </c>
      <c r="AT77">
        <v>0.26500000000000001</v>
      </c>
      <c r="AU77">
        <v>5.1999999999999998E-2</v>
      </c>
      <c r="AV77">
        <v>7.0000000000000001E-3</v>
      </c>
      <c r="AW77">
        <v>-0.62</v>
      </c>
      <c r="AX77">
        <v>-0.01</v>
      </c>
      <c r="AY77">
        <v>-0.55800000000000005</v>
      </c>
      <c r="AZ77">
        <v>-0.61199999999999999</v>
      </c>
      <c r="BA77">
        <v>-0.33600000000000002</v>
      </c>
      <c r="BB77">
        <v>-0.51300000000000001</v>
      </c>
      <c r="BC77">
        <v>0.98399999999999999</v>
      </c>
      <c r="BD77">
        <v>0.104</v>
      </c>
      <c r="BE77">
        <v>-3.0000000000000001E-3</v>
      </c>
      <c r="BF77">
        <v>0.32300000000000001</v>
      </c>
      <c r="BG77">
        <v>0.54700000000000004</v>
      </c>
      <c r="BH77">
        <v>0.51500000000000001</v>
      </c>
      <c r="BI77">
        <v>-0.63900000000000001</v>
      </c>
      <c r="BJ77">
        <v>1</v>
      </c>
      <c r="BK77">
        <v>0.38600000000000001</v>
      </c>
      <c r="BL77">
        <v>0.59499999999999997</v>
      </c>
      <c r="BM77">
        <v>0.99399999999999999</v>
      </c>
    </row>
    <row r="78" spans="1:65" x14ac:dyDescent="0.3">
      <c r="A78" t="s">
        <v>225</v>
      </c>
      <c r="B78">
        <v>0</v>
      </c>
      <c r="C78">
        <v>0</v>
      </c>
      <c r="M78" t="s">
        <v>164</v>
      </c>
      <c r="N78">
        <v>1.093</v>
      </c>
      <c r="O78">
        <v>1.3560000000000001</v>
      </c>
      <c r="P78" t="s">
        <v>68</v>
      </c>
      <c r="Q78">
        <v>0</v>
      </c>
      <c r="R78">
        <v>-4.0000000000000001E-3</v>
      </c>
      <c r="S78">
        <v>80</v>
      </c>
      <c r="T78">
        <v>-7.0999999999999994E-2</v>
      </c>
      <c r="U78">
        <v>-2E-3</v>
      </c>
      <c r="V78">
        <v>-5.6000000000000001E-2</v>
      </c>
      <c r="W78">
        <v>-0.33</v>
      </c>
      <c r="X78">
        <v>-0.218</v>
      </c>
      <c r="Y78">
        <v>-0.25900000000000001</v>
      </c>
      <c r="Z78">
        <v>-0.40699999999999997</v>
      </c>
      <c r="AA78">
        <v>-0.60499999999999998</v>
      </c>
      <c r="AB78">
        <v>0.53200000000000003</v>
      </c>
      <c r="AC78">
        <v>0.52900000000000003</v>
      </c>
      <c r="AD78">
        <v>0.62</v>
      </c>
      <c r="AE78">
        <v>0.70899999999999996</v>
      </c>
      <c r="AF78">
        <v>0.70599999999999996</v>
      </c>
      <c r="AG78">
        <v>-0.22800000000000001</v>
      </c>
      <c r="AH78">
        <v>4.0000000000000001E-3</v>
      </c>
      <c r="AI78">
        <v>-0.16</v>
      </c>
      <c r="AJ78">
        <v>0.54800000000000004</v>
      </c>
      <c r="AK78">
        <v>-0.37</v>
      </c>
      <c r="AL78">
        <v>-0.53100000000000003</v>
      </c>
      <c r="AM78">
        <v>0.314</v>
      </c>
      <c r="AN78">
        <v>-0.46500000000000002</v>
      </c>
      <c r="AO78">
        <v>0.71699999999999997</v>
      </c>
      <c r="AP78">
        <v>-0.25700000000000001</v>
      </c>
      <c r="AQ78">
        <v>-0.433</v>
      </c>
      <c r="AR78">
        <v>-0.17499999999999999</v>
      </c>
      <c r="AS78">
        <v>5.8000000000000003E-2</v>
      </c>
      <c r="AT78">
        <v>0.314</v>
      </c>
      <c r="AU78">
        <v>6.9000000000000006E-2</v>
      </c>
      <c r="AV78">
        <v>8.9999999999999993E-3</v>
      </c>
      <c r="AW78">
        <v>-0.54300000000000004</v>
      </c>
      <c r="AX78">
        <v>-0.217</v>
      </c>
      <c r="AY78">
        <v>0.54</v>
      </c>
      <c r="AZ78">
        <v>-0.21099999999999999</v>
      </c>
      <c r="BA78">
        <v>0.92800000000000005</v>
      </c>
      <c r="BB78">
        <v>1</v>
      </c>
      <c r="BC78">
        <v>4.8000000000000001E-2</v>
      </c>
      <c r="BD78">
        <v>0.224</v>
      </c>
      <c r="BE78">
        <v>0.13800000000000001</v>
      </c>
      <c r="BF78">
        <v>0.29499999999999998</v>
      </c>
      <c r="BG78">
        <v>-0.28799999999999998</v>
      </c>
      <c r="BH78">
        <v>-0.224</v>
      </c>
      <c r="BI78">
        <v>0.38300000000000001</v>
      </c>
      <c r="BJ78">
        <v>-4.2999999999999997E-2</v>
      </c>
      <c r="BK78">
        <v>0.24</v>
      </c>
      <c r="BL78">
        <v>6.0999999999999999E-2</v>
      </c>
      <c r="BM78">
        <v>0.45400000000000001</v>
      </c>
    </row>
    <row r="79" spans="1:65" x14ac:dyDescent="0.3">
      <c r="A79" t="s">
        <v>97</v>
      </c>
      <c r="B79">
        <v>1.6750623798259499E-2</v>
      </c>
      <c r="C79">
        <v>0</v>
      </c>
      <c r="M79" t="s">
        <v>143</v>
      </c>
      <c r="N79">
        <v>1.08</v>
      </c>
      <c r="O79">
        <v>2.1720000000000002</v>
      </c>
      <c r="P79" t="s">
        <v>53</v>
      </c>
      <c r="Q79">
        <v>0</v>
      </c>
      <c r="R79">
        <v>-2.1000000000000001E-2</v>
      </c>
      <c r="S79">
        <v>57</v>
      </c>
      <c r="T79">
        <v>-0.39500000000000002</v>
      </c>
      <c r="U79">
        <v>-0.47</v>
      </c>
      <c r="V79">
        <v>-0.7</v>
      </c>
      <c r="W79">
        <v>-0.315</v>
      </c>
      <c r="X79">
        <v>-0.57499999999999996</v>
      </c>
      <c r="Y79">
        <v>-8.5999999999999993E-2</v>
      </c>
      <c r="Z79">
        <v>0.13200000000000001</v>
      </c>
      <c r="AA79">
        <v>-0.22</v>
      </c>
      <c r="AB79">
        <v>0.32700000000000001</v>
      </c>
      <c r="AC79">
        <v>0.32500000000000001</v>
      </c>
      <c r="AD79">
        <v>0.81699999999999995</v>
      </c>
      <c r="AE79">
        <v>0.82499999999999996</v>
      </c>
      <c r="AF79">
        <v>0.622</v>
      </c>
      <c r="AG79">
        <v>-0.26400000000000001</v>
      </c>
      <c r="AH79">
        <v>-0.39200000000000002</v>
      </c>
      <c r="AI79">
        <v>-0.313</v>
      </c>
      <c r="AJ79">
        <v>-0.65200000000000002</v>
      </c>
      <c r="AK79">
        <v>-0.32800000000000001</v>
      </c>
      <c r="AL79">
        <v>-0.78800000000000003</v>
      </c>
      <c r="AM79">
        <v>1.6E-2</v>
      </c>
      <c r="AN79">
        <v>-8.4000000000000005E-2</v>
      </c>
      <c r="AO79">
        <v>-0.64</v>
      </c>
      <c r="AP79">
        <v>0.221</v>
      </c>
      <c r="AQ79">
        <v>6.4000000000000001E-2</v>
      </c>
      <c r="AR79">
        <v>-0.10199999999999999</v>
      </c>
      <c r="AS79">
        <v>5.8000000000000003E-2</v>
      </c>
      <c r="AT79">
        <v>0.33200000000000002</v>
      </c>
      <c r="AU79">
        <v>0.11899999999999999</v>
      </c>
      <c r="AV79">
        <v>0.217</v>
      </c>
      <c r="AW79">
        <v>-0.29199999999999998</v>
      </c>
      <c r="AX79">
        <v>7.0999999999999994E-2</v>
      </c>
      <c r="AY79">
        <v>0.45700000000000002</v>
      </c>
      <c r="AZ79">
        <v>-0.158</v>
      </c>
      <c r="BA79">
        <v>0.92600000000000005</v>
      </c>
      <c r="BB79">
        <v>0.50800000000000001</v>
      </c>
      <c r="BC79">
        <v>-8.9999999999999993E-3</v>
      </c>
      <c r="BD79">
        <v>-0.11799999999999999</v>
      </c>
      <c r="BE79">
        <v>-2.5999999999999999E-2</v>
      </c>
      <c r="BF79">
        <v>0.48799999999999999</v>
      </c>
      <c r="BG79">
        <v>-0.183</v>
      </c>
      <c r="BH79">
        <v>9.6000000000000002E-2</v>
      </c>
      <c r="BI79">
        <v>0.71</v>
      </c>
      <c r="BJ79">
        <v>-0.123</v>
      </c>
      <c r="BK79">
        <v>-0.183</v>
      </c>
      <c r="BL79">
        <v>4.5999999999999999E-2</v>
      </c>
      <c r="BM79">
        <v>-0.14499999999999999</v>
      </c>
    </row>
    <row r="80" spans="1:65" x14ac:dyDescent="0.3">
      <c r="A80" t="s">
        <v>125</v>
      </c>
      <c r="B80">
        <v>0</v>
      </c>
      <c r="C80">
        <v>0</v>
      </c>
      <c r="M80" t="s">
        <v>132</v>
      </c>
      <c r="N80">
        <v>1.08</v>
      </c>
      <c r="O80">
        <v>0.93200000000000005</v>
      </c>
      <c r="P80" t="s">
        <v>53</v>
      </c>
      <c r="Q80">
        <v>0</v>
      </c>
      <c r="R80">
        <v>-4.0000000000000001E-3</v>
      </c>
      <c r="S80">
        <v>80</v>
      </c>
      <c r="T80">
        <v>-0.27500000000000002</v>
      </c>
      <c r="U80">
        <v>-0.47799999999999998</v>
      </c>
      <c r="V80">
        <v>-0.47399999999999998</v>
      </c>
      <c r="W80">
        <v>-0.25900000000000001</v>
      </c>
      <c r="X80">
        <v>-0.46500000000000002</v>
      </c>
      <c r="Y80">
        <v>-0.13400000000000001</v>
      </c>
      <c r="Z80">
        <v>-0.01</v>
      </c>
      <c r="AA80">
        <v>-0.29899999999999999</v>
      </c>
      <c r="AB80">
        <v>0.30399999999999999</v>
      </c>
      <c r="AC80">
        <v>0.29799999999999999</v>
      </c>
      <c r="AD80">
        <v>0.748</v>
      </c>
      <c r="AE80">
        <v>0.77600000000000002</v>
      </c>
      <c r="AF80">
        <v>0.63400000000000001</v>
      </c>
      <c r="AG80">
        <v>-0.14799999999999999</v>
      </c>
      <c r="AH80">
        <v>-0.20699999999999999</v>
      </c>
      <c r="AI80">
        <v>-0.45800000000000002</v>
      </c>
      <c r="AJ80">
        <v>-0.51900000000000002</v>
      </c>
      <c r="AK80">
        <v>4.5999999999999999E-2</v>
      </c>
      <c r="AL80">
        <v>-0.39700000000000002</v>
      </c>
      <c r="AM80">
        <v>-0.187</v>
      </c>
      <c r="AN80">
        <v>-5.7000000000000002E-2</v>
      </c>
      <c r="AO80">
        <v>-0.41899999999999998</v>
      </c>
      <c r="AP80">
        <v>-0.113</v>
      </c>
      <c r="AQ80">
        <v>-1.6E-2</v>
      </c>
      <c r="AR80">
        <v>-0.99099999999999999</v>
      </c>
      <c r="AS80">
        <v>0.23899999999999999</v>
      </c>
      <c r="AT80">
        <v>1</v>
      </c>
      <c r="AU80">
        <v>0.38400000000000001</v>
      </c>
      <c r="AV80">
        <v>0.30399999999999999</v>
      </c>
      <c r="AW80">
        <v>-0.46</v>
      </c>
      <c r="AX80">
        <v>0.36399999999999999</v>
      </c>
      <c r="AY80">
        <v>-0.14000000000000001</v>
      </c>
      <c r="AZ80">
        <v>-0.15</v>
      </c>
      <c r="BA80">
        <v>0.88</v>
      </c>
      <c r="BB80">
        <v>0.442</v>
      </c>
      <c r="BC80">
        <v>0.73899999999999999</v>
      </c>
      <c r="BD80">
        <v>-0.38800000000000001</v>
      </c>
      <c r="BE80">
        <v>-0.435</v>
      </c>
      <c r="BF80">
        <v>0.50700000000000001</v>
      </c>
      <c r="BG80">
        <v>0.36699999999999999</v>
      </c>
      <c r="BH80">
        <v>0.19800000000000001</v>
      </c>
      <c r="BI80">
        <v>0.71699999999999997</v>
      </c>
      <c r="BJ80">
        <v>-0.33400000000000002</v>
      </c>
      <c r="BK80">
        <v>0.14199999999999999</v>
      </c>
      <c r="BL80">
        <v>-0.105</v>
      </c>
      <c r="BM80">
        <v>0.20599999999999999</v>
      </c>
    </row>
    <row r="81" spans="1:65" x14ac:dyDescent="0.3">
      <c r="A81" t="s">
        <v>244</v>
      </c>
      <c r="B81">
        <v>0</v>
      </c>
      <c r="C81">
        <v>0</v>
      </c>
      <c r="M81" t="s">
        <v>228</v>
      </c>
      <c r="N81">
        <v>1.0720000000000001</v>
      </c>
      <c r="O81">
        <v>0.80300000000000005</v>
      </c>
      <c r="P81" t="s">
        <v>57</v>
      </c>
      <c r="Q81">
        <v>0</v>
      </c>
      <c r="R81">
        <v>-2E-3</v>
      </c>
      <c r="S81">
        <v>80</v>
      </c>
      <c r="T81">
        <v>3.2000000000000001E-2</v>
      </c>
      <c r="U81">
        <v>0.45</v>
      </c>
      <c r="V81">
        <v>-4.1000000000000002E-2</v>
      </c>
      <c r="W81">
        <v>-0.27</v>
      </c>
      <c r="X81">
        <v>-4.8000000000000001E-2</v>
      </c>
      <c r="Y81">
        <v>-0.40300000000000002</v>
      </c>
      <c r="Z81">
        <v>-0.60199999999999998</v>
      </c>
      <c r="AA81">
        <v>-0.501</v>
      </c>
      <c r="AB81">
        <v>-0.10299999999999999</v>
      </c>
      <c r="AC81">
        <v>-0.10199999999999999</v>
      </c>
      <c r="AD81">
        <v>0.73099999999999998</v>
      </c>
      <c r="AE81">
        <v>0.81</v>
      </c>
      <c r="AF81">
        <v>0.69899999999999995</v>
      </c>
      <c r="AG81">
        <v>-0.93100000000000005</v>
      </c>
      <c r="AH81">
        <v>0.2</v>
      </c>
      <c r="AI81">
        <v>0.84199999999999997</v>
      </c>
      <c r="AJ81">
        <v>-0.48099999999999998</v>
      </c>
      <c r="AK81">
        <v>1</v>
      </c>
      <c r="AL81">
        <v>0.38900000000000001</v>
      </c>
      <c r="AM81">
        <v>-0.17499999999999999</v>
      </c>
      <c r="AN81">
        <v>-0.85099999999999998</v>
      </c>
      <c r="AO81">
        <v>-0.46500000000000002</v>
      </c>
      <c r="AP81">
        <v>0.20100000000000001</v>
      </c>
      <c r="AQ81">
        <v>-5.0000000000000001E-3</v>
      </c>
      <c r="AR81">
        <v>0.93200000000000005</v>
      </c>
      <c r="AS81">
        <v>0.32600000000000001</v>
      </c>
      <c r="AT81">
        <v>0.44800000000000001</v>
      </c>
      <c r="AU81">
        <v>0.28599999999999998</v>
      </c>
      <c r="AV81">
        <v>0.27500000000000002</v>
      </c>
      <c r="AW81">
        <v>-0.308</v>
      </c>
      <c r="AX81">
        <v>-0.157</v>
      </c>
      <c r="AY81">
        <v>-0.39900000000000002</v>
      </c>
      <c r="AZ81">
        <v>0.21</v>
      </c>
      <c r="BA81">
        <v>-0.34399999999999997</v>
      </c>
      <c r="BB81">
        <v>4.4999999999999998E-2</v>
      </c>
      <c r="BC81">
        <v>-2.8000000000000001E-2</v>
      </c>
      <c r="BD81">
        <v>0.17100000000000001</v>
      </c>
      <c r="BE81">
        <v>0.51800000000000002</v>
      </c>
      <c r="BF81">
        <v>-0.88300000000000001</v>
      </c>
      <c r="BG81">
        <v>-0.246</v>
      </c>
      <c r="BH81">
        <v>0.29299999999999998</v>
      </c>
      <c r="BI81">
        <v>0.29299999999999998</v>
      </c>
      <c r="BJ81">
        <v>0.28799999999999998</v>
      </c>
      <c r="BK81">
        <v>-2.5000000000000001E-2</v>
      </c>
      <c r="BL81">
        <v>0.25</v>
      </c>
      <c r="BM81">
        <v>-5.3999999999999999E-2</v>
      </c>
    </row>
    <row r="82" spans="1:65" x14ac:dyDescent="0.3">
      <c r="A82" t="s">
        <v>141</v>
      </c>
      <c r="B82">
        <v>0</v>
      </c>
      <c r="C82">
        <v>0</v>
      </c>
      <c r="M82" t="s">
        <v>125</v>
      </c>
      <c r="N82">
        <v>1.052</v>
      </c>
      <c r="O82">
        <v>2.254</v>
      </c>
      <c r="P82" t="s">
        <v>55</v>
      </c>
      <c r="Q82">
        <v>0</v>
      </c>
      <c r="R82">
        <v>-2.8000000000000001E-2</v>
      </c>
      <c r="S82">
        <v>48</v>
      </c>
      <c r="T82">
        <v>-0.34599999999999997</v>
      </c>
      <c r="U82">
        <v>-0.48499999999999999</v>
      </c>
      <c r="V82">
        <v>-0.77400000000000002</v>
      </c>
      <c r="W82">
        <v>-0.29499999999999998</v>
      </c>
      <c r="X82">
        <v>-0.65600000000000003</v>
      </c>
      <c r="Y82">
        <v>0.13300000000000001</v>
      </c>
      <c r="Z82">
        <v>0.67600000000000005</v>
      </c>
      <c r="AA82">
        <v>-0.38800000000000001</v>
      </c>
      <c r="AB82">
        <v>0.29799999999999999</v>
      </c>
      <c r="AC82">
        <v>0.29899999999999999</v>
      </c>
      <c r="AD82">
        <v>0.7</v>
      </c>
      <c r="AE82">
        <v>0.72199999999999998</v>
      </c>
      <c r="AF82">
        <v>0.55100000000000005</v>
      </c>
      <c r="AG82">
        <v>-0.24099999999999999</v>
      </c>
      <c r="AH82">
        <v>-0.55900000000000005</v>
      </c>
      <c r="AI82">
        <v>-0.52300000000000002</v>
      </c>
      <c r="AJ82">
        <v>-0.86299999999999999</v>
      </c>
      <c r="AK82">
        <v>-0.56399999999999995</v>
      </c>
      <c r="AL82">
        <v>-0.58499999999999996</v>
      </c>
      <c r="AM82">
        <v>-0.28899999999999998</v>
      </c>
      <c r="AN82">
        <v>-0.39300000000000002</v>
      </c>
      <c r="AO82">
        <v>-0.77100000000000002</v>
      </c>
      <c r="AP82">
        <v>0.21299999999999999</v>
      </c>
      <c r="AQ82">
        <v>-8.9999999999999993E-3</v>
      </c>
      <c r="AR82">
        <v>0.10100000000000001</v>
      </c>
      <c r="AS82">
        <v>4.7E-2</v>
      </c>
      <c r="AT82">
        <v>0.39300000000000002</v>
      </c>
      <c r="AU82">
        <v>0.33300000000000002</v>
      </c>
      <c r="AV82">
        <v>0.43099999999999999</v>
      </c>
      <c r="AW82">
        <v>0.90100000000000002</v>
      </c>
      <c r="AX82">
        <v>0.35099999999999998</v>
      </c>
      <c r="AY82">
        <v>0.30399999999999999</v>
      </c>
      <c r="AZ82">
        <v>-0.58399999999999996</v>
      </c>
      <c r="BA82">
        <v>0.80700000000000005</v>
      </c>
      <c r="BB82">
        <v>0.29699999999999999</v>
      </c>
      <c r="BC82">
        <v>-9.9000000000000005E-2</v>
      </c>
      <c r="BD82">
        <v>-0.42</v>
      </c>
      <c r="BE82">
        <v>0.41</v>
      </c>
      <c r="BF82">
        <v>0.35199999999999998</v>
      </c>
      <c r="BG82">
        <v>-2.8000000000000001E-2</v>
      </c>
      <c r="BH82">
        <v>-3.1E-2</v>
      </c>
      <c r="BI82">
        <v>0.70399999999999996</v>
      </c>
      <c r="BJ82">
        <v>-0.36</v>
      </c>
      <c r="BK82">
        <v>0.54700000000000004</v>
      </c>
      <c r="BL82">
        <v>-0.26600000000000001</v>
      </c>
      <c r="BM82">
        <v>-0.42</v>
      </c>
    </row>
    <row r="83" spans="1:65" x14ac:dyDescent="0.3">
      <c r="A83" t="s">
        <v>66</v>
      </c>
      <c r="B83">
        <v>1.3278455008008999E-2</v>
      </c>
      <c r="C83">
        <v>0</v>
      </c>
      <c r="M83" t="s">
        <v>196</v>
      </c>
      <c r="N83">
        <v>1.046</v>
      </c>
      <c r="O83">
        <v>0.754</v>
      </c>
      <c r="P83" t="s">
        <v>57</v>
      </c>
      <c r="Q83">
        <v>0</v>
      </c>
      <c r="R83">
        <v>-3.0000000000000001E-3</v>
      </c>
      <c r="S83">
        <v>80</v>
      </c>
      <c r="T83">
        <v>8.3000000000000004E-2</v>
      </c>
      <c r="U83">
        <v>0.16200000000000001</v>
      </c>
      <c r="V83">
        <v>0.125</v>
      </c>
      <c r="W83">
        <v>2.5000000000000001E-2</v>
      </c>
      <c r="X83">
        <v>0.14499999999999999</v>
      </c>
      <c r="Y83">
        <v>-0.27200000000000002</v>
      </c>
      <c r="Z83">
        <v>-0.39</v>
      </c>
      <c r="AA83">
        <v>-0.55800000000000005</v>
      </c>
      <c r="AB83">
        <v>-5.3999999999999999E-2</v>
      </c>
      <c r="AC83">
        <v>-5.2999999999999999E-2</v>
      </c>
      <c r="AD83">
        <v>0.56899999999999995</v>
      </c>
      <c r="AE83">
        <v>0.55600000000000005</v>
      </c>
      <c r="AF83">
        <v>0.53900000000000003</v>
      </c>
      <c r="AG83">
        <v>0.183</v>
      </c>
      <c r="AH83">
        <v>0.93899999999999995</v>
      </c>
      <c r="AI83">
        <v>0.125</v>
      </c>
      <c r="AJ83">
        <v>0.38900000000000001</v>
      </c>
      <c r="AK83">
        <v>-0.113</v>
      </c>
      <c r="AL83">
        <v>0.67100000000000004</v>
      </c>
      <c r="AM83">
        <v>0.14299999999999999</v>
      </c>
      <c r="AN83">
        <v>-0.753</v>
      </c>
      <c r="AO83">
        <v>0.249</v>
      </c>
      <c r="AP83">
        <v>0.14699999999999999</v>
      </c>
      <c r="AQ83">
        <v>-0.19800000000000001</v>
      </c>
      <c r="AR83">
        <v>-0.436</v>
      </c>
      <c r="AS83">
        <v>0.56399999999999995</v>
      </c>
      <c r="AT83">
        <v>0.23100000000000001</v>
      </c>
      <c r="AU83">
        <v>0.188</v>
      </c>
      <c r="AV83">
        <v>7.8E-2</v>
      </c>
      <c r="AW83">
        <v>0.126</v>
      </c>
      <c r="AX83">
        <v>0.23400000000000001</v>
      </c>
      <c r="AY83">
        <v>-0.88500000000000001</v>
      </c>
      <c r="AZ83">
        <v>-0.47399999999999998</v>
      </c>
      <c r="BA83">
        <v>0.64300000000000002</v>
      </c>
      <c r="BB83">
        <v>0.17299999999999999</v>
      </c>
      <c r="BC83">
        <v>0.53300000000000003</v>
      </c>
      <c r="BD83">
        <v>0.159</v>
      </c>
      <c r="BE83">
        <v>-0.219</v>
      </c>
      <c r="BF83">
        <v>0.20399999999999999</v>
      </c>
      <c r="BG83">
        <v>0.46899999999999997</v>
      </c>
      <c r="BH83">
        <v>0.315</v>
      </c>
      <c r="BI83">
        <v>0.27600000000000002</v>
      </c>
      <c r="BJ83">
        <v>-0.153</v>
      </c>
      <c r="BK83">
        <v>0.50700000000000001</v>
      </c>
      <c r="BL83">
        <v>-0.59399999999999997</v>
      </c>
      <c r="BM83">
        <v>0.65300000000000002</v>
      </c>
    </row>
    <row r="84" spans="1:65" x14ac:dyDescent="0.3">
      <c r="A84" t="s">
        <v>118</v>
      </c>
      <c r="B84">
        <v>1.44829760035248E-2</v>
      </c>
      <c r="C84">
        <v>1.17462960802964E-2</v>
      </c>
      <c r="M84" t="s">
        <v>104</v>
      </c>
      <c r="N84">
        <v>1.0429999999999999</v>
      </c>
      <c r="O84">
        <v>1.431</v>
      </c>
      <c r="P84" t="s">
        <v>55</v>
      </c>
      <c r="Q84">
        <v>0</v>
      </c>
      <c r="R84">
        <v>0</v>
      </c>
      <c r="S84">
        <v>80</v>
      </c>
      <c r="T84">
        <v>-0.55000000000000004</v>
      </c>
      <c r="U84">
        <v>-0.73899999999999999</v>
      </c>
      <c r="V84">
        <v>-0.71599999999999997</v>
      </c>
      <c r="W84">
        <v>-0.42099999999999999</v>
      </c>
      <c r="X84">
        <v>-0.69199999999999995</v>
      </c>
      <c r="Y84">
        <v>9.1999999999999998E-2</v>
      </c>
      <c r="Z84">
        <v>0.71899999999999997</v>
      </c>
      <c r="AA84">
        <v>-0.28799999999999998</v>
      </c>
      <c r="AB84">
        <v>0.48399999999999999</v>
      </c>
      <c r="AC84">
        <v>0.48199999999999998</v>
      </c>
      <c r="AD84">
        <v>0.63400000000000001</v>
      </c>
      <c r="AE84">
        <v>0.72099999999999997</v>
      </c>
      <c r="AF84">
        <v>0.59199999999999997</v>
      </c>
      <c r="AG84">
        <v>-0.27</v>
      </c>
      <c r="AH84">
        <v>-0.53200000000000003</v>
      </c>
      <c r="AI84">
        <v>-0.66800000000000004</v>
      </c>
      <c r="AJ84">
        <v>-0.76300000000000001</v>
      </c>
      <c r="AK84">
        <v>-0.67600000000000005</v>
      </c>
      <c r="AL84">
        <v>-0.88100000000000001</v>
      </c>
      <c r="AM84">
        <v>-0.182</v>
      </c>
      <c r="AN84">
        <v>0.187</v>
      </c>
      <c r="AO84">
        <v>-0.59899999999999998</v>
      </c>
      <c r="AP84">
        <v>-0.217</v>
      </c>
      <c r="AQ84">
        <v>-0.27</v>
      </c>
      <c r="AR84">
        <v>6.0000000000000001E-3</v>
      </c>
      <c r="AS84">
        <v>-0.13600000000000001</v>
      </c>
      <c r="AT84">
        <v>0.17599999999999999</v>
      </c>
      <c r="AU84">
        <v>0.124</v>
      </c>
      <c r="AV84">
        <v>0.113</v>
      </c>
      <c r="AW84">
        <v>0.53700000000000003</v>
      </c>
      <c r="AX84">
        <v>2.1999999999999999E-2</v>
      </c>
      <c r="AY84">
        <v>0.89300000000000002</v>
      </c>
      <c r="AZ84">
        <v>-0.84499999999999997</v>
      </c>
      <c r="BA84">
        <v>0.438</v>
      </c>
      <c r="BB84">
        <v>-6.5000000000000002E-2</v>
      </c>
      <c r="BC84">
        <v>0.88500000000000001</v>
      </c>
      <c r="BD84">
        <v>-0.16400000000000001</v>
      </c>
      <c r="BE84">
        <v>-0.36799999999999999</v>
      </c>
      <c r="BF84">
        <v>0.36399999999999999</v>
      </c>
      <c r="BG84">
        <v>-0.16600000000000001</v>
      </c>
      <c r="BH84">
        <v>0.11600000000000001</v>
      </c>
      <c r="BI84">
        <v>0.83899999999999997</v>
      </c>
      <c r="BJ84">
        <v>-0.379</v>
      </c>
      <c r="BK84">
        <v>-0.30099999999999999</v>
      </c>
      <c r="BL84">
        <v>0.93100000000000005</v>
      </c>
      <c r="BM84">
        <v>5.3999999999999999E-2</v>
      </c>
    </row>
    <row r="85" spans="1:65" x14ac:dyDescent="0.3">
      <c r="A85" t="s">
        <v>236</v>
      </c>
      <c r="B85">
        <v>0</v>
      </c>
      <c r="C85">
        <v>0</v>
      </c>
      <c r="M85" t="s">
        <v>78</v>
      </c>
      <c r="N85">
        <v>1.0409999999999999</v>
      </c>
      <c r="O85">
        <v>1.2749999999999999</v>
      </c>
      <c r="P85" t="s">
        <v>57</v>
      </c>
      <c r="Q85">
        <v>0</v>
      </c>
      <c r="R85">
        <v>-3.0000000000000001E-3</v>
      </c>
      <c r="S85">
        <v>80</v>
      </c>
      <c r="T85">
        <v>-0.23899999999999999</v>
      </c>
      <c r="U85">
        <v>-0.78700000000000003</v>
      </c>
      <c r="V85">
        <v>-3.0000000000000001E-3</v>
      </c>
      <c r="W85">
        <v>-0.308</v>
      </c>
      <c r="X85">
        <v>-0.46400000000000002</v>
      </c>
      <c r="Y85">
        <v>3.1E-2</v>
      </c>
      <c r="Z85">
        <v>0.3</v>
      </c>
      <c r="AA85">
        <v>-0.35399999999999998</v>
      </c>
      <c r="AB85">
        <v>0.214</v>
      </c>
      <c r="AC85">
        <v>0.218</v>
      </c>
      <c r="AD85">
        <v>0.58199999999999996</v>
      </c>
      <c r="AE85">
        <v>0.54300000000000004</v>
      </c>
      <c r="AF85">
        <v>0.53400000000000003</v>
      </c>
      <c r="AG85">
        <v>2.9000000000000001E-2</v>
      </c>
      <c r="AH85">
        <v>-0.27800000000000002</v>
      </c>
      <c r="AI85">
        <v>-1</v>
      </c>
      <c r="AJ85">
        <v>-0.113</v>
      </c>
      <c r="AK85">
        <v>-0.51700000000000002</v>
      </c>
      <c r="AL85">
        <v>0.81599999999999995</v>
      </c>
      <c r="AM85">
        <v>-0.219</v>
      </c>
      <c r="AN85">
        <v>0.35099999999999998</v>
      </c>
      <c r="AO85">
        <v>-0.86199999999999999</v>
      </c>
      <c r="AP85">
        <v>0.24099999999999999</v>
      </c>
      <c r="AQ85">
        <v>-0.55100000000000005</v>
      </c>
      <c r="AR85">
        <v>-0.67700000000000005</v>
      </c>
      <c r="AS85">
        <v>0.104</v>
      </c>
      <c r="AT85">
        <v>0.19400000000000001</v>
      </c>
      <c r="AU85">
        <v>-0.318</v>
      </c>
      <c r="AV85">
        <v>0.81699999999999995</v>
      </c>
      <c r="AW85">
        <v>-0.28000000000000003</v>
      </c>
      <c r="AX85">
        <v>0.17599999999999999</v>
      </c>
      <c r="AY85">
        <v>0.378</v>
      </c>
      <c r="AZ85">
        <v>0.214</v>
      </c>
      <c r="BA85">
        <v>0.85099999999999998</v>
      </c>
      <c r="BB85">
        <v>0.318</v>
      </c>
      <c r="BC85">
        <v>0.42099999999999999</v>
      </c>
      <c r="BD85">
        <v>-0.13100000000000001</v>
      </c>
      <c r="BE85">
        <v>-0.36199999999999999</v>
      </c>
      <c r="BF85">
        <v>0.34699999999999998</v>
      </c>
      <c r="BG85">
        <v>-0.23899999999999999</v>
      </c>
      <c r="BH85">
        <v>-0.27400000000000002</v>
      </c>
      <c r="BI85">
        <v>0.75</v>
      </c>
      <c r="BJ85">
        <v>-0.59599999999999997</v>
      </c>
      <c r="BK85">
        <v>0.24299999999999999</v>
      </c>
      <c r="BL85">
        <v>0.36799999999999999</v>
      </c>
      <c r="BM85">
        <v>0.58799999999999997</v>
      </c>
    </row>
    <row r="86" spans="1:65" x14ac:dyDescent="0.3">
      <c r="A86" t="s">
        <v>76</v>
      </c>
      <c r="B86">
        <v>5.4772535189934399E-3</v>
      </c>
      <c r="C86">
        <v>0</v>
      </c>
      <c r="M86" t="s">
        <v>142</v>
      </c>
      <c r="N86">
        <v>1</v>
      </c>
      <c r="O86">
        <v>0.85</v>
      </c>
      <c r="P86" t="s">
        <v>53</v>
      </c>
      <c r="Q86">
        <v>0</v>
      </c>
      <c r="R86">
        <v>-4.0000000000000001E-3</v>
      </c>
      <c r="S86">
        <v>80</v>
      </c>
      <c r="T86">
        <v>3.1E-2</v>
      </c>
      <c r="U86">
        <v>-0.48399999999999999</v>
      </c>
      <c r="V86">
        <v>-9.6000000000000002E-2</v>
      </c>
      <c r="W86">
        <v>-0.123</v>
      </c>
      <c r="X86">
        <v>-0.38400000000000001</v>
      </c>
      <c r="Y86">
        <v>-4.5999999999999999E-2</v>
      </c>
      <c r="Z86">
        <v>-0.115</v>
      </c>
      <c r="AA86">
        <v>-0.61699999999999999</v>
      </c>
      <c r="AB86">
        <v>0.20499999999999999</v>
      </c>
      <c r="AC86">
        <v>0.20300000000000001</v>
      </c>
      <c r="AD86">
        <v>0.65200000000000002</v>
      </c>
      <c r="AE86">
        <v>0.56100000000000005</v>
      </c>
      <c r="AF86">
        <v>0.59099999999999997</v>
      </c>
      <c r="AG86">
        <v>0.33100000000000002</v>
      </c>
      <c r="AH86">
        <v>0.04</v>
      </c>
      <c r="AI86">
        <v>-0.85499999999999998</v>
      </c>
      <c r="AJ86">
        <v>-0.58399999999999996</v>
      </c>
      <c r="AK86">
        <v>-0.80300000000000005</v>
      </c>
      <c r="AL86">
        <v>0.03</v>
      </c>
      <c r="AM86">
        <v>-5.8000000000000003E-2</v>
      </c>
      <c r="AN86">
        <v>-0.50800000000000001</v>
      </c>
      <c r="AO86">
        <v>-0.123</v>
      </c>
      <c r="AP86">
        <v>0.42</v>
      </c>
      <c r="AQ86">
        <v>-0.53800000000000003</v>
      </c>
      <c r="AR86">
        <v>-0.3</v>
      </c>
      <c r="AS86">
        <v>0.38500000000000001</v>
      </c>
      <c r="AT86">
        <v>0.51900000000000002</v>
      </c>
      <c r="AU86">
        <v>0.18099999999999999</v>
      </c>
      <c r="AV86">
        <v>0.13200000000000001</v>
      </c>
      <c r="AW86">
        <v>-0.35699999999999998</v>
      </c>
      <c r="AX86">
        <v>0.55700000000000005</v>
      </c>
      <c r="AY86">
        <v>0.54400000000000004</v>
      </c>
      <c r="AZ86">
        <v>0.26200000000000001</v>
      </c>
      <c r="BA86">
        <v>0.877</v>
      </c>
      <c r="BB86">
        <v>1</v>
      </c>
      <c r="BC86">
        <v>0.64400000000000002</v>
      </c>
      <c r="BD86">
        <v>9.0999999999999998E-2</v>
      </c>
      <c r="BE86">
        <v>-6.0000000000000001E-3</v>
      </c>
      <c r="BF86">
        <v>0.51500000000000001</v>
      </c>
      <c r="BG86">
        <v>7.9000000000000001E-2</v>
      </c>
      <c r="BH86">
        <v>1</v>
      </c>
      <c r="BI86">
        <v>0.111</v>
      </c>
      <c r="BJ86">
        <v>-3.2000000000000001E-2</v>
      </c>
      <c r="BK86">
        <v>-0.247</v>
      </c>
      <c r="BL86">
        <v>0.52600000000000002</v>
      </c>
      <c r="BM86">
        <v>7.2999999999999995E-2</v>
      </c>
    </row>
    <row r="87" spans="1:65" x14ac:dyDescent="0.3">
      <c r="A87" t="s">
        <v>152</v>
      </c>
      <c r="B87">
        <v>1.54718026977539E-2</v>
      </c>
      <c r="C87">
        <v>3.0428073989747902E-2</v>
      </c>
      <c r="M87" t="s">
        <v>108</v>
      </c>
      <c r="N87">
        <v>0.98599999999999999</v>
      </c>
      <c r="O87">
        <v>1.333</v>
      </c>
      <c r="P87" t="s">
        <v>55</v>
      </c>
      <c r="Q87">
        <v>0</v>
      </c>
      <c r="R87">
        <v>0</v>
      </c>
      <c r="S87">
        <v>80</v>
      </c>
      <c r="T87">
        <v>-0.621</v>
      </c>
      <c r="U87">
        <v>-0.76400000000000001</v>
      </c>
      <c r="V87">
        <v>-0.72499999999999998</v>
      </c>
      <c r="W87">
        <v>-0.45300000000000001</v>
      </c>
      <c r="X87">
        <v>-0.70699999999999996</v>
      </c>
      <c r="Y87">
        <v>0.04</v>
      </c>
      <c r="Z87">
        <v>0.67300000000000004</v>
      </c>
      <c r="AA87">
        <v>-0.308</v>
      </c>
      <c r="AB87">
        <v>0.57099999999999995</v>
      </c>
      <c r="AC87">
        <v>0.56899999999999995</v>
      </c>
      <c r="AD87">
        <v>0.61499999999999999</v>
      </c>
      <c r="AE87">
        <v>0.72</v>
      </c>
      <c r="AF87">
        <v>0.57899999999999996</v>
      </c>
      <c r="AG87">
        <v>-0.26500000000000001</v>
      </c>
      <c r="AH87">
        <v>-0.52800000000000002</v>
      </c>
      <c r="AI87">
        <v>-0.70599999999999996</v>
      </c>
      <c r="AJ87">
        <v>-0.76100000000000001</v>
      </c>
      <c r="AK87">
        <v>-0.70899999999999996</v>
      </c>
      <c r="AL87">
        <v>-0.88100000000000001</v>
      </c>
      <c r="AM87">
        <v>-0.182</v>
      </c>
      <c r="AN87">
        <v>0.19400000000000001</v>
      </c>
      <c r="AO87">
        <v>-0.59899999999999998</v>
      </c>
      <c r="AP87">
        <v>-0.21299999999999999</v>
      </c>
      <c r="AQ87">
        <v>-0.28999999999999998</v>
      </c>
      <c r="AR87">
        <v>1.4E-2</v>
      </c>
      <c r="AS87">
        <v>-0.13600000000000001</v>
      </c>
      <c r="AT87">
        <v>0.17599999999999999</v>
      </c>
      <c r="AU87">
        <v>0.124</v>
      </c>
      <c r="AV87">
        <v>0.113</v>
      </c>
      <c r="AW87">
        <v>0.53700000000000003</v>
      </c>
      <c r="AX87">
        <v>2.1999999999999999E-2</v>
      </c>
      <c r="AY87">
        <v>0.9</v>
      </c>
      <c r="AZ87">
        <v>-0.84499999999999997</v>
      </c>
      <c r="BA87">
        <v>0.438</v>
      </c>
      <c r="BB87">
        <v>3.7999999999999999E-2</v>
      </c>
      <c r="BC87">
        <v>0.22900000000000001</v>
      </c>
      <c r="BD87">
        <v>-0.16400000000000001</v>
      </c>
      <c r="BE87">
        <v>-0.36799999999999999</v>
      </c>
      <c r="BF87">
        <v>0.35899999999999999</v>
      </c>
      <c r="BG87">
        <v>-0.192</v>
      </c>
      <c r="BH87">
        <v>4.1000000000000002E-2</v>
      </c>
      <c r="BI87">
        <v>0.86599999999999999</v>
      </c>
      <c r="BJ87">
        <v>-0.36399999999999999</v>
      </c>
      <c r="BK87">
        <v>-0.34599999999999997</v>
      </c>
      <c r="BL87">
        <v>1</v>
      </c>
      <c r="BM87">
        <v>5.3999999999999999E-2</v>
      </c>
    </row>
    <row r="88" spans="1:65" x14ac:dyDescent="0.3">
      <c r="A88" t="s">
        <v>226</v>
      </c>
      <c r="B88">
        <v>0</v>
      </c>
      <c r="C88">
        <v>1.0513421618870601E-2</v>
      </c>
      <c r="M88" t="s">
        <v>185</v>
      </c>
      <c r="N88">
        <v>0.97299999999999998</v>
      </c>
      <c r="O88">
        <v>1.3220000000000001</v>
      </c>
      <c r="P88" t="s">
        <v>55</v>
      </c>
      <c r="Q88">
        <v>0</v>
      </c>
      <c r="R88">
        <v>0</v>
      </c>
      <c r="S88">
        <v>18</v>
      </c>
      <c r="T88">
        <v>-0.60599999999999998</v>
      </c>
      <c r="U88">
        <v>-0.51500000000000001</v>
      </c>
      <c r="V88">
        <v>-0.92200000000000004</v>
      </c>
      <c r="W88">
        <v>-0.45100000000000001</v>
      </c>
      <c r="X88">
        <v>-0.75900000000000001</v>
      </c>
      <c r="Y88">
        <v>-7.0999999999999994E-2</v>
      </c>
      <c r="Z88">
        <v>8.8999999999999996E-2</v>
      </c>
      <c r="AA88">
        <v>-0.13800000000000001</v>
      </c>
      <c r="AB88">
        <v>0.33500000000000002</v>
      </c>
      <c r="AC88">
        <v>0.33700000000000002</v>
      </c>
      <c r="AD88">
        <v>0.74099999999999999</v>
      </c>
      <c r="AE88">
        <v>0.79600000000000004</v>
      </c>
      <c r="AF88">
        <v>0.67200000000000004</v>
      </c>
      <c r="AG88">
        <v>-0.76600000000000001</v>
      </c>
      <c r="AH88">
        <v>-0.47</v>
      </c>
      <c r="AI88">
        <v>6.5000000000000002E-2</v>
      </c>
      <c r="AJ88">
        <v>-0.94599999999999995</v>
      </c>
      <c r="AK88">
        <v>-0.435</v>
      </c>
      <c r="AL88">
        <v>-0.93899999999999995</v>
      </c>
      <c r="AM88">
        <v>-0.34499999999999997</v>
      </c>
      <c r="AN88">
        <v>-0.23</v>
      </c>
      <c r="AO88">
        <v>-0.65900000000000003</v>
      </c>
      <c r="AP88">
        <v>-0.55400000000000005</v>
      </c>
      <c r="AQ88">
        <v>0.40300000000000002</v>
      </c>
      <c r="AR88">
        <v>0.82399999999999995</v>
      </c>
      <c r="AS88">
        <v>0.254</v>
      </c>
      <c r="AT88">
        <v>0.30099999999999999</v>
      </c>
      <c r="AU88">
        <v>0.45400000000000001</v>
      </c>
      <c r="AV88">
        <v>4.0000000000000001E-3</v>
      </c>
      <c r="AW88">
        <v>-0.29399999999999998</v>
      </c>
      <c r="AX88">
        <v>-0.27900000000000003</v>
      </c>
      <c r="AY88">
        <v>0.66200000000000003</v>
      </c>
      <c r="AZ88">
        <v>-0.53800000000000003</v>
      </c>
      <c r="BA88">
        <v>0.94599999999999995</v>
      </c>
      <c r="BB88">
        <v>1</v>
      </c>
      <c r="BC88">
        <v>0.56499999999999995</v>
      </c>
      <c r="BD88">
        <v>0.152</v>
      </c>
      <c r="BE88">
        <v>-0.38</v>
      </c>
      <c r="BF88">
        <v>0.38300000000000001</v>
      </c>
      <c r="BG88">
        <v>-0.23499999999999999</v>
      </c>
      <c r="BH88">
        <v>-0.18099999999999999</v>
      </c>
      <c r="BI88">
        <v>0.8</v>
      </c>
      <c r="BJ88">
        <v>-0.89</v>
      </c>
      <c r="BK88">
        <v>-0.11700000000000001</v>
      </c>
      <c r="BL88">
        <v>-0.37</v>
      </c>
      <c r="BM88">
        <v>-0.45100000000000001</v>
      </c>
    </row>
    <row r="89" spans="1:65" x14ac:dyDescent="0.3">
      <c r="A89" t="s">
        <v>151</v>
      </c>
      <c r="B89">
        <v>0</v>
      </c>
      <c r="C89">
        <v>0</v>
      </c>
      <c r="M89" t="s">
        <v>154</v>
      </c>
      <c r="N89">
        <v>0.97</v>
      </c>
      <c r="O89">
        <v>1.304</v>
      </c>
      <c r="P89" t="s">
        <v>55</v>
      </c>
      <c r="Q89">
        <v>0</v>
      </c>
      <c r="R89">
        <v>0</v>
      </c>
      <c r="S89">
        <v>28</v>
      </c>
      <c r="T89">
        <v>-0.82</v>
      </c>
      <c r="U89">
        <v>-0.67300000000000004</v>
      </c>
      <c r="V89">
        <v>-0.93</v>
      </c>
      <c r="W89">
        <v>-0.627</v>
      </c>
      <c r="X89">
        <v>-0.75</v>
      </c>
      <c r="Y89">
        <v>-0.24</v>
      </c>
      <c r="Z89">
        <v>0.124</v>
      </c>
      <c r="AA89">
        <v>0.13200000000000001</v>
      </c>
      <c r="AB89">
        <v>0.54900000000000004</v>
      </c>
      <c r="AC89">
        <v>0.55200000000000005</v>
      </c>
      <c r="AD89">
        <v>0.64900000000000002</v>
      </c>
      <c r="AE89">
        <v>0.65500000000000003</v>
      </c>
      <c r="AF89">
        <v>0.58599999999999997</v>
      </c>
      <c r="AG89">
        <v>-0.77500000000000002</v>
      </c>
      <c r="AH89">
        <v>-0.68899999999999995</v>
      </c>
      <c r="AI89">
        <v>0.20200000000000001</v>
      </c>
      <c r="AJ89">
        <v>-0.878</v>
      </c>
      <c r="AK89">
        <v>-0.496</v>
      </c>
      <c r="AL89">
        <v>-0.96599999999999997</v>
      </c>
      <c r="AM89">
        <v>-0.32400000000000001</v>
      </c>
      <c r="AN89">
        <v>0.56499999999999995</v>
      </c>
      <c r="AO89">
        <v>-0.52200000000000002</v>
      </c>
      <c r="AP89">
        <v>-0.55000000000000004</v>
      </c>
      <c r="AQ89">
        <v>0.27700000000000002</v>
      </c>
      <c r="AR89">
        <v>0.55900000000000005</v>
      </c>
      <c r="AS89">
        <v>-0.23799999999999999</v>
      </c>
      <c r="AT89">
        <v>0.187</v>
      </c>
      <c r="AU89">
        <v>-0.246</v>
      </c>
      <c r="AV89">
        <v>0.2</v>
      </c>
      <c r="AW89">
        <v>-0.33100000000000002</v>
      </c>
      <c r="AX89">
        <v>-0.55800000000000005</v>
      </c>
      <c r="AY89">
        <v>0.55300000000000005</v>
      </c>
      <c r="AZ89">
        <v>-0.59699999999999998</v>
      </c>
      <c r="BA89">
        <v>0.85299999999999998</v>
      </c>
      <c r="BB89">
        <v>0.41</v>
      </c>
      <c r="BC89">
        <v>-0.40600000000000003</v>
      </c>
      <c r="BD89">
        <v>-0.432</v>
      </c>
      <c r="BE89">
        <v>-0.66500000000000004</v>
      </c>
      <c r="BF89">
        <v>0.222</v>
      </c>
      <c r="BG89">
        <v>8.5999999999999993E-2</v>
      </c>
      <c r="BH89">
        <v>0.25</v>
      </c>
      <c r="BI89">
        <v>0.98299999999999998</v>
      </c>
      <c r="BJ89">
        <v>-0.65400000000000003</v>
      </c>
      <c r="BK89">
        <v>-0.29299999999999998</v>
      </c>
      <c r="BL89">
        <v>-0.114</v>
      </c>
      <c r="BM89">
        <v>-0.378</v>
      </c>
    </row>
    <row r="90" spans="1:65" x14ac:dyDescent="0.3">
      <c r="A90" t="s">
        <v>203</v>
      </c>
      <c r="B90">
        <v>0</v>
      </c>
      <c r="C90">
        <v>0</v>
      </c>
      <c r="M90" t="s">
        <v>61</v>
      </c>
      <c r="N90">
        <v>0.92800000000000005</v>
      </c>
      <c r="O90">
        <v>1.163</v>
      </c>
      <c r="P90" t="s">
        <v>57</v>
      </c>
      <c r="Q90">
        <v>0</v>
      </c>
      <c r="R90">
        <v>-3.0000000000000001E-3</v>
      </c>
      <c r="S90">
        <v>80</v>
      </c>
      <c r="T90">
        <v>-0.434</v>
      </c>
      <c r="U90">
        <v>-0.75600000000000001</v>
      </c>
      <c r="V90">
        <v>-0.13900000000000001</v>
      </c>
      <c r="W90">
        <v>-0.52200000000000002</v>
      </c>
      <c r="X90">
        <v>-0.51700000000000002</v>
      </c>
      <c r="Y90">
        <v>-0.113</v>
      </c>
      <c r="Z90">
        <v>0.14799999999999999</v>
      </c>
      <c r="AA90">
        <v>-0.216</v>
      </c>
      <c r="AB90">
        <v>0.121</v>
      </c>
      <c r="AC90">
        <v>0.11799999999999999</v>
      </c>
      <c r="AD90">
        <v>0.434</v>
      </c>
      <c r="AE90">
        <v>0.66600000000000004</v>
      </c>
      <c r="AF90">
        <v>0.56100000000000005</v>
      </c>
      <c r="AG90">
        <v>-0.46</v>
      </c>
      <c r="AH90">
        <v>0.246</v>
      </c>
      <c r="AI90">
        <v>-0.54</v>
      </c>
      <c r="AJ90">
        <v>8.9999999999999993E-3</v>
      </c>
      <c r="AK90">
        <v>0.20200000000000001</v>
      </c>
      <c r="AL90">
        <v>-0.224</v>
      </c>
      <c r="AM90">
        <v>-0.246</v>
      </c>
      <c r="AN90">
        <v>0.64600000000000002</v>
      </c>
      <c r="AO90">
        <v>-0.56100000000000005</v>
      </c>
      <c r="AP90">
        <v>0.29499999999999998</v>
      </c>
      <c r="AQ90">
        <v>-0.46500000000000002</v>
      </c>
      <c r="AR90">
        <v>-0.90600000000000003</v>
      </c>
      <c r="AS90">
        <v>0.25600000000000001</v>
      </c>
      <c r="AT90">
        <v>9.7000000000000003E-2</v>
      </c>
      <c r="AU90">
        <v>-0.48199999999999998</v>
      </c>
      <c r="AV90">
        <v>8.8999999999999996E-2</v>
      </c>
      <c r="AW90">
        <v>-0.15</v>
      </c>
      <c r="AX90">
        <v>-0.54100000000000004</v>
      </c>
      <c r="AY90">
        <v>0.16700000000000001</v>
      </c>
      <c r="AZ90">
        <v>0.188</v>
      </c>
      <c r="BA90">
        <v>0.434</v>
      </c>
      <c r="BB90">
        <v>0.63900000000000001</v>
      </c>
      <c r="BC90">
        <v>0.41299999999999998</v>
      </c>
      <c r="BD90">
        <v>-0.42099999999999999</v>
      </c>
      <c r="BE90">
        <v>-0.34</v>
      </c>
      <c r="BF90">
        <v>-0.53100000000000003</v>
      </c>
      <c r="BG90">
        <v>0.76500000000000001</v>
      </c>
      <c r="BH90">
        <v>0.25900000000000001</v>
      </c>
      <c r="BI90">
        <v>0.73299999999999998</v>
      </c>
      <c r="BJ90">
        <v>-0.81699999999999995</v>
      </c>
      <c r="BK90">
        <v>0.54400000000000004</v>
      </c>
      <c r="BL90">
        <v>0.436</v>
      </c>
      <c r="BM90">
        <v>0.20799999999999999</v>
      </c>
    </row>
    <row r="91" spans="1:65" x14ac:dyDescent="0.3">
      <c r="A91" t="s">
        <v>114</v>
      </c>
      <c r="B91">
        <v>0</v>
      </c>
      <c r="C91">
        <v>0</v>
      </c>
      <c r="M91" t="s">
        <v>203</v>
      </c>
      <c r="N91">
        <v>0.90800000000000003</v>
      </c>
      <c r="O91">
        <v>1.768</v>
      </c>
      <c r="P91" t="s">
        <v>53</v>
      </c>
      <c r="Q91">
        <v>0</v>
      </c>
      <c r="R91">
        <v>-2.1999999999999999E-2</v>
      </c>
      <c r="S91">
        <v>56</v>
      </c>
      <c r="T91">
        <v>-0.221</v>
      </c>
      <c r="U91">
        <v>-0.45300000000000001</v>
      </c>
      <c r="V91">
        <v>-0.72099999999999997</v>
      </c>
      <c r="W91">
        <v>-0.25</v>
      </c>
      <c r="X91">
        <v>-0.63500000000000001</v>
      </c>
      <c r="Y91">
        <v>2E-3</v>
      </c>
      <c r="Z91">
        <v>0.29899999999999999</v>
      </c>
      <c r="AA91">
        <v>-0.52200000000000002</v>
      </c>
      <c r="AB91">
        <v>0.13700000000000001</v>
      </c>
      <c r="AC91">
        <v>0.13800000000000001</v>
      </c>
      <c r="AD91">
        <v>0.626</v>
      </c>
      <c r="AE91">
        <v>0.72199999999999998</v>
      </c>
      <c r="AF91">
        <v>0.56399999999999995</v>
      </c>
      <c r="AG91">
        <v>2.3E-2</v>
      </c>
      <c r="AH91">
        <v>-0.38100000000000001</v>
      </c>
      <c r="AI91">
        <v>-0.64900000000000002</v>
      </c>
      <c r="AJ91">
        <v>-0.83</v>
      </c>
      <c r="AK91">
        <v>-0.77</v>
      </c>
      <c r="AL91">
        <v>-0.78400000000000003</v>
      </c>
      <c r="AM91">
        <v>-0.17699999999999999</v>
      </c>
      <c r="AN91">
        <v>-0.35099999999999998</v>
      </c>
      <c r="AO91">
        <v>-0.51400000000000001</v>
      </c>
      <c r="AP91">
        <v>0.28000000000000003</v>
      </c>
      <c r="AQ91">
        <v>-0.379</v>
      </c>
      <c r="AR91">
        <v>0.23899999999999999</v>
      </c>
      <c r="AS91">
        <v>-1E-3</v>
      </c>
      <c r="AT91">
        <v>1</v>
      </c>
      <c r="AU91">
        <v>0.755</v>
      </c>
      <c r="AV91">
        <v>9.5000000000000001E-2</v>
      </c>
      <c r="AW91">
        <v>0.26</v>
      </c>
      <c r="AX91">
        <v>0.46</v>
      </c>
      <c r="AY91">
        <v>0.441</v>
      </c>
      <c r="AZ91">
        <v>-0.36699999999999999</v>
      </c>
      <c r="BA91">
        <v>0.81499999999999995</v>
      </c>
      <c r="BB91">
        <v>0.53600000000000003</v>
      </c>
      <c r="BC91">
        <v>0.92500000000000004</v>
      </c>
      <c r="BD91">
        <v>-0.127</v>
      </c>
      <c r="BE91">
        <v>-0.29899999999999999</v>
      </c>
      <c r="BF91">
        <v>0.39700000000000002</v>
      </c>
      <c r="BG91">
        <v>-0.76100000000000001</v>
      </c>
      <c r="BH91">
        <v>-0.16700000000000001</v>
      </c>
      <c r="BI91">
        <v>0.45900000000000002</v>
      </c>
      <c r="BJ91">
        <v>0.109</v>
      </c>
      <c r="BK91">
        <v>-0.377</v>
      </c>
      <c r="BL91">
        <v>8.0000000000000002E-3</v>
      </c>
      <c r="BM91">
        <v>-0.39</v>
      </c>
    </row>
    <row r="92" spans="1:65" x14ac:dyDescent="0.3">
      <c r="A92" t="s">
        <v>184</v>
      </c>
      <c r="B92">
        <v>0</v>
      </c>
      <c r="C92">
        <v>0</v>
      </c>
      <c r="M92" t="s">
        <v>210</v>
      </c>
      <c r="N92">
        <v>0.89200000000000002</v>
      </c>
      <c r="O92">
        <v>1.1339999999999999</v>
      </c>
      <c r="P92" t="s">
        <v>55</v>
      </c>
      <c r="Q92">
        <v>0</v>
      </c>
      <c r="R92">
        <v>0</v>
      </c>
      <c r="S92">
        <v>5</v>
      </c>
      <c r="T92">
        <v>-0.52300000000000002</v>
      </c>
      <c r="U92">
        <v>-0.47499999999999998</v>
      </c>
      <c r="V92">
        <v>-0.90600000000000003</v>
      </c>
      <c r="W92">
        <v>-0.34200000000000003</v>
      </c>
      <c r="X92">
        <v>-0.72199999999999998</v>
      </c>
      <c r="Y92">
        <v>-0.11899999999999999</v>
      </c>
      <c r="Z92">
        <v>0.109</v>
      </c>
      <c r="AA92">
        <v>-0.38100000000000001</v>
      </c>
      <c r="AB92">
        <v>0.33100000000000002</v>
      </c>
      <c r="AC92">
        <v>0.33300000000000002</v>
      </c>
      <c r="AD92">
        <v>0.78</v>
      </c>
      <c r="AE92">
        <v>0.92900000000000005</v>
      </c>
      <c r="AF92">
        <v>0.63600000000000001</v>
      </c>
      <c r="AG92">
        <v>-0.46</v>
      </c>
      <c r="AH92">
        <v>-0.252</v>
      </c>
      <c r="AI92">
        <v>1.4E-2</v>
      </c>
      <c r="AJ92">
        <v>-1</v>
      </c>
      <c r="AK92">
        <v>-0.69199999999999995</v>
      </c>
      <c r="AL92">
        <v>-0.86499999999999999</v>
      </c>
      <c r="AM92">
        <v>-0.378</v>
      </c>
      <c r="AN92">
        <v>-0.59699999999999998</v>
      </c>
      <c r="AO92">
        <v>-0.55300000000000005</v>
      </c>
      <c r="AP92">
        <v>-0.23400000000000001</v>
      </c>
      <c r="AQ92">
        <v>0.28799999999999998</v>
      </c>
      <c r="AR92">
        <v>0.378</v>
      </c>
      <c r="AS92">
        <v>0.46899999999999997</v>
      </c>
      <c r="AT92">
        <v>1</v>
      </c>
      <c r="AU92">
        <v>0.65</v>
      </c>
      <c r="AV92">
        <v>-0.216</v>
      </c>
      <c r="AW92">
        <v>2E-3</v>
      </c>
      <c r="AX92">
        <v>0.14499999999999999</v>
      </c>
      <c r="AY92">
        <v>0.252</v>
      </c>
      <c r="AZ92">
        <v>-0.58199999999999996</v>
      </c>
      <c r="BA92">
        <v>0.63900000000000001</v>
      </c>
      <c r="BB92">
        <v>0.32900000000000001</v>
      </c>
      <c r="BC92">
        <v>8.0000000000000002E-3</v>
      </c>
      <c r="BD92">
        <v>-7.3999999999999996E-2</v>
      </c>
      <c r="BE92">
        <v>-0.29499999999999998</v>
      </c>
      <c r="BF92">
        <v>0.71299999999999997</v>
      </c>
      <c r="BG92">
        <v>0.27300000000000002</v>
      </c>
      <c r="BH92">
        <v>0.71399999999999997</v>
      </c>
      <c r="BI92">
        <v>0.83499999999999996</v>
      </c>
      <c r="BJ92">
        <v>-0.66600000000000004</v>
      </c>
      <c r="BK92">
        <v>7.0999999999999994E-2</v>
      </c>
      <c r="BL92">
        <v>-0.26</v>
      </c>
      <c r="BM92">
        <v>-1</v>
      </c>
    </row>
    <row r="93" spans="1:65" x14ac:dyDescent="0.3">
      <c r="A93" t="s">
        <v>143</v>
      </c>
      <c r="B93">
        <v>0</v>
      </c>
      <c r="C93">
        <v>3.0086111368922201E-2</v>
      </c>
      <c r="M93" t="s">
        <v>111</v>
      </c>
      <c r="N93">
        <v>0.88500000000000001</v>
      </c>
      <c r="O93">
        <v>0.81399999999999995</v>
      </c>
      <c r="P93" t="s">
        <v>53</v>
      </c>
      <c r="Q93">
        <v>0</v>
      </c>
      <c r="R93">
        <v>-2E-3</v>
      </c>
      <c r="S93">
        <v>80</v>
      </c>
      <c r="T93">
        <v>-0.41699999999999998</v>
      </c>
      <c r="U93">
        <v>-0.189</v>
      </c>
      <c r="V93">
        <v>-0.32700000000000001</v>
      </c>
      <c r="W93">
        <v>-0.58799999999999997</v>
      </c>
      <c r="X93">
        <v>-0.41099999999999998</v>
      </c>
      <c r="Y93">
        <v>-0.49199999999999999</v>
      </c>
      <c r="Z93">
        <v>-0.371</v>
      </c>
      <c r="AA93">
        <v>-0.49299999999999999</v>
      </c>
      <c r="AB93">
        <v>0.379</v>
      </c>
      <c r="AC93">
        <v>0.375</v>
      </c>
      <c r="AD93">
        <v>0.88200000000000001</v>
      </c>
      <c r="AE93">
        <v>0.78300000000000003</v>
      </c>
      <c r="AF93">
        <v>0.72699999999999998</v>
      </c>
      <c r="AG93">
        <v>-0.56499999999999995</v>
      </c>
      <c r="AH93">
        <v>-0.53100000000000003</v>
      </c>
      <c r="AI93">
        <v>6.5000000000000002E-2</v>
      </c>
      <c r="AJ93">
        <v>-0.188</v>
      </c>
      <c r="AK93">
        <v>0.60199999999999998</v>
      </c>
      <c r="AL93">
        <v>-0.60299999999999998</v>
      </c>
      <c r="AM93">
        <v>-0.14399999999999999</v>
      </c>
      <c r="AN93">
        <v>-0.35899999999999999</v>
      </c>
      <c r="AO93">
        <v>0.13600000000000001</v>
      </c>
      <c r="AP93">
        <v>-0.16900000000000001</v>
      </c>
      <c r="AQ93">
        <v>2.3E-2</v>
      </c>
      <c r="AR93">
        <v>0.193</v>
      </c>
      <c r="AS93">
        <v>-0.14699999999999999</v>
      </c>
      <c r="AT93">
        <v>-0.12</v>
      </c>
      <c r="AU93">
        <v>-0.45400000000000001</v>
      </c>
      <c r="AV93">
        <v>8.9999999999999993E-3</v>
      </c>
      <c r="AW93">
        <v>-0.26300000000000001</v>
      </c>
      <c r="AX93">
        <v>-0.22600000000000001</v>
      </c>
      <c r="AY93">
        <v>0.31</v>
      </c>
      <c r="AZ93">
        <v>-0.20699999999999999</v>
      </c>
      <c r="BA93">
        <v>0.55700000000000005</v>
      </c>
      <c r="BB93">
        <v>-0.122</v>
      </c>
      <c r="BC93">
        <v>-0.24099999999999999</v>
      </c>
      <c r="BD93">
        <v>0.20499999999999999</v>
      </c>
      <c r="BE93">
        <v>7.5999999999999998E-2</v>
      </c>
      <c r="BF93">
        <v>0.437</v>
      </c>
      <c r="BG93">
        <v>0.372</v>
      </c>
      <c r="BH93">
        <v>0.79500000000000004</v>
      </c>
      <c r="BI93">
        <v>0.439</v>
      </c>
      <c r="BJ93">
        <v>-8.4000000000000005E-2</v>
      </c>
      <c r="BK93">
        <v>0.38200000000000001</v>
      </c>
      <c r="BL93">
        <v>0.55900000000000005</v>
      </c>
      <c r="BM93">
        <v>0.53300000000000003</v>
      </c>
    </row>
    <row r="94" spans="1:65" x14ac:dyDescent="0.3">
      <c r="A94" t="s">
        <v>163</v>
      </c>
      <c r="B94">
        <v>1.66010155323837E-2</v>
      </c>
      <c r="C94">
        <v>9.3089355249402206E-3</v>
      </c>
      <c r="M94" t="s">
        <v>113</v>
      </c>
      <c r="N94">
        <v>0.88</v>
      </c>
      <c r="O94">
        <v>1.216</v>
      </c>
      <c r="P94" t="s">
        <v>57</v>
      </c>
      <c r="Q94">
        <v>0</v>
      </c>
      <c r="R94">
        <v>0</v>
      </c>
      <c r="S94">
        <v>27</v>
      </c>
      <c r="T94">
        <v>-0.60199999999999998</v>
      </c>
      <c r="U94">
        <v>-0.623</v>
      </c>
      <c r="V94">
        <v>-0.81899999999999995</v>
      </c>
      <c r="W94">
        <v>-0.55600000000000005</v>
      </c>
      <c r="X94">
        <v>-0.71599999999999997</v>
      </c>
      <c r="Y94">
        <v>-0.20699999999999999</v>
      </c>
      <c r="Z94">
        <v>2E-3</v>
      </c>
      <c r="AA94">
        <v>-0.29399999999999998</v>
      </c>
      <c r="AB94">
        <v>0.49199999999999999</v>
      </c>
      <c r="AC94">
        <v>0.49099999999999999</v>
      </c>
      <c r="AD94">
        <v>0.69699999999999995</v>
      </c>
      <c r="AE94">
        <v>0.79</v>
      </c>
      <c r="AF94">
        <v>0.66600000000000004</v>
      </c>
      <c r="AG94">
        <v>-0.61599999999999999</v>
      </c>
      <c r="AH94">
        <v>-0.24299999999999999</v>
      </c>
      <c r="AI94">
        <v>-8.3000000000000004E-2</v>
      </c>
      <c r="AJ94">
        <v>-0.91</v>
      </c>
      <c r="AK94">
        <v>-0.90900000000000003</v>
      </c>
      <c r="AL94">
        <v>-1</v>
      </c>
      <c r="AM94">
        <v>-0.19</v>
      </c>
      <c r="AN94">
        <v>0.19400000000000001</v>
      </c>
      <c r="AO94">
        <v>-4.1000000000000002E-2</v>
      </c>
      <c r="AP94">
        <v>0.115</v>
      </c>
      <c r="AQ94">
        <v>-0.152</v>
      </c>
      <c r="AR94">
        <v>-0.20300000000000001</v>
      </c>
      <c r="AS94">
        <v>3.9E-2</v>
      </c>
      <c r="AT94">
        <v>0.13500000000000001</v>
      </c>
      <c r="AU94">
        <v>0.41699999999999998</v>
      </c>
      <c r="AV94">
        <v>-0.156</v>
      </c>
      <c r="AW94">
        <v>-0.53</v>
      </c>
      <c r="AX94">
        <v>-0.39500000000000002</v>
      </c>
      <c r="AY94">
        <v>0.36699999999999999</v>
      </c>
      <c r="AZ94">
        <v>-0.26600000000000001</v>
      </c>
      <c r="BA94">
        <v>5.8999999999999997E-2</v>
      </c>
      <c r="BB94">
        <v>0.23599999999999999</v>
      </c>
      <c r="BC94">
        <v>0.73799999999999999</v>
      </c>
      <c r="BD94">
        <v>-0.28000000000000003</v>
      </c>
      <c r="BE94">
        <v>-0.154</v>
      </c>
      <c r="BF94">
        <v>0.42199999999999999</v>
      </c>
      <c r="BG94">
        <v>7.0000000000000001E-3</v>
      </c>
      <c r="BH94">
        <v>0.152</v>
      </c>
      <c r="BI94">
        <v>0.98399999999999999</v>
      </c>
      <c r="BJ94">
        <v>-0.36499999999999999</v>
      </c>
      <c r="BK94">
        <v>-0.10199999999999999</v>
      </c>
      <c r="BL94">
        <v>0.20599999999999999</v>
      </c>
      <c r="BM94">
        <v>-0.76500000000000001</v>
      </c>
    </row>
    <row r="95" spans="1:65" x14ac:dyDescent="0.3">
      <c r="A95" t="s">
        <v>105</v>
      </c>
      <c r="B95">
        <v>8.3272850504644107E-3</v>
      </c>
      <c r="C95">
        <v>0</v>
      </c>
      <c r="M95" t="s">
        <v>199</v>
      </c>
      <c r="N95">
        <v>0.85699999999999998</v>
      </c>
      <c r="O95">
        <v>1.6240000000000001</v>
      </c>
      <c r="P95" t="s">
        <v>55</v>
      </c>
      <c r="Q95">
        <v>0</v>
      </c>
      <c r="R95">
        <v>-1.2999999999999999E-2</v>
      </c>
      <c r="S95">
        <v>80</v>
      </c>
      <c r="T95">
        <v>-0.32500000000000001</v>
      </c>
      <c r="U95">
        <v>-0.30199999999999999</v>
      </c>
      <c r="V95">
        <v>-0.8</v>
      </c>
      <c r="W95">
        <v>-0.252</v>
      </c>
      <c r="X95">
        <v>-0.63600000000000001</v>
      </c>
      <c r="Y95">
        <v>-0.20499999999999999</v>
      </c>
      <c r="Z95">
        <v>-9.6000000000000002E-2</v>
      </c>
      <c r="AA95">
        <v>-0.45300000000000001</v>
      </c>
      <c r="AB95">
        <v>0.38700000000000001</v>
      </c>
      <c r="AC95">
        <v>0.38100000000000001</v>
      </c>
      <c r="AD95">
        <v>0.52300000000000002</v>
      </c>
      <c r="AE95">
        <v>0.63200000000000001</v>
      </c>
      <c r="AF95">
        <v>0.55800000000000005</v>
      </c>
      <c r="AG95">
        <v>-0.51100000000000001</v>
      </c>
      <c r="AH95">
        <v>-0.35799999999999998</v>
      </c>
      <c r="AI95">
        <v>-0.14799999999999999</v>
      </c>
      <c r="AJ95">
        <v>-0.86299999999999999</v>
      </c>
      <c r="AK95">
        <v>0.39600000000000002</v>
      </c>
      <c r="AL95">
        <v>-0.55500000000000005</v>
      </c>
      <c r="AM95">
        <v>-0.48</v>
      </c>
      <c r="AN95">
        <v>-1</v>
      </c>
      <c r="AO95">
        <v>-0.88400000000000001</v>
      </c>
      <c r="AP95">
        <v>0.13300000000000001</v>
      </c>
      <c r="AQ95">
        <v>0.56599999999999995</v>
      </c>
      <c r="AR95">
        <v>0.749</v>
      </c>
      <c r="AS95">
        <v>0.64800000000000002</v>
      </c>
      <c r="AT95">
        <v>1</v>
      </c>
      <c r="AU95">
        <v>0.66300000000000003</v>
      </c>
      <c r="AV95">
        <v>-0.16600000000000001</v>
      </c>
      <c r="AW95">
        <v>5.8999999999999997E-2</v>
      </c>
      <c r="AX95">
        <v>0.41499999999999998</v>
      </c>
      <c r="AY95">
        <v>0.51100000000000001</v>
      </c>
      <c r="AZ95">
        <v>-8.8999999999999996E-2</v>
      </c>
      <c r="BA95">
        <v>0.52</v>
      </c>
      <c r="BB95">
        <v>0.17799999999999999</v>
      </c>
      <c r="BC95">
        <v>-0.23899999999999999</v>
      </c>
      <c r="BD95">
        <v>-0.71199999999999997</v>
      </c>
      <c r="BE95">
        <v>-0.83699999999999997</v>
      </c>
      <c r="BF95">
        <v>0.38700000000000001</v>
      </c>
      <c r="BG95">
        <v>-0.48</v>
      </c>
      <c r="BH95">
        <v>-0.51700000000000002</v>
      </c>
      <c r="BI95">
        <v>0.375</v>
      </c>
      <c r="BJ95">
        <v>-0.70199999999999996</v>
      </c>
      <c r="BK95">
        <v>0.26300000000000001</v>
      </c>
      <c r="BL95">
        <v>-9.1999999999999998E-2</v>
      </c>
      <c r="BM95">
        <v>0.29499999999999998</v>
      </c>
    </row>
    <row r="96" spans="1:65" x14ac:dyDescent="0.3">
      <c r="A96" t="s">
        <v>240</v>
      </c>
      <c r="B96">
        <v>0</v>
      </c>
      <c r="C96">
        <v>0</v>
      </c>
      <c r="M96" t="s">
        <v>244</v>
      </c>
      <c r="N96">
        <v>0.85</v>
      </c>
      <c r="O96">
        <v>0.58799999999999997</v>
      </c>
      <c r="P96" t="s">
        <v>57</v>
      </c>
      <c r="Q96">
        <v>0</v>
      </c>
      <c r="R96">
        <v>0</v>
      </c>
      <c r="S96">
        <v>80</v>
      </c>
      <c r="T96">
        <v>-0.13600000000000001</v>
      </c>
      <c r="U96">
        <v>0.76300000000000001</v>
      </c>
      <c r="V96">
        <v>-0.14599999999999999</v>
      </c>
      <c r="W96">
        <v>-0.59399999999999997</v>
      </c>
      <c r="X96">
        <v>-1.6E-2</v>
      </c>
      <c r="Y96">
        <v>-0.749</v>
      </c>
      <c r="Z96">
        <v>-0.83499999999999996</v>
      </c>
      <c r="AA96">
        <v>-0.74199999999999999</v>
      </c>
      <c r="AB96">
        <v>0.161</v>
      </c>
      <c r="AC96">
        <v>0.159</v>
      </c>
      <c r="AD96">
        <v>0.29899999999999999</v>
      </c>
      <c r="AE96">
        <v>1</v>
      </c>
      <c r="AF96">
        <v>0.79300000000000004</v>
      </c>
      <c r="AG96">
        <v>-0.69299999999999995</v>
      </c>
      <c r="AH96">
        <v>-9.4E-2</v>
      </c>
      <c r="AI96">
        <v>0.90600000000000003</v>
      </c>
      <c r="AJ96">
        <v>0.48599999999999999</v>
      </c>
      <c r="AK96">
        <v>1</v>
      </c>
      <c r="AL96">
        <v>-0.66900000000000004</v>
      </c>
      <c r="AM96">
        <v>0.13800000000000001</v>
      </c>
      <c r="AN96">
        <v>-1</v>
      </c>
      <c r="AO96">
        <v>0.997</v>
      </c>
      <c r="AP96">
        <v>-7.0999999999999994E-2</v>
      </c>
      <c r="AQ96">
        <v>-2.4E-2</v>
      </c>
      <c r="AR96">
        <v>0.63400000000000001</v>
      </c>
      <c r="AS96">
        <v>-0.3</v>
      </c>
      <c r="AT96">
        <v>0.48699999999999999</v>
      </c>
      <c r="AU96">
        <v>0.27300000000000002</v>
      </c>
      <c r="AV96">
        <v>-0.26100000000000001</v>
      </c>
      <c r="AW96">
        <v>-0.65500000000000003</v>
      </c>
      <c r="AX96">
        <v>-0.63100000000000001</v>
      </c>
      <c r="AY96">
        <v>-0.56999999999999995</v>
      </c>
      <c r="AZ96">
        <v>-0.20799999999999999</v>
      </c>
      <c r="BA96">
        <v>-0.93899999999999995</v>
      </c>
      <c r="BB96">
        <v>-1</v>
      </c>
      <c r="BC96">
        <v>2.1999999999999999E-2</v>
      </c>
      <c r="BD96">
        <v>0.318</v>
      </c>
      <c r="BE96">
        <v>0.30199999999999999</v>
      </c>
      <c r="BF96">
        <v>0.40100000000000002</v>
      </c>
      <c r="BG96">
        <v>1</v>
      </c>
      <c r="BH96">
        <v>0.436</v>
      </c>
      <c r="BI96">
        <v>0.156</v>
      </c>
      <c r="BJ96">
        <v>1</v>
      </c>
      <c r="BK96">
        <v>0.248</v>
      </c>
      <c r="BL96">
        <v>-0.19900000000000001</v>
      </c>
      <c r="BM96">
        <v>0.5</v>
      </c>
    </row>
    <row r="97" spans="1:65" x14ac:dyDescent="0.3">
      <c r="A97" t="s">
        <v>232</v>
      </c>
      <c r="B97">
        <v>0</v>
      </c>
      <c r="C97">
        <v>0</v>
      </c>
      <c r="M97" t="s">
        <v>151</v>
      </c>
      <c r="N97">
        <v>0.84799999999999998</v>
      </c>
      <c r="O97">
        <v>1.2490000000000001</v>
      </c>
      <c r="P97" t="s">
        <v>57</v>
      </c>
      <c r="Q97">
        <v>0</v>
      </c>
      <c r="R97">
        <v>-1.2999999999999999E-2</v>
      </c>
      <c r="S97">
        <v>66</v>
      </c>
      <c r="T97">
        <v>-0.39</v>
      </c>
      <c r="U97">
        <v>-0.84599999999999997</v>
      </c>
      <c r="V97">
        <v>-0.59099999999999997</v>
      </c>
      <c r="W97">
        <v>-0.152</v>
      </c>
      <c r="X97">
        <v>-0.628</v>
      </c>
      <c r="Y97">
        <v>-7.0999999999999994E-2</v>
      </c>
      <c r="Z97">
        <v>8.8999999999999996E-2</v>
      </c>
      <c r="AA97">
        <v>-0.183</v>
      </c>
      <c r="AB97">
        <v>-2.1999999999999999E-2</v>
      </c>
      <c r="AC97">
        <v>-2.3E-2</v>
      </c>
      <c r="AD97">
        <v>0.62</v>
      </c>
      <c r="AE97">
        <v>0.51400000000000001</v>
      </c>
      <c r="AF97">
        <v>0.434</v>
      </c>
      <c r="AG97">
        <v>0.32300000000000001</v>
      </c>
      <c r="AH97">
        <v>0.46300000000000002</v>
      </c>
      <c r="AI97">
        <v>-0.84799999999999998</v>
      </c>
      <c r="AJ97">
        <v>-0.44900000000000001</v>
      </c>
      <c r="AK97">
        <v>-0.65500000000000003</v>
      </c>
      <c r="AL97">
        <v>-0.50900000000000001</v>
      </c>
      <c r="AM97">
        <v>-0.1</v>
      </c>
      <c r="AN97">
        <v>0.58099999999999996</v>
      </c>
      <c r="AO97">
        <v>-0.73299999999999998</v>
      </c>
      <c r="AP97">
        <v>0.496</v>
      </c>
      <c r="AQ97">
        <v>-0.59399999999999997</v>
      </c>
      <c r="AR97">
        <v>-0.39300000000000002</v>
      </c>
      <c r="AS97">
        <v>0.42099999999999999</v>
      </c>
      <c r="AT97">
        <v>0.36</v>
      </c>
      <c r="AU97">
        <v>-6.0000000000000001E-3</v>
      </c>
      <c r="AV97">
        <v>0.26500000000000001</v>
      </c>
      <c r="AW97">
        <v>0</v>
      </c>
      <c r="AX97">
        <v>0.23699999999999999</v>
      </c>
      <c r="AY97">
        <v>6.0000000000000001E-3</v>
      </c>
      <c r="AZ97">
        <v>-2.9000000000000001E-2</v>
      </c>
      <c r="BA97">
        <v>0.64700000000000002</v>
      </c>
      <c r="BB97">
        <v>1</v>
      </c>
      <c r="BC97">
        <v>8.8999999999999996E-2</v>
      </c>
      <c r="BD97">
        <v>-0.38700000000000001</v>
      </c>
      <c r="BE97">
        <v>-0.10299999999999999</v>
      </c>
      <c r="BF97">
        <v>7.3999999999999996E-2</v>
      </c>
      <c r="BG97">
        <v>-0.183</v>
      </c>
      <c r="BH97">
        <v>-0.36699999999999999</v>
      </c>
      <c r="BI97">
        <v>0.108</v>
      </c>
      <c r="BJ97">
        <v>-0.95499999999999996</v>
      </c>
      <c r="BK97">
        <v>0.66400000000000003</v>
      </c>
      <c r="BL97">
        <v>-0.72699999999999998</v>
      </c>
      <c r="BM97">
        <v>-0.22900000000000001</v>
      </c>
    </row>
    <row r="98" spans="1:65" x14ac:dyDescent="0.3">
      <c r="A98" t="s">
        <v>93</v>
      </c>
      <c r="B98">
        <v>3.7046877925402899E-2</v>
      </c>
      <c r="C98">
        <v>0</v>
      </c>
      <c r="M98" t="s">
        <v>138</v>
      </c>
      <c r="N98">
        <v>0.84499999999999997</v>
      </c>
      <c r="O98">
        <v>0.90600000000000003</v>
      </c>
      <c r="P98" t="s">
        <v>71</v>
      </c>
      <c r="Q98">
        <v>0</v>
      </c>
      <c r="R98">
        <v>-3.0000000000000001E-3</v>
      </c>
      <c r="S98">
        <v>80</v>
      </c>
      <c r="T98">
        <v>-0.54</v>
      </c>
      <c r="U98">
        <v>-0.4</v>
      </c>
      <c r="V98">
        <v>-0.36099999999999999</v>
      </c>
      <c r="W98">
        <v>-0.71299999999999997</v>
      </c>
      <c r="X98">
        <v>-0.55000000000000004</v>
      </c>
      <c r="Y98">
        <v>-0.34899999999999998</v>
      </c>
      <c r="Z98">
        <v>-0.501</v>
      </c>
      <c r="AA98">
        <v>-0.312</v>
      </c>
      <c r="AB98">
        <v>0.45200000000000001</v>
      </c>
      <c r="AC98">
        <v>0.44400000000000001</v>
      </c>
      <c r="AD98">
        <v>0.50800000000000001</v>
      </c>
      <c r="AE98">
        <v>0.66700000000000004</v>
      </c>
      <c r="AF98">
        <v>0.71599999999999997</v>
      </c>
      <c r="AG98">
        <v>-0.48699999999999999</v>
      </c>
      <c r="AH98">
        <v>-0.96</v>
      </c>
      <c r="AI98">
        <v>-0.45</v>
      </c>
      <c r="AJ98">
        <v>-0.11</v>
      </c>
      <c r="AK98">
        <v>7.3999999999999996E-2</v>
      </c>
      <c r="AL98">
        <v>-0.36499999999999999</v>
      </c>
      <c r="AM98">
        <v>-0.17100000000000001</v>
      </c>
      <c r="AN98">
        <v>0.25900000000000001</v>
      </c>
      <c r="AO98">
        <v>-8.5999999999999993E-2</v>
      </c>
      <c r="AP98">
        <v>-0.106</v>
      </c>
      <c r="AQ98">
        <v>4.0000000000000001E-3</v>
      </c>
      <c r="AR98">
        <v>4.9000000000000002E-2</v>
      </c>
      <c r="AS98">
        <v>-0.91300000000000003</v>
      </c>
      <c r="AT98">
        <v>-0.23100000000000001</v>
      </c>
      <c r="AU98">
        <v>-0.16400000000000001</v>
      </c>
      <c r="AV98">
        <v>-8.3000000000000004E-2</v>
      </c>
      <c r="AW98">
        <v>-0.501</v>
      </c>
      <c r="AX98">
        <v>-0.224</v>
      </c>
      <c r="AY98">
        <v>0.39300000000000002</v>
      </c>
      <c r="AZ98">
        <v>0.498</v>
      </c>
      <c r="BA98">
        <v>0.82099999999999995</v>
      </c>
      <c r="BB98">
        <v>-1.9E-2</v>
      </c>
      <c r="BC98">
        <v>0.83</v>
      </c>
      <c r="BD98">
        <v>0.186</v>
      </c>
      <c r="BE98">
        <v>0.17199999999999999</v>
      </c>
      <c r="BF98">
        <v>0.36199999999999999</v>
      </c>
      <c r="BG98">
        <v>0.48599999999999999</v>
      </c>
      <c r="BH98">
        <v>1</v>
      </c>
      <c r="BI98">
        <v>0.29799999999999999</v>
      </c>
      <c r="BJ98">
        <v>-3.5000000000000003E-2</v>
      </c>
      <c r="BK98">
        <v>-0.69399999999999995</v>
      </c>
      <c r="BL98">
        <v>0.65</v>
      </c>
      <c r="BM98">
        <v>0.63700000000000001</v>
      </c>
    </row>
    <row r="99" spans="1:65" x14ac:dyDescent="0.3">
      <c r="A99" t="s">
        <v>157</v>
      </c>
      <c r="B99">
        <v>0</v>
      </c>
      <c r="C99">
        <v>0</v>
      </c>
      <c r="M99" t="s">
        <v>117</v>
      </c>
      <c r="N99">
        <v>0.84299999999999997</v>
      </c>
      <c r="O99">
        <v>1.0760000000000001</v>
      </c>
      <c r="P99" t="s">
        <v>55</v>
      </c>
      <c r="Q99">
        <v>0</v>
      </c>
      <c r="R99">
        <v>0</v>
      </c>
      <c r="S99">
        <v>51</v>
      </c>
      <c r="T99">
        <v>-0.73899999999999999</v>
      </c>
      <c r="U99">
        <v>-0.73399999999999999</v>
      </c>
      <c r="V99">
        <v>-0.90100000000000002</v>
      </c>
      <c r="W99">
        <v>-0.495</v>
      </c>
      <c r="X99">
        <v>-0.75700000000000001</v>
      </c>
      <c r="Y99">
        <v>-0.29199999999999998</v>
      </c>
      <c r="Z99">
        <v>7.0999999999999994E-2</v>
      </c>
      <c r="AA99">
        <v>-0.18</v>
      </c>
      <c r="AB99">
        <v>0.50700000000000001</v>
      </c>
      <c r="AC99">
        <v>0.50800000000000001</v>
      </c>
      <c r="AD99">
        <v>0.70799999999999996</v>
      </c>
      <c r="AE99">
        <v>0.747</v>
      </c>
      <c r="AF99">
        <v>0.59699999999999998</v>
      </c>
      <c r="AG99">
        <v>-0.54100000000000004</v>
      </c>
      <c r="AH99">
        <v>-0.63400000000000001</v>
      </c>
      <c r="AI99">
        <v>-0.17899999999999999</v>
      </c>
      <c r="AJ99">
        <v>-0.92500000000000004</v>
      </c>
      <c r="AK99">
        <v>-0.68700000000000006</v>
      </c>
      <c r="AL99">
        <v>-0.95199999999999996</v>
      </c>
      <c r="AM99">
        <v>-0.26200000000000001</v>
      </c>
      <c r="AN99">
        <v>0.11899999999999999</v>
      </c>
      <c r="AO99">
        <v>-0.66700000000000004</v>
      </c>
      <c r="AP99">
        <v>-0.498</v>
      </c>
      <c r="AQ99">
        <v>0.16</v>
      </c>
      <c r="AR99">
        <v>0.29399999999999998</v>
      </c>
      <c r="AS99">
        <v>-0.128</v>
      </c>
      <c r="AT99">
        <v>0.315</v>
      </c>
      <c r="AU99">
        <v>0.28000000000000003</v>
      </c>
      <c r="AV99">
        <v>0.371</v>
      </c>
      <c r="AW99">
        <v>-0.113</v>
      </c>
      <c r="AX99">
        <v>-0.109</v>
      </c>
      <c r="AY99">
        <v>0.73199999999999998</v>
      </c>
      <c r="AZ99">
        <v>-0.54500000000000004</v>
      </c>
      <c r="BA99">
        <v>0.94199999999999995</v>
      </c>
      <c r="BB99">
        <v>-0.13700000000000001</v>
      </c>
      <c r="BC99">
        <v>0.126</v>
      </c>
      <c r="BD99">
        <v>-0.28399999999999997</v>
      </c>
      <c r="BE99">
        <v>-0.33900000000000002</v>
      </c>
      <c r="BF99">
        <v>0.376</v>
      </c>
      <c r="BG99">
        <v>-2.3E-2</v>
      </c>
      <c r="BH99">
        <v>-0.57599999999999996</v>
      </c>
      <c r="BI99">
        <v>0.54400000000000004</v>
      </c>
      <c r="BJ99">
        <v>-0.624</v>
      </c>
      <c r="BK99">
        <v>3.0000000000000001E-3</v>
      </c>
      <c r="BL99">
        <v>0.14599999999999999</v>
      </c>
      <c r="BM99">
        <v>-0.51300000000000001</v>
      </c>
    </row>
    <row r="100" spans="1:65" x14ac:dyDescent="0.3">
      <c r="A100" t="s">
        <v>149</v>
      </c>
      <c r="B100">
        <v>0</v>
      </c>
      <c r="C100">
        <v>0</v>
      </c>
      <c r="M100" t="s">
        <v>135</v>
      </c>
      <c r="N100">
        <v>0.84099999999999997</v>
      </c>
      <c r="O100">
        <v>1.1619999999999999</v>
      </c>
      <c r="P100" t="s">
        <v>57</v>
      </c>
      <c r="Q100">
        <v>0</v>
      </c>
      <c r="R100">
        <v>0</v>
      </c>
      <c r="S100">
        <v>2</v>
      </c>
      <c r="T100">
        <v>-0.70299999999999996</v>
      </c>
      <c r="U100">
        <v>-0.749</v>
      </c>
      <c r="V100">
        <v>-0.9</v>
      </c>
      <c r="W100">
        <v>-0.48699999999999999</v>
      </c>
      <c r="X100">
        <v>-0.75800000000000001</v>
      </c>
      <c r="Y100">
        <v>-0.23400000000000001</v>
      </c>
      <c r="Z100">
        <v>8.2000000000000003E-2</v>
      </c>
      <c r="AA100">
        <v>-0.20200000000000001</v>
      </c>
      <c r="AB100">
        <v>0.38600000000000001</v>
      </c>
      <c r="AC100">
        <v>0.38400000000000001</v>
      </c>
      <c r="AD100">
        <v>0.73499999999999999</v>
      </c>
      <c r="AE100">
        <v>0.78200000000000003</v>
      </c>
      <c r="AF100">
        <v>0.61799999999999999</v>
      </c>
      <c r="AG100">
        <v>-0.60699999999999998</v>
      </c>
      <c r="AH100">
        <v>0.106</v>
      </c>
      <c r="AI100">
        <v>-0.156</v>
      </c>
      <c r="AJ100">
        <v>-0.94699999999999995</v>
      </c>
      <c r="AK100">
        <v>-0.872</v>
      </c>
      <c r="AL100">
        <v>-0.97299999999999998</v>
      </c>
      <c r="AM100">
        <v>-0.23100000000000001</v>
      </c>
      <c r="AN100">
        <v>7.3999999999999996E-2</v>
      </c>
      <c r="AO100">
        <v>-0.52700000000000002</v>
      </c>
      <c r="AP100">
        <v>-7.2999999999999995E-2</v>
      </c>
      <c r="AQ100">
        <v>0.14799999999999999</v>
      </c>
      <c r="AR100">
        <v>-0.34399999999999997</v>
      </c>
      <c r="AS100">
        <v>0.26</v>
      </c>
      <c r="AT100">
        <v>0.26900000000000002</v>
      </c>
      <c r="AU100">
        <v>-0.112</v>
      </c>
      <c r="AV100">
        <v>-7.3999999999999996E-2</v>
      </c>
      <c r="AW100">
        <v>-0.20399999999999999</v>
      </c>
      <c r="AX100">
        <v>-0.23599999999999999</v>
      </c>
      <c r="AY100">
        <v>0.44400000000000001</v>
      </c>
      <c r="AZ100">
        <v>-0.437</v>
      </c>
      <c r="BA100">
        <v>0.83399999999999996</v>
      </c>
      <c r="BB100">
        <v>0.44500000000000001</v>
      </c>
      <c r="BC100">
        <v>0.64800000000000002</v>
      </c>
      <c r="BD100">
        <v>-0.36799999999999999</v>
      </c>
      <c r="BE100">
        <v>-0.192</v>
      </c>
      <c r="BF100">
        <v>0.30299999999999999</v>
      </c>
      <c r="BG100">
        <v>5.0000000000000001E-3</v>
      </c>
      <c r="BH100">
        <v>-4.1000000000000002E-2</v>
      </c>
      <c r="BI100">
        <v>0.90900000000000003</v>
      </c>
      <c r="BJ100">
        <v>-0.71199999999999997</v>
      </c>
      <c r="BK100">
        <v>-0.153</v>
      </c>
      <c r="BL100">
        <v>-0.184</v>
      </c>
      <c r="BM100">
        <v>-0.93899999999999995</v>
      </c>
    </row>
    <row r="101" spans="1:65" x14ac:dyDescent="0.3">
      <c r="A101" t="s">
        <v>132</v>
      </c>
      <c r="B101">
        <v>0</v>
      </c>
      <c r="C101">
        <v>0</v>
      </c>
      <c r="M101" t="s">
        <v>182</v>
      </c>
      <c r="N101">
        <v>0.83599999999999997</v>
      </c>
      <c r="O101">
        <v>1.002</v>
      </c>
      <c r="P101" t="s">
        <v>71</v>
      </c>
      <c r="Q101">
        <v>0</v>
      </c>
      <c r="R101">
        <v>0</v>
      </c>
      <c r="S101">
        <v>1</v>
      </c>
      <c r="T101">
        <v>-0.85599999999999998</v>
      </c>
      <c r="U101">
        <v>-0.55900000000000005</v>
      </c>
      <c r="V101">
        <v>-0.98399999999999999</v>
      </c>
      <c r="W101">
        <v>-0.65300000000000002</v>
      </c>
      <c r="X101">
        <v>-0.76100000000000001</v>
      </c>
      <c r="Y101">
        <v>-0.56699999999999995</v>
      </c>
      <c r="Z101">
        <v>-0.42899999999999999</v>
      </c>
      <c r="AA101">
        <v>-8.0000000000000002E-3</v>
      </c>
      <c r="AB101">
        <v>0.64400000000000002</v>
      </c>
      <c r="AC101">
        <v>0.64200000000000002</v>
      </c>
      <c r="AD101">
        <v>0.73799999999999999</v>
      </c>
      <c r="AE101">
        <v>0.72499999999999998</v>
      </c>
      <c r="AF101">
        <v>0.69299999999999995</v>
      </c>
      <c r="AG101">
        <v>-0.70199999999999996</v>
      </c>
      <c r="AH101">
        <v>-0.92900000000000005</v>
      </c>
      <c r="AI101">
        <v>0.157</v>
      </c>
      <c r="AJ101">
        <v>-1</v>
      </c>
      <c r="AK101">
        <v>-0.69599999999999995</v>
      </c>
      <c r="AL101">
        <v>-1</v>
      </c>
      <c r="AM101">
        <v>-0.26500000000000001</v>
      </c>
      <c r="AN101">
        <v>0.104</v>
      </c>
      <c r="AO101">
        <v>-0.6</v>
      </c>
      <c r="AP101">
        <v>-0.68500000000000005</v>
      </c>
      <c r="AQ101">
        <v>0.81899999999999995</v>
      </c>
      <c r="AR101">
        <v>0.11700000000000001</v>
      </c>
      <c r="AS101">
        <v>-0.83699999999999997</v>
      </c>
      <c r="AT101">
        <v>0.433</v>
      </c>
      <c r="AU101">
        <v>0.34899999999999998</v>
      </c>
      <c r="AV101">
        <v>9.0999999999999998E-2</v>
      </c>
      <c r="AW101">
        <v>-0.17499999999999999</v>
      </c>
      <c r="AX101">
        <v>-0.221</v>
      </c>
      <c r="AY101">
        <v>0.58299999999999996</v>
      </c>
      <c r="AZ101">
        <v>-0.185</v>
      </c>
      <c r="BA101">
        <v>0.54400000000000004</v>
      </c>
      <c r="BB101">
        <v>-0.95399999999999996</v>
      </c>
      <c r="BC101">
        <v>-0.17199999999999999</v>
      </c>
      <c r="BD101">
        <v>0.17100000000000001</v>
      </c>
      <c r="BE101">
        <v>0.123</v>
      </c>
      <c r="BF101">
        <v>0.59899999999999998</v>
      </c>
      <c r="BG101">
        <v>-0.57699999999999996</v>
      </c>
      <c r="BH101">
        <v>0.436</v>
      </c>
      <c r="BI101">
        <v>0.39</v>
      </c>
      <c r="BJ101">
        <v>-0.36499999999999999</v>
      </c>
      <c r="BK101">
        <v>-0.46400000000000002</v>
      </c>
      <c r="BL101">
        <v>-0.38600000000000001</v>
      </c>
      <c r="BM101">
        <v>-1</v>
      </c>
    </row>
    <row r="102" spans="1:65" x14ac:dyDescent="0.3">
      <c r="A102" t="s">
        <v>211</v>
      </c>
      <c r="B102">
        <v>0</v>
      </c>
      <c r="C102">
        <v>0</v>
      </c>
      <c r="M102" t="s">
        <v>122</v>
      </c>
      <c r="N102">
        <v>0.83399999999999996</v>
      </c>
      <c r="O102">
        <v>0.82099999999999995</v>
      </c>
      <c r="P102" t="s">
        <v>57</v>
      </c>
      <c r="Q102">
        <v>0</v>
      </c>
      <c r="R102">
        <v>-2E-3</v>
      </c>
      <c r="S102">
        <v>80</v>
      </c>
      <c r="T102">
        <v>-0.34799999999999998</v>
      </c>
      <c r="U102">
        <v>-0.48799999999999999</v>
      </c>
      <c r="V102">
        <v>-0.10199999999999999</v>
      </c>
      <c r="W102">
        <v>-0.69499999999999995</v>
      </c>
      <c r="X102">
        <v>-0.6</v>
      </c>
      <c r="Y102">
        <v>-0.253</v>
      </c>
      <c r="Z102">
        <v>-0.126</v>
      </c>
      <c r="AA102">
        <v>-0.31</v>
      </c>
      <c r="AB102">
        <v>-7.0000000000000001E-3</v>
      </c>
      <c r="AC102">
        <v>-7.0000000000000001E-3</v>
      </c>
      <c r="AD102">
        <v>0.50600000000000001</v>
      </c>
      <c r="AE102">
        <v>0.44800000000000001</v>
      </c>
      <c r="AF102">
        <v>0.60199999999999998</v>
      </c>
      <c r="AG102">
        <v>-0.51200000000000001</v>
      </c>
      <c r="AH102">
        <v>-0.83</v>
      </c>
      <c r="AI102">
        <v>-0.755</v>
      </c>
      <c r="AJ102">
        <v>-0.39800000000000002</v>
      </c>
      <c r="AK102">
        <v>0.28999999999999998</v>
      </c>
      <c r="AL102">
        <v>0.63700000000000001</v>
      </c>
      <c r="AM102">
        <v>-0.72799999999999998</v>
      </c>
      <c r="AN102">
        <v>0.25700000000000001</v>
      </c>
      <c r="AO102">
        <v>-0.65600000000000003</v>
      </c>
      <c r="AP102">
        <v>-0.19400000000000001</v>
      </c>
      <c r="AQ102">
        <v>-0.219</v>
      </c>
      <c r="AR102">
        <v>0.29399999999999998</v>
      </c>
      <c r="AS102">
        <v>-0.29599999999999999</v>
      </c>
      <c r="AT102">
        <v>0.122</v>
      </c>
      <c r="AU102">
        <v>-0.156</v>
      </c>
      <c r="AV102">
        <v>-0.33500000000000002</v>
      </c>
      <c r="AW102">
        <v>0.188</v>
      </c>
      <c r="AX102">
        <v>-0.27300000000000002</v>
      </c>
      <c r="AY102">
        <v>0.53400000000000003</v>
      </c>
      <c r="AZ102">
        <v>1</v>
      </c>
      <c r="BA102">
        <v>-0.14199999999999999</v>
      </c>
      <c r="BB102">
        <v>1</v>
      </c>
      <c r="BC102">
        <v>0.501</v>
      </c>
      <c r="BD102">
        <v>-0.32</v>
      </c>
      <c r="BE102">
        <v>0.34200000000000003</v>
      </c>
      <c r="BF102">
        <v>-0.436</v>
      </c>
      <c r="BG102">
        <v>-3.3000000000000002E-2</v>
      </c>
      <c r="BH102">
        <v>-0.55000000000000004</v>
      </c>
      <c r="BI102">
        <v>0.372</v>
      </c>
      <c r="BJ102">
        <v>-0.57399999999999995</v>
      </c>
      <c r="BK102">
        <v>-0.54600000000000004</v>
      </c>
      <c r="BL102">
        <v>0.63200000000000001</v>
      </c>
      <c r="BM102">
        <v>0.76800000000000002</v>
      </c>
    </row>
    <row r="103" spans="1:65" x14ac:dyDescent="0.3">
      <c r="A103" t="s">
        <v>202</v>
      </c>
      <c r="B103">
        <v>0</v>
      </c>
      <c r="C103">
        <v>0</v>
      </c>
      <c r="M103" t="s">
        <v>179</v>
      </c>
      <c r="N103">
        <v>0.80600000000000005</v>
      </c>
      <c r="O103">
        <v>0.77600000000000002</v>
      </c>
      <c r="P103" t="s">
        <v>71</v>
      </c>
      <c r="Q103">
        <v>0</v>
      </c>
      <c r="R103">
        <v>-1.4999999999999999E-2</v>
      </c>
      <c r="S103">
        <v>61</v>
      </c>
      <c r="T103">
        <v>-0.622</v>
      </c>
      <c r="U103">
        <v>0.11799999999999999</v>
      </c>
      <c r="V103">
        <v>-0.86799999999999999</v>
      </c>
      <c r="W103">
        <v>-0.41199999999999998</v>
      </c>
      <c r="X103">
        <v>-0.35899999999999999</v>
      </c>
      <c r="Y103">
        <v>-0.751</v>
      </c>
      <c r="Z103">
        <v>-0.871</v>
      </c>
      <c r="AA103">
        <v>-0.21</v>
      </c>
      <c r="AB103">
        <v>0.33400000000000002</v>
      </c>
      <c r="AC103">
        <v>0.33600000000000002</v>
      </c>
      <c r="AD103">
        <v>0.45900000000000002</v>
      </c>
      <c r="AE103">
        <v>0.66700000000000004</v>
      </c>
      <c r="AF103">
        <v>0.78300000000000003</v>
      </c>
      <c r="AG103">
        <v>-0.21</v>
      </c>
      <c r="AH103">
        <v>-0.49099999999999999</v>
      </c>
      <c r="AI103">
        <v>1</v>
      </c>
      <c r="AJ103">
        <v>-0.73099999999999998</v>
      </c>
      <c r="AK103">
        <v>-0.19600000000000001</v>
      </c>
      <c r="AL103">
        <v>-0.92600000000000005</v>
      </c>
      <c r="AM103">
        <v>-0.254</v>
      </c>
      <c r="AN103">
        <v>-0.64500000000000002</v>
      </c>
      <c r="AO103">
        <v>0.224</v>
      </c>
      <c r="AP103">
        <v>-0.46100000000000002</v>
      </c>
      <c r="AQ103">
        <v>0.67300000000000004</v>
      </c>
      <c r="AR103">
        <v>0.70299999999999996</v>
      </c>
      <c r="AS103">
        <v>-0.53500000000000003</v>
      </c>
      <c r="AT103">
        <v>1</v>
      </c>
      <c r="AU103">
        <v>0.155</v>
      </c>
      <c r="AV103">
        <v>-0.11799999999999999</v>
      </c>
      <c r="AW103">
        <v>-0.8</v>
      </c>
      <c r="AX103">
        <v>0.05</v>
      </c>
      <c r="AY103">
        <v>-0.114</v>
      </c>
      <c r="AZ103">
        <v>0.124</v>
      </c>
      <c r="BA103">
        <v>0.622</v>
      </c>
      <c r="BB103">
        <v>-1</v>
      </c>
      <c r="BC103">
        <v>0.13700000000000001</v>
      </c>
      <c r="BD103">
        <v>0.50600000000000001</v>
      </c>
      <c r="BE103">
        <v>0.26600000000000001</v>
      </c>
      <c r="BF103">
        <v>0.81599999999999995</v>
      </c>
      <c r="BG103">
        <v>-1</v>
      </c>
      <c r="BH103">
        <v>0.29599999999999999</v>
      </c>
      <c r="BI103">
        <v>-0.58199999999999996</v>
      </c>
      <c r="BJ103">
        <v>-1.0999999999999999E-2</v>
      </c>
      <c r="BK103">
        <v>-0.28899999999999998</v>
      </c>
      <c r="BL103">
        <v>-0.41699999999999998</v>
      </c>
      <c r="BM103">
        <v>-8.9999999999999993E-3</v>
      </c>
    </row>
    <row r="104" spans="1:65" x14ac:dyDescent="0.3">
      <c r="A104" t="s">
        <v>95</v>
      </c>
      <c r="B104">
        <v>8.2954300849401603E-3</v>
      </c>
      <c r="C104">
        <v>1.1069851937918601E-2</v>
      </c>
      <c r="M104" t="s">
        <v>88</v>
      </c>
      <c r="N104">
        <v>0.80300000000000005</v>
      </c>
      <c r="O104">
        <v>1.03</v>
      </c>
      <c r="P104" t="s">
        <v>53</v>
      </c>
      <c r="Q104">
        <v>0</v>
      </c>
      <c r="R104">
        <v>-2E-3</v>
      </c>
      <c r="S104">
        <v>80</v>
      </c>
      <c r="T104">
        <v>-0.623</v>
      </c>
      <c r="U104">
        <v>-0.63400000000000001</v>
      </c>
      <c r="V104">
        <v>-0.54100000000000004</v>
      </c>
      <c r="W104">
        <v>-0.62</v>
      </c>
      <c r="X104">
        <v>-0.63600000000000001</v>
      </c>
      <c r="Y104">
        <v>-0.35</v>
      </c>
      <c r="Z104">
        <v>3.1E-2</v>
      </c>
      <c r="AA104">
        <v>-0.39300000000000002</v>
      </c>
      <c r="AB104">
        <v>0.36399999999999999</v>
      </c>
      <c r="AC104">
        <v>0.36</v>
      </c>
      <c r="AD104">
        <v>0.70699999999999996</v>
      </c>
      <c r="AE104">
        <v>0.69599999999999995</v>
      </c>
      <c r="AF104">
        <v>0.65500000000000003</v>
      </c>
      <c r="AG104">
        <v>-0.38300000000000001</v>
      </c>
      <c r="AH104">
        <v>-0.85799999999999998</v>
      </c>
      <c r="AI104">
        <v>-0.40500000000000003</v>
      </c>
      <c r="AJ104">
        <v>-0.17299999999999999</v>
      </c>
      <c r="AK104">
        <v>0.31</v>
      </c>
      <c r="AL104">
        <v>-0.58699999999999997</v>
      </c>
      <c r="AM104">
        <v>-0.08</v>
      </c>
      <c r="AN104">
        <v>3.1E-2</v>
      </c>
      <c r="AO104">
        <v>-0.48899999999999999</v>
      </c>
      <c r="AP104">
        <v>-0.10299999999999999</v>
      </c>
      <c r="AQ104">
        <v>-9.6000000000000002E-2</v>
      </c>
      <c r="AR104">
        <v>-5.1999999999999998E-2</v>
      </c>
      <c r="AS104">
        <v>-0.32900000000000001</v>
      </c>
      <c r="AT104">
        <v>-0.44</v>
      </c>
      <c r="AU104">
        <v>-0.374</v>
      </c>
      <c r="AV104">
        <v>7.8E-2</v>
      </c>
      <c r="AW104">
        <v>-7.6999999999999999E-2</v>
      </c>
      <c r="AX104">
        <v>-4.2000000000000003E-2</v>
      </c>
      <c r="AY104">
        <v>0.66600000000000004</v>
      </c>
      <c r="AZ104">
        <v>0</v>
      </c>
      <c r="BA104">
        <v>0.49299999999999999</v>
      </c>
      <c r="BB104">
        <v>-7.8E-2</v>
      </c>
      <c r="BC104">
        <v>6.7000000000000004E-2</v>
      </c>
      <c r="BD104">
        <v>-0.09</v>
      </c>
      <c r="BE104">
        <v>-0.158</v>
      </c>
      <c r="BF104">
        <v>0.379</v>
      </c>
      <c r="BG104">
        <v>8.6999999999999994E-2</v>
      </c>
      <c r="BH104">
        <v>0.26800000000000002</v>
      </c>
      <c r="BI104">
        <v>0.72899999999999998</v>
      </c>
      <c r="BJ104">
        <v>-0.3</v>
      </c>
      <c r="BK104">
        <v>-0.41899999999999998</v>
      </c>
      <c r="BL104">
        <v>0.54500000000000004</v>
      </c>
      <c r="BM104">
        <v>0.56799999999999995</v>
      </c>
    </row>
    <row r="105" spans="1:65" x14ac:dyDescent="0.3">
      <c r="A105" t="s">
        <v>137</v>
      </c>
      <c r="B105">
        <v>1.28322554180008E-2</v>
      </c>
      <c r="C105">
        <v>9.0157250375472106E-3</v>
      </c>
      <c r="M105" t="s">
        <v>102</v>
      </c>
      <c r="N105">
        <v>0.8</v>
      </c>
      <c r="O105">
        <v>0.85499999999999998</v>
      </c>
      <c r="P105" t="s">
        <v>57</v>
      </c>
      <c r="Q105">
        <v>0</v>
      </c>
      <c r="R105">
        <v>-1.4999999999999999E-2</v>
      </c>
      <c r="S105">
        <v>62</v>
      </c>
      <c r="T105">
        <v>-0.20699999999999999</v>
      </c>
      <c r="U105">
        <v>-0.34200000000000003</v>
      </c>
      <c r="V105">
        <v>-0.38300000000000001</v>
      </c>
      <c r="W105">
        <v>-8.6999999999999994E-2</v>
      </c>
      <c r="X105">
        <v>-0.22900000000000001</v>
      </c>
      <c r="Y105">
        <v>-0.29199999999999998</v>
      </c>
      <c r="Z105">
        <v>-0.20399999999999999</v>
      </c>
      <c r="AA105">
        <v>-0.69799999999999995</v>
      </c>
      <c r="AB105">
        <v>0.14099999999999999</v>
      </c>
      <c r="AC105">
        <v>0.14000000000000001</v>
      </c>
      <c r="AD105">
        <v>0.69799999999999995</v>
      </c>
      <c r="AE105">
        <v>0.55000000000000004</v>
      </c>
      <c r="AF105">
        <v>0.55000000000000004</v>
      </c>
      <c r="AG105">
        <v>0.48499999999999999</v>
      </c>
      <c r="AH105">
        <v>1</v>
      </c>
      <c r="AI105">
        <v>-0.26400000000000001</v>
      </c>
      <c r="AJ105">
        <v>-0.252</v>
      </c>
      <c r="AK105">
        <v>-0.621</v>
      </c>
      <c r="AL105">
        <v>4.8000000000000001E-2</v>
      </c>
      <c r="AM105">
        <v>-2.8000000000000001E-2</v>
      </c>
      <c r="AN105">
        <v>-0.72599999999999998</v>
      </c>
      <c r="AO105">
        <v>0.47</v>
      </c>
      <c r="AP105">
        <v>0.52300000000000002</v>
      </c>
      <c r="AQ105">
        <v>-0.41699999999999998</v>
      </c>
      <c r="AR105">
        <v>-0.46100000000000002</v>
      </c>
      <c r="AS105">
        <v>0.57699999999999996</v>
      </c>
      <c r="AT105">
        <v>0.51500000000000001</v>
      </c>
      <c r="AU105">
        <v>0.125</v>
      </c>
      <c r="AV105">
        <v>-6.5000000000000002E-2</v>
      </c>
      <c r="AW105">
        <v>5.8000000000000003E-2</v>
      </c>
      <c r="AX105">
        <v>0.29299999999999998</v>
      </c>
      <c r="AY105">
        <v>-0.38500000000000001</v>
      </c>
      <c r="AZ105">
        <v>-0.48799999999999999</v>
      </c>
      <c r="BA105">
        <v>0.77500000000000002</v>
      </c>
      <c r="BB105">
        <v>-0.48599999999999999</v>
      </c>
      <c r="BC105">
        <v>0.46700000000000003</v>
      </c>
      <c r="BD105">
        <v>7.6999999999999999E-2</v>
      </c>
      <c r="BE105">
        <v>-0.13900000000000001</v>
      </c>
      <c r="BF105">
        <v>0.38200000000000001</v>
      </c>
      <c r="BG105">
        <v>0.52800000000000002</v>
      </c>
      <c r="BH105">
        <v>0.56100000000000005</v>
      </c>
      <c r="BI105">
        <v>0.53900000000000003</v>
      </c>
      <c r="BJ105">
        <v>-0.20899999999999999</v>
      </c>
      <c r="BK105">
        <v>5.0999999999999997E-2</v>
      </c>
      <c r="BL105">
        <v>-0.79100000000000004</v>
      </c>
      <c r="BM105">
        <v>-0.4</v>
      </c>
    </row>
    <row r="106" spans="1:65" x14ac:dyDescent="0.3">
      <c r="A106" t="s">
        <v>196</v>
      </c>
      <c r="B106">
        <v>0</v>
      </c>
      <c r="C106">
        <v>8.0097924246042007E-3</v>
      </c>
      <c r="M106" t="s">
        <v>112</v>
      </c>
      <c r="N106">
        <v>0.78600000000000003</v>
      </c>
      <c r="O106">
        <v>1.597</v>
      </c>
      <c r="P106" t="s">
        <v>55</v>
      </c>
      <c r="Q106">
        <v>0</v>
      </c>
      <c r="R106">
        <v>-2.9000000000000001E-2</v>
      </c>
      <c r="S106">
        <v>46</v>
      </c>
      <c r="T106">
        <v>-0.89500000000000002</v>
      </c>
      <c r="U106">
        <v>-0.75800000000000001</v>
      </c>
      <c r="V106">
        <v>-0.98899999999999999</v>
      </c>
      <c r="W106">
        <v>-0.67300000000000004</v>
      </c>
      <c r="X106">
        <v>-0.81399999999999995</v>
      </c>
      <c r="Y106">
        <v>-0.55000000000000004</v>
      </c>
      <c r="Z106">
        <v>-7.2999999999999995E-2</v>
      </c>
      <c r="AA106">
        <v>-7.5999999999999998E-2</v>
      </c>
      <c r="AB106">
        <v>0.63500000000000001</v>
      </c>
      <c r="AC106">
        <v>0.63600000000000001</v>
      </c>
      <c r="AD106">
        <v>0.755</v>
      </c>
      <c r="AE106">
        <v>0.65500000000000003</v>
      </c>
      <c r="AF106">
        <v>0.60099999999999998</v>
      </c>
      <c r="AG106">
        <v>-0.85399999999999998</v>
      </c>
      <c r="AH106">
        <v>-0.74299999999999999</v>
      </c>
      <c r="AI106">
        <v>0.25</v>
      </c>
      <c r="AJ106">
        <v>-0.91500000000000004</v>
      </c>
      <c r="AK106">
        <v>-0.218</v>
      </c>
      <c r="AL106">
        <v>-0.90300000000000002</v>
      </c>
      <c r="AM106">
        <v>-0.37</v>
      </c>
      <c r="AN106">
        <v>-0.03</v>
      </c>
      <c r="AO106">
        <v>-0.72099999999999997</v>
      </c>
      <c r="AP106">
        <v>-0.78</v>
      </c>
      <c r="AQ106">
        <v>0.69299999999999995</v>
      </c>
      <c r="AR106">
        <v>0.11799999999999999</v>
      </c>
      <c r="AS106">
        <v>7.5999999999999998E-2</v>
      </c>
      <c r="AT106">
        <v>5.0999999999999997E-2</v>
      </c>
      <c r="AU106">
        <v>-0.67600000000000005</v>
      </c>
      <c r="AV106">
        <v>0.21099999999999999</v>
      </c>
      <c r="AW106">
        <v>5.5E-2</v>
      </c>
      <c r="AX106">
        <v>-0.317</v>
      </c>
      <c r="AY106">
        <v>0.59099999999999997</v>
      </c>
      <c r="AZ106">
        <v>-0.47699999999999998</v>
      </c>
      <c r="BA106">
        <v>1</v>
      </c>
      <c r="BB106">
        <v>-8.1000000000000003E-2</v>
      </c>
      <c r="BC106">
        <v>-0.75700000000000001</v>
      </c>
      <c r="BD106">
        <v>-0.33800000000000002</v>
      </c>
      <c r="BE106">
        <v>-0.621</v>
      </c>
      <c r="BF106">
        <v>0.40400000000000003</v>
      </c>
      <c r="BG106">
        <v>-0.26900000000000002</v>
      </c>
      <c r="BH106">
        <v>0.3</v>
      </c>
      <c r="BI106">
        <v>0.85599999999999998</v>
      </c>
      <c r="BJ106">
        <v>-1</v>
      </c>
      <c r="BK106">
        <v>-0.28899999999999998</v>
      </c>
      <c r="BL106">
        <v>-0.39600000000000002</v>
      </c>
      <c r="BM106">
        <v>-0.111</v>
      </c>
    </row>
    <row r="107" spans="1:65" x14ac:dyDescent="0.3">
      <c r="A107" t="s">
        <v>83</v>
      </c>
      <c r="B107">
        <v>0</v>
      </c>
      <c r="C107">
        <v>0</v>
      </c>
      <c r="M107" t="s">
        <v>83</v>
      </c>
      <c r="N107">
        <v>0.77900000000000003</v>
      </c>
      <c r="O107">
        <v>0.873</v>
      </c>
      <c r="P107" t="s">
        <v>53</v>
      </c>
      <c r="Q107">
        <v>0</v>
      </c>
      <c r="R107">
        <v>0</v>
      </c>
      <c r="S107">
        <v>10</v>
      </c>
      <c r="T107">
        <v>-0.63200000000000001</v>
      </c>
      <c r="U107">
        <v>-0.69099999999999995</v>
      </c>
      <c r="V107">
        <v>-0.85299999999999998</v>
      </c>
      <c r="W107">
        <v>-0.14199999999999999</v>
      </c>
      <c r="X107">
        <v>-0.60499999999999998</v>
      </c>
      <c r="Y107">
        <v>-0.57499999999999996</v>
      </c>
      <c r="Z107">
        <v>-0.38300000000000001</v>
      </c>
      <c r="AA107">
        <v>-0.157</v>
      </c>
      <c r="AB107">
        <v>0.28699999999999998</v>
      </c>
      <c r="AC107">
        <v>0.28699999999999998</v>
      </c>
      <c r="AD107">
        <v>0.69299999999999995</v>
      </c>
      <c r="AE107">
        <v>0.7</v>
      </c>
      <c r="AF107">
        <v>0.54900000000000004</v>
      </c>
      <c r="AG107">
        <v>0.26100000000000001</v>
      </c>
      <c r="AH107">
        <v>-0.61899999999999999</v>
      </c>
      <c r="AI107">
        <v>-0.42299999999999999</v>
      </c>
      <c r="AJ107">
        <v>-1</v>
      </c>
      <c r="AK107">
        <v>-0.93300000000000005</v>
      </c>
      <c r="AL107">
        <v>-0.64100000000000001</v>
      </c>
      <c r="AM107">
        <v>-0.28899999999999998</v>
      </c>
      <c r="AN107">
        <v>-0.19800000000000001</v>
      </c>
      <c r="AO107">
        <v>-0.94199999999999995</v>
      </c>
      <c r="AP107">
        <v>-0.16300000000000001</v>
      </c>
      <c r="AQ107">
        <v>0.31900000000000001</v>
      </c>
      <c r="AR107">
        <v>4.2999999999999997E-2</v>
      </c>
      <c r="AS107">
        <v>0.18099999999999999</v>
      </c>
      <c r="AT107">
        <v>0.29499999999999998</v>
      </c>
      <c r="AU107">
        <v>-3.6999999999999998E-2</v>
      </c>
      <c r="AV107">
        <v>0.435</v>
      </c>
      <c r="AW107">
        <v>0.09</v>
      </c>
      <c r="AX107">
        <v>0.90800000000000003</v>
      </c>
      <c r="AY107">
        <v>0.71399999999999997</v>
      </c>
      <c r="AZ107">
        <v>0.53100000000000003</v>
      </c>
      <c r="BA107">
        <v>0.65100000000000002</v>
      </c>
      <c r="BB107">
        <v>-0.55300000000000005</v>
      </c>
      <c r="BC107">
        <v>-0.26500000000000001</v>
      </c>
      <c r="BD107">
        <v>0.19</v>
      </c>
      <c r="BE107">
        <v>0.13900000000000001</v>
      </c>
      <c r="BF107">
        <v>0.51</v>
      </c>
      <c r="BG107">
        <v>-0.82299999999999995</v>
      </c>
      <c r="BH107">
        <v>-1</v>
      </c>
      <c r="BI107">
        <v>-0.54100000000000004</v>
      </c>
      <c r="BJ107">
        <v>-0.21299999999999999</v>
      </c>
      <c r="BK107">
        <v>-0.21099999999999999</v>
      </c>
      <c r="BL107">
        <v>-0.11899999999999999</v>
      </c>
      <c r="BM107">
        <v>-1</v>
      </c>
    </row>
    <row r="108" spans="1:65" x14ac:dyDescent="0.3">
      <c r="A108" t="s">
        <v>87</v>
      </c>
      <c r="B108">
        <v>2.22523931213204E-2</v>
      </c>
      <c r="C108">
        <v>1.17048473755197E-2</v>
      </c>
      <c r="M108" t="s">
        <v>147</v>
      </c>
      <c r="N108">
        <v>0.76900000000000002</v>
      </c>
      <c r="O108">
        <v>1.3939999999999999</v>
      </c>
      <c r="P108" t="s">
        <v>57</v>
      </c>
      <c r="Q108">
        <v>0</v>
      </c>
      <c r="R108">
        <v>-0.04</v>
      </c>
      <c r="S108">
        <v>38</v>
      </c>
      <c r="T108">
        <v>-0.30099999999999999</v>
      </c>
      <c r="U108">
        <v>-0.60699999999999998</v>
      </c>
      <c r="V108">
        <v>-0.65500000000000003</v>
      </c>
      <c r="W108">
        <v>-9.5000000000000001E-2</v>
      </c>
      <c r="X108">
        <v>-0.496</v>
      </c>
      <c r="Y108">
        <v>-0.27400000000000002</v>
      </c>
      <c r="Z108">
        <v>-0.24399999999999999</v>
      </c>
      <c r="AA108">
        <v>-0.45300000000000001</v>
      </c>
      <c r="AB108">
        <v>3.5000000000000003E-2</v>
      </c>
      <c r="AC108">
        <v>3.3000000000000002E-2</v>
      </c>
      <c r="AD108">
        <v>0.64300000000000002</v>
      </c>
      <c r="AE108">
        <v>0.60199999999999998</v>
      </c>
      <c r="AF108">
        <v>0.497</v>
      </c>
      <c r="AG108">
        <v>0.67600000000000005</v>
      </c>
      <c r="AH108">
        <v>-8.2000000000000003E-2</v>
      </c>
      <c r="AI108">
        <v>-0.72399999999999998</v>
      </c>
      <c r="AJ108">
        <v>-0.76500000000000001</v>
      </c>
      <c r="AK108">
        <v>-0.83</v>
      </c>
      <c r="AL108">
        <v>-0.121</v>
      </c>
      <c r="AM108">
        <v>0.10100000000000001</v>
      </c>
      <c r="AN108">
        <v>-0.222</v>
      </c>
      <c r="AO108">
        <v>-0.56899999999999995</v>
      </c>
      <c r="AP108">
        <v>0.54800000000000004</v>
      </c>
      <c r="AQ108">
        <v>-0.32700000000000001</v>
      </c>
      <c r="AR108">
        <v>7.1999999999999995E-2</v>
      </c>
      <c r="AS108">
        <v>0.219</v>
      </c>
      <c r="AT108">
        <v>0.34200000000000003</v>
      </c>
      <c r="AU108">
        <v>0.104</v>
      </c>
      <c r="AV108">
        <v>0.34100000000000003</v>
      </c>
      <c r="AW108">
        <v>-2.8000000000000001E-2</v>
      </c>
      <c r="AX108">
        <v>0.90800000000000003</v>
      </c>
      <c r="AY108">
        <v>-0.217</v>
      </c>
      <c r="AZ108">
        <v>0.46500000000000002</v>
      </c>
      <c r="BA108">
        <v>0.88100000000000001</v>
      </c>
      <c r="BB108">
        <v>6.2E-2</v>
      </c>
      <c r="BC108">
        <v>1.7000000000000001E-2</v>
      </c>
      <c r="BD108">
        <v>0.127</v>
      </c>
      <c r="BE108">
        <v>0.12</v>
      </c>
      <c r="BF108">
        <v>0.40799999999999997</v>
      </c>
      <c r="BG108">
        <v>-6.8000000000000005E-2</v>
      </c>
      <c r="BH108">
        <v>-0.24</v>
      </c>
      <c r="BI108">
        <v>8.5999999999999993E-2</v>
      </c>
      <c r="BJ108">
        <v>0.04</v>
      </c>
      <c r="BK108">
        <v>-9.9000000000000005E-2</v>
      </c>
      <c r="BL108">
        <v>-0.94799999999999995</v>
      </c>
      <c r="BM108">
        <v>-0.56699999999999995</v>
      </c>
    </row>
    <row r="109" spans="1:65" x14ac:dyDescent="0.3">
      <c r="A109" t="s">
        <v>198</v>
      </c>
      <c r="B109">
        <v>0</v>
      </c>
      <c r="C109">
        <v>0</v>
      </c>
      <c r="M109" t="s">
        <v>186</v>
      </c>
      <c r="N109">
        <v>0.749</v>
      </c>
      <c r="O109">
        <v>0.85</v>
      </c>
      <c r="P109" t="s">
        <v>71</v>
      </c>
      <c r="Q109">
        <v>0</v>
      </c>
      <c r="R109">
        <v>0</v>
      </c>
      <c r="S109">
        <v>23</v>
      </c>
      <c r="T109">
        <v>-0.754</v>
      </c>
      <c r="U109">
        <v>-0.32100000000000001</v>
      </c>
      <c r="V109">
        <v>-0.94199999999999995</v>
      </c>
      <c r="W109">
        <v>-0.63900000000000001</v>
      </c>
      <c r="X109">
        <v>-0.71899999999999997</v>
      </c>
      <c r="Y109">
        <v>-0.55000000000000004</v>
      </c>
      <c r="Z109">
        <v>-0.61899999999999999</v>
      </c>
      <c r="AA109">
        <v>-0.29399999999999998</v>
      </c>
      <c r="AB109">
        <v>0.51200000000000001</v>
      </c>
      <c r="AC109">
        <v>0.51200000000000001</v>
      </c>
      <c r="AD109">
        <v>0.628</v>
      </c>
      <c r="AE109">
        <v>0.78200000000000003</v>
      </c>
      <c r="AF109">
        <v>0.745</v>
      </c>
      <c r="AG109">
        <v>-0.65500000000000003</v>
      </c>
      <c r="AH109">
        <v>-0.89300000000000002</v>
      </c>
      <c r="AI109">
        <v>0.44800000000000001</v>
      </c>
      <c r="AJ109">
        <v>-0.93600000000000005</v>
      </c>
      <c r="AK109">
        <v>-0.57499999999999996</v>
      </c>
      <c r="AL109">
        <v>-0.96</v>
      </c>
      <c r="AM109">
        <v>-0.15</v>
      </c>
      <c r="AN109">
        <v>-0.437</v>
      </c>
      <c r="AO109">
        <v>-0.26</v>
      </c>
      <c r="AP109">
        <v>-0.64400000000000002</v>
      </c>
      <c r="AQ109">
        <v>0.52900000000000003</v>
      </c>
      <c r="AR109">
        <v>0.41599999999999998</v>
      </c>
      <c r="AS109">
        <v>-0.86699999999999999</v>
      </c>
      <c r="AT109">
        <v>0.47899999999999998</v>
      </c>
      <c r="AU109">
        <v>0.40300000000000002</v>
      </c>
      <c r="AV109">
        <v>9.7000000000000003E-2</v>
      </c>
      <c r="AW109">
        <v>-0.53400000000000003</v>
      </c>
      <c r="AX109">
        <v>-0.15</v>
      </c>
      <c r="AY109">
        <v>0.46200000000000002</v>
      </c>
      <c r="AZ109">
        <v>-6.2E-2</v>
      </c>
      <c r="BA109">
        <v>0.81399999999999995</v>
      </c>
      <c r="BB109">
        <v>-0.376</v>
      </c>
      <c r="BC109">
        <v>0.56799999999999995</v>
      </c>
      <c r="BD109">
        <v>0.19400000000000001</v>
      </c>
      <c r="BE109">
        <v>7.2999999999999995E-2</v>
      </c>
      <c r="BF109">
        <v>0.64600000000000002</v>
      </c>
      <c r="BG109">
        <v>-1</v>
      </c>
      <c r="BH109">
        <v>-0.83399999999999996</v>
      </c>
      <c r="BI109">
        <v>0.34399999999999997</v>
      </c>
      <c r="BJ109">
        <v>-0.25700000000000001</v>
      </c>
      <c r="BK109">
        <v>-0.504</v>
      </c>
      <c r="BL109">
        <v>-0.28100000000000003</v>
      </c>
      <c r="BM109">
        <v>-0.57899999999999996</v>
      </c>
    </row>
    <row r="110" spans="1:65" x14ac:dyDescent="0.3">
      <c r="A110" t="s">
        <v>52</v>
      </c>
      <c r="B110">
        <v>1.60682340853559E-2</v>
      </c>
      <c r="C110">
        <v>9.6893832985556292E-3</v>
      </c>
      <c r="M110" t="s">
        <v>155</v>
      </c>
      <c r="N110">
        <v>0.74199999999999999</v>
      </c>
      <c r="O110">
        <v>0.52300000000000002</v>
      </c>
      <c r="P110" t="s">
        <v>55</v>
      </c>
      <c r="Q110">
        <v>0</v>
      </c>
      <c r="R110">
        <v>0</v>
      </c>
      <c r="S110">
        <v>80</v>
      </c>
      <c r="T110">
        <v>-0.28199999999999997</v>
      </c>
      <c r="U110">
        <v>-0.125</v>
      </c>
      <c r="V110">
        <v>-0.10299999999999999</v>
      </c>
      <c r="W110">
        <v>-0.52700000000000002</v>
      </c>
      <c r="X110">
        <v>-0.28799999999999998</v>
      </c>
      <c r="Y110">
        <v>-0.55400000000000005</v>
      </c>
      <c r="Z110">
        <v>-0.66900000000000004</v>
      </c>
      <c r="AA110">
        <v>-0.86599999999999999</v>
      </c>
      <c r="AB110">
        <v>0.59899999999999998</v>
      </c>
      <c r="AC110">
        <v>0.59599999999999997</v>
      </c>
      <c r="AD110">
        <v>0.47099999999999997</v>
      </c>
      <c r="AE110">
        <v>0.68</v>
      </c>
      <c r="AF110">
        <v>0.65</v>
      </c>
      <c r="AG110">
        <v>-0.46100000000000002</v>
      </c>
      <c r="AH110">
        <v>0.72299999999999998</v>
      </c>
      <c r="AI110">
        <v>-0.22900000000000001</v>
      </c>
      <c r="AJ110">
        <v>0.65300000000000002</v>
      </c>
      <c r="AK110">
        <v>-0.18099999999999999</v>
      </c>
      <c r="AL110">
        <v>-0.59</v>
      </c>
      <c r="AM110">
        <v>0.31900000000000001</v>
      </c>
      <c r="AN110">
        <v>-1</v>
      </c>
      <c r="AO110">
        <v>0.92800000000000005</v>
      </c>
      <c r="AP110">
        <v>-0.32700000000000001</v>
      </c>
      <c r="AQ110">
        <v>-0.58399999999999996</v>
      </c>
      <c r="AR110">
        <v>0.16500000000000001</v>
      </c>
      <c r="AS110">
        <v>0.13700000000000001</v>
      </c>
      <c r="AT110">
        <v>1</v>
      </c>
      <c r="AU110">
        <v>0.44400000000000001</v>
      </c>
      <c r="AV110">
        <v>0.38700000000000001</v>
      </c>
      <c r="AW110">
        <v>-0.48799999999999999</v>
      </c>
      <c r="AX110">
        <v>-0.63700000000000001</v>
      </c>
      <c r="AY110">
        <v>-0.28699999999999998</v>
      </c>
      <c r="AZ110">
        <v>-0.83799999999999997</v>
      </c>
      <c r="BA110">
        <v>-0.126</v>
      </c>
      <c r="BB110">
        <v>0.16600000000000001</v>
      </c>
      <c r="BC110">
        <v>3.3000000000000002E-2</v>
      </c>
      <c r="BD110">
        <v>-0.376</v>
      </c>
      <c r="BE110">
        <v>-0.60399999999999998</v>
      </c>
      <c r="BF110">
        <v>0.24099999999999999</v>
      </c>
      <c r="BG110">
        <v>0.999</v>
      </c>
      <c r="BH110">
        <v>0.26800000000000002</v>
      </c>
      <c r="BI110">
        <v>0.436</v>
      </c>
      <c r="BJ110">
        <v>6.6000000000000003E-2</v>
      </c>
      <c r="BK110">
        <v>-0.29099999999999998</v>
      </c>
      <c r="BL110">
        <v>0.52500000000000002</v>
      </c>
      <c r="BM110">
        <v>0.80900000000000005</v>
      </c>
    </row>
    <row r="111" spans="1:65" x14ac:dyDescent="0.3">
      <c r="A111" t="s">
        <v>107</v>
      </c>
      <c r="B111">
        <v>5.8197426604865397E-3</v>
      </c>
      <c r="C111">
        <v>1.17280843233109E-2</v>
      </c>
      <c r="M111" t="s">
        <v>98</v>
      </c>
      <c r="N111">
        <v>0.72399999999999998</v>
      </c>
      <c r="O111">
        <v>0.93100000000000005</v>
      </c>
      <c r="P111" t="s">
        <v>68</v>
      </c>
      <c r="Q111">
        <v>0</v>
      </c>
      <c r="R111">
        <v>-8.9999999999999993E-3</v>
      </c>
      <c r="S111">
        <v>80</v>
      </c>
      <c r="T111">
        <v>-0.86199999999999999</v>
      </c>
      <c r="U111">
        <v>-0.79500000000000004</v>
      </c>
      <c r="V111">
        <v>-0.83399999999999996</v>
      </c>
      <c r="W111">
        <v>-0.76800000000000002</v>
      </c>
      <c r="X111">
        <v>-0.78600000000000003</v>
      </c>
      <c r="Y111">
        <v>-0.63500000000000001</v>
      </c>
      <c r="Z111">
        <v>-0.378</v>
      </c>
      <c r="AA111">
        <v>-0.09</v>
      </c>
      <c r="AB111">
        <v>0.58799999999999997</v>
      </c>
      <c r="AC111">
        <v>0.58199999999999996</v>
      </c>
      <c r="AD111">
        <v>0.60499999999999998</v>
      </c>
      <c r="AE111">
        <v>0.54600000000000004</v>
      </c>
      <c r="AF111">
        <v>0.57299999999999995</v>
      </c>
      <c r="AG111">
        <v>-0.66700000000000004</v>
      </c>
      <c r="AH111">
        <v>-0.88400000000000001</v>
      </c>
      <c r="AI111">
        <v>-0.54700000000000004</v>
      </c>
      <c r="AJ111">
        <v>-0.50700000000000001</v>
      </c>
      <c r="AK111">
        <v>-0.32700000000000001</v>
      </c>
      <c r="AL111">
        <v>-0.872</v>
      </c>
      <c r="AM111">
        <v>-6.6000000000000003E-2</v>
      </c>
      <c r="AN111">
        <v>0.68200000000000005</v>
      </c>
      <c r="AO111">
        <v>-0.60799999999999998</v>
      </c>
      <c r="AP111">
        <v>-0.23799999999999999</v>
      </c>
      <c r="AQ111">
        <v>0.191</v>
      </c>
      <c r="AR111">
        <v>-5.0000000000000001E-3</v>
      </c>
      <c r="AS111">
        <v>-0.73599999999999999</v>
      </c>
      <c r="AT111">
        <v>-0.48699999999999999</v>
      </c>
      <c r="AU111">
        <v>-0.36799999999999999</v>
      </c>
      <c r="AV111">
        <v>0.17</v>
      </c>
      <c r="AW111">
        <v>-0.23100000000000001</v>
      </c>
      <c r="AX111">
        <v>-0.51</v>
      </c>
      <c r="AY111">
        <v>0.47899999999999998</v>
      </c>
      <c r="AZ111">
        <v>-0.186</v>
      </c>
      <c r="BA111">
        <v>0.64600000000000002</v>
      </c>
      <c r="BB111">
        <v>0.70399999999999996</v>
      </c>
      <c r="BC111">
        <v>-1</v>
      </c>
      <c r="BD111">
        <v>3.9E-2</v>
      </c>
      <c r="BE111">
        <v>-0.36399999999999999</v>
      </c>
      <c r="BF111">
        <v>0.14899999999999999</v>
      </c>
      <c r="BG111">
        <v>-0.64300000000000002</v>
      </c>
      <c r="BH111">
        <v>-1.4E-2</v>
      </c>
      <c r="BI111">
        <v>0.53300000000000003</v>
      </c>
      <c r="BJ111">
        <v>-0.35499999999999998</v>
      </c>
      <c r="BK111">
        <v>-0.32800000000000001</v>
      </c>
      <c r="BL111">
        <v>0.36099999999999999</v>
      </c>
      <c r="BM111">
        <v>2.5000000000000001E-2</v>
      </c>
    </row>
    <row r="112" spans="1:65" x14ac:dyDescent="0.3">
      <c r="A112" t="s">
        <v>208</v>
      </c>
      <c r="B112">
        <v>0</v>
      </c>
      <c r="C112">
        <v>0</v>
      </c>
      <c r="M112" t="s">
        <v>226</v>
      </c>
      <c r="N112">
        <v>0.71499999999999997</v>
      </c>
      <c r="O112">
        <v>0.66500000000000004</v>
      </c>
      <c r="P112" t="s">
        <v>55</v>
      </c>
      <c r="Q112">
        <v>0</v>
      </c>
      <c r="R112">
        <v>0</v>
      </c>
      <c r="S112">
        <v>16</v>
      </c>
      <c r="T112">
        <v>-0.58399999999999996</v>
      </c>
      <c r="U112">
        <v>-0.46899999999999997</v>
      </c>
      <c r="V112">
        <v>-0.93100000000000005</v>
      </c>
      <c r="W112">
        <v>-0.53400000000000003</v>
      </c>
      <c r="X112">
        <v>-0.79</v>
      </c>
      <c r="Y112">
        <v>-0.2</v>
      </c>
      <c r="Z112">
        <v>-9.6000000000000002E-2</v>
      </c>
      <c r="AA112">
        <v>-0.498</v>
      </c>
      <c r="AB112">
        <v>0.11</v>
      </c>
      <c r="AC112">
        <v>0.111</v>
      </c>
      <c r="AD112">
        <v>0.67500000000000004</v>
      </c>
      <c r="AE112">
        <v>0.67400000000000004</v>
      </c>
      <c r="AF112">
        <v>0.63400000000000001</v>
      </c>
      <c r="AG112">
        <v>-0.56999999999999995</v>
      </c>
      <c r="AH112">
        <v>-0.65900000000000003</v>
      </c>
      <c r="AI112">
        <v>5.1999999999999998E-2</v>
      </c>
      <c r="AJ112">
        <v>-0.996</v>
      </c>
      <c r="AK112">
        <v>-0.43099999999999999</v>
      </c>
      <c r="AL112">
        <v>-0.85099999999999998</v>
      </c>
      <c r="AM112">
        <v>-0.36</v>
      </c>
      <c r="AN112">
        <v>-1</v>
      </c>
      <c r="AO112">
        <v>-0.72099999999999997</v>
      </c>
      <c r="AP112">
        <v>-0.20399999999999999</v>
      </c>
      <c r="AQ112">
        <v>0.52100000000000002</v>
      </c>
      <c r="AR112">
        <v>1</v>
      </c>
      <c r="AS112">
        <v>0.38600000000000001</v>
      </c>
      <c r="AT112">
        <v>-0.315</v>
      </c>
      <c r="AU112">
        <v>-1.0999999999999999E-2</v>
      </c>
      <c r="AV112">
        <v>-0.1</v>
      </c>
      <c r="AW112">
        <v>-0.153</v>
      </c>
      <c r="AX112">
        <v>0.23300000000000001</v>
      </c>
      <c r="AY112">
        <v>0.26300000000000001</v>
      </c>
      <c r="AZ112">
        <v>-0.33600000000000002</v>
      </c>
      <c r="BA112">
        <v>0.69699999999999995</v>
      </c>
      <c r="BB112">
        <v>1</v>
      </c>
      <c r="BC112">
        <v>0.78400000000000003</v>
      </c>
      <c r="BD112">
        <v>-0.11799999999999999</v>
      </c>
      <c r="BE112">
        <v>-0.47599999999999998</v>
      </c>
      <c r="BF112">
        <v>0.72599999999999998</v>
      </c>
      <c r="BG112">
        <v>-0.441</v>
      </c>
      <c r="BH112">
        <v>0.32600000000000001</v>
      </c>
      <c r="BI112">
        <v>0.871</v>
      </c>
      <c r="BJ112">
        <v>-0.56999999999999995</v>
      </c>
      <c r="BK112">
        <v>5.8999999999999997E-2</v>
      </c>
      <c r="BL112">
        <v>-0.46800000000000003</v>
      </c>
      <c r="BM112">
        <v>-0.49</v>
      </c>
    </row>
    <row r="113" spans="1:65" x14ac:dyDescent="0.3">
      <c r="A113" t="s">
        <v>214</v>
      </c>
      <c r="B113">
        <v>0</v>
      </c>
      <c r="C113">
        <v>0</v>
      </c>
      <c r="M113" t="s">
        <v>134</v>
      </c>
      <c r="N113">
        <v>0.70799999999999996</v>
      </c>
      <c r="O113">
        <v>0.97799999999999998</v>
      </c>
      <c r="P113" t="s">
        <v>57</v>
      </c>
      <c r="Q113">
        <v>0</v>
      </c>
      <c r="R113">
        <v>0</v>
      </c>
      <c r="S113">
        <v>6</v>
      </c>
      <c r="T113">
        <v>-0.746</v>
      </c>
      <c r="U113">
        <v>-0.71599999999999997</v>
      </c>
      <c r="V113">
        <v>-0.9</v>
      </c>
      <c r="W113">
        <v>-0.65700000000000003</v>
      </c>
      <c r="X113">
        <v>-0.79200000000000004</v>
      </c>
      <c r="Y113">
        <v>-0.40400000000000003</v>
      </c>
      <c r="Z113">
        <v>-9.5000000000000001E-2</v>
      </c>
      <c r="AA113">
        <v>-0.44800000000000001</v>
      </c>
      <c r="AB113">
        <v>0.45300000000000001</v>
      </c>
      <c r="AC113">
        <v>0.45200000000000001</v>
      </c>
      <c r="AD113">
        <v>0.74199999999999999</v>
      </c>
      <c r="AE113">
        <v>0.81200000000000006</v>
      </c>
      <c r="AF113">
        <v>0.59499999999999997</v>
      </c>
      <c r="AG113">
        <v>-0.63900000000000001</v>
      </c>
      <c r="AH113">
        <v>-0.26500000000000001</v>
      </c>
      <c r="AI113">
        <v>-0.189</v>
      </c>
      <c r="AJ113">
        <v>-0.91500000000000004</v>
      </c>
      <c r="AK113">
        <v>-0.93799999999999994</v>
      </c>
      <c r="AL113">
        <v>-1</v>
      </c>
      <c r="AM113">
        <v>-0.219</v>
      </c>
      <c r="AN113">
        <v>0.13700000000000001</v>
      </c>
      <c r="AO113">
        <v>-3.3000000000000002E-2</v>
      </c>
      <c r="AP113">
        <v>0.10299999999999999</v>
      </c>
      <c r="AQ113">
        <v>-0.19800000000000001</v>
      </c>
      <c r="AR113">
        <v>-0.18099999999999999</v>
      </c>
      <c r="AS113">
        <v>-1E-3</v>
      </c>
      <c r="AT113">
        <v>0.13500000000000001</v>
      </c>
      <c r="AU113">
        <v>0.41699999999999998</v>
      </c>
      <c r="AV113">
        <v>-0.16400000000000001</v>
      </c>
      <c r="AW113">
        <v>-0.254</v>
      </c>
      <c r="AX113">
        <v>-0.41799999999999998</v>
      </c>
      <c r="AY113">
        <v>0.30299999999999999</v>
      </c>
      <c r="AZ113">
        <v>-0.36199999999999999</v>
      </c>
      <c r="BA113">
        <v>7.6999999999999999E-2</v>
      </c>
      <c r="BB113">
        <v>0.10299999999999999</v>
      </c>
      <c r="BC113">
        <v>0.11799999999999999</v>
      </c>
      <c r="BD113">
        <v>-0.17</v>
      </c>
      <c r="BE113">
        <v>-0.157</v>
      </c>
      <c r="BF113">
        <v>0.4</v>
      </c>
      <c r="BG113">
        <v>1.4999999999999999E-2</v>
      </c>
      <c r="BH113">
        <v>0.193</v>
      </c>
      <c r="BI113">
        <v>0.89600000000000002</v>
      </c>
      <c r="BJ113">
        <v>-0.36499999999999999</v>
      </c>
      <c r="BK113">
        <v>-4.1000000000000002E-2</v>
      </c>
      <c r="BL113">
        <v>-0.23799999999999999</v>
      </c>
      <c r="BM113">
        <v>-0.76500000000000001</v>
      </c>
    </row>
    <row r="114" spans="1:65" x14ac:dyDescent="0.3">
      <c r="A114" t="s">
        <v>111</v>
      </c>
      <c r="B114">
        <v>0</v>
      </c>
      <c r="C114">
        <v>0</v>
      </c>
      <c r="M114" t="s">
        <v>114</v>
      </c>
      <c r="N114">
        <v>0.69899999999999995</v>
      </c>
      <c r="O114">
        <v>1.4990000000000001</v>
      </c>
      <c r="P114" t="s">
        <v>55</v>
      </c>
      <c r="Q114">
        <v>0</v>
      </c>
      <c r="R114">
        <v>-1.4999999999999999E-2</v>
      </c>
      <c r="S114">
        <v>80</v>
      </c>
      <c r="T114">
        <v>-0.72099999999999997</v>
      </c>
      <c r="U114">
        <v>-0.65900000000000003</v>
      </c>
      <c r="V114">
        <v>-0.85399999999999998</v>
      </c>
      <c r="W114">
        <v>-0.70399999999999996</v>
      </c>
      <c r="X114">
        <v>-0.80500000000000005</v>
      </c>
      <c r="Y114">
        <v>-0.24299999999999999</v>
      </c>
      <c r="Z114">
        <v>0.33500000000000002</v>
      </c>
      <c r="AA114">
        <v>-0.64200000000000002</v>
      </c>
      <c r="AB114">
        <v>0.45400000000000001</v>
      </c>
      <c r="AC114">
        <v>0.45400000000000001</v>
      </c>
      <c r="AD114">
        <v>0.66800000000000004</v>
      </c>
      <c r="AE114">
        <v>0.67700000000000005</v>
      </c>
      <c r="AF114">
        <v>0.58499999999999996</v>
      </c>
      <c r="AG114">
        <v>-0.71</v>
      </c>
      <c r="AH114">
        <v>-0.72299999999999998</v>
      </c>
      <c r="AI114">
        <v>-0.40300000000000002</v>
      </c>
      <c r="AJ114">
        <v>-0.752</v>
      </c>
      <c r="AK114">
        <v>-0.628</v>
      </c>
      <c r="AL114">
        <v>-0.82099999999999995</v>
      </c>
      <c r="AM114">
        <v>-0.223</v>
      </c>
      <c r="AN114">
        <v>-0.45300000000000001</v>
      </c>
      <c r="AO114">
        <v>-0.28899999999999998</v>
      </c>
      <c r="AP114">
        <v>-0.36399999999999999</v>
      </c>
      <c r="AQ114">
        <v>-0.13500000000000001</v>
      </c>
      <c r="AR114">
        <v>-0.124</v>
      </c>
      <c r="AS114">
        <v>-0.13300000000000001</v>
      </c>
      <c r="AT114">
        <v>-1.6E-2</v>
      </c>
      <c r="AU114">
        <v>-4.0000000000000001E-3</v>
      </c>
      <c r="AV114">
        <v>-0.111</v>
      </c>
      <c r="AW114">
        <v>0.76300000000000001</v>
      </c>
      <c r="AX114">
        <v>-0.28899999999999998</v>
      </c>
      <c r="AY114">
        <v>0.77300000000000002</v>
      </c>
      <c r="AZ114">
        <v>-0.39400000000000002</v>
      </c>
      <c r="BA114">
        <v>0.72599999999999998</v>
      </c>
      <c r="BB114">
        <v>0.34499999999999997</v>
      </c>
      <c r="BC114">
        <v>0.44</v>
      </c>
      <c r="BD114">
        <v>-0.17100000000000001</v>
      </c>
      <c r="BE114">
        <v>-0.20100000000000001</v>
      </c>
      <c r="BF114">
        <v>0.31900000000000001</v>
      </c>
      <c r="BG114">
        <v>-0.14399999999999999</v>
      </c>
      <c r="BH114">
        <v>0.38</v>
      </c>
      <c r="BI114">
        <v>0.85099999999999998</v>
      </c>
      <c r="BJ114">
        <v>-0.39400000000000002</v>
      </c>
      <c r="BK114">
        <v>-0.28100000000000003</v>
      </c>
      <c r="BL114">
        <v>0.31900000000000001</v>
      </c>
      <c r="BM114">
        <v>0.13500000000000001</v>
      </c>
    </row>
    <row r="115" spans="1:65" x14ac:dyDescent="0.3">
      <c r="A115" t="s">
        <v>223</v>
      </c>
      <c r="B115">
        <v>0</v>
      </c>
      <c r="C115">
        <v>0</v>
      </c>
      <c r="M115" t="s">
        <v>211</v>
      </c>
      <c r="N115">
        <v>0.69799999999999995</v>
      </c>
      <c r="O115">
        <v>0.84899999999999998</v>
      </c>
      <c r="P115" t="s">
        <v>57</v>
      </c>
      <c r="Q115">
        <v>0</v>
      </c>
      <c r="R115">
        <v>0</v>
      </c>
      <c r="S115">
        <v>11</v>
      </c>
      <c r="T115">
        <v>-0.48899999999999999</v>
      </c>
      <c r="U115">
        <v>-0.7</v>
      </c>
      <c r="V115">
        <v>-0.85799999999999998</v>
      </c>
      <c r="W115">
        <v>-0.43</v>
      </c>
      <c r="X115">
        <v>-0.78400000000000003</v>
      </c>
      <c r="Y115">
        <v>-0.17599999999999999</v>
      </c>
      <c r="Z115">
        <v>7.5999999999999998E-2</v>
      </c>
      <c r="AA115">
        <v>-0.58799999999999997</v>
      </c>
      <c r="AB115">
        <v>0.16200000000000001</v>
      </c>
      <c r="AC115">
        <v>0.16200000000000001</v>
      </c>
      <c r="AD115">
        <v>0.74099999999999999</v>
      </c>
      <c r="AE115">
        <v>0.74099999999999999</v>
      </c>
      <c r="AF115">
        <v>0.45100000000000001</v>
      </c>
      <c r="AG115">
        <v>-0.432</v>
      </c>
      <c r="AH115">
        <v>-0.14099999999999999</v>
      </c>
      <c r="AI115">
        <v>-0.39200000000000002</v>
      </c>
      <c r="AJ115">
        <v>-1</v>
      </c>
      <c r="AK115">
        <v>-0.877</v>
      </c>
      <c r="AL115">
        <v>-0.69799999999999995</v>
      </c>
      <c r="AM115">
        <v>-0.27700000000000002</v>
      </c>
      <c r="AN115">
        <v>-0.68</v>
      </c>
      <c r="AO115">
        <v>-0.77</v>
      </c>
      <c r="AP115">
        <v>9.1999999999999998E-2</v>
      </c>
      <c r="AQ115">
        <v>2.7E-2</v>
      </c>
      <c r="AR115">
        <v>0.156</v>
      </c>
      <c r="AS115">
        <v>0.55400000000000005</v>
      </c>
      <c r="AT115">
        <v>0.254</v>
      </c>
      <c r="AU115">
        <v>0.251</v>
      </c>
      <c r="AV115">
        <v>-1.4E-2</v>
      </c>
      <c r="AW115">
        <v>0.26</v>
      </c>
      <c r="AX115">
        <v>0.25600000000000001</v>
      </c>
      <c r="AY115">
        <v>2.5999999999999999E-2</v>
      </c>
      <c r="AZ115">
        <v>-0.46899999999999997</v>
      </c>
      <c r="BA115">
        <v>-6.9000000000000006E-2</v>
      </c>
      <c r="BB115">
        <v>1</v>
      </c>
      <c r="BC115">
        <v>0.38500000000000001</v>
      </c>
      <c r="BD115">
        <v>-0.61799999999999999</v>
      </c>
      <c r="BE115">
        <v>2.7E-2</v>
      </c>
      <c r="BF115">
        <v>0.55200000000000005</v>
      </c>
      <c r="BG115">
        <v>-4.8000000000000001E-2</v>
      </c>
      <c r="BH115">
        <v>8.5999999999999993E-2</v>
      </c>
      <c r="BI115">
        <v>0.77900000000000003</v>
      </c>
      <c r="BJ115">
        <v>-0.72099999999999997</v>
      </c>
      <c r="BK115">
        <v>0.30399999999999999</v>
      </c>
      <c r="BL115">
        <v>-0.122</v>
      </c>
      <c r="BM115">
        <v>-0.82899999999999996</v>
      </c>
    </row>
    <row r="116" spans="1:65" x14ac:dyDescent="0.3">
      <c r="A116" t="s">
        <v>221</v>
      </c>
      <c r="B116">
        <v>0</v>
      </c>
      <c r="C116">
        <v>0</v>
      </c>
      <c r="M116" t="s">
        <v>216</v>
      </c>
      <c r="N116">
        <v>0.69699999999999995</v>
      </c>
      <c r="O116">
        <v>0.52700000000000002</v>
      </c>
      <c r="P116" t="s">
        <v>71</v>
      </c>
      <c r="Q116">
        <v>0</v>
      </c>
      <c r="R116">
        <v>-6.0000000000000001E-3</v>
      </c>
      <c r="S116">
        <v>80</v>
      </c>
      <c r="T116">
        <v>-0.753</v>
      </c>
      <c r="U116">
        <v>-0.224</v>
      </c>
      <c r="V116">
        <v>-0.92900000000000005</v>
      </c>
      <c r="W116">
        <v>-0.70499999999999996</v>
      </c>
      <c r="X116">
        <v>-0.70899999999999996</v>
      </c>
      <c r="Y116">
        <v>-0.58699999999999997</v>
      </c>
      <c r="Z116">
        <v>-0.63600000000000001</v>
      </c>
      <c r="AA116">
        <v>-0.47199999999999998</v>
      </c>
      <c r="AB116">
        <v>0.497</v>
      </c>
      <c r="AC116">
        <v>0.49199999999999999</v>
      </c>
      <c r="AD116">
        <v>0.34699999999999998</v>
      </c>
      <c r="AE116">
        <v>0.60099999999999998</v>
      </c>
      <c r="AF116">
        <v>0.84399999999999997</v>
      </c>
      <c r="AG116">
        <v>-0.81200000000000006</v>
      </c>
      <c r="AH116">
        <v>-0.82099999999999995</v>
      </c>
      <c r="AI116">
        <v>0.51100000000000001</v>
      </c>
      <c r="AJ116">
        <v>-0.77300000000000002</v>
      </c>
      <c r="AK116">
        <v>0.83699999999999997</v>
      </c>
      <c r="AL116">
        <v>-0.89400000000000002</v>
      </c>
      <c r="AM116">
        <v>-0.214</v>
      </c>
      <c r="AN116">
        <v>-0.95099999999999996</v>
      </c>
      <c r="AO116">
        <v>-0.48699999999999999</v>
      </c>
      <c r="AP116">
        <v>-0.16600000000000001</v>
      </c>
      <c r="AQ116">
        <v>1</v>
      </c>
      <c r="AR116">
        <v>0.55100000000000005</v>
      </c>
      <c r="AS116">
        <v>-0.27</v>
      </c>
      <c r="AT116">
        <v>0.22700000000000001</v>
      </c>
      <c r="AU116">
        <v>-3.3000000000000002E-2</v>
      </c>
      <c r="AV116">
        <v>7.9000000000000001E-2</v>
      </c>
      <c r="AW116">
        <v>-0.57599999999999996</v>
      </c>
      <c r="AX116">
        <v>-0.38800000000000001</v>
      </c>
      <c r="AY116">
        <v>-0.2</v>
      </c>
      <c r="AZ116">
        <v>-0.222</v>
      </c>
      <c r="BA116">
        <v>0.49099999999999999</v>
      </c>
      <c r="BB116">
        <v>-0.93100000000000005</v>
      </c>
      <c r="BC116">
        <v>0.61099999999999999</v>
      </c>
      <c r="BD116">
        <v>-8.7999999999999995E-2</v>
      </c>
      <c r="BE116">
        <v>-0.23300000000000001</v>
      </c>
      <c r="BF116">
        <v>0.67400000000000004</v>
      </c>
      <c r="BG116">
        <v>-0.90600000000000003</v>
      </c>
      <c r="BH116">
        <v>-0.29199999999999998</v>
      </c>
      <c r="BI116">
        <v>1</v>
      </c>
      <c r="BJ116">
        <v>-0.41499999999999998</v>
      </c>
      <c r="BK116">
        <v>-0.99099999999999999</v>
      </c>
      <c r="BL116">
        <v>-0.17</v>
      </c>
      <c r="BM116">
        <v>0.187</v>
      </c>
    </row>
    <row r="117" spans="1:65" x14ac:dyDescent="0.3">
      <c r="A117" t="s">
        <v>205</v>
      </c>
      <c r="B117">
        <v>6.14568481657709E-3</v>
      </c>
      <c r="C117">
        <v>1.4229128070366101E-2</v>
      </c>
      <c r="M117" t="s">
        <v>215</v>
      </c>
      <c r="N117">
        <v>0.69599999999999995</v>
      </c>
      <c r="O117">
        <v>0.48399999999999999</v>
      </c>
      <c r="P117" t="s">
        <v>55</v>
      </c>
      <c r="Q117">
        <v>0</v>
      </c>
      <c r="R117">
        <v>-2E-3</v>
      </c>
      <c r="S117">
        <v>80</v>
      </c>
      <c r="T117">
        <v>-0.52500000000000002</v>
      </c>
      <c r="U117">
        <v>-0.26100000000000001</v>
      </c>
      <c r="V117">
        <v>-0.68799999999999994</v>
      </c>
      <c r="W117">
        <v>-0.69499999999999995</v>
      </c>
      <c r="X117">
        <v>-0.65800000000000003</v>
      </c>
      <c r="Y117">
        <v>-0.39600000000000002</v>
      </c>
      <c r="Z117">
        <v>-0.23300000000000001</v>
      </c>
      <c r="AA117">
        <v>-0.69699999999999995</v>
      </c>
      <c r="AB117">
        <v>0.27</v>
      </c>
      <c r="AC117">
        <v>0.26</v>
      </c>
      <c r="AD117">
        <v>0.61199999999999999</v>
      </c>
      <c r="AE117">
        <v>0.51200000000000001</v>
      </c>
      <c r="AF117">
        <v>0.71299999999999997</v>
      </c>
      <c r="AG117">
        <v>-0.71899999999999997</v>
      </c>
      <c r="AH117">
        <v>-0.504</v>
      </c>
      <c r="AI117">
        <v>-0.17399999999999999</v>
      </c>
      <c r="AJ117">
        <v>-0.47599999999999998</v>
      </c>
      <c r="AK117">
        <v>0.96899999999999997</v>
      </c>
      <c r="AL117">
        <v>-0.39300000000000002</v>
      </c>
      <c r="AM117">
        <v>-0.19900000000000001</v>
      </c>
      <c r="AN117">
        <v>-0.92900000000000005</v>
      </c>
      <c r="AO117">
        <v>-0.29599999999999999</v>
      </c>
      <c r="AP117">
        <v>4.3999999999999997E-2</v>
      </c>
      <c r="AQ117">
        <v>0.36499999999999999</v>
      </c>
      <c r="AR117">
        <v>0.60799999999999998</v>
      </c>
      <c r="AS117">
        <v>6.3E-2</v>
      </c>
      <c r="AT117">
        <v>-0.14000000000000001</v>
      </c>
      <c r="AU117">
        <v>-0.42799999999999999</v>
      </c>
      <c r="AV117">
        <v>-0.129</v>
      </c>
      <c r="AW117">
        <v>0.189</v>
      </c>
      <c r="AX117">
        <v>-6.8000000000000005E-2</v>
      </c>
      <c r="AY117">
        <v>-0.43</v>
      </c>
      <c r="AZ117">
        <v>-0.224</v>
      </c>
      <c r="BA117">
        <v>0.71699999999999997</v>
      </c>
      <c r="BB117">
        <v>5.1999999999999998E-2</v>
      </c>
      <c r="BC117">
        <v>0.54100000000000004</v>
      </c>
      <c r="BD117">
        <v>-0.13</v>
      </c>
      <c r="BE117">
        <v>-0.495</v>
      </c>
      <c r="BF117">
        <v>0.56899999999999995</v>
      </c>
      <c r="BG117">
        <v>-0.64500000000000002</v>
      </c>
      <c r="BH117">
        <v>0.90600000000000003</v>
      </c>
      <c r="BI117">
        <v>1</v>
      </c>
      <c r="BJ117">
        <v>-0.32800000000000001</v>
      </c>
      <c r="BK117">
        <v>-0.311</v>
      </c>
      <c r="BL117">
        <v>-6.4000000000000001E-2</v>
      </c>
      <c r="BM117">
        <v>0.56999999999999995</v>
      </c>
    </row>
    <row r="118" spans="1:65" x14ac:dyDescent="0.3">
      <c r="A118" t="s">
        <v>88</v>
      </c>
      <c r="B118">
        <v>0</v>
      </c>
      <c r="C118">
        <v>0</v>
      </c>
      <c r="M118" t="s">
        <v>124</v>
      </c>
      <c r="N118">
        <v>0.68400000000000005</v>
      </c>
      <c r="O118">
        <v>1.4650000000000001</v>
      </c>
      <c r="P118" t="s">
        <v>55</v>
      </c>
      <c r="Q118">
        <v>0</v>
      </c>
      <c r="R118">
        <v>-2.5000000000000001E-2</v>
      </c>
      <c r="S118">
        <v>52</v>
      </c>
      <c r="T118">
        <v>-0.79600000000000004</v>
      </c>
      <c r="U118">
        <v>-0.81499999999999995</v>
      </c>
      <c r="V118">
        <v>-0.90200000000000002</v>
      </c>
      <c r="W118">
        <v>-0.55400000000000005</v>
      </c>
      <c r="X118">
        <v>-0.78700000000000003</v>
      </c>
      <c r="Y118">
        <v>-0.42599999999999999</v>
      </c>
      <c r="Z118">
        <v>0.112</v>
      </c>
      <c r="AA118">
        <v>-0.38900000000000001</v>
      </c>
      <c r="AB118">
        <v>0.35</v>
      </c>
      <c r="AC118">
        <v>0.34899999999999998</v>
      </c>
      <c r="AD118">
        <v>0.623</v>
      </c>
      <c r="AE118">
        <v>0.69899999999999995</v>
      </c>
      <c r="AF118">
        <v>0.47499999999999998</v>
      </c>
      <c r="AG118">
        <v>-0.26500000000000001</v>
      </c>
      <c r="AH118">
        <v>-0.52900000000000003</v>
      </c>
      <c r="AI118">
        <v>-0.57099999999999995</v>
      </c>
      <c r="AJ118">
        <v>-0.76100000000000001</v>
      </c>
      <c r="AK118">
        <v>-0.60699999999999998</v>
      </c>
      <c r="AL118">
        <v>-0.88100000000000001</v>
      </c>
      <c r="AM118">
        <v>-0.182</v>
      </c>
      <c r="AN118">
        <v>0.19400000000000001</v>
      </c>
      <c r="AO118">
        <v>-0.59899999999999998</v>
      </c>
      <c r="AP118">
        <v>-0.21299999999999999</v>
      </c>
      <c r="AQ118">
        <v>-0.246</v>
      </c>
      <c r="AR118">
        <v>0.154</v>
      </c>
      <c r="AS118">
        <v>-0.13600000000000001</v>
      </c>
      <c r="AT118">
        <v>0.17599999999999999</v>
      </c>
      <c r="AU118">
        <v>0.124</v>
      </c>
      <c r="AV118">
        <v>0.113</v>
      </c>
      <c r="AW118">
        <v>0.53700000000000003</v>
      </c>
      <c r="AX118">
        <v>2.1999999999999999E-2</v>
      </c>
      <c r="AY118">
        <v>0.83299999999999996</v>
      </c>
      <c r="AZ118">
        <v>-0.84499999999999997</v>
      </c>
      <c r="BA118">
        <v>0.438</v>
      </c>
      <c r="BB118">
        <v>-8.5000000000000006E-2</v>
      </c>
      <c r="BC118">
        <v>-0.437</v>
      </c>
      <c r="BD118">
        <v>-0.16400000000000001</v>
      </c>
      <c r="BE118">
        <v>-0.36799999999999999</v>
      </c>
      <c r="BF118">
        <v>0.38400000000000001</v>
      </c>
      <c r="BG118">
        <v>-0.38400000000000001</v>
      </c>
      <c r="BH118">
        <v>-1</v>
      </c>
      <c r="BI118">
        <v>0.19900000000000001</v>
      </c>
      <c r="BJ118">
        <v>-0.373</v>
      </c>
      <c r="BK118">
        <v>-0.22700000000000001</v>
      </c>
      <c r="BL118">
        <v>-0.12</v>
      </c>
      <c r="BM118">
        <v>5.3999999999999999E-2</v>
      </c>
    </row>
    <row r="119" spans="1:65" x14ac:dyDescent="0.3">
      <c r="A119" t="s">
        <v>243</v>
      </c>
      <c r="B119">
        <v>0</v>
      </c>
      <c r="C119">
        <v>0</v>
      </c>
      <c r="M119" t="s">
        <v>250</v>
      </c>
      <c r="N119">
        <v>0.67600000000000005</v>
      </c>
      <c r="O119">
        <v>0.53700000000000003</v>
      </c>
      <c r="P119" t="s">
        <v>57</v>
      </c>
      <c r="Q119">
        <v>0</v>
      </c>
      <c r="R119">
        <v>-4.0000000000000001E-3</v>
      </c>
      <c r="S119">
        <v>80</v>
      </c>
      <c r="T119">
        <v>-0.06</v>
      </c>
      <c r="U119">
        <v>-0.16900000000000001</v>
      </c>
      <c r="V119">
        <v>-1.7000000000000001E-2</v>
      </c>
      <c r="W119">
        <v>-0.52500000000000002</v>
      </c>
      <c r="X119">
        <v>-0.36499999999999999</v>
      </c>
      <c r="Y119">
        <v>-0.47499999999999998</v>
      </c>
      <c r="Z119">
        <v>-0.64500000000000002</v>
      </c>
      <c r="AA119">
        <v>-0.627</v>
      </c>
      <c r="AB119">
        <v>-0.34</v>
      </c>
      <c r="AC119">
        <v>-0.34399999999999997</v>
      </c>
      <c r="AD119">
        <v>0.63500000000000001</v>
      </c>
      <c r="AE119">
        <v>0.61299999999999999</v>
      </c>
      <c r="AF119">
        <v>0.28899999999999998</v>
      </c>
      <c r="AG119">
        <v>-3.9E-2</v>
      </c>
      <c r="AH119">
        <v>-0.25</v>
      </c>
      <c r="AI119">
        <v>-0.61299999999999999</v>
      </c>
      <c r="AJ119">
        <v>-0.31900000000000001</v>
      </c>
      <c r="AK119">
        <v>0.246</v>
      </c>
      <c r="AL119">
        <v>0.46700000000000003</v>
      </c>
      <c r="AM119">
        <v>-0.379</v>
      </c>
      <c r="AN119">
        <v>-0.42299999999999999</v>
      </c>
      <c r="AO119">
        <v>-0.36799999999999999</v>
      </c>
      <c r="AP119">
        <v>0.42</v>
      </c>
      <c r="AQ119">
        <v>-0.22600000000000001</v>
      </c>
      <c r="AR119">
        <v>0.40799999999999997</v>
      </c>
      <c r="AS119">
        <v>-0.23</v>
      </c>
      <c r="AT119">
        <v>0.59</v>
      </c>
      <c r="AU119">
        <v>-0.14299999999999999</v>
      </c>
      <c r="AV119">
        <v>-0.314</v>
      </c>
      <c r="AW119">
        <v>-0.41699999999999998</v>
      </c>
      <c r="AX119">
        <v>0.435</v>
      </c>
      <c r="AY119">
        <v>-0.35899999999999999</v>
      </c>
      <c r="AZ119">
        <v>0.16300000000000001</v>
      </c>
      <c r="BA119">
        <v>0.64700000000000002</v>
      </c>
      <c r="BB119">
        <v>0.63600000000000001</v>
      </c>
      <c r="BC119">
        <v>0.29899999999999999</v>
      </c>
      <c r="BD119">
        <v>0.48</v>
      </c>
      <c r="BE119">
        <v>0.26</v>
      </c>
      <c r="BF119">
        <v>0.47</v>
      </c>
      <c r="BG119">
        <v>-0.59799999999999998</v>
      </c>
      <c r="BH119">
        <v>0.44700000000000001</v>
      </c>
      <c r="BI119">
        <v>6.7000000000000004E-2</v>
      </c>
      <c r="BJ119">
        <v>0.503</v>
      </c>
      <c r="BK119">
        <v>0.253</v>
      </c>
      <c r="BL119">
        <v>4.4999999999999998E-2</v>
      </c>
      <c r="BM119">
        <v>0.22600000000000001</v>
      </c>
    </row>
    <row r="120" spans="1:65" x14ac:dyDescent="0.3">
      <c r="A120" t="s">
        <v>210</v>
      </c>
      <c r="B120">
        <v>0</v>
      </c>
      <c r="C120">
        <v>0</v>
      </c>
      <c r="M120" t="s">
        <v>144</v>
      </c>
      <c r="N120">
        <v>0.67400000000000004</v>
      </c>
      <c r="O120">
        <v>0.93100000000000005</v>
      </c>
      <c r="P120" t="s">
        <v>55</v>
      </c>
      <c r="Q120">
        <v>0</v>
      </c>
      <c r="R120">
        <v>0</v>
      </c>
      <c r="S120">
        <v>40</v>
      </c>
      <c r="T120">
        <v>-0.875</v>
      </c>
      <c r="U120">
        <v>-0.73499999999999999</v>
      </c>
      <c r="V120">
        <v>-0.95199999999999996</v>
      </c>
      <c r="W120">
        <v>-0.74399999999999999</v>
      </c>
      <c r="X120">
        <v>-0.80600000000000005</v>
      </c>
      <c r="Y120">
        <v>-0.63800000000000001</v>
      </c>
      <c r="Z120">
        <v>-0.216</v>
      </c>
      <c r="AA120">
        <v>-0.30599999999999999</v>
      </c>
      <c r="AB120">
        <v>0.36399999999999999</v>
      </c>
      <c r="AC120">
        <v>0.36699999999999999</v>
      </c>
      <c r="AD120">
        <v>0.67800000000000005</v>
      </c>
      <c r="AE120">
        <v>0.73799999999999999</v>
      </c>
      <c r="AF120">
        <v>0.58899999999999997</v>
      </c>
      <c r="AG120">
        <v>-0.745</v>
      </c>
      <c r="AH120">
        <v>-0.84799999999999998</v>
      </c>
      <c r="AI120">
        <v>0.129</v>
      </c>
      <c r="AJ120">
        <v>-0.84799999999999998</v>
      </c>
      <c r="AK120">
        <v>-0.41599999999999998</v>
      </c>
      <c r="AL120">
        <v>-0.94799999999999995</v>
      </c>
      <c r="AM120">
        <v>-0.32700000000000001</v>
      </c>
      <c r="AN120">
        <v>0.08</v>
      </c>
      <c r="AO120">
        <v>-0.35399999999999998</v>
      </c>
      <c r="AP120">
        <v>-0.69599999999999995</v>
      </c>
      <c r="AQ120">
        <v>0.249</v>
      </c>
      <c r="AR120">
        <v>0.33800000000000002</v>
      </c>
      <c r="AS120">
        <v>-0.48299999999999998</v>
      </c>
      <c r="AT120">
        <v>0.12</v>
      </c>
      <c r="AU120">
        <v>-0.245</v>
      </c>
      <c r="AV120">
        <v>-0.152</v>
      </c>
      <c r="AW120">
        <v>-2.5999999999999999E-2</v>
      </c>
      <c r="AX120">
        <v>-0.42399999999999999</v>
      </c>
      <c r="AY120">
        <v>0.84799999999999998</v>
      </c>
      <c r="AZ120">
        <v>-0.80300000000000005</v>
      </c>
      <c r="BA120">
        <v>0.75900000000000001</v>
      </c>
      <c r="BB120">
        <v>-0.78</v>
      </c>
      <c r="BC120">
        <v>0.153</v>
      </c>
      <c r="BD120">
        <v>-0.151</v>
      </c>
      <c r="BE120">
        <v>-0.53700000000000003</v>
      </c>
      <c r="BF120">
        <v>0.35899999999999999</v>
      </c>
      <c r="BG120">
        <v>-0.35399999999999998</v>
      </c>
      <c r="BH120">
        <v>-0.875</v>
      </c>
      <c r="BI120">
        <v>0.58599999999999997</v>
      </c>
      <c r="BJ120">
        <v>-0.41099999999999998</v>
      </c>
      <c r="BK120">
        <v>-0.23300000000000001</v>
      </c>
      <c r="BL120">
        <v>9.8000000000000004E-2</v>
      </c>
      <c r="BM120">
        <v>-0.122</v>
      </c>
    </row>
    <row r="121" spans="1:65" x14ac:dyDescent="0.3">
      <c r="A121" t="s">
        <v>188</v>
      </c>
      <c r="B121">
        <v>6.6701234298108198E-3</v>
      </c>
      <c r="C121">
        <v>1.1843952122430701E-2</v>
      </c>
      <c r="M121" t="s">
        <v>214</v>
      </c>
      <c r="N121">
        <v>0.66400000000000003</v>
      </c>
      <c r="O121">
        <v>1.1020000000000001</v>
      </c>
      <c r="P121" t="s">
        <v>53</v>
      </c>
      <c r="Q121">
        <v>0</v>
      </c>
      <c r="R121">
        <v>-1.2999999999999999E-2</v>
      </c>
      <c r="S121">
        <v>80</v>
      </c>
      <c r="T121">
        <v>-0.40600000000000003</v>
      </c>
      <c r="U121">
        <v>-0.36</v>
      </c>
      <c r="V121">
        <v>-0.66600000000000004</v>
      </c>
      <c r="W121">
        <v>-0.56399999999999995</v>
      </c>
      <c r="X121">
        <v>-0.63100000000000001</v>
      </c>
      <c r="Y121">
        <v>-0.46400000000000002</v>
      </c>
      <c r="Z121">
        <v>-0.33900000000000002</v>
      </c>
      <c r="AA121">
        <v>-0.73299999999999998</v>
      </c>
      <c r="AB121">
        <v>4.8000000000000001E-2</v>
      </c>
      <c r="AC121">
        <v>5.0999999999999997E-2</v>
      </c>
      <c r="AD121">
        <v>0.61899999999999999</v>
      </c>
      <c r="AE121">
        <v>0.69299999999999995</v>
      </c>
      <c r="AF121">
        <v>0.57099999999999995</v>
      </c>
      <c r="AG121">
        <v>-0.54</v>
      </c>
      <c r="AH121">
        <v>-0.28299999999999997</v>
      </c>
      <c r="AI121">
        <v>-0.23400000000000001</v>
      </c>
      <c r="AJ121">
        <v>-0.49399999999999999</v>
      </c>
      <c r="AK121">
        <v>-0.29499999999999998</v>
      </c>
      <c r="AL121">
        <v>-0.11899999999999999</v>
      </c>
      <c r="AM121">
        <v>-0.16800000000000001</v>
      </c>
      <c r="AN121">
        <v>-0.89200000000000002</v>
      </c>
      <c r="AO121">
        <v>-0.29299999999999998</v>
      </c>
      <c r="AP121">
        <v>0.45200000000000001</v>
      </c>
      <c r="AQ121">
        <v>9.4E-2</v>
      </c>
      <c r="AR121">
        <v>-7.6999999999999999E-2</v>
      </c>
      <c r="AS121">
        <v>0.42599999999999999</v>
      </c>
      <c r="AT121">
        <v>2.8000000000000001E-2</v>
      </c>
      <c r="AU121">
        <v>-3.1E-2</v>
      </c>
      <c r="AV121">
        <v>7.0999999999999994E-2</v>
      </c>
      <c r="AW121">
        <v>-0.245</v>
      </c>
      <c r="AX121">
        <v>-0.21</v>
      </c>
      <c r="AY121">
        <v>0.308</v>
      </c>
      <c r="AZ121">
        <v>0.3</v>
      </c>
      <c r="BA121">
        <v>0.751</v>
      </c>
      <c r="BB121">
        <v>-0.378</v>
      </c>
      <c r="BC121">
        <v>0.74199999999999999</v>
      </c>
      <c r="BD121">
        <v>8.8999999999999996E-2</v>
      </c>
      <c r="BE121">
        <v>-2.5000000000000001E-2</v>
      </c>
      <c r="BF121">
        <v>0.64500000000000002</v>
      </c>
      <c r="BG121">
        <v>-0.41799999999999998</v>
      </c>
      <c r="BH121">
        <v>0.33500000000000002</v>
      </c>
      <c r="BI121">
        <v>0.53800000000000003</v>
      </c>
      <c r="BJ121">
        <v>3.1E-2</v>
      </c>
      <c r="BK121">
        <v>-0.25700000000000001</v>
      </c>
      <c r="BL121">
        <v>-0.21299999999999999</v>
      </c>
      <c r="BM121">
        <v>0.621</v>
      </c>
    </row>
    <row r="122" spans="1:65" x14ac:dyDescent="0.3">
      <c r="A122" t="s">
        <v>209</v>
      </c>
      <c r="B122">
        <v>0</v>
      </c>
      <c r="C122">
        <v>7.8629976633791503E-3</v>
      </c>
      <c r="M122" t="s">
        <v>173</v>
      </c>
      <c r="N122">
        <v>0.66300000000000003</v>
      </c>
      <c r="O122">
        <v>0.79400000000000004</v>
      </c>
      <c r="P122" t="s">
        <v>55</v>
      </c>
      <c r="Q122">
        <v>0</v>
      </c>
      <c r="R122">
        <v>0</v>
      </c>
      <c r="S122">
        <v>41</v>
      </c>
      <c r="T122">
        <v>-0.84799999999999998</v>
      </c>
      <c r="U122">
        <v>-0.75600000000000001</v>
      </c>
      <c r="V122">
        <v>-0.95299999999999996</v>
      </c>
      <c r="W122">
        <v>-0.74199999999999999</v>
      </c>
      <c r="X122">
        <v>-0.85099999999999998</v>
      </c>
      <c r="Y122">
        <v>-0.46400000000000002</v>
      </c>
      <c r="Z122">
        <v>0.12</v>
      </c>
      <c r="AA122">
        <v>-0.505</v>
      </c>
      <c r="AB122">
        <v>0.46500000000000002</v>
      </c>
      <c r="AC122">
        <v>0.46600000000000003</v>
      </c>
      <c r="AD122">
        <v>0.624</v>
      </c>
      <c r="AE122">
        <v>0.64800000000000002</v>
      </c>
      <c r="AF122">
        <v>0.54600000000000004</v>
      </c>
      <c r="AG122">
        <v>-0.78100000000000003</v>
      </c>
      <c r="AH122">
        <v>-0.88300000000000001</v>
      </c>
      <c r="AI122">
        <v>-0.27200000000000002</v>
      </c>
      <c r="AJ122">
        <v>-0.96</v>
      </c>
      <c r="AK122">
        <v>-0.61299999999999999</v>
      </c>
      <c r="AL122">
        <v>-1</v>
      </c>
      <c r="AM122">
        <v>-0.316</v>
      </c>
      <c r="AN122">
        <v>-0.27600000000000002</v>
      </c>
      <c r="AO122">
        <v>-0.70499999999999996</v>
      </c>
      <c r="AP122">
        <v>-0.35399999999999998</v>
      </c>
      <c r="AQ122">
        <v>0.217</v>
      </c>
      <c r="AR122">
        <v>0.40500000000000003</v>
      </c>
      <c r="AS122">
        <v>-0.22500000000000001</v>
      </c>
      <c r="AT122">
        <v>0.158</v>
      </c>
      <c r="AU122">
        <v>-5.7000000000000002E-2</v>
      </c>
      <c r="AV122">
        <v>6.9000000000000006E-2</v>
      </c>
      <c r="AW122">
        <v>0.40899999999999997</v>
      </c>
      <c r="AX122">
        <v>-0.33600000000000002</v>
      </c>
      <c r="AY122">
        <v>0.748</v>
      </c>
      <c r="AZ122">
        <v>-0.52700000000000002</v>
      </c>
      <c r="BA122">
        <v>0.75600000000000001</v>
      </c>
      <c r="BB122">
        <v>-0.249</v>
      </c>
      <c r="BC122">
        <v>-0.40500000000000003</v>
      </c>
      <c r="BD122">
        <v>-0.44700000000000001</v>
      </c>
      <c r="BE122">
        <v>-0.58199999999999996</v>
      </c>
      <c r="BF122">
        <v>0.253</v>
      </c>
      <c r="BG122">
        <v>-0.105</v>
      </c>
      <c r="BH122">
        <v>-0.22</v>
      </c>
      <c r="BI122">
        <v>0.88800000000000001</v>
      </c>
      <c r="BJ122">
        <v>-0.33300000000000002</v>
      </c>
      <c r="BK122">
        <v>-0.191</v>
      </c>
      <c r="BL122">
        <v>0.224</v>
      </c>
      <c r="BM122">
        <v>-0.378</v>
      </c>
    </row>
    <row r="123" spans="1:65" x14ac:dyDescent="0.3">
      <c r="A123" t="s">
        <v>166</v>
      </c>
      <c r="B123">
        <v>5.4626879582518597E-3</v>
      </c>
      <c r="C123">
        <v>1.1012845909273299E-2</v>
      </c>
      <c r="M123" t="s">
        <v>229</v>
      </c>
      <c r="N123">
        <v>0.65</v>
      </c>
      <c r="O123">
        <v>0.53400000000000003</v>
      </c>
      <c r="P123" t="s">
        <v>71</v>
      </c>
      <c r="Q123">
        <v>0</v>
      </c>
      <c r="R123">
        <v>-7.0000000000000001E-3</v>
      </c>
      <c r="S123">
        <v>80</v>
      </c>
      <c r="T123">
        <v>-0.753</v>
      </c>
      <c r="U123">
        <v>-0.14099999999999999</v>
      </c>
      <c r="V123">
        <v>-0.90100000000000002</v>
      </c>
      <c r="W123">
        <v>-0.70899999999999996</v>
      </c>
      <c r="X123">
        <v>-0.67</v>
      </c>
      <c r="Y123">
        <v>-0.68</v>
      </c>
      <c r="Z123">
        <v>-0.71599999999999997</v>
      </c>
      <c r="AA123">
        <v>-0.50700000000000001</v>
      </c>
      <c r="AB123">
        <v>0.24399999999999999</v>
      </c>
      <c r="AC123">
        <v>0.246</v>
      </c>
      <c r="AD123">
        <v>0.65700000000000003</v>
      </c>
      <c r="AE123">
        <v>0.69399999999999995</v>
      </c>
      <c r="AF123">
        <v>0.65600000000000003</v>
      </c>
      <c r="AG123">
        <v>-0.85499999999999998</v>
      </c>
      <c r="AH123">
        <v>-0.65800000000000003</v>
      </c>
      <c r="AI123">
        <v>0.48399999999999999</v>
      </c>
      <c r="AJ123">
        <v>-0.6</v>
      </c>
      <c r="AK123">
        <v>-7.1999999999999995E-2</v>
      </c>
      <c r="AL123">
        <v>-0.86599999999999999</v>
      </c>
      <c r="AM123">
        <v>-0.32200000000000001</v>
      </c>
      <c r="AN123">
        <v>-0.49199999999999999</v>
      </c>
      <c r="AO123">
        <v>-0.20699999999999999</v>
      </c>
      <c r="AP123">
        <v>-0.27400000000000002</v>
      </c>
      <c r="AQ123">
        <v>0.29799999999999999</v>
      </c>
      <c r="AR123">
        <v>0.86099999999999999</v>
      </c>
      <c r="AS123">
        <v>-0.40899999999999997</v>
      </c>
      <c r="AT123">
        <v>0.85799999999999998</v>
      </c>
      <c r="AU123">
        <v>0.30599999999999999</v>
      </c>
      <c r="AV123">
        <v>-9.0999999999999998E-2</v>
      </c>
      <c r="AW123">
        <v>-0.17699999999999999</v>
      </c>
      <c r="AX123">
        <v>-0.54200000000000004</v>
      </c>
      <c r="AY123">
        <v>0.19700000000000001</v>
      </c>
      <c r="AZ123">
        <v>-0.25700000000000001</v>
      </c>
      <c r="BA123">
        <v>0.376</v>
      </c>
      <c r="BB123">
        <v>-0.54600000000000004</v>
      </c>
      <c r="BC123">
        <v>-1.2E-2</v>
      </c>
      <c r="BD123">
        <v>-9.8000000000000004E-2</v>
      </c>
      <c r="BE123">
        <v>-0.41199999999999998</v>
      </c>
      <c r="BF123">
        <v>0.29199999999999998</v>
      </c>
      <c r="BG123">
        <v>-0.86399999999999999</v>
      </c>
      <c r="BH123">
        <v>0.249</v>
      </c>
      <c r="BI123">
        <v>2.9000000000000001E-2</v>
      </c>
      <c r="BJ123">
        <v>0.26500000000000001</v>
      </c>
      <c r="BK123">
        <v>-0.63200000000000001</v>
      </c>
      <c r="BL123">
        <v>-0.219</v>
      </c>
      <c r="BM123">
        <v>5.2999999999999999E-2</v>
      </c>
    </row>
    <row r="124" spans="1:65" x14ac:dyDescent="0.3">
      <c r="A124" t="s">
        <v>154</v>
      </c>
      <c r="B124">
        <v>0</v>
      </c>
      <c r="C124">
        <v>8.5265240271400894E-3</v>
      </c>
      <c r="M124" t="s">
        <v>80</v>
      </c>
      <c r="N124">
        <v>0.63200000000000001</v>
      </c>
      <c r="O124">
        <v>0.69899999999999995</v>
      </c>
      <c r="P124" t="s">
        <v>57</v>
      </c>
      <c r="Q124">
        <v>0</v>
      </c>
      <c r="R124">
        <v>-4.0000000000000001E-3</v>
      </c>
      <c r="S124">
        <v>80</v>
      </c>
      <c r="T124">
        <v>-0.57899999999999996</v>
      </c>
      <c r="U124">
        <v>-0.77600000000000002</v>
      </c>
      <c r="V124">
        <v>-0.245</v>
      </c>
      <c r="W124">
        <v>-0.627</v>
      </c>
      <c r="X124">
        <v>-0.59699999999999998</v>
      </c>
      <c r="Y124">
        <v>-0.65800000000000003</v>
      </c>
      <c r="Z124">
        <v>-0.629</v>
      </c>
      <c r="AA124">
        <v>-0.57899999999999996</v>
      </c>
      <c r="AB124">
        <v>0.154</v>
      </c>
      <c r="AC124">
        <v>0.156</v>
      </c>
      <c r="AD124">
        <v>0.54</v>
      </c>
      <c r="AE124">
        <v>0.52100000000000002</v>
      </c>
      <c r="AF124">
        <v>0.47599999999999998</v>
      </c>
      <c r="AG124">
        <v>-0.36099999999999999</v>
      </c>
      <c r="AH124">
        <v>-0.222</v>
      </c>
      <c r="AI124">
        <v>-0.755</v>
      </c>
      <c r="AJ124">
        <v>0.16800000000000001</v>
      </c>
      <c r="AK124">
        <v>-0.40699999999999997</v>
      </c>
      <c r="AL124">
        <v>0.28799999999999998</v>
      </c>
      <c r="AM124">
        <v>4.1000000000000002E-2</v>
      </c>
      <c r="AN124">
        <v>0.20399999999999999</v>
      </c>
      <c r="AO124">
        <v>-0.29499999999999998</v>
      </c>
      <c r="AP124">
        <v>-8.5000000000000006E-2</v>
      </c>
      <c r="AQ124">
        <v>-0.42199999999999999</v>
      </c>
      <c r="AR124">
        <v>-0.377</v>
      </c>
      <c r="AS124">
        <v>0.13600000000000001</v>
      </c>
      <c r="AT124">
        <v>7.6999999999999999E-2</v>
      </c>
      <c r="AU124">
        <v>-0.54200000000000004</v>
      </c>
      <c r="AV124">
        <v>0.24199999999999999</v>
      </c>
      <c r="AW124">
        <v>-0.22600000000000001</v>
      </c>
      <c r="AX124">
        <v>-0.42699999999999999</v>
      </c>
      <c r="AY124">
        <v>0.38800000000000001</v>
      </c>
      <c r="AZ124">
        <v>0.17799999999999999</v>
      </c>
      <c r="BA124">
        <v>0.747</v>
      </c>
      <c r="BB124">
        <v>0.27400000000000002</v>
      </c>
      <c r="BC124">
        <v>0.72299999999999998</v>
      </c>
      <c r="BD124">
        <v>2E-3</v>
      </c>
      <c r="BE124">
        <v>-0.191</v>
      </c>
      <c r="BF124">
        <v>0.155</v>
      </c>
      <c r="BG124">
        <v>0.104</v>
      </c>
      <c r="BH124">
        <v>0.33900000000000002</v>
      </c>
      <c r="BI124">
        <v>-0.312</v>
      </c>
      <c r="BJ124">
        <v>-0.64600000000000002</v>
      </c>
      <c r="BK124">
        <v>-0.39500000000000002</v>
      </c>
      <c r="BL124">
        <v>0.498</v>
      </c>
      <c r="BM124">
        <v>0.40799999999999997</v>
      </c>
    </row>
    <row r="125" spans="1:65" x14ac:dyDescent="0.3">
      <c r="A125" t="s">
        <v>69</v>
      </c>
      <c r="B125">
        <v>1.60682340853559E-2</v>
      </c>
      <c r="C125">
        <v>1.4505219814832999E-2</v>
      </c>
      <c r="M125" t="s">
        <v>180</v>
      </c>
      <c r="N125">
        <v>0.628</v>
      </c>
      <c r="O125">
        <v>0.76</v>
      </c>
      <c r="P125" t="s">
        <v>57</v>
      </c>
      <c r="Q125">
        <v>0</v>
      </c>
      <c r="R125">
        <v>-2E-3</v>
      </c>
      <c r="S125">
        <v>80</v>
      </c>
      <c r="T125">
        <v>-0.35799999999999998</v>
      </c>
      <c r="U125">
        <v>-0.73499999999999999</v>
      </c>
      <c r="V125">
        <v>-0.22700000000000001</v>
      </c>
      <c r="W125">
        <v>-0.53800000000000003</v>
      </c>
      <c r="X125">
        <v>-0.65600000000000003</v>
      </c>
      <c r="Y125">
        <v>-0.39200000000000002</v>
      </c>
      <c r="Z125">
        <v>-0.248</v>
      </c>
      <c r="AA125">
        <v>-0.74199999999999999</v>
      </c>
      <c r="AB125">
        <v>5.0999999999999997E-2</v>
      </c>
      <c r="AC125">
        <v>5.1999999999999998E-2</v>
      </c>
      <c r="AD125">
        <v>0.55400000000000005</v>
      </c>
      <c r="AE125">
        <v>0.46700000000000003</v>
      </c>
      <c r="AF125">
        <v>0.253</v>
      </c>
      <c r="AG125">
        <v>-0.20799999999999999</v>
      </c>
      <c r="AH125">
        <v>-0.68100000000000005</v>
      </c>
      <c r="AI125">
        <v>-0.84099999999999997</v>
      </c>
      <c r="AJ125">
        <v>-0.57099999999999995</v>
      </c>
      <c r="AK125">
        <v>-1.0999999999999999E-2</v>
      </c>
      <c r="AL125">
        <v>0.93</v>
      </c>
      <c r="AM125">
        <v>-0.46899999999999997</v>
      </c>
      <c r="AN125">
        <v>-0.76300000000000001</v>
      </c>
      <c r="AO125">
        <v>-0.97299999999999998</v>
      </c>
      <c r="AP125">
        <v>0.23699999999999999</v>
      </c>
      <c r="AQ125">
        <v>-0.38100000000000001</v>
      </c>
      <c r="AR125">
        <v>-0.12</v>
      </c>
      <c r="AS125">
        <v>5.2999999999999999E-2</v>
      </c>
      <c r="AT125">
        <v>0.125</v>
      </c>
      <c r="AU125">
        <v>-0.53900000000000003</v>
      </c>
      <c r="AV125">
        <v>0.78100000000000003</v>
      </c>
      <c r="AW125">
        <v>6.2E-2</v>
      </c>
      <c r="AX125">
        <v>0.623</v>
      </c>
      <c r="AY125">
        <v>0.38600000000000001</v>
      </c>
      <c r="AZ125">
        <v>8.5000000000000006E-2</v>
      </c>
      <c r="BA125">
        <v>0.89800000000000002</v>
      </c>
      <c r="BB125">
        <v>0.97699999999999998</v>
      </c>
      <c r="BC125">
        <v>0.42199999999999999</v>
      </c>
      <c r="BD125">
        <v>-0.60399999999999998</v>
      </c>
      <c r="BE125">
        <v>-0.57199999999999995</v>
      </c>
      <c r="BF125">
        <v>0.23499999999999999</v>
      </c>
      <c r="BG125">
        <v>-0.71099999999999997</v>
      </c>
      <c r="BH125">
        <v>-0.18</v>
      </c>
      <c r="BI125">
        <v>0.29199999999999998</v>
      </c>
      <c r="BJ125">
        <v>-0.33600000000000002</v>
      </c>
      <c r="BK125">
        <v>0.104</v>
      </c>
      <c r="BL125">
        <v>0.35099999999999998</v>
      </c>
      <c r="BM125">
        <v>0.71599999999999997</v>
      </c>
    </row>
    <row r="126" spans="1:65" x14ac:dyDescent="0.3">
      <c r="A126" t="s">
        <v>150</v>
      </c>
      <c r="B126">
        <v>0</v>
      </c>
      <c r="C126">
        <v>0</v>
      </c>
      <c r="M126" t="s">
        <v>233</v>
      </c>
      <c r="N126">
        <v>0.627</v>
      </c>
      <c r="O126">
        <v>0.80400000000000005</v>
      </c>
      <c r="P126" t="s">
        <v>71</v>
      </c>
      <c r="Q126">
        <v>0</v>
      </c>
      <c r="R126">
        <v>-2.5000000000000001E-2</v>
      </c>
      <c r="S126">
        <v>53</v>
      </c>
      <c r="T126">
        <v>-0.83399999999999996</v>
      </c>
      <c r="U126">
        <v>-8.6999999999999994E-2</v>
      </c>
      <c r="V126">
        <v>-0.97</v>
      </c>
      <c r="W126">
        <v>-0.72099999999999997</v>
      </c>
      <c r="X126">
        <v>-0.66100000000000003</v>
      </c>
      <c r="Y126">
        <v>-0.73799999999999999</v>
      </c>
      <c r="Z126">
        <v>-0.755</v>
      </c>
      <c r="AA126">
        <v>-0.57399999999999995</v>
      </c>
      <c r="AB126">
        <v>0.17299999999999999</v>
      </c>
      <c r="AC126">
        <v>0.17399999999999999</v>
      </c>
      <c r="AD126">
        <v>0.76800000000000002</v>
      </c>
      <c r="AE126">
        <v>0.79800000000000004</v>
      </c>
      <c r="AF126">
        <v>0.64700000000000002</v>
      </c>
      <c r="AG126">
        <v>-0.749</v>
      </c>
      <c r="AH126">
        <v>-0.437</v>
      </c>
      <c r="AI126">
        <v>0.97399999999999998</v>
      </c>
      <c r="AJ126">
        <v>-0.64900000000000002</v>
      </c>
      <c r="AK126">
        <v>-0.158</v>
      </c>
      <c r="AL126">
        <v>-0.90700000000000003</v>
      </c>
      <c r="AM126">
        <v>0.105</v>
      </c>
      <c r="AN126">
        <v>-0.96099999999999997</v>
      </c>
      <c r="AO126">
        <v>4.2000000000000003E-2</v>
      </c>
      <c r="AP126">
        <v>0.41099999999999998</v>
      </c>
      <c r="AQ126">
        <v>0.56100000000000005</v>
      </c>
      <c r="AR126">
        <v>0.72</v>
      </c>
      <c r="AS126">
        <v>-0.45</v>
      </c>
      <c r="AT126">
        <v>-0.32700000000000001</v>
      </c>
      <c r="AU126">
        <v>-0.46899999999999997</v>
      </c>
      <c r="AV126">
        <v>-0.316</v>
      </c>
      <c r="AW126">
        <v>-0.17100000000000001</v>
      </c>
      <c r="AX126">
        <v>-0.33600000000000002</v>
      </c>
      <c r="AY126">
        <v>0.106</v>
      </c>
      <c r="AZ126">
        <v>-0.31</v>
      </c>
      <c r="BA126">
        <v>0.32800000000000001</v>
      </c>
      <c r="BB126">
        <v>-0.72199999999999998</v>
      </c>
      <c r="BC126">
        <v>-0.19</v>
      </c>
      <c r="BD126">
        <v>-0.36199999999999999</v>
      </c>
      <c r="BE126">
        <v>0.32300000000000001</v>
      </c>
      <c r="BF126">
        <v>-0.14599999999999999</v>
      </c>
      <c r="BG126">
        <v>-0.22600000000000001</v>
      </c>
      <c r="BH126">
        <v>0.56999999999999995</v>
      </c>
      <c r="BI126">
        <v>0.27900000000000003</v>
      </c>
      <c r="BJ126">
        <v>0.26500000000000001</v>
      </c>
      <c r="BK126">
        <v>-0.98299999999999998</v>
      </c>
      <c r="BL126">
        <v>-0.91900000000000004</v>
      </c>
      <c r="BM126">
        <v>0.19</v>
      </c>
    </row>
    <row r="127" spans="1:65" x14ac:dyDescent="0.3">
      <c r="A127" t="s">
        <v>170</v>
      </c>
      <c r="B127">
        <v>0</v>
      </c>
      <c r="C127">
        <v>0</v>
      </c>
      <c r="M127" t="s">
        <v>168</v>
      </c>
      <c r="N127">
        <v>0.626</v>
      </c>
      <c r="O127">
        <v>0.61899999999999999</v>
      </c>
      <c r="P127" t="s">
        <v>68</v>
      </c>
      <c r="Q127">
        <v>0</v>
      </c>
      <c r="R127">
        <v>0</v>
      </c>
      <c r="S127">
        <v>12</v>
      </c>
      <c r="T127">
        <v>-0.67200000000000004</v>
      </c>
      <c r="U127">
        <v>-0.83</v>
      </c>
      <c r="V127">
        <v>-0.86799999999999999</v>
      </c>
      <c r="W127">
        <v>-0.63500000000000001</v>
      </c>
      <c r="X127">
        <v>-0.84899999999999998</v>
      </c>
      <c r="Y127">
        <v>-0.443</v>
      </c>
      <c r="Z127">
        <v>-0.18</v>
      </c>
      <c r="AA127">
        <v>-0.64900000000000002</v>
      </c>
      <c r="AB127">
        <v>0.29099999999999998</v>
      </c>
      <c r="AC127">
        <v>0.29199999999999998</v>
      </c>
      <c r="AD127">
        <v>0.63600000000000001</v>
      </c>
      <c r="AE127">
        <v>0.57199999999999995</v>
      </c>
      <c r="AF127">
        <v>0.46400000000000002</v>
      </c>
      <c r="AG127">
        <v>-0.40300000000000002</v>
      </c>
      <c r="AH127">
        <v>-0.66200000000000003</v>
      </c>
      <c r="AI127">
        <v>-0.79400000000000004</v>
      </c>
      <c r="AJ127">
        <v>-1</v>
      </c>
      <c r="AK127">
        <v>-0.97499999999999998</v>
      </c>
      <c r="AL127">
        <v>-0.64100000000000001</v>
      </c>
      <c r="AM127">
        <v>-0.39100000000000001</v>
      </c>
      <c r="AN127">
        <v>-0.55900000000000005</v>
      </c>
      <c r="AO127">
        <v>-0.96899999999999997</v>
      </c>
      <c r="AP127">
        <v>0.56699999999999995</v>
      </c>
      <c r="AQ127">
        <v>5.6000000000000001E-2</v>
      </c>
      <c r="AR127">
        <v>-0.41799999999999998</v>
      </c>
      <c r="AS127">
        <v>0.17899999999999999</v>
      </c>
      <c r="AT127">
        <v>0.252</v>
      </c>
      <c r="AU127">
        <v>-0.52500000000000002</v>
      </c>
      <c r="AV127">
        <v>0.72799999999999998</v>
      </c>
      <c r="AW127">
        <v>-0.11</v>
      </c>
      <c r="AX127">
        <v>0.17</v>
      </c>
      <c r="AY127">
        <v>0.61399999999999999</v>
      </c>
      <c r="AZ127">
        <v>0.53700000000000003</v>
      </c>
      <c r="BA127">
        <v>0.94099999999999995</v>
      </c>
      <c r="BB127">
        <v>0.51800000000000002</v>
      </c>
      <c r="BC127">
        <v>0.218</v>
      </c>
      <c r="BD127">
        <v>0.189</v>
      </c>
      <c r="BE127">
        <v>0.26200000000000001</v>
      </c>
      <c r="BF127">
        <v>0.22700000000000001</v>
      </c>
      <c r="BG127">
        <v>0.157</v>
      </c>
      <c r="BH127">
        <v>0.38200000000000001</v>
      </c>
      <c r="BI127">
        <v>0.48599999999999999</v>
      </c>
      <c r="BJ127">
        <v>-0.34699999999999998</v>
      </c>
      <c r="BK127">
        <v>-1.7000000000000001E-2</v>
      </c>
      <c r="BL127">
        <v>-9.5000000000000001E-2</v>
      </c>
      <c r="BM127">
        <v>-1</v>
      </c>
    </row>
    <row r="128" spans="1:65" x14ac:dyDescent="0.3">
      <c r="A128" t="s">
        <v>257</v>
      </c>
      <c r="B128">
        <v>0</v>
      </c>
      <c r="C128">
        <v>0</v>
      </c>
      <c r="M128" t="s">
        <v>209</v>
      </c>
      <c r="N128">
        <v>0.61899999999999999</v>
      </c>
      <c r="O128">
        <v>0.83599999999999997</v>
      </c>
      <c r="P128" t="s">
        <v>55</v>
      </c>
      <c r="Q128">
        <v>0</v>
      </c>
      <c r="R128">
        <v>0</v>
      </c>
      <c r="S128">
        <v>80</v>
      </c>
      <c r="T128">
        <v>-0.69599999999999995</v>
      </c>
      <c r="U128">
        <v>-0.72499999999999998</v>
      </c>
      <c r="V128">
        <v>-0.92600000000000005</v>
      </c>
      <c r="W128">
        <v>-0.754</v>
      </c>
      <c r="X128">
        <v>-0.88400000000000001</v>
      </c>
      <c r="Y128">
        <v>-0.42699999999999999</v>
      </c>
      <c r="Z128">
        <v>-0.20499999999999999</v>
      </c>
      <c r="AA128">
        <v>-0.73599999999999999</v>
      </c>
      <c r="AB128">
        <v>9.4E-2</v>
      </c>
      <c r="AC128">
        <v>9.9000000000000005E-2</v>
      </c>
      <c r="AD128">
        <v>0.77900000000000003</v>
      </c>
      <c r="AE128">
        <v>0.81399999999999995</v>
      </c>
      <c r="AF128">
        <v>0.56499999999999995</v>
      </c>
      <c r="AG128">
        <v>-1</v>
      </c>
      <c r="AH128">
        <v>-0.48799999999999999</v>
      </c>
      <c r="AI128">
        <v>-0.42599999999999999</v>
      </c>
      <c r="AJ128">
        <v>-1</v>
      </c>
      <c r="AK128">
        <v>-0.89400000000000002</v>
      </c>
      <c r="AL128">
        <v>-0.89600000000000002</v>
      </c>
      <c r="AM128">
        <v>-0.378</v>
      </c>
      <c r="AN128">
        <v>-0.746</v>
      </c>
      <c r="AO128">
        <v>-0.55300000000000005</v>
      </c>
      <c r="AP128">
        <v>-0.34100000000000003</v>
      </c>
      <c r="AQ128">
        <v>0.161</v>
      </c>
      <c r="AR128">
        <v>0.39800000000000002</v>
      </c>
      <c r="AS128">
        <v>0.24</v>
      </c>
      <c r="AT128">
        <v>0.82699999999999996</v>
      </c>
      <c r="AU128">
        <v>0.40500000000000003</v>
      </c>
      <c r="AV128">
        <v>-0.214</v>
      </c>
      <c r="AW128">
        <v>2E-3</v>
      </c>
      <c r="AX128">
        <v>-0.59099999999999997</v>
      </c>
      <c r="AY128">
        <v>0.52</v>
      </c>
      <c r="AZ128">
        <v>-0.58199999999999996</v>
      </c>
      <c r="BA128">
        <v>0.77900000000000003</v>
      </c>
      <c r="BB128">
        <v>0.502</v>
      </c>
      <c r="BC128">
        <v>0.79100000000000004</v>
      </c>
      <c r="BD128">
        <v>1.4999999999999999E-2</v>
      </c>
      <c r="BE128">
        <v>3.9E-2</v>
      </c>
      <c r="BF128">
        <v>0.49299999999999999</v>
      </c>
      <c r="BG128">
        <v>0.27300000000000002</v>
      </c>
      <c r="BH128">
        <v>0.14199999999999999</v>
      </c>
      <c r="BI128">
        <v>0.68300000000000005</v>
      </c>
      <c r="BJ128">
        <v>-0.625</v>
      </c>
      <c r="BK128">
        <v>0.154</v>
      </c>
      <c r="BL128">
        <v>0.17</v>
      </c>
      <c r="BM128">
        <v>-1</v>
      </c>
    </row>
    <row r="129" spans="1:65" x14ac:dyDescent="0.3">
      <c r="A129" t="s">
        <v>235</v>
      </c>
      <c r="B129">
        <v>0</v>
      </c>
      <c r="C129">
        <v>0</v>
      </c>
      <c r="M129" t="s">
        <v>190</v>
      </c>
      <c r="N129">
        <v>0.61899999999999999</v>
      </c>
      <c r="O129">
        <v>0.435</v>
      </c>
      <c r="P129" t="s">
        <v>68</v>
      </c>
      <c r="Q129">
        <v>0</v>
      </c>
      <c r="R129">
        <v>-2E-3</v>
      </c>
      <c r="S129">
        <v>80</v>
      </c>
      <c r="T129">
        <v>-0.55100000000000005</v>
      </c>
      <c r="U129">
        <v>-0.372</v>
      </c>
      <c r="V129">
        <v>-0.21099999999999999</v>
      </c>
      <c r="W129">
        <v>-0.77200000000000002</v>
      </c>
      <c r="X129">
        <v>-0.50900000000000001</v>
      </c>
      <c r="Y129">
        <v>-0.67200000000000004</v>
      </c>
      <c r="Z129">
        <v>-0.61599999999999999</v>
      </c>
      <c r="AA129">
        <v>-0.53</v>
      </c>
      <c r="AB129">
        <v>-9.4E-2</v>
      </c>
      <c r="AC129">
        <v>-0.1</v>
      </c>
      <c r="AD129">
        <v>0.35</v>
      </c>
      <c r="AE129">
        <v>-7.2999999999999995E-2</v>
      </c>
      <c r="AF129">
        <v>0.499</v>
      </c>
      <c r="AG129">
        <v>-0.69499999999999995</v>
      </c>
      <c r="AH129">
        <v>-0.29299999999999998</v>
      </c>
      <c r="AI129">
        <v>-0.42699999999999999</v>
      </c>
      <c r="AJ129">
        <v>0.19500000000000001</v>
      </c>
      <c r="AK129">
        <v>0.60599999999999998</v>
      </c>
      <c r="AL129">
        <v>-0.69299999999999995</v>
      </c>
      <c r="AM129">
        <v>-0.44</v>
      </c>
      <c r="AN129">
        <v>0.252</v>
      </c>
      <c r="AO129">
        <v>-0.24199999999999999</v>
      </c>
      <c r="AP129">
        <v>0.58299999999999996</v>
      </c>
      <c r="AQ129">
        <v>-0.107</v>
      </c>
      <c r="AR129">
        <v>-0.13</v>
      </c>
      <c r="AS129">
        <v>-0.23200000000000001</v>
      </c>
      <c r="AT129">
        <v>0.21</v>
      </c>
      <c r="AU129">
        <v>-0.2</v>
      </c>
      <c r="AV129">
        <v>-0.23799999999999999</v>
      </c>
      <c r="AW129">
        <v>-0.215</v>
      </c>
      <c r="AX129">
        <v>-0.63100000000000001</v>
      </c>
      <c r="AY129">
        <v>-0.70699999999999996</v>
      </c>
      <c r="AZ129">
        <v>-0.193</v>
      </c>
      <c r="BA129">
        <v>0.37</v>
      </c>
      <c r="BB129">
        <v>-7.6999999999999999E-2</v>
      </c>
      <c r="BC129">
        <v>-0.2</v>
      </c>
      <c r="BD129">
        <v>-0.47399999999999998</v>
      </c>
      <c r="BE129">
        <v>-0.76800000000000002</v>
      </c>
      <c r="BF129">
        <v>0.104</v>
      </c>
      <c r="BG129">
        <v>1</v>
      </c>
      <c r="BH129">
        <v>0.53400000000000003</v>
      </c>
      <c r="BI129">
        <v>0.33600000000000002</v>
      </c>
      <c r="BJ129">
        <v>0.501</v>
      </c>
      <c r="BK129">
        <v>1</v>
      </c>
      <c r="BL129">
        <v>0.61799999999999999</v>
      </c>
      <c r="BM129">
        <v>0.51</v>
      </c>
    </row>
    <row r="130" spans="1:65" x14ac:dyDescent="0.3">
      <c r="A130" t="s">
        <v>197</v>
      </c>
      <c r="B130">
        <v>0</v>
      </c>
      <c r="C130">
        <v>0</v>
      </c>
      <c r="M130" t="s">
        <v>232</v>
      </c>
      <c r="N130">
        <v>0.61799999999999999</v>
      </c>
      <c r="O130">
        <v>0.52800000000000002</v>
      </c>
      <c r="P130" t="s">
        <v>57</v>
      </c>
      <c r="Q130">
        <v>0</v>
      </c>
      <c r="R130">
        <v>-6.0000000000000001E-3</v>
      </c>
      <c r="S130">
        <v>77</v>
      </c>
      <c r="T130">
        <v>-0.54</v>
      </c>
      <c r="U130">
        <v>-0.64500000000000002</v>
      </c>
      <c r="V130">
        <v>-0.313</v>
      </c>
      <c r="W130">
        <v>-0.37</v>
      </c>
      <c r="X130">
        <v>-0.34200000000000003</v>
      </c>
      <c r="Y130">
        <v>-0.51200000000000001</v>
      </c>
      <c r="Z130">
        <v>-0.503</v>
      </c>
      <c r="AA130">
        <v>-0.61899999999999999</v>
      </c>
      <c r="AB130">
        <v>-5.3999999999999999E-2</v>
      </c>
      <c r="AC130">
        <v>-5.5E-2</v>
      </c>
      <c r="AD130">
        <v>0.64200000000000002</v>
      </c>
      <c r="AE130">
        <v>0.55700000000000005</v>
      </c>
      <c r="AF130">
        <v>0.219</v>
      </c>
      <c r="AG130">
        <v>0.94599999999999995</v>
      </c>
      <c r="AH130">
        <v>0.30599999999999999</v>
      </c>
      <c r="AI130">
        <v>-0.68100000000000005</v>
      </c>
      <c r="AJ130">
        <v>0.13200000000000001</v>
      </c>
      <c r="AK130">
        <v>-0.78400000000000003</v>
      </c>
      <c r="AL130">
        <v>-0.191</v>
      </c>
      <c r="AM130">
        <v>0.34599999999999997</v>
      </c>
      <c r="AN130">
        <v>3.3000000000000002E-2</v>
      </c>
      <c r="AO130">
        <v>0.378</v>
      </c>
      <c r="AP130">
        <v>1</v>
      </c>
      <c r="AQ130">
        <v>-0.88500000000000001</v>
      </c>
      <c r="AR130">
        <v>-0.41799999999999998</v>
      </c>
      <c r="AS130">
        <v>1.7999999999999999E-2</v>
      </c>
      <c r="AT130">
        <v>-0.42599999999999999</v>
      </c>
      <c r="AU130">
        <v>-0.75900000000000001</v>
      </c>
      <c r="AV130">
        <v>5.7000000000000002E-2</v>
      </c>
      <c r="AW130">
        <v>-0.26100000000000001</v>
      </c>
      <c r="AX130">
        <v>0.29199999999999998</v>
      </c>
      <c r="AY130">
        <v>-0.20699999999999999</v>
      </c>
      <c r="AZ130">
        <v>-0.2</v>
      </c>
      <c r="BA130">
        <v>0.79200000000000004</v>
      </c>
      <c r="BB130">
        <v>0.499</v>
      </c>
      <c r="BC130">
        <v>-0.60099999999999998</v>
      </c>
      <c r="BD130">
        <v>-0.51700000000000002</v>
      </c>
      <c r="BE130">
        <v>-0.17699999999999999</v>
      </c>
      <c r="BF130">
        <v>-0.10299999999999999</v>
      </c>
      <c r="BG130">
        <v>-0.04</v>
      </c>
      <c r="BH130">
        <v>0.749</v>
      </c>
      <c r="BI130">
        <v>0.19800000000000001</v>
      </c>
      <c r="BJ130">
        <v>0.57099999999999995</v>
      </c>
      <c r="BK130">
        <v>-0.32800000000000001</v>
      </c>
      <c r="BL130">
        <v>-0.76800000000000002</v>
      </c>
      <c r="BM130">
        <v>0.27100000000000002</v>
      </c>
    </row>
    <row r="131" spans="1:65" x14ac:dyDescent="0.3">
      <c r="A131" t="s">
        <v>176</v>
      </c>
      <c r="B131">
        <v>0</v>
      </c>
      <c r="C131">
        <v>0</v>
      </c>
      <c r="M131" t="s">
        <v>177</v>
      </c>
      <c r="N131">
        <v>0.61699999999999999</v>
      </c>
      <c r="O131">
        <v>0.77300000000000002</v>
      </c>
      <c r="P131" t="s">
        <v>71</v>
      </c>
      <c r="Q131">
        <v>0</v>
      </c>
      <c r="R131">
        <v>0</v>
      </c>
      <c r="S131">
        <v>80</v>
      </c>
      <c r="T131">
        <v>-0.90200000000000002</v>
      </c>
      <c r="U131">
        <v>-0.88700000000000001</v>
      </c>
      <c r="V131">
        <v>-0.91</v>
      </c>
      <c r="W131">
        <v>-0.85799999999999998</v>
      </c>
      <c r="X131">
        <v>-0.89400000000000002</v>
      </c>
      <c r="Y131">
        <v>-0.56299999999999994</v>
      </c>
      <c r="Z131">
        <v>-0.223</v>
      </c>
      <c r="AA131">
        <v>-0.66300000000000003</v>
      </c>
      <c r="AB131">
        <v>0.58599999999999997</v>
      </c>
      <c r="AC131">
        <v>0.58099999999999996</v>
      </c>
      <c r="AD131">
        <v>0.58199999999999996</v>
      </c>
      <c r="AE131">
        <v>0.69799999999999995</v>
      </c>
      <c r="AF131">
        <v>0.56000000000000005</v>
      </c>
      <c r="AG131">
        <v>-0.78400000000000003</v>
      </c>
      <c r="AH131">
        <v>-0.97599999999999998</v>
      </c>
      <c r="AI131">
        <v>-0.68899999999999995</v>
      </c>
      <c r="AJ131">
        <v>-0.80400000000000005</v>
      </c>
      <c r="AK131">
        <v>-0.84099999999999997</v>
      </c>
      <c r="AL131">
        <v>-0.98599999999999999</v>
      </c>
      <c r="AM131">
        <v>5.8999999999999997E-2</v>
      </c>
      <c r="AN131">
        <v>-1.6E-2</v>
      </c>
      <c r="AO131">
        <v>-0.41799999999999998</v>
      </c>
      <c r="AP131">
        <v>-0.185</v>
      </c>
      <c r="AQ131">
        <v>2.9000000000000001E-2</v>
      </c>
      <c r="AR131">
        <v>-0.63400000000000001</v>
      </c>
      <c r="AS131">
        <v>-0.82299999999999995</v>
      </c>
      <c r="AT131">
        <v>-0.45500000000000002</v>
      </c>
      <c r="AU131">
        <v>-0.40300000000000002</v>
      </c>
      <c r="AV131">
        <v>-0.108</v>
      </c>
      <c r="AW131">
        <v>-0.187</v>
      </c>
      <c r="AX131">
        <v>-0.56799999999999995</v>
      </c>
      <c r="AY131">
        <v>0.99199999999999999</v>
      </c>
      <c r="AZ131">
        <v>-0.373</v>
      </c>
      <c r="BA131">
        <v>0.627</v>
      </c>
      <c r="BB131">
        <v>-0.50900000000000001</v>
      </c>
      <c r="BC131">
        <v>0.16200000000000001</v>
      </c>
      <c r="BD131">
        <v>6.0999999999999999E-2</v>
      </c>
      <c r="BE131">
        <v>6.9000000000000006E-2</v>
      </c>
      <c r="BF131">
        <v>0.31900000000000001</v>
      </c>
      <c r="BG131">
        <v>8.9999999999999993E-3</v>
      </c>
      <c r="BH131">
        <v>0.251</v>
      </c>
      <c r="BI131">
        <v>1</v>
      </c>
      <c r="BJ131">
        <v>-0.161</v>
      </c>
      <c r="BK131">
        <v>-0.60299999999999998</v>
      </c>
      <c r="BL131">
        <v>0.85899999999999999</v>
      </c>
      <c r="BM131">
        <v>-0.26700000000000002</v>
      </c>
    </row>
    <row r="132" spans="1:65" x14ac:dyDescent="0.3">
      <c r="A132" t="s">
        <v>86</v>
      </c>
      <c r="B132">
        <v>1.4370628746769599E-2</v>
      </c>
      <c r="C132">
        <v>9.0573424251795195E-3</v>
      </c>
      <c r="M132" t="s">
        <v>159</v>
      </c>
      <c r="N132">
        <v>0.61699999999999999</v>
      </c>
      <c r="O132">
        <v>0.78500000000000003</v>
      </c>
      <c r="P132" t="s">
        <v>71</v>
      </c>
      <c r="Q132">
        <v>0</v>
      </c>
      <c r="R132">
        <v>0</v>
      </c>
      <c r="S132">
        <v>80</v>
      </c>
      <c r="T132">
        <v>-0.88900000000000001</v>
      </c>
      <c r="U132">
        <v>-0.873</v>
      </c>
      <c r="V132">
        <v>-0.92200000000000004</v>
      </c>
      <c r="W132">
        <v>-0.85</v>
      </c>
      <c r="X132">
        <v>-0.89300000000000002</v>
      </c>
      <c r="Y132">
        <v>-0.53400000000000003</v>
      </c>
      <c r="Z132">
        <v>-0.21099999999999999</v>
      </c>
      <c r="AA132">
        <v>-0.63500000000000001</v>
      </c>
      <c r="AB132">
        <v>0.48499999999999999</v>
      </c>
      <c r="AC132">
        <v>0.48</v>
      </c>
      <c r="AD132">
        <v>0.56399999999999995</v>
      </c>
      <c r="AE132">
        <v>0.69499999999999995</v>
      </c>
      <c r="AF132">
        <v>0.55800000000000005</v>
      </c>
      <c r="AG132">
        <v>-0.78300000000000003</v>
      </c>
      <c r="AH132">
        <v>-0.97599999999999998</v>
      </c>
      <c r="AI132">
        <v>-0.64200000000000002</v>
      </c>
      <c r="AJ132">
        <v>-0.80400000000000005</v>
      </c>
      <c r="AK132">
        <v>-0.80800000000000005</v>
      </c>
      <c r="AL132">
        <v>-0.98599999999999999</v>
      </c>
      <c r="AM132">
        <v>5.8999999999999997E-2</v>
      </c>
      <c r="AN132">
        <v>3.0000000000000001E-3</v>
      </c>
      <c r="AO132">
        <v>-0.41799999999999998</v>
      </c>
      <c r="AP132">
        <v>-0.187</v>
      </c>
      <c r="AQ132">
        <v>5.7000000000000002E-2</v>
      </c>
      <c r="AR132">
        <v>-0.59299999999999997</v>
      </c>
      <c r="AS132">
        <v>-0.82299999999999995</v>
      </c>
      <c r="AT132">
        <v>-0.45500000000000002</v>
      </c>
      <c r="AU132">
        <v>-0.40300000000000002</v>
      </c>
      <c r="AV132">
        <v>-0.108</v>
      </c>
      <c r="AW132">
        <v>-0.187</v>
      </c>
      <c r="AX132">
        <v>-0.56799999999999995</v>
      </c>
      <c r="AY132">
        <v>0.97199999999999998</v>
      </c>
      <c r="AZ132">
        <v>-0.373</v>
      </c>
      <c r="BA132">
        <v>0.627</v>
      </c>
      <c r="BB132">
        <v>-0.437</v>
      </c>
      <c r="BC132">
        <v>0.65200000000000002</v>
      </c>
      <c r="BD132">
        <v>6.0999999999999999E-2</v>
      </c>
      <c r="BE132">
        <v>6.9000000000000006E-2</v>
      </c>
      <c r="BF132">
        <v>0.33</v>
      </c>
      <c r="BG132">
        <v>0.04</v>
      </c>
      <c r="BH132">
        <v>0.47199999999999998</v>
      </c>
      <c r="BI132">
        <v>0.93100000000000005</v>
      </c>
      <c r="BJ132">
        <v>-0.19600000000000001</v>
      </c>
      <c r="BK132">
        <v>-0.57599999999999996</v>
      </c>
      <c r="BL132">
        <v>0.56499999999999995</v>
      </c>
      <c r="BM132">
        <v>-0.26700000000000002</v>
      </c>
    </row>
    <row r="133" spans="1:65" x14ac:dyDescent="0.3">
      <c r="A133" t="s">
        <v>250</v>
      </c>
      <c r="B133">
        <v>0</v>
      </c>
      <c r="C133">
        <v>0</v>
      </c>
      <c r="M133" t="s">
        <v>158</v>
      </c>
      <c r="N133">
        <v>0.61699999999999999</v>
      </c>
      <c r="O133">
        <v>1.1339999999999999</v>
      </c>
      <c r="P133" t="s">
        <v>71</v>
      </c>
      <c r="Q133">
        <v>0</v>
      </c>
      <c r="R133">
        <v>-1.0999999999999999E-2</v>
      </c>
      <c r="S133">
        <v>68</v>
      </c>
      <c r="T133">
        <v>-0.89900000000000002</v>
      </c>
      <c r="U133">
        <v>-0.75800000000000001</v>
      </c>
      <c r="V133">
        <v>-0.96199999999999997</v>
      </c>
      <c r="W133">
        <v>-0.81299999999999994</v>
      </c>
      <c r="X133">
        <v>-0.85399999999999998</v>
      </c>
      <c r="Y133">
        <v>-0.65400000000000003</v>
      </c>
      <c r="Z133">
        <v>-0.52300000000000002</v>
      </c>
      <c r="AA133">
        <v>-0.54500000000000004</v>
      </c>
      <c r="AB133">
        <v>0.45200000000000001</v>
      </c>
      <c r="AC133">
        <v>0.44900000000000001</v>
      </c>
      <c r="AD133">
        <v>0.51700000000000002</v>
      </c>
      <c r="AE133">
        <v>0.61099999999999999</v>
      </c>
      <c r="AF133">
        <v>0.63</v>
      </c>
      <c r="AG133">
        <v>-0.90300000000000002</v>
      </c>
      <c r="AH133">
        <v>-1</v>
      </c>
      <c r="AI133">
        <v>2.4E-2</v>
      </c>
      <c r="AJ133">
        <v>-0.80100000000000005</v>
      </c>
      <c r="AK133">
        <v>9.5000000000000001E-2</v>
      </c>
      <c r="AL133">
        <v>-0.88700000000000001</v>
      </c>
      <c r="AM133">
        <v>-0.3</v>
      </c>
      <c r="AN133">
        <v>-0.30299999999999999</v>
      </c>
      <c r="AO133">
        <v>-0.57099999999999995</v>
      </c>
      <c r="AP133">
        <v>-0.38500000000000001</v>
      </c>
      <c r="AQ133">
        <v>0.41</v>
      </c>
      <c r="AR133">
        <v>0.872</v>
      </c>
      <c r="AS133">
        <v>-0.39600000000000002</v>
      </c>
      <c r="AT133">
        <v>-0.30299999999999999</v>
      </c>
      <c r="AU133">
        <v>-0.42899999999999999</v>
      </c>
      <c r="AV133">
        <v>-5.8000000000000003E-2</v>
      </c>
      <c r="AW133">
        <v>-0.50800000000000001</v>
      </c>
      <c r="AX133">
        <v>-0.47199999999999998</v>
      </c>
      <c r="AY133">
        <v>1</v>
      </c>
      <c r="AZ133">
        <v>-0.36</v>
      </c>
      <c r="BA133">
        <v>0.36</v>
      </c>
      <c r="BB133">
        <v>-0.92</v>
      </c>
      <c r="BC133">
        <v>-0.38400000000000001</v>
      </c>
      <c r="BD133">
        <v>-0.32400000000000001</v>
      </c>
      <c r="BE133">
        <v>-0.70299999999999996</v>
      </c>
      <c r="BF133">
        <v>0.222</v>
      </c>
      <c r="BG133">
        <v>-0.23</v>
      </c>
      <c r="BH133">
        <v>0.96699999999999997</v>
      </c>
      <c r="BI133">
        <v>0.81699999999999995</v>
      </c>
      <c r="BJ133">
        <v>-0.19600000000000001</v>
      </c>
      <c r="BK133">
        <v>-0.57299999999999995</v>
      </c>
      <c r="BL133">
        <v>4.5999999999999999E-2</v>
      </c>
      <c r="BM133">
        <v>-8.7999999999999995E-2</v>
      </c>
    </row>
    <row r="134" spans="1:65" x14ac:dyDescent="0.3">
      <c r="A134" t="s">
        <v>81</v>
      </c>
      <c r="B134">
        <v>8.3614714845337609E-3</v>
      </c>
      <c r="C134">
        <v>0</v>
      </c>
      <c r="M134" t="s">
        <v>162</v>
      </c>
      <c r="N134">
        <v>0.61599999999999999</v>
      </c>
      <c r="O134">
        <v>0.76200000000000001</v>
      </c>
      <c r="P134" t="s">
        <v>57</v>
      </c>
      <c r="Q134">
        <v>0</v>
      </c>
      <c r="R134">
        <v>0</v>
      </c>
      <c r="S134">
        <v>80</v>
      </c>
      <c r="T134">
        <v>-0.78</v>
      </c>
      <c r="U134">
        <v>-0.86799999999999999</v>
      </c>
      <c r="V134">
        <v>-0.77900000000000003</v>
      </c>
      <c r="W134">
        <v>-0.77100000000000002</v>
      </c>
      <c r="X134">
        <v>-0.83599999999999997</v>
      </c>
      <c r="Y134">
        <v>-0.56799999999999995</v>
      </c>
      <c r="Z134">
        <v>-0.23499999999999999</v>
      </c>
      <c r="AA134">
        <v>-0.77300000000000002</v>
      </c>
      <c r="AB134">
        <v>0.5</v>
      </c>
      <c r="AC134">
        <v>0.495</v>
      </c>
      <c r="AD134">
        <v>0.66200000000000003</v>
      </c>
      <c r="AE134">
        <v>0.60699999999999998</v>
      </c>
      <c r="AF134">
        <v>0.56699999999999995</v>
      </c>
      <c r="AG134">
        <v>-0.71599999999999997</v>
      </c>
      <c r="AH134">
        <v>0.186</v>
      </c>
      <c r="AI134">
        <v>-0.75700000000000001</v>
      </c>
      <c r="AJ134">
        <v>-0.86799999999999999</v>
      </c>
      <c r="AK134">
        <v>-1</v>
      </c>
      <c r="AL134">
        <v>-0.998</v>
      </c>
      <c r="AM134">
        <v>-0.247</v>
      </c>
      <c r="AN134">
        <v>-2E-3</v>
      </c>
      <c r="AO134">
        <v>8.1000000000000003E-2</v>
      </c>
      <c r="AP134">
        <v>0.22600000000000001</v>
      </c>
      <c r="AQ134">
        <v>-0.53400000000000003</v>
      </c>
      <c r="AR134">
        <v>-0.46600000000000003</v>
      </c>
      <c r="AS134">
        <v>9.6000000000000002E-2</v>
      </c>
      <c r="AT134">
        <v>0.255</v>
      </c>
      <c r="AU134">
        <v>0.245</v>
      </c>
      <c r="AV134">
        <v>-0.17899999999999999</v>
      </c>
      <c r="AW134">
        <v>-0.35499999999999998</v>
      </c>
      <c r="AX134">
        <v>-0.72399999999999998</v>
      </c>
      <c r="AY134">
        <v>0.434</v>
      </c>
      <c r="AZ134">
        <v>-0.438</v>
      </c>
      <c r="BA134">
        <v>5.7000000000000002E-2</v>
      </c>
      <c r="BB134">
        <v>-0.6</v>
      </c>
      <c r="BC134">
        <v>0.27600000000000002</v>
      </c>
      <c r="BD134">
        <v>-0.108</v>
      </c>
      <c r="BE134">
        <v>-0.26900000000000002</v>
      </c>
      <c r="BF134">
        <v>0.23699999999999999</v>
      </c>
      <c r="BG134">
        <v>-0.11</v>
      </c>
      <c r="BH134">
        <v>0.29699999999999999</v>
      </c>
      <c r="BI134">
        <v>0.97299999999999998</v>
      </c>
      <c r="BJ134">
        <v>-0.16800000000000001</v>
      </c>
      <c r="BK134">
        <v>-0.14599999999999999</v>
      </c>
      <c r="BL134">
        <v>1</v>
      </c>
      <c r="BM134">
        <v>-0.57699999999999996</v>
      </c>
    </row>
    <row r="135" spans="1:65" x14ac:dyDescent="0.3">
      <c r="A135" t="s">
        <v>251</v>
      </c>
      <c r="B135">
        <v>0</v>
      </c>
      <c r="C135">
        <v>0</v>
      </c>
      <c r="M135" t="s">
        <v>253</v>
      </c>
      <c r="N135">
        <v>0.61099999999999999</v>
      </c>
      <c r="O135">
        <v>0.50700000000000001</v>
      </c>
      <c r="P135" t="s">
        <v>68</v>
      </c>
      <c r="Q135">
        <v>0</v>
      </c>
      <c r="R135">
        <v>-3.0000000000000001E-3</v>
      </c>
      <c r="S135">
        <v>80</v>
      </c>
      <c r="T135">
        <v>-0.52400000000000002</v>
      </c>
      <c r="U135">
        <v>-0.433</v>
      </c>
      <c r="V135">
        <v>-8.6999999999999994E-2</v>
      </c>
      <c r="W135">
        <v>-0.72899999999999998</v>
      </c>
      <c r="X135">
        <v>-0.47599999999999998</v>
      </c>
      <c r="Y135">
        <v>-0.69099999999999995</v>
      </c>
      <c r="Z135">
        <v>-0.68400000000000005</v>
      </c>
      <c r="AA135">
        <v>-0.86899999999999999</v>
      </c>
      <c r="AB135">
        <v>0.26400000000000001</v>
      </c>
      <c r="AC135">
        <v>0.26300000000000001</v>
      </c>
      <c r="AD135">
        <v>0.53900000000000003</v>
      </c>
      <c r="AE135">
        <v>0.54</v>
      </c>
      <c r="AF135">
        <v>0.42099999999999999</v>
      </c>
      <c r="AG135">
        <v>-0.41599999999999998</v>
      </c>
      <c r="AH135">
        <v>-2.9000000000000001E-2</v>
      </c>
      <c r="AI135">
        <v>-0.34</v>
      </c>
      <c r="AJ135">
        <v>1</v>
      </c>
      <c r="AK135">
        <v>-0.60099999999999998</v>
      </c>
      <c r="AL135">
        <v>-0.66300000000000003</v>
      </c>
      <c r="AM135">
        <v>0.85099999999999998</v>
      </c>
      <c r="AN135">
        <v>-0.63500000000000001</v>
      </c>
      <c r="AO135">
        <v>0.63</v>
      </c>
      <c r="AP135">
        <v>-0.309</v>
      </c>
      <c r="AQ135">
        <v>-0.71899999999999997</v>
      </c>
      <c r="AR135">
        <v>-0.53400000000000003</v>
      </c>
      <c r="AS135">
        <v>-0.187</v>
      </c>
      <c r="AT135">
        <v>-0.23499999999999999</v>
      </c>
      <c r="AU135">
        <v>-0.436</v>
      </c>
      <c r="AV135">
        <v>3.2000000000000001E-2</v>
      </c>
      <c r="AW135">
        <v>-0.47099999999999997</v>
      </c>
      <c r="AX135">
        <v>-0.51100000000000001</v>
      </c>
      <c r="AY135">
        <v>-1.9E-2</v>
      </c>
      <c r="AZ135">
        <v>-0.20100000000000001</v>
      </c>
      <c r="BA135">
        <v>0.56899999999999995</v>
      </c>
      <c r="BB135">
        <v>6.5000000000000002E-2</v>
      </c>
      <c r="BC135">
        <v>-0.52600000000000002</v>
      </c>
      <c r="BD135">
        <v>8.1000000000000003E-2</v>
      </c>
      <c r="BE135">
        <v>0.27800000000000002</v>
      </c>
      <c r="BF135">
        <v>0.01</v>
      </c>
      <c r="BG135">
        <v>-0.13100000000000001</v>
      </c>
      <c r="BH135">
        <v>-7.0000000000000001E-3</v>
      </c>
      <c r="BI135">
        <v>0.57699999999999996</v>
      </c>
      <c r="BJ135">
        <v>0.31</v>
      </c>
      <c r="BK135">
        <v>0.67600000000000005</v>
      </c>
      <c r="BL135">
        <v>0.496</v>
      </c>
      <c r="BM135">
        <v>0.38400000000000001</v>
      </c>
    </row>
    <row r="136" spans="1:65" x14ac:dyDescent="0.3">
      <c r="A136" t="s">
        <v>245</v>
      </c>
      <c r="B136">
        <v>0</v>
      </c>
      <c r="C136">
        <v>0</v>
      </c>
      <c r="M136" t="s">
        <v>161</v>
      </c>
      <c r="N136">
        <v>0.60799999999999998</v>
      </c>
      <c r="O136">
        <v>0.72199999999999998</v>
      </c>
      <c r="P136" t="s">
        <v>57</v>
      </c>
      <c r="Q136">
        <v>0</v>
      </c>
      <c r="R136">
        <v>0</v>
      </c>
      <c r="S136">
        <v>80</v>
      </c>
      <c r="T136">
        <v>-0.78700000000000003</v>
      </c>
      <c r="U136">
        <v>-0.87</v>
      </c>
      <c r="V136">
        <v>-0.78</v>
      </c>
      <c r="W136">
        <v>-0.78</v>
      </c>
      <c r="X136">
        <v>-0.84</v>
      </c>
      <c r="Y136">
        <v>-0.61</v>
      </c>
      <c r="Z136">
        <v>-0.38100000000000001</v>
      </c>
      <c r="AA136">
        <v>-0.76800000000000002</v>
      </c>
      <c r="AB136">
        <v>0.46800000000000003</v>
      </c>
      <c r="AC136">
        <v>0.46400000000000002</v>
      </c>
      <c r="AD136">
        <v>0.63400000000000001</v>
      </c>
      <c r="AE136">
        <v>0.67100000000000004</v>
      </c>
      <c r="AF136">
        <v>0.56699999999999995</v>
      </c>
      <c r="AG136">
        <v>-0.73399999999999999</v>
      </c>
      <c r="AH136">
        <v>0.16800000000000001</v>
      </c>
      <c r="AI136">
        <v>-0.7</v>
      </c>
      <c r="AJ136">
        <v>-0.871</v>
      </c>
      <c r="AK136">
        <v>-1</v>
      </c>
      <c r="AL136">
        <v>-1</v>
      </c>
      <c r="AM136">
        <v>-0.22600000000000001</v>
      </c>
      <c r="AN136">
        <v>-1.4999999999999999E-2</v>
      </c>
      <c r="AO136">
        <v>7.9000000000000001E-2</v>
      </c>
      <c r="AP136">
        <v>0.20100000000000001</v>
      </c>
      <c r="AQ136">
        <v>-0.47799999999999998</v>
      </c>
      <c r="AR136">
        <v>-0.499</v>
      </c>
      <c r="AS136">
        <v>9.6000000000000002E-2</v>
      </c>
      <c r="AT136">
        <v>0.255</v>
      </c>
      <c r="AU136">
        <v>0.245</v>
      </c>
      <c r="AV136">
        <v>-0.19900000000000001</v>
      </c>
      <c r="AW136">
        <v>-0.52400000000000002</v>
      </c>
      <c r="AX136">
        <v>-0.74299999999999999</v>
      </c>
      <c r="AY136">
        <v>0.34100000000000003</v>
      </c>
      <c r="AZ136">
        <v>-0.42099999999999999</v>
      </c>
      <c r="BA136">
        <v>5.7000000000000002E-2</v>
      </c>
      <c r="BB136">
        <v>-0.437</v>
      </c>
      <c r="BC136">
        <v>0.19700000000000001</v>
      </c>
      <c r="BD136">
        <v>-0.158</v>
      </c>
      <c r="BE136">
        <v>-0.23</v>
      </c>
      <c r="BF136">
        <v>0.26</v>
      </c>
      <c r="BG136">
        <v>7.4999999999999997E-2</v>
      </c>
      <c r="BH136">
        <v>-0.124</v>
      </c>
      <c r="BI136">
        <v>0.92</v>
      </c>
      <c r="BJ136">
        <v>-0.23</v>
      </c>
      <c r="BK136">
        <v>-1.7999999999999999E-2</v>
      </c>
      <c r="BL136">
        <v>1</v>
      </c>
      <c r="BM136">
        <v>-0.57699999999999996</v>
      </c>
    </row>
    <row r="137" spans="1:65" x14ac:dyDescent="0.3">
      <c r="A137" t="s">
        <v>258</v>
      </c>
      <c r="B137">
        <v>0</v>
      </c>
      <c r="C137">
        <v>0</v>
      </c>
      <c r="M137" t="s">
        <v>236</v>
      </c>
      <c r="N137">
        <v>0.60699999999999998</v>
      </c>
      <c r="O137">
        <v>0.73399999999999999</v>
      </c>
      <c r="P137" t="s">
        <v>68</v>
      </c>
      <c r="Q137">
        <v>0</v>
      </c>
      <c r="R137">
        <v>-5.0000000000000001E-3</v>
      </c>
      <c r="S137">
        <v>80</v>
      </c>
      <c r="T137">
        <v>-0.63400000000000001</v>
      </c>
      <c r="U137">
        <v>-0.41499999999999998</v>
      </c>
      <c r="V137">
        <v>-0.66300000000000003</v>
      </c>
      <c r="W137">
        <v>-0.76200000000000001</v>
      </c>
      <c r="X137">
        <v>-0.71299999999999997</v>
      </c>
      <c r="Y137">
        <v>-0.77300000000000002</v>
      </c>
      <c r="Z137">
        <v>-0.77300000000000002</v>
      </c>
      <c r="AA137">
        <v>-0.77</v>
      </c>
      <c r="AB137">
        <v>0.107</v>
      </c>
      <c r="AC137">
        <v>0.104</v>
      </c>
      <c r="AD137">
        <v>0.64500000000000002</v>
      </c>
      <c r="AE137">
        <v>0.69799999999999995</v>
      </c>
      <c r="AF137">
        <v>0.63400000000000001</v>
      </c>
      <c r="AG137">
        <v>-0.46300000000000002</v>
      </c>
      <c r="AH137">
        <v>-0.74399999999999999</v>
      </c>
      <c r="AI137">
        <v>-0.248</v>
      </c>
      <c r="AJ137">
        <v>-0.48499999999999999</v>
      </c>
      <c r="AK137">
        <v>-0.312</v>
      </c>
      <c r="AL137">
        <v>-0.84199999999999997</v>
      </c>
      <c r="AM137">
        <v>6.8000000000000005E-2</v>
      </c>
      <c r="AN137">
        <v>-0.77900000000000003</v>
      </c>
      <c r="AO137">
        <v>6.9000000000000006E-2</v>
      </c>
      <c r="AP137">
        <v>-0.24</v>
      </c>
      <c r="AQ137">
        <v>1.4999999999999999E-2</v>
      </c>
      <c r="AR137">
        <v>-0.02</v>
      </c>
      <c r="AS137">
        <v>-0.71299999999999997</v>
      </c>
      <c r="AT137">
        <v>0.34599999999999997</v>
      </c>
      <c r="AU137">
        <v>0.30199999999999999</v>
      </c>
      <c r="AV137">
        <v>-0.129</v>
      </c>
      <c r="AW137">
        <v>-0.34399999999999997</v>
      </c>
      <c r="AX137">
        <v>-0.216</v>
      </c>
      <c r="AY137">
        <v>2.4E-2</v>
      </c>
      <c r="AZ137">
        <v>-0.23899999999999999</v>
      </c>
      <c r="BA137">
        <v>0.85299999999999998</v>
      </c>
      <c r="BB137">
        <v>0.14899999999999999</v>
      </c>
      <c r="BC137">
        <v>0.45100000000000001</v>
      </c>
      <c r="BD137">
        <v>-5.0000000000000001E-3</v>
      </c>
      <c r="BE137">
        <v>1.2999999999999999E-2</v>
      </c>
      <c r="BF137">
        <v>0.214</v>
      </c>
      <c r="BG137">
        <v>-0.11899999999999999</v>
      </c>
      <c r="BH137">
        <v>-0.155</v>
      </c>
      <c r="BI137">
        <v>1.4999999999999999E-2</v>
      </c>
      <c r="BJ137">
        <v>0.17399999999999999</v>
      </c>
      <c r="BK137">
        <v>0.76900000000000002</v>
      </c>
      <c r="BL137">
        <v>0.43</v>
      </c>
      <c r="BM137">
        <v>-0.14199999999999999</v>
      </c>
    </row>
    <row r="138" spans="1:65" x14ac:dyDescent="0.3">
      <c r="A138" t="s">
        <v>61</v>
      </c>
      <c r="B138">
        <v>0</v>
      </c>
      <c r="C138">
        <v>0</v>
      </c>
      <c r="M138" t="s">
        <v>149</v>
      </c>
      <c r="N138">
        <v>0.60299999999999998</v>
      </c>
      <c r="O138">
        <v>0.439</v>
      </c>
      <c r="P138" t="s">
        <v>53</v>
      </c>
      <c r="Q138">
        <v>0</v>
      </c>
      <c r="R138">
        <v>-2E-3</v>
      </c>
      <c r="S138">
        <v>80</v>
      </c>
      <c r="T138">
        <v>-0.27500000000000002</v>
      </c>
      <c r="U138">
        <v>0.13600000000000001</v>
      </c>
      <c r="V138">
        <v>-0.14000000000000001</v>
      </c>
      <c r="W138">
        <v>-0.66300000000000003</v>
      </c>
      <c r="X138">
        <v>-0.3</v>
      </c>
      <c r="Y138">
        <v>-0.72199999999999998</v>
      </c>
      <c r="Z138">
        <v>-0.66700000000000004</v>
      </c>
      <c r="AA138">
        <v>-0.876</v>
      </c>
      <c r="AB138">
        <v>-0.26100000000000001</v>
      </c>
      <c r="AC138">
        <v>-0.25800000000000001</v>
      </c>
      <c r="AD138">
        <v>0.26700000000000002</v>
      </c>
      <c r="AE138">
        <v>0.129</v>
      </c>
      <c r="AF138">
        <v>0.38800000000000001</v>
      </c>
      <c r="AG138">
        <v>-0.39300000000000002</v>
      </c>
      <c r="AH138">
        <v>-0.28899999999999998</v>
      </c>
      <c r="AI138">
        <v>-0.154</v>
      </c>
      <c r="AJ138">
        <v>0.70799999999999996</v>
      </c>
      <c r="AK138">
        <v>0.186</v>
      </c>
      <c r="AL138">
        <v>-0.23899999999999999</v>
      </c>
      <c r="AM138">
        <v>0.11600000000000001</v>
      </c>
      <c r="AN138">
        <v>-0.96199999999999997</v>
      </c>
      <c r="AO138">
        <v>0.34899999999999998</v>
      </c>
      <c r="AP138">
        <v>-0.23100000000000001</v>
      </c>
      <c r="AQ138">
        <v>-0.46400000000000002</v>
      </c>
      <c r="AR138">
        <v>-0.17799999999999999</v>
      </c>
      <c r="AS138">
        <v>-0.15</v>
      </c>
      <c r="AT138">
        <v>0.47399999999999998</v>
      </c>
      <c r="AU138">
        <v>0.438</v>
      </c>
      <c r="AV138">
        <v>-1E-3</v>
      </c>
      <c r="AW138">
        <v>0.32700000000000001</v>
      </c>
      <c r="AX138">
        <v>-0.152</v>
      </c>
      <c r="AY138">
        <v>-0.70399999999999996</v>
      </c>
      <c r="AZ138">
        <v>-0.128</v>
      </c>
      <c r="BA138">
        <v>0.49</v>
      </c>
      <c r="BB138">
        <v>-1</v>
      </c>
      <c r="BC138">
        <v>0.20899999999999999</v>
      </c>
      <c r="BD138">
        <v>0.22</v>
      </c>
      <c r="BE138">
        <v>0.248</v>
      </c>
      <c r="BF138">
        <v>0.34799999999999998</v>
      </c>
      <c r="BG138">
        <v>0.16800000000000001</v>
      </c>
      <c r="BH138">
        <v>-4.2999999999999997E-2</v>
      </c>
      <c r="BI138">
        <v>9.6000000000000002E-2</v>
      </c>
      <c r="BJ138">
        <v>0.91200000000000003</v>
      </c>
      <c r="BK138">
        <v>0.57899999999999996</v>
      </c>
      <c r="BL138">
        <v>-0.192</v>
      </c>
      <c r="BM138">
        <v>0.93</v>
      </c>
    </row>
    <row r="139" spans="1:65" x14ac:dyDescent="0.3">
      <c r="A139" t="s">
        <v>212</v>
      </c>
      <c r="B139">
        <v>0</v>
      </c>
      <c r="C139">
        <v>0</v>
      </c>
      <c r="M139" t="s">
        <v>172</v>
      </c>
      <c r="N139">
        <v>0.59299999999999997</v>
      </c>
      <c r="O139">
        <v>0.74</v>
      </c>
      <c r="P139" t="s">
        <v>71</v>
      </c>
      <c r="Q139">
        <v>0</v>
      </c>
      <c r="R139">
        <v>0</v>
      </c>
      <c r="S139">
        <v>37</v>
      </c>
      <c r="T139">
        <v>-0.94799999999999995</v>
      </c>
      <c r="U139">
        <v>-0.90500000000000003</v>
      </c>
      <c r="V139">
        <v>-0.98199999999999998</v>
      </c>
      <c r="W139">
        <v>-0.874</v>
      </c>
      <c r="X139">
        <v>-0.92100000000000004</v>
      </c>
      <c r="Y139">
        <v>-0.67100000000000004</v>
      </c>
      <c r="Z139">
        <v>-0.36199999999999999</v>
      </c>
      <c r="AA139">
        <v>-0.67200000000000004</v>
      </c>
      <c r="AB139">
        <v>0.54400000000000004</v>
      </c>
      <c r="AC139">
        <v>0.53800000000000003</v>
      </c>
      <c r="AD139">
        <v>0.59299999999999997</v>
      </c>
      <c r="AE139">
        <v>0.65400000000000003</v>
      </c>
      <c r="AF139">
        <v>0.503</v>
      </c>
      <c r="AG139">
        <v>-0.78300000000000003</v>
      </c>
      <c r="AH139">
        <v>-0.97499999999999998</v>
      </c>
      <c r="AI139">
        <v>-0.56899999999999995</v>
      </c>
      <c r="AJ139">
        <v>-0.80400000000000005</v>
      </c>
      <c r="AK139">
        <v>-0.75600000000000001</v>
      </c>
      <c r="AL139">
        <v>-0.98599999999999999</v>
      </c>
      <c r="AM139">
        <v>5.8999999999999997E-2</v>
      </c>
      <c r="AN139">
        <v>0</v>
      </c>
      <c r="AO139">
        <v>-0.41799999999999998</v>
      </c>
      <c r="AP139">
        <v>-0.185</v>
      </c>
      <c r="AQ139">
        <v>0.08</v>
      </c>
      <c r="AR139">
        <v>-0.623</v>
      </c>
      <c r="AS139">
        <v>-0.82299999999999995</v>
      </c>
      <c r="AT139">
        <v>-0.45500000000000002</v>
      </c>
      <c r="AU139">
        <v>-0.40300000000000002</v>
      </c>
      <c r="AV139">
        <v>-0.108</v>
      </c>
      <c r="AW139">
        <v>-0.187</v>
      </c>
      <c r="AX139">
        <v>-0.56799999999999995</v>
      </c>
      <c r="AY139">
        <v>0.95699999999999996</v>
      </c>
      <c r="AZ139">
        <v>-0.373</v>
      </c>
      <c r="BA139">
        <v>0.627</v>
      </c>
      <c r="BB139">
        <v>-0.58399999999999996</v>
      </c>
      <c r="BC139">
        <v>-0.60799999999999998</v>
      </c>
      <c r="BD139">
        <v>6.0999999999999999E-2</v>
      </c>
      <c r="BE139">
        <v>6.9000000000000006E-2</v>
      </c>
      <c r="BF139">
        <v>0.32400000000000001</v>
      </c>
      <c r="BG139">
        <v>8.7999999999999995E-2</v>
      </c>
      <c r="BH139">
        <v>0.42899999999999999</v>
      </c>
      <c r="BI139">
        <v>0.98399999999999999</v>
      </c>
      <c r="BJ139">
        <v>-0.219</v>
      </c>
      <c r="BK139">
        <v>-0.60099999999999998</v>
      </c>
      <c r="BL139">
        <v>-4.2999999999999997E-2</v>
      </c>
      <c r="BM139">
        <v>-0.26700000000000002</v>
      </c>
    </row>
    <row r="140" spans="1:65" x14ac:dyDescent="0.3">
      <c r="A140" t="s">
        <v>96</v>
      </c>
      <c r="B140">
        <v>2.4796652043266199E-2</v>
      </c>
      <c r="C140">
        <v>0</v>
      </c>
      <c r="M140" t="s">
        <v>200</v>
      </c>
      <c r="N140">
        <v>0.59099999999999997</v>
      </c>
      <c r="O140">
        <v>0.78100000000000003</v>
      </c>
      <c r="P140" t="s">
        <v>55</v>
      </c>
      <c r="Q140">
        <v>0</v>
      </c>
      <c r="R140">
        <v>0</v>
      </c>
      <c r="S140">
        <v>35</v>
      </c>
      <c r="T140">
        <v>-0.73099999999999998</v>
      </c>
      <c r="U140">
        <v>-0.82099999999999995</v>
      </c>
      <c r="V140">
        <v>-0.91400000000000003</v>
      </c>
      <c r="W140">
        <v>-0.70899999999999996</v>
      </c>
      <c r="X140">
        <v>-0.874</v>
      </c>
      <c r="Y140">
        <v>-0.40799999999999997</v>
      </c>
      <c r="Z140">
        <v>5.0000000000000001E-3</v>
      </c>
      <c r="AA140">
        <v>-0.78400000000000003</v>
      </c>
      <c r="AB140">
        <v>-2.1999999999999999E-2</v>
      </c>
      <c r="AC140">
        <v>-1.9E-2</v>
      </c>
      <c r="AD140">
        <v>0.59699999999999998</v>
      </c>
      <c r="AE140">
        <v>0.58099999999999996</v>
      </c>
      <c r="AF140">
        <v>0.432</v>
      </c>
      <c r="AG140">
        <v>-0.497</v>
      </c>
      <c r="AH140">
        <v>-0.59599999999999997</v>
      </c>
      <c r="AI140">
        <v>-0.57599999999999996</v>
      </c>
      <c r="AJ140">
        <v>-0.91300000000000003</v>
      </c>
      <c r="AK140">
        <v>-0.81399999999999995</v>
      </c>
      <c r="AL140">
        <v>-0.95</v>
      </c>
      <c r="AM140">
        <v>-0.223</v>
      </c>
      <c r="AN140">
        <v>-0.60199999999999998</v>
      </c>
      <c r="AO140">
        <v>-0.55500000000000005</v>
      </c>
      <c r="AP140">
        <v>-0.14699999999999999</v>
      </c>
      <c r="AQ140">
        <v>-0.30599999999999999</v>
      </c>
      <c r="AR140">
        <v>0.12</v>
      </c>
      <c r="AS140">
        <v>0.20799999999999999</v>
      </c>
      <c r="AT140">
        <v>0.26</v>
      </c>
      <c r="AU140">
        <v>0.1</v>
      </c>
      <c r="AV140">
        <v>0.122</v>
      </c>
      <c r="AW140">
        <v>0.251</v>
      </c>
      <c r="AX140">
        <v>7.0000000000000001E-3</v>
      </c>
      <c r="AY140">
        <v>0.33200000000000002</v>
      </c>
      <c r="AZ140">
        <v>-0.69199999999999995</v>
      </c>
      <c r="BA140">
        <v>0.74399999999999999</v>
      </c>
      <c r="BB140">
        <v>3.3000000000000002E-2</v>
      </c>
      <c r="BC140">
        <v>0.79300000000000004</v>
      </c>
      <c r="BD140">
        <v>-0.309</v>
      </c>
      <c r="BE140">
        <v>-0.255</v>
      </c>
      <c r="BF140">
        <v>0.33600000000000002</v>
      </c>
      <c r="BG140">
        <v>8.2000000000000003E-2</v>
      </c>
      <c r="BH140">
        <v>-0.28299999999999997</v>
      </c>
      <c r="BI140">
        <v>0.7</v>
      </c>
      <c r="BJ140">
        <v>-0.28899999999999998</v>
      </c>
      <c r="BK140">
        <v>0.53500000000000003</v>
      </c>
      <c r="BL140">
        <v>-0.14099999999999999</v>
      </c>
      <c r="BM140">
        <v>-0.68799999999999994</v>
      </c>
    </row>
    <row r="141" spans="1:65" x14ac:dyDescent="0.3">
      <c r="A141" t="s">
        <v>65</v>
      </c>
      <c r="B141">
        <v>1.00001685240489E-2</v>
      </c>
      <c r="C141">
        <v>0</v>
      </c>
      <c r="M141" t="s">
        <v>148</v>
      </c>
      <c r="N141">
        <v>0.59099999999999997</v>
      </c>
      <c r="O141">
        <v>0.57599999999999996</v>
      </c>
      <c r="P141" t="s">
        <v>68</v>
      </c>
      <c r="Q141">
        <v>0</v>
      </c>
      <c r="R141">
        <v>-4.0000000000000001E-3</v>
      </c>
      <c r="S141">
        <v>80</v>
      </c>
      <c r="T141">
        <v>-0.73499999999999999</v>
      </c>
      <c r="U141">
        <v>-0.85699999999999998</v>
      </c>
      <c r="V141">
        <v>-0.60599999999999998</v>
      </c>
      <c r="W141">
        <v>-0.78500000000000003</v>
      </c>
      <c r="X141">
        <v>-0.83199999999999996</v>
      </c>
      <c r="Y141">
        <v>-0.50900000000000001</v>
      </c>
      <c r="Z141">
        <v>-0.17699999999999999</v>
      </c>
      <c r="AA141">
        <v>-0.74399999999999999</v>
      </c>
      <c r="AB141">
        <v>8.6999999999999994E-2</v>
      </c>
      <c r="AC141">
        <v>8.6999999999999994E-2</v>
      </c>
      <c r="AD141">
        <v>0.41899999999999998</v>
      </c>
      <c r="AE141">
        <v>0.46700000000000003</v>
      </c>
      <c r="AF141">
        <v>0.441</v>
      </c>
      <c r="AG141">
        <v>-0.39300000000000002</v>
      </c>
      <c r="AH141">
        <v>-0.97499999999999998</v>
      </c>
      <c r="AI141">
        <v>-0.97199999999999998</v>
      </c>
      <c r="AJ141">
        <v>-0.153</v>
      </c>
      <c r="AK141">
        <v>-0.35899999999999999</v>
      </c>
      <c r="AL141">
        <v>0.129</v>
      </c>
      <c r="AM141">
        <v>-5.7000000000000002E-2</v>
      </c>
      <c r="AN141">
        <v>0.104</v>
      </c>
      <c r="AO141">
        <v>-0.67200000000000004</v>
      </c>
      <c r="AP141">
        <v>-0.16700000000000001</v>
      </c>
      <c r="AQ141">
        <v>-0.68799999999999994</v>
      </c>
      <c r="AR141">
        <v>-0.4</v>
      </c>
      <c r="AS141">
        <v>-0.69599999999999995</v>
      </c>
      <c r="AT141">
        <v>-2.5999999999999999E-2</v>
      </c>
      <c r="AU141">
        <v>-0.21</v>
      </c>
      <c r="AV141">
        <v>0.42299999999999999</v>
      </c>
      <c r="AW141">
        <v>-0.23300000000000001</v>
      </c>
      <c r="AX141">
        <v>6.5000000000000002E-2</v>
      </c>
      <c r="AY141">
        <v>0.35899999999999999</v>
      </c>
      <c r="AZ141">
        <v>0.45600000000000002</v>
      </c>
      <c r="BA141">
        <v>0.65200000000000002</v>
      </c>
      <c r="BB141">
        <v>0.4</v>
      </c>
      <c r="BC141">
        <v>-0.44900000000000001</v>
      </c>
      <c r="BD141">
        <v>-0.16600000000000001</v>
      </c>
      <c r="BE141">
        <v>-0.125</v>
      </c>
      <c r="BF141">
        <v>0.21099999999999999</v>
      </c>
      <c r="BG141">
        <v>-5.8000000000000003E-2</v>
      </c>
      <c r="BH141">
        <v>0.67500000000000004</v>
      </c>
      <c r="BI141">
        <v>0.90800000000000003</v>
      </c>
      <c r="BJ141">
        <v>-0.33800000000000002</v>
      </c>
      <c r="BK141">
        <v>0.40200000000000002</v>
      </c>
      <c r="BL141">
        <v>-0.36599999999999999</v>
      </c>
      <c r="BM141">
        <v>0.48499999999999999</v>
      </c>
    </row>
    <row r="142" spans="1:65" x14ac:dyDescent="0.3">
      <c r="A142" t="s">
        <v>187</v>
      </c>
      <c r="B142">
        <v>0</v>
      </c>
      <c r="C142">
        <v>0</v>
      </c>
      <c r="M142" t="s">
        <v>193</v>
      </c>
      <c r="N142">
        <v>0.58599999999999997</v>
      </c>
      <c r="O142">
        <v>0.81</v>
      </c>
      <c r="P142" t="s">
        <v>55</v>
      </c>
      <c r="Q142">
        <v>0</v>
      </c>
      <c r="R142">
        <v>0</v>
      </c>
      <c r="S142">
        <v>34</v>
      </c>
      <c r="T142">
        <v>-0.89</v>
      </c>
      <c r="U142">
        <v>-0.81200000000000006</v>
      </c>
      <c r="V142">
        <v>-0.97599999999999998</v>
      </c>
      <c r="W142">
        <v>-0.83199999999999996</v>
      </c>
      <c r="X142">
        <v>-0.89700000000000002</v>
      </c>
      <c r="Y142">
        <v>-0.65900000000000003</v>
      </c>
      <c r="Z142">
        <v>-0.38200000000000001</v>
      </c>
      <c r="AA142">
        <v>-0.67300000000000004</v>
      </c>
      <c r="AB142">
        <v>0.14399999999999999</v>
      </c>
      <c r="AC142">
        <v>0.14899999999999999</v>
      </c>
      <c r="AD142">
        <v>0.71399999999999997</v>
      </c>
      <c r="AE142">
        <v>0.75</v>
      </c>
      <c r="AF142">
        <v>0.48699999999999999</v>
      </c>
      <c r="AG142">
        <v>-0.88700000000000001</v>
      </c>
      <c r="AH142">
        <v>-0.85199999999999998</v>
      </c>
      <c r="AI142">
        <v>1.4999999999999999E-2</v>
      </c>
      <c r="AJ142">
        <v>-0.90300000000000002</v>
      </c>
      <c r="AK142">
        <v>-0.55400000000000005</v>
      </c>
      <c r="AL142">
        <v>-0.99</v>
      </c>
      <c r="AM142">
        <v>-0.27</v>
      </c>
      <c r="AN142">
        <v>-0.44</v>
      </c>
      <c r="AO142">
        <v>-0.436</v>
      </c>
      <c r="AP142">
        <v>-0.40400000000000003</v>
      </c>
      <c r="AQ142">
        <v>8.6999999999999994E-2</v>
      </c>
      <c r="AR142">
        <v>0.307</v>
      </c>
      <c r="AS142">
        <v>-0.219</v>
      </c>
      <c r="AT142">
        <v>-0.11799999999999999</v>
      </c>
      <c r="AU142">
        <v>-0.504</v>
      </c>
      <c r="AV142">
        <v>3.0000000000000001E-3</v>
      </c>
      <c r="AW142">
        <v>-0.216</v>
      </c>
      <c r="AX142">
        <v>-0.53400000000000003</v>
      </c>
      <c r="AY142">
        <v>0.47699999999999998</v>
      </c>
      <c r="AZ142">
        <v>-0.68500000000000005</v>
      </c>
      <c r="BA142">
        <v>0.90900000000000003</v>
      </c>
      <c r="BB142">
        <v>0.247</v>
      </c>
      <c r="BC142">
        <v>-3.0000000000000001E-3</v>
      </c>
      <c r="BD142">
        <v>-0.29099999999999998</v>
      </c>
      <c r="BE142">
        <v>-0.41799999999999998</v>
      </c>
      <c r="BF142">
        <v>0.29799999999999999</v>
      </c>
      <c r="BG142">
        <v>0.14099999999999999</v>
      </c>
      <c r="BH142">
        <v>8.1000000000000003E-2</v>
      </c>
      <c r="BI142">
        <v>0.92</v>
      </c>
      <c r="BJ142">
        <v>-0.41599999999999998</v>
      </c>
      <c r="BK142">
        <v>-2.4E-2</v>
      </c>
      <c r="BL142">
        <v>-0.19</v>
      </c>
      <c r="BM142">
        <v>-0.22900000000000001</v>
      </c>
    </row>
    <row r="143" spans="1:65" x14ac:dyDescent="0.3">
      <c r="A143" t="s">
        <v>180</v>
      </c>
      <c r="B143">
        <v>0</v>
      </c>
      <c r="C143">
        <v>0</v>
      </c>
      <c r="M143" t="s">
        <v>140</v>
      </c>
      <c r="N143">
        <v>0.58599999999999997</v>
      </c>
      <c r="O143">
        <v>0.40899999999999997</v>
      </c>
      <c r="P143" t="s">
        <v>71</v>
      </c>
      <c r="Q143">
        <v>0</v>
      </c>
      <c r="R143">
        <v>0</v>
      </c>
      <c r="S143">
        <v>39</v>
      </c>
      <c r="T143">
        <v>-0.90800000000000003</v>
      </c>
      <c r="U143">
        <v>-0.94599999999999995</v>
      </c>
      <c r="V143">
        <v>-0.95599999999999996</v>
      </c>
      <c r="W143">
        <v>-0.79400000000000004</v>
      </c>
      <c r="X143">
        <v>-0.90600000000000003</v>
      </c>
      <c r="Y143">
        <v>-0.58399999999999996</v>
      </c>
      <c r="Z143">
        <v>-0.57799999999999996</v>
      </c>
      <c r="AA143">
        <v>-0.42</v>
      </c>
      <c r="AB143">
        <v>0.14799999999999999</v>
      </c>
      <c r="AC143">
        <v>0.14499999999999999</v>
      </c>
      <c r="AD143">
        <v>0.59599999999999997</v>
      </c>
      <c r="AE143">
        <v>0.51100000000000001</v>
      </c>
      <c r="AF143">
        <v>0.35599999999999998</v>
      </c>
      <c r="AG143">
        <v>-0.69599999999999995</v>
      </c>
      <c r="AH143">
        <v>-0.35399999999999998</v>
      </c>
      <c r="AI143">
        <v>-0.6</v>
      </c>
      <c r="AJ143">
        <v>-0.73299999999999998</v>
      </c>
      <c r="AK143">
        <v>-0.84899999999999998</v>
      </c>
      <c r="AL143">
        <v>-0.99</v>
      </c>
      <c r="AM143">
        <v>9.2999999999999999E-2</v>
      </c>
      <c r="AN143">
        <v>0.96599999999999997</v>
      </c>
      <c r="AO143">
        <v>-0.51500000000000001</v>
      </c>
      <c r="AP143">
        <v>-0.35099999999999998</v>
      </c>
      <c r="AQ143">
        <v>-0.51100000000000001</v>
      </c>
      <c r="AR143">
        <v>0.45800000000000002</v>
      </c>
      <c r="AS143">
        <v>2.1000000000000001E-2</v>
      </c>
      <c r="AT143">
        <v>-0.22500000000000001</v>
      </c>
      <c r="AU143">
        <v>-0.107</v>
      </c>
      <c r="AV143">
        <v>-1.9E-2</v>
      </c>
      <c r="AW143">
        <v>-0.61199999999999999</v>
      </c>
      <c r="AX143">
        <v>-0.54800000000000004</v>
      </c>
      <c r="AY143">
        <v>-3.3000000000000002E-2</v>
      </c>
      <c r="AZ143">
        <v>-0.60099999999999998</v>
      </c>
      <c r="BA143">
        <v>0.67100000000000004</v>
      </c>
      <c r="BB143">
        <v>0.66400000000000003</v>
      </c>
      <c r="BC143">
        <v>-0.55800000000000005</v>
      </c>
      <c r="BD143">
        <v>0.34200000000000003</v>
      </c>
      <c r="BE143">
        <v>-5.0000000000000001E-3</v>
      </c>
      <c r="BF143">
        <v>0.161</v>
      </c>
      <c r="BG143">
        <v>0.39700000000000002</v>
      </c>
      <c r="BH143">
        <v>1</v>
      </c>
      <c r="BI143">
        <v>0.38400000000000001</v>
      </c>
      <c r="BJ143">
        <v>-0.76100000000000001</v>
      </c>
      <c r="BK143">
        <v>-0.54700000000000004</v>
      </c>
      <c r="BL143">
        <v>-0.36899999999999999</v>
      </c>
      <c r="BM143">
        <v>-0.51600000000000001</v>
      </c>
    </row>
    <row r="144" spans="1:65" x14ac:dyDescent="0.3">
      <c r="A144" t="s">
        <v>239</v>
      </c>
      <c r="B144">
        <v>0</v>
      </c>
      <c r="C144">
        <v>0</v>
      </c>
      <c r="M144" t="s">
        <v>171</v>
      </c>
      <c r="N144">
        <v>0.58299999999999996</v>
      </c>
      <c r="O144">
        <v>0.754</v>
      </c>
      <c r="P144" t="s">
        <v>57</v>
      </c>
      <c r="Q144">
        <v>0</v>
      </c>
      <c r="R144">
        <v>0</v>
      </c>
      <c r="S144">
        <v>47</v>
      </c>
      <c r="T144">
        <v>-0.83799999999999997</v>
      </c>
      <c r="U144">
        <v>-0.89200000000000002</v>
      </c>
      <c r="V144">
        <v>-0.88800000000000001</v>
      </c>
      <c r="W144">
        <v>-0.80900000000000005</v>
      </c>
      <c r="X144">
        <v>-0.88100000000000001</v>
      </c>
      <c r="Y144">
        <v>-0.66400000000000003</v>
      </c>
      <c r="Z144">
        <v>-0.432</v>
      </c>
      <c r="AA144">
        <v>-0.79900000000000004</v>
      </c>
      <c r="AB144">
        <v>0.315</v>
      </c>
      <c r="AC144">
        <v>0.311</v>
      </c>
      <c r="AD144">
        <v>0.60599999999999998</v>
      </c>
      <c r="AE144">
        <v>0.67300000000000004</v>
      </c>
      <c r="AF144">
        <v>0.51</v>
      </c>
      <c r="AG144">
        <v>-0.74199999999999999</v>
      </c>
      <c r="AH144">
        <v>0.18</v>
      </c>
      <c r="AI144">
        <v>-0.72499999999999998</v>
      </c>
      <c r="AJ144">
        <v>-0.86899999999999999</v>
      </c>
      <c r="AK144">
        <v>-1</v>
      </c>
      <c r="AL144">
        <v>-1</v>
      </c>
      <c r="AM144">
        <v>-0.21199999999999999</v>
      </c>
      <c r="AN144">
        <v>-6.0000000000000001E-3</v>
      </c>
      <c r="AO144">
        <v>8.1000000000000003E-2</v>
      </c>
      <c r="AP144">
        <v>0.214</v>
      </c>
      <c r="AQ144">
        <v>-0.499</v>
      </c>
      <c r="AR144">
        <v>-0.56499999999999995</v>
      </c>
      <c r="AS144">
        <v>5.6000000000000001E-2</v>
      </c>
      <c r="AT144">
        <v>0.255</v>
      </c>
      <c r="AU144">
        <v>0.245</v>
      </c>
      <c r="AV144">
        <v>-0.19900000000000001</v>
      </c>
      <c r="AW144">
        <v>-0.52400000000000002</v>
      </c>
      <c r="AX144">
        <v>-0.76400000000000001</v>
      </c>
      <c r="AY144">
        <v>0.33</v>
      </c>
      <c r="AZ144">
        <v>-0.438</v>
      </c>
      <c r="BA144">
        <v>7.4999999999999997E-2</v>
      </c>
      <c r="BB144">
        <v>-0.56100000000000005</v>
      </c>
      <c r="BC144">
        <v>0.39600000000000002</v>
      </c>
      <c r="BD144">
        <v>-6.9000000000000006E-2</v>
      </c>
      <c r="BE144">
        <v>-0.21099999999999999</v>
      </c>
      <c r="BF144">
        <v>0.27</v>
      </c>
      <c r="BG144">
        <v>0.1</v>
      </c>
      <c r="BH144">
        <v>0.52200000000000002</v>
      </c>
      <c r="BI144">
        <v>0.94299999999999995</v>
      </c>
      <c r="BJ144">
        <v>-0.19800000000000001</v>
      </c>
      <c r="BK144">
        <v>-0.126</v>
      </c>
      <c r="BL144">
        <v>0.191</v>
      </c>
      <c r="BM144">
        <v>-0.57699999999999996</v>
      </c>
    </row>
    <row r="145" spans="1:65" x14ac:dyDescent="0.3">
      <c r="A145" t="s">
        <v>233</v>
      </c>
      <c r="B145">
        <v>0</v>
      </c>
      <c r="C145">
        <v>0</v>
      </c>
      <c r="M145" t="s">
        <v>192</v>
      </c>
      <c r="N145">
        <v>0.58199999999999996</v>
      </c>
      <c r="O145">
        <v>0.63300000000000001</v>
      </c>
      <c r="P145" t="s">
        <v>57</v>
      </c>
      <c r="Q145">
        <v>0</v>
      </c>
      <c r="R145">
        <v>0</v>
      </c>
      <c r="S145">
        <v>13</v>
      </c>
      <c r="T145">
        <v>-0.92600000000000005</v>
      </c>
      <c r="U145">
        <v>-0.85699999999999998</v>
      </c>
      <c r="V145">
        <v>-0.96599999999999997</v>
      </c>
      <c r="W145">
        <v>-0.85599999999999998</v>
      </c>
      <c r="X145">
        <v>-0.89</v>
      </c>
      <c r="Y145">
        <v>-0.78300000000000003</v>
      </c>
      <c r="Z145">
        <v>-0.625</v>
      </c>
      <c r="AA145">
        <v>-0.73199999999999998</v>
      </c>
      <c r="AB145">
        <v>0.48399999999999999</v>
      </c>
      <c r="AC145">
        <v>0.48299999999999998</v>
      </c>
      <c r="AD145">
        <v>0.624</v>
      </c>
      <c r="AE145">
        <v>0.76400000000000001</v>
      </c>
      <c r="AF145">
        <v>0.51500000000000001</v>
      </c>
      <c r="AG145">
        <v>-0.79</v>
      </c>
      <c r="AH145">
        <v>-0.41</v>
      </c>
      <c r="AI145">
        <v>-0.155</v>
      </c>
      <c r="AJ145">
        <v>-0.89600000000000002</v>
      </c>
      <c r="AK145">
        <v>-1</v>
      </c>
      <c r="AL145">
        <v>-1</v>
      </c>
      <c r="AM145">
        <v>-2.8000000000000001E-2</v>
      </c>
      <c r="AN145">
        <v>-2.3E-2</v>
      </c>
      <c r="AO145">
        <v>0.42499999999999999</v>
      </c>
      <c r="AP145">
        <v>-0.502</v>
      </c>
      <c r="AQ145">
        <v>-0.25</v>
      </c>
      <c r="AR145">
        <v>-0.28100000000000003</v>
      </c>
      <c r="AS145">
        <v>-0.23799999999999999</v>
      </c>
      <c r="AT145">
        <v>3.1E-2</v>
      </c>
      <c r="AU145">
        <v>-0.25700000000000001</v>
      </c>
      <c r="AV145">
        <v>-0.189</v>
      </c>
      <c r="AW145">
        <v>-0.46899999999999997</v>
      </c>
      <c r="AX145">
        <v>-0.8</v>
      </c>
      <c r="AY145">
        <v>0.28799999999999998</v>
      </c>
      <c r="AZ145">
        <v>-0.58399999999999996</v>
      </c>
      <c r="BA145">
        <v>0.111</v>
      </c>
      <c r="BB145">
        <v>-0.22900000000000001</v>
      </c>
      <c r="BC145">
        <v>-0.60699999999999998</v>
      </c>
      <c r="BD145">
        <v>-0.17</v>
      </c>
      <c r="BE145">
        <v>-0.152</v>
      </c>
      <c r="BF145">
        <v>0.11799999999999999</v>
      </c>
      <c r="BG145">
        <v>0.26300000000000001</v>
      </c>
      <c r="BH145">
        <v>0.313</v>
      </c>
      <c r="BI145">
        <v>0.90800000000000003</v>
      </c>
      <c r="BJ145">
        <v>-0.40400000000000003</v>
      </c>
      <c r="BK145">
        <v>8.9999999999999993E-3</v>
      </c>
      <c r="BL145">
        <v>-0.32300000000000001</v>
      </c>
      <c r="BM145">
        <v>-0.63400000000000001</v>
      </c>
    </row>
    <row r="146" spans="1:65" x14ac:dyDescent="0.3">
      <c r="A146" t="s">
        <v>59</v>
      </c>
      <c r="B146">
        <v>1.60682340853559E-2</v>
      </c>
      <c r="C146">
        <v>9.2479760918021993E-3</v>
      </c>
      <c r="M146" t="s">
        <v>139</v>
      </c>
      <c r="N146">
        <v>0.58099999999999996</v>
      </c>
      <c r="O146">
        <v>0.61499999999999999</v>
      </c>
      <c r="P146" t="s">
        <v>71</v>
      </c>
      <c r="Q146">
        <v>0</v>
      </c>
      <c r="R146">
        <v>0</v>
      </c>
      <c r="S146">
        <v>55</v>
      </c>
      <c r="T146">
        <v>-0.84199999999999997</v>
      </c>
      <c r="U146">
        <v>-0.91900000000000004</v>
      </c>
      <c r="V146">
        <v>-0.90800000000000003</v>
      </c>
      <c r="W146">
        <v>-0.79100000000000004</v>
      </c>
      <c r="X146">
        <v>-0.90100000000000002</v>
      </c>
      <c r="Y146">
        <v>-0.56200000000000006</v>
      </c>
      <c r="Z146">
        <v>-0.371</v>
      </c>
      <c r="AA146">
        <v>-0.67900000000000005</v>
      </c>
      <c r="AB146">
        <v>0.24</v>
      </c>
      <c r="AC146">
        <v>0.23799999999999999</v>
      </c>
      <c r="AD146">
        <v>0.47099999999999997</v>
      </c>
      <c r="AE146">
        <v>0.47599999999999998</v>
      </c>
      <c r="AF146">
        <v>0.41299999999999998</v>
      </c>
      <c r="AG146">
        <v>-0.78800000000000003</v>
      </c>
      <c r="AH146">
        <v>-0.51500000000000001</v>
      </c>
      <c r="AI146">
        <v>-1</v>
      </c>
      <c r="AJ146">
        <v>-0.90200000000000002</v>
      </c>
      <c r="AK146">
        <v>-1</v>
      </c>
      <c r="AL146">
        <v>-0.93100000000000005</v>
      </c>
      <c r="AM146">
        <v>-0.40200000000000002</v>
      </c>
      <c r="AN146">
        <v>0.499</v>
      </c>
      <c r="AO146">
        <v>-0.76800000000000002</v>
      </c>
      <c r="AP146">
        <v>-0.50800000000000001</v>
      </c>
      <c r="AQ146">
        <v>-0.42299999999999999</v>
      </c>
      <c r="AR146">
        <v>-0.28799999999999998</v>
      </c>
      <c r="AS146">
        <v>2.5999999999999999E-2</v>
      </c>
      <c r="AT146">
        <v>0.93100000000000005</v>
      </c>
      <c r="AU146">
        <v>0.28999999999999998</v>
      </c>
      <c r="AV146">
        <v>0.20699999999999999</v>
      </c>
      <c r="AW146">
        <v>-9.0999999999999998E-2</v>
      </c>
      <c r="AX146">
        <v>-0.33500000000000002</v>
      </c>
      <c r="AY146">
        <v>0.17599999999999999</v>
      </c>
      <c r="AZ146">
        <v>0.29599999999999999</v>
      </c>
      <c r="BA146">
        <v>1.7999999999999999E-2</v>
      </c>
      <c r="BB146">
        <v>-0.98399999999999999</v>
      </c>
      <c r="BC146">
        <v>0.51100000000000001</v>
      </c>
      <c r="BD146">
        <v>0.29199999999999998</v>
      </c>
      <c r="BE146">
        <v>-3.6999999999999998E-2</v>
      </c>
      <c r="BF146">
        <v>0.32900000000000001</v>
      </c>
      <c r="BG146">
        <v>-0.65200000000000002</v>
      </c>
      <c r="BH146">
        <v>-0.46200000000000002</v>
      </c>
      <c r="BI146">
        <v>0.34899999999999998</v>
      </c>
      <c r="BJ146">
        <v>-0.23200000000000001</v>
      </c>
      <c r="BK146">
        <v>-0.35199999999999998</v>
      </c>
      <c r="BL146">
        <v>0.374</v>
      </c>
      <c r="BM146">
        <v>-0.35699999999999998</v>
      </c>
    </row>
    <row r="147" spans="1:65" x14ac:dyDescent="0.3">
      <c r="A147" t="s">
        <v>252</v>
      </c>
      <c r="B147">
        <v>0</v>
      </c>
      <c r="C147">
        <v>0</v>
      </c>
      <c r="M147" t="s">
        <v>601</v>
      </c>
      <c r="N147">
        <v>0.57899999999999996</v>
      </c>
      <c r="O147">
        <v>0.496</v>
      </c>
      <c r="P147" t="s">
        <v>53</v>
      </c>
      <c r="Q147">
        <v>0</v>
      </c>
      <c r="R147">
        <v>0</v>
      </c>
      <c r="S147">
        <v>80</v>
      </c>
      <c r="T147">
        <v>-0.371</v>
      </c>
      <c r="U147">
        <v>-0.52600000000000002</v>
      </c>
      <c r="V147">
        <v>-0.40400000000000003</v>
      </c>
      <c r="W147">
        <v>-0.56999999999999995</v>
      </c>
      <c r="X147">
        <v>-0.629</v>
      </c>
      <c r="Y147">
        <v>-0.63700000000000001</v>
      </c>
      <c r="Z147">
        <v>-0.61</v>
      </c>
      <c r="AA147">
        <v>-0.81100000000000005</v>
      </c>
      <c r="AB147">
        <v>-0.28499999999999998</v>
      </c>
      <c r="AC147">
        <v>-0.27600000000000002</v>
      </c>
      <c r="AD147">
        <v>0.42299999999999999</v>
      </c>
      <c r="AE147">
        <v>0.35199999999999998</v>
      </c>
      <c r="AF147">
        <v>0.246</v>
      </c>
      <c r="AG147">
        <v>-0.70699999999999996</v>
      </c>
      <c r="AH147">
        <v>-0.35199999999999998</v>
      </c>
      <c r="AI147">
        <v>-0.374</v>
      </c>
      <c r="AJ147">
        <v>-0.55700000000000005</v>
      </c>
      <c r="AK147">
        <v>-0.23</v>
      </c>
      <c r="AL147">
        <v>1</v>
      </c>
      <c r="AM147">
        <v>-0.73499999999999999</v>
      </c>
      <c r="AN147">
        <v>-1</v>
      </c>
      <c r="AO147">
        <v>-0.87</v>
      </c>
      <c r="AP147">
        <v>0.14799999999999999</v>
      </c>
      <c r="AQ147">
        <v>7.1999999999999995E-2</v>
      </c>
      <c r="AR147">
        <v>0.22600000000000001</v>
      </c>
      <c r="AS147">
        <v>0.85</v>
      </c>
      <c r="AT147">
        <v>1</v>
      </c>
      <c r="AU147">
        <v>1</v>
      </c>
      <c r="AV147">
        <v>-0.11</v>
      </c>
      <c r="AW147">
        <v>-0.621</v>
      </c>
      <c r="AX147">
        <v>0.12</v>
      </c>
      <c r="AY147">
        <v>0.109</v>
      </c>
      <c r="AZ147">
        <v>-1.6E-2</v>
      </c>
      <c r="BA147">
        <v>-0.27100000000000002</v>
      </c>
      <c r="BB147">
        <v>-1</v>
      </c>
      <c r="BC147">
        <v>0.56799999999999995</v>
      </c>
      <c r="BD147">
        <v>-0.70599999999999996</v>
      </c>
      <c r="BE147">
        <v>-0.64900000000000002</v>
      </c>
      <c r="BF147">
        <v>0.41399999999999998</v>
      </c>
      <c r="BG147">
        <v>-0.85499999999999998</v>
      </c>
      <c r="BH147">
        <v>2.4E-2</v>
      </c>
      <c r="BI147">
        <v>0.41099999999999998</v>
      </c>
      <c r="BJ147">
        <v>-0.13600000000000001</v>
      </c>
      <c r="BK147">
        <v>-0.13200000000000001</v>
      </c>
      <c r="BL147">
        <v>0.68200000000000005</v>
      </c>
      <c r="BM147">
        <v>0.66700000000000004</v>
      </c>
    </row>
    <row r="148" spans="1:65" x14ac:dyDescent="0.3">
      <c r="A148" t="s">
        <v>75</v>
      </c>
      <c r="B148">
        <v>1.50274580685575E-2</v>
      </c>
      <c r="C148">
        <v>0</v>
      </c>
      <c r="M148" t="s">
        <v>141</v>
      </c>
      <c r="N148">
        <v>0.57799999999999996</v>
      </c>
      <c r="O148">
        <v>0.502</v>
      </c>
      <c r="P148" t="s">
        <v>57</v>
      </c>
      <c r="Q148">
        <v>0</v>
      </c>
      <c r="R148">
        <v>-7.0000000000000001E-3</v>
      </c>
      <c r="S148">
        <v>74</v>
      </c>
      <c r="T148">
        <v>-0.50900000000000001</v>
      </c>
      <c r="U148">
        <v>-0.71399999999999997</v>
      </c>
      <c r="V148">
        <v>-0.34399999999999997</v>
      </c>
      <c r="W148">
        <v>-0.45800000000000002</v>
      </c>
      <c r="X148">
        <v>-0.502</v>
      </c>
      <c r="Y148">
        <v>-0.66300000000000003</v>
      </c>
      <c r="Z148">
        <v>-0.6</v>
      </c>
      <c r="AA148">
        <v>-0.79200000000000004</v>
      </c>
      <c r="AB148">
        <v>-0.33700000000000002</v>
      </c>
      <c r="AC148">
        <v>-0.33500000000000002</v>
      </c>
      <c r="AD148">
        <v>0.71199999999999997</v>
      </c>
      <c r="AE148">
        <v>0.6</v>
      </c>
      <c r="AF148">
        <v>0.217</v>
      </c>
      <c r="AG148">
        <v>9.8000000000000004E-2</v>
      </c>
      <c r="AH148">
        <v>0.23699999999999999</v>
      </c>
      <c r="AI148">
        <v>-0.69499999999999995</v>
      </c>
      <c r="AJ148">
        <v>-4.3999999999999997E-2</v>
      </c>
      <c r="AK148">
        <v>-0.56699999999999995</v>
      </c>
      <c r="AL148">
        <v>0.60799999999999998</v>
      </c>
      <c r="AM148">
        <v>0.251</v>
      </c>
      <c r="AN148">
        <v>-0.40600000000000003</v>
      </c>
      <c r="AO148">
        <v>-0.37</v>
      </c>
      <c r="AP148">
        <v>0.46100000000000002</v>
      </c>
      <c r="AQ148">
        <v>-0.61099999999999999</v>
      </c>
      <c r="AR148">
        <v>-0.39400000000000002</v>
      </c>
      <c r="AS148">
        <v>0.45800000000000002</v>
      </c>
      <c r="AT148">
        <v>-0.14799999999999999</v>
      </c>
      <c r="AU148">
        <v>-0.217</v>
      </c>
      <c r="AV148">
        <v>0.20699999999999999</v>
      </c>
      <c r="AW148">
        <v>2.5999999999999999E-2</v>
      </c>
      <c r="AX148">
        <v>0.34799999999999998</v>
      </c>
      <c r="AY148">
        <v>-0.40300000000000002</v>
      </c>
      <c r="AZ148">
        <v>-0.51600000000000001</v>
      </c>
      <c r="BA148">
        <v>0.72499999999999998</v>
      </c>
      <c r="BB148">
        <v>-0.29499999999999998</v>
      </c>
      <c r="BC148">
        <v>-0.115</v>
      </c>
      <c r="BD148">
        <v>0.20300000000000001</v>
      </c>
      <c r="BE148">
        <v>0.14299999999999999</v>
      </c>
      <c r="BF148">
        <v>0.186</v>
      </c>
      <c r="BG148">
        <v>0.34899999999999998</v>
      </c>
      <c r="BH148">
        <v>-0.91300000000000003</v>
      </c>
      <c r="BI148">
        <v>-1.0999999999999999E-2</v>
      </c>
      <c r="BJ148">
        <v>0.186</v>
      </c>
      <c r="BK148">
        <v>0.30399999999999999</v>
      </c>
      <c r="BL148">
        <v>-0.52700000000000002</v>
      </c>
      <c r="BM148">
        <v>0.05</v>
      </c>
    </row>
    <row r="149" spans="1:65" x14ac:dyDescent="0.3">
      <c r="A149" t="s">
        <v>599</v>
      </c>
      <c r="B149">
        <v>1.0492712380451101E-2</v>
      </c>
      <c r="C149">
        <v>0</v>
      </c>
      <c r="M149" t="s">
        <v>133</v>
      </c>
      <c r="N149">
        <v>0.57599999999999996</v>
      </c>
      <c r="O149">
        <v>0.70399999999999996</v>
      </c>
      <c r="P149" t="s">
        <v>68</v>
      </c>
      <c r="Q149">
        <v>0</v>
      </c>
      <c r="R149">
        <v>0</v>
      </c>
      <c r="S149">
        <v>80</v>
      </c>
      <c r="T149">
        <v>-0.79200000000000004</v>
      </c>
      <c r="U149">
        <v>-0.79800000000000004</v>
      </c>
      <c r="V149">
        <v>-0.35699999999999998</v>
      </c>
      <c r="W149">
        <v>-0.85499999999999998</v>
      </c>
      <c r="X149">
        <v>-0.73899999999999999</v>
      </c>
      <c r="Y149">
        <v>-0.73</v>
      </c>
      <c r="Z149">
        <v>-0.51500000000000001</v>
      </c>
      <c r="AA149">
        <v>-0.78300000000000003</v>
      </c>
      <c r="AB149">
        <v>0.216</v>
      </c>
      <c r="AC149">
        <v>0.215</v>
      </c>
      <c r="AD149">
        <v>0.35099999999999998</v>
      </c>
      <c r="AE149">
        <v>0.40699999999999997</v>
      </c>
      <c r="AF149">
        <v>0.41499999999999998</v>
      </c>
      <c r="AG149">
        <v>-0.56200000000000006</v>
      </c>
      <c r="AH149">
        <v>-0.80900000000000005</v>
      </c>
      <c r="AI149">
        <v>-0.81299999999999994</v>
      </c>
      <c r="AJ149">
        <v>0.57199999999999995</v>
      </c>
      <c r="AK149">
        <v>-0.432</v>
      </c>
      <c r="AL149">
        <v>-0.35499999999999998</v>
      </c>
      <c r="AM149">
        <v>-0.20799999999999999</v>
      </c>
      <c r="AN149">
        <v>0.14399999999999999</v>
      </c>
      <c r="AO149">
        <v>0.23100000000000001</v>
      </c>
      <c r="AP149">
        <v>0.05</v>
      </c>
      <c r="AQ149">
        <v>-0.58799999999999997</v>
      </c>
      <c r="AR149">
        <v>-0.66700000000000004</v>
      </c>
      <c r="AS149">
        <v>-0.54200000000000004</v>
      </c>
      <c r="AT149">
        <v>-0.63600000000000001</v>
      </c>
      <c r="AU149">
        <v>-0.81499999999999995</v>
      </c>
      <c r="AV149">
        <v>-0.15</v>
      </c>
      <c r="AW149">
        <v>-0.40300000000000002</v>
      </c>
      <c r="AX149">
        <v>-0.38500000000000001</v>
      </c>
      <c r="AY149">
        <v>0.64500000000000002</v>
      </c>
      <c r="AZ149">
        <v>-0.14899999999999999</v>
      </c>
      <c r="BA149">
        <v>0.83299999999999996</v>
      </c>
      <c r="BB149">
        <v>-0.63800000000000001</v>
      </c>
      <c r="BC149">
        <v>0.45200000000000001</v>
      </c>
      <c r="BD149">
        <v>-0.10299999999999999</v>
      </c>
      <c r="BE149">
        <v>-0.33700000000000002</v>
      </c>
      <c r="BF149">
        <v>9.2999999999999999E-2</v>
      </c>
      <c r="BG149">
        <v>-0.11600000000000001</v>
      </c>
      <c r="BH149">
        <v>1</v>
      </c>
      <c r="BI149">
        <v>0.68100000000000005</v>
      </c>
      <c r="BJ149">
        <v>0.28999999999999998</v>
      </c>
      <c r="BK149">
        <v>-0.128</v>
      </c>
      <c r="BL149">
        <v>0.81299999999999994</v>
      </c>
      <c r="BM149">
        <v>0.75600000000000001</v>
      </c>
    </row>
    <row r="150" spans="1:65" x14ac:dyDescent="0.3">
      <c r="A150" t="s">
        <v>167</v>
      </c>
      <c r="B150">
        <v>1.83628101920753E-2</v>
      </c>
      <c r="C150">
        <v>1.6102797812179999E-2</v>
      </c>
      <c r="M150" t="s">
        <v>208</v>
      </c>
      <c r="N150">
        <v>0.57399999999999995</v>
      </c>
      <c r="O150">
        <v>0.41499999999999998</v>
      </c>
      <c r="P150" t="s">
        <v>57</v>
      </c>
      <c r="Q150">
        <v>0</v>
      </c>
      <c r="R150">
        <v>-5.0000000000000001E-3</v>
      </c>
      <c r="S150">
        <v>80</v>
      </c>
      <c r="T150">
        <v>-0.745</v>
      </c>
      <c r="U150">
        <v>-0.66200000000000003</v>
      </c>
      <c r="V150">
        <v>-0.81699999999999995</v>
      </c>
      <c r="W150">
        <v>-0.72</v>
      </c>
      <c r="X150">
        <v>-0.748</v>
      </c>
      <c r="Y150">
        <v>-0.79900000000000004</v>
      </c>
      <c r="Z150">
        <v>-0.81200000000000006</v>
      </c>
      <c r="AA150">
        <v>-0.69699999999999995</v>
      </c>
      <c r="AB150">
        <v>0.03</v>
      </c>
      <c r="AC150">
        <v>2.3E-2</v>
      </c>
      <c r="AD150">
        <v>0.40200000000000002</v>
      </c>
      <c r="AE150">
        <v>0.46800000000000003</v>
      </c>
      <c r="AF150">
        <v>0.496</v>
      </c>
      <c r="AG150">
        <v>-0.38200000000000001</v>
      </c>
      <c r="AH150">
        <v>-0.28799999999999998</v>
      </c>
      <c r="AI150">
        <v>-0.32900000000000001</v>
      </c>
      <c r="AJ150">
        <v>-0.40600000000000003</v>
      </c>
      <c r="AK150">
        <v>0.20499999999999999</v>
      </c>
      <c r="AL150">
        <v>-0.76600000000000001</v>
      </c>
      <c r="AM150">
        <v>-0.122</v>
      </c>
      <c r="AN150">
        <v>-0.34300000000000003</v>
      </c>
      <c r="AO150">
        <v>-0.13</v>
      </c>
      <c r="AP150">
        <v>8.3000000000000004E-2</v>
      </c>
      <c r="AQ150">
        <v>4.2000000000000003E-2</v>
      </c>
      <c r="AR150">
        <v>-9.8000000000000004E-2</v>
      </c>
      <c r="AS150">
        <v>0.152</v>
      </c>
      <c r="AT150">
        <v>0.435</v>
      </c>
      <c r="AU150">
        <v>0.26200000000000001</v>
      </c>
      <c r="AV150">
        <v>8.9999999999999993E-3</v>
      </c>
      <c r="AW150">
        <v>-0.42599999999999999</v>
      </c>
      <c r="AX150">
        <v>-0.153</v>
      </c>
      <c r="AY150">
        <v>-0.93300000000000005</v>
      </c>
      <c r="AZ150">
        <v>-0.47199999999999998</v>
      </c>
      <c r="BA150">
        <v>-0.33100000000000002</v>
      </c>
      <c r="BB150">
        <v>0.29899999999999999</v>
      </c>
      <c r="BC150">
        <v>-0.27900000000000003</v>
      </c>
      <c r="BD150">
        <v>-0.26100000000000001</v>
      </c>
      <c r="BE150">
        <v>-0.51600000000000001</v>
      </c>
      <c r="BF150">
        <v>0.45600000000000002</v>
      </c>
      <c r="BG150">
        <v>0.94499999999999995</v>
      </c>
      <c r="BH150">
        <v>0.248</v>
      </c>
      <c r="BI150">
        <v>-4.0000000000000001E-3</v>
      </c>
      <c r="BJ150">
        <v>-0.26400000000000001</v>
      </c>
      <c r="BK150">
        <v>0.68</v>
      </c>
      <c r="BL150">
        <v>-0.65800000000000003</v>
      </c>
      <c r="BM150">
        <v>0.36199999999999999</v>
      </c>
    </row>
    <row r="151" spans="1:65" x14ac:dyDescent="0.3">
      <c r="A151" t="s">
        <v>201</v>
      </c>
      <c r="B151">
        <v>6.4069295791555096E-3</v>
      </c>
      <c r="C151">
        <v>0</v>
      </c>
      <c r="M151" t="s">
        <v>189</v>
      </c>
      <c r="N151">
        <v>0.57399999999999995</v>
      </c>
      <c r="O151">
        <v>0.92900000000000005</v>
      </c>
      <c r="P151" t="s">
        <v>68</v>
      </c>
      <c r="Q151">
        <v>0</v>
      </c>
      <c r="R151">
        <v>-7.0000000000000001E-3</v>
      </c>
      <c r="S151">
        <v>80</v>
      </c>
      <c r="T151">
        <v>-0.75800000000000001</v>
      </c>
      <c r="U151">
        <v>-0.92300000000000004</v>
      </c>
      <c r="V151">
        <v>-0.74299999999999999</v>
      </c>
      <c r="W151">
        <v>-0.76700000000000002</v>
      </c>
      <c r="X151">
        <v>-0.88800000000000001</v>
      </c>
      <c r="Y151">
        <v>-0.56999999999999995</v>
      </c>
      <c r="Z151">
        <v>-0.32</v>
      </c>
      <c r="AA151">
        <v>-0.82799999999999996</v>
      </c>
      <c r="AB151">
        <v>0.193</v>
      </c>
      <c r="AC151">
        <v>0.192</v>
      </c>
      <c r="AD151">
        <v>0.51300000000000001</v>
      </c>
      <c r="AE151">
        <v>0.49199999999999999</v>
      </c>
      <c r="AF151">
        <v>0.36599999999999999</v>
      </c>
      <c r="AG151">
        <v>-0.501</v>
      </c>
      <c r="AH151">
        <v>-0.55900000000000005</v>
      </c>
      <c r="AI151">
        <v>-1</v>
      </c>
      <c r="AJ151">
        <v>-0.68600000000000005</v>
      </c>
      <c r="AK151">
        <v>-0.77600000000000002</v>
      </c>
      <c r="AL151">
        <v>-0.36699999999999999</v>
      </c>
      <c r="AM151">
        <v>-8.1000000000000003E-2</v>
      </c>
      <c r="AN151">
        <v>-0.57999999999999996</v>
      </c>
      <c r="AO151">
        <v>-0.77900000000000003</v>
      </c>
      <c r="AP151">
        <v>-4.9000000000000002E-2</v>
      </c>
      <c r="AQ151">
        <v>-0.44600000000000001</v>
      </c>
      <c r="AR151">
        <v>-0.214</v>
      </c>
      <c r="AS151">
        <v>0.13700000000000001</v>
      </c>
      <c r="AT151">
        <v>-7.6999999999999999E-2</v>
      </c>
      <c r="AU151">
        <v>-0.66500000000000004</v>
      </c>
      <c r="AV151">
        <v>0.28199999999999997</v>
      </c>
      <c r="AW151">
        <v>-0.27100000000000002</v>
      </c>
      <c r="AX151">
        <v>0.113</v>
      </c>
      <c r="AY151">
        <v>0.70399999999999996</v>
      </c>
      <c r="AZ151">
        <v>-4.9000000000000002E-2</v>
      </c>
      <c r="BA151">
        <v>0.69799999999999995</v>
      </c>
      <c r="BB151">
        <v>0.73399999999999999</v>
      </c>
      <c r="BC151">
        <v>-0.377</v>
      </c>
      <c r="BD151">
        <v>-9.5000000000000001E-2</v>
      </c>
      <c r="BE151">
        <v>0.35299999999999998</v>
      </c>
      <c r="BF151">
        <v>7.8E-2</v>
      </c>
      <c r="BG151">
        <v>-0.81799999999999995</v>
      </c>
      <c r="BH151">
        <v>-0.52400000000000002</v>
      </c>
      <c r="BI151">
        <v>0.79500000000000004</v>
      </c>
      <c r="BJ151">
        <v>-0.60699999999999998</v>
      </c>
      <c r="BK151">
        <v>9.0999999999999998E-2</v>
      </c>
      <c r="BL151">
        <v>0.67500000000000004</v>
      </c>
      <c r="BM151">
        <v>-7.6999999999999999E-2</v>
      </c>
    </row>
    <row r="152" spans="1:65" x14ac:dyDescent="0.3">
      <c r="A152" t="s">
        <v>92</v>
      </c>
      <c r="B152">
        <v>1.7359751273077699E-2</v>
      </c>
      <c r="C152">
        <v>1.43775423515462E-2</v>
      </c>
      <c r="M152" t="s">
        <v>204</v>
      </c>
      <c r="N152">
        <v>0.56999999999999995</v>
      </c>
      <c r="O152">
        <v>0.71599999999999997</v>
      </c>
      <c r="P152" t="s">
        <v>55</v>
      </c>
      <c r="Q152">
        <v>0</v>
      </c>
      <c r="R152">
        <v>0</v>
      </c>
      <c r="S152">
        <v>7</v>
      </c>
      <c r="T152">
        <v>-0.91</v>
      </c>
      <c r="U152">
        <v>-0.89400000000000002</v>
      </c>
      <c r="V152">
        <v>-1</v>
      </c>
      <c r="W152">
        <v>-0.80100000000000005</v>
      </c>
      <c r="X152">
        <v>-0.93200000000000005</v>
      </c>
      <c r="Y152">
        <v>-0.72299999999999998</v>
      </c>
      <c r="Z152">
        <v>-0.46200000000000002</v>
      </c>
      <c r="AA152">
        <v>-0.746</v>
      </c>
      <c r="AB152">
        <v>0.18099999999999999</v>
      </c>
      <c r="AC152">
        <v>0.186</v>
      </c>
      <c r="AD152">
        <v>0.63500000000000001</v>
      </c>
      <c r="AE152">
        <v>0.60699999999999998</v>
      </c>
      <c r="AF152">
        <v>0.46800000000000003</v>
      </c>
      <c r="AG152">
        <v>-0.89</v>
      </c>
      <c r="AH152">
        <v>-0.61799999999999999</v>
      </c>
      <c r="AI152">
        <v>-0.2</v>
      </c>
      <c r="AJ152">
        <v>-1</v>
      </c>
      <c r="AK152">
        <v>-0.73099999999999998</v>
      </c>
      <c r="AL152">
        <v>-0.99</v>
      </c>
      <c r="AM152">
        <v>-0.56100000000000005</v>
      </c>
      <c r="AN152">
        <v>-0.69199999999999995</v>
      </c>
      <c r="AO152">
        <v>-0.73199999999999998</v>
      </c>
      <c r="AP152">
        <v>-0.29099999999999998</v>
      </c>
      <c r="AQ152">
        <v>0.222</v>
      </c>
      <c r="AR152">
        <v>0.33300000000000002</v>
      </c>
      <c r="AS152">
        <v>0.318</v>
      </c>
      <c r="AT152">
        <v>0.222</v>
      </c>
      <c r="AU152">
        <v>-2.7E-2</v>
      </c>
      <c r="AV152">
        <v>0.129</v>
      </c>
      <c r="AW152">
        <v>4.2999999999999997E-2</v>
      </c>
      <c r="AX152">
        <v>-0.32700000000000001</v>
      </c>
      <c r="AY152">
        <v>0.49</v>
      </c>
      <c r="AZ152">
        <v>-0.39300000000000002</v>
      </c>
      <c r="BA152">
        <v>0.65800000000000003</v>
      </c>
      <c r="BB152">
        <v>-0.19600000000000001</v>
      </c>
      <c r="BC152">
        <v>0.45200000000000001</v>
      </c>
      <c r="BD152">
        <v>-0.79</v>
      </c>
      <c r="BE152">
        <v>-0.84699999999999998</v>
      </c>
      <c r="BF152">
        <v>3.1E-2</v>
      </c>
      <c r="BG152">
        <v>-3.1E-2</v>
      </c>
      <c r="BH152">
        <v>-0.71</v>
      </c>
      <c r="BI152">
        <v>0.55400000000000005</v>
      </c>
      <c r="BJ152">
        <v>-0.99299999999999999</v>
      </c>
      <c r="BK152">
        <v>-0.26</v>
      </c>
      <c r="BL152">
        <v>-0.32500000000000001</v>
      </c>
      <c r="BM152">
        <v>-0.80200000000000005</v>
      </c>
    </row>
    <row r="153" spans="1:65" x14ac:dyDescent="0.3">
      <c r="A153" t="s">
        <v>77</v>
      </c>
      <c r="B153">
        <v>1.0789095745976701E-2</v>
      </c>
      <c r="C153">
        <v>0</v>
      </c>
      <c r="M153" t="s">
        <v>241</v>
      </c>
      <c r="N153">
        <v>0.56999999999999995</v>
      </c>
      <c r="O153">
        <v>0.52700000000000002</v>
      </c>
      <c r="P153" t="s">
        <v>57</v>
      </c>
      <c r="Q153">
        <v>0</v>
      </c>
      <c r="R153">
        <v>0</v>
      </c>
      <c r="S153">
        <v>30</v>
      </c>
      <c r="T153">
        <v>-0.66700000000000004</v>
      </c>
      <c r="U153">
        <v>-0.78400000000000003</v>
      </c>
      <c r="V153">
        <v>-0.90900000000000003</v>
      </c>
      <c r="W153">
        <v>-0.70299999999999996</v>
      </c>
      <c r="X153">
        <v>-0.875</v>
      </c>
      <c r="Y153">
        <v>-0.52700000000000002</v>
      </c>
      <c r="Z153">
        <v>-0.26</v>
      </c>
      <c r="AA153">
        <v>-0.81299999999999994</v>
      </c>
      <c r="AB153">
        <v>1E-3</v>
      </c>
      <c r="AC153">
        <v>0</v>
      </c>
      <c r="AD153">
        <v>0.45500000000000002</v>
      </c>
      <c r="AE153">
        <v>0.36899999999999999</v>
      </c>
      <c r="AF153">
        <v>0.29899999999999999</v>
      </c>
      <c r="AG153">
        <v>-0.76600000000000001</v>
      </c>
      <c r="AH153">
        <v>-4.2000000000000003E-2</v>
      </c>
      <c r="AI153">
        <v>-0.81499999999999995</v>
      </c>
      <c r="AJ153">
        <v>-0.90200000000000002</v>
      </c>
      <c r="AK153">
        <v>-0.92300000000000004</v>
      </c>
      <c r="AL153">
        <v>-0.88100000000000001</v>
      </c>
      <c r="AM153">
        <v>-0.23899999999999999</v>
      </c>
      <c r="AN153">
        <v>-0.60199999999999998</v>
      </c>
      <c r="AO153">
        <v>-0.67500000000000004</v>
      </c>
      <c r="AP153">
        <v>0.68</v>
      </c>
      <c r="AQ153">
        <v>-0.30499999999999999</v>
      </c>
      <c r="AR153">
        <v>0.13100000000000001</v>
      </c>
      <c r="AS153">
        <v>0.498</v>
      </c>
      <c r="AT153">
        <v>0.98799999999999999</v>
      </c>
      <c r="AU153">
        <v>0.36</v>
      </c>
      <c r="AV153">
        <v>-4.7E-2</v>
      </c>
      <c r="AW153">
        <v>0.192</v>
      </c>
      <c r="AX153">
        <v>-0.23200000000000001</v>
      </c>
      <c r="AY153">
        <v>0.23899999999999999</v>
      </c>
      <c r="AZ153">
        <v>-0.42699999999999999</v>
      </c>
      <c r="BA153">
        <v>0.65700000000000003</v>
      </c>
      <c r="BB153">
        <v>0.32900000000000001</v>
      </c>
      <c r="BC153">
        <v>0.314</v>
      </c>
      <c r="BD153">
        <v>-5.0000000000000001E-3</v>
      </c>
      <c r="BE153">
        <v>-0.48599999999999999</v>
      </c>
      <c r="BF153">
        <v>0.19500000000000001</v>
      </c>
      <c r="BG153">
        <v>-0.23799999999999999</v>
      </c>
      <c r="BH153">
        <v>-0.26400000000000001</v>
      </c>
      <c r="BI153">
        <v>0.438</v>
      </c>
      <c r="BJ153">
        <v>4.3999999999999997E-2</v>
      </c>
      <c r="BK153">
        <v>0.247</v>
      </c>
      <c r="BL153">
        <v>-0.35699999999999998</v>
      </c>
      <c r="BM153">
        <v>-0.65700000000000003</v>
      </c>
    </row>
    <row r="154" spans="1:65" x14ac:dyDescent="0.3">
      <c r="A154" t="s">
        <v>101</v>
      </c>
      <c r="B154">
        <v>1.0526962187403901E-2</v>
      </c>
      <c r="C154">
        <v>1.2349793341604401E-2</v>
      </c>
      <c r="M154" t="s">
        <v>222</v>
      </c>
      <c r="N154">
        <v>0.56899999999999995</v>
      </c>
      <c r="O154">
        <v>0.58099999999999996</v>
      </c>
      <c r="P154" t="s">
        <v>71</v>
      </c>
      <c r="Q154">
        <v>0</v>
      </c>
      <c r="R154">
        <v>0</v>
      </c>
      <c r="S154">
        <v>24</v>
      </c>
      <c r="T154">
        <v>-0.95399999999999996</v>
      </c>
      <c r="U154">
        <v>-0.92500000000000004</v>
      </c>
      <c r="V154">
        <v>-1</v>
      </c>
      <c r="W154">
        <v>-0.87</v>
      </c>
      <c r="X154">
        <v>-0.94599999999999995</v>
      </c>
      <c r="Y154">
        <v>-0.70699999999999996</v>
      </c>
      <c r="Z154">
        <v>-0.40500000000000003</v>
      </c>
      <c r="AA154">
        <v>-0.83799999999999997</v>
      </c>
      <c r="AB154">
        <v>0.59399999999999997</v>
      </c>
      <c r="AC154">
        <v>0.59</v>
      </c>
      <c r="AD154">
        <v>0.504</v>
      </c>
      <c r="AE154">
        <v>0.52</v>
      </c>
      <c r="AF154">
        <v>0.43099999999999999</v>
      </c>
      <c r="AG154">
        <v>-0.64300000000000002</v>
      </c>
      <c r="AH154">
        <v>-0.90600000000000003</v>
      </c>
      <c r="AI154">
        <v>-0.73199999999999998</v>
      </c>
      <c r="AJ154">
        <v>-0.90200000000000002</v>
      </c>
      <c r="AK154">
        <v>-1</v>
      </c>
      <c r="AL154">
        <v>-1</v>
      </c>
      <c r="AM154">
        <v>-2.3E-2</v>
      </c>
      <c r="AN154">
        <v>-0.57099999999999995</v>
      </c>
      <c r="AO154">
        <v>-0.35399999999999998</v>
      </c>
      <c r="AP154">
        <v>3.5000000000000003E-2</v>
      </c>
      <c r="AQ154">
        <v>-0.14099999999999999</v>
      </c>
      <c r="AR154">
        <v>-0.95199999999999996</v>
      </c>
      <c r="AS154">
        <v>-0.48199999999999998</v>
      </c>
      <c r="AT154">
        <v>-7.4999999999999997E-2</v>
      </c>
      <c r="AU154">
        <v>-0.12</v>
      </c>
      <c r="AV154">
        <v>0.17100000000000001</v>
      </c>
      <c r="AW154">
        <v>4.3999999999999997E-2</v>
      </c>
      <c r="AX154">
        <v>-0.35599999999999998</v>
      </c>
      <c r="AY154">
        <v>0.93899999999999995</v>
      </c>
      <c r="AZ154">
        <v>-0.39700000000000002</v>
      </c>
      <c r="BA154">
        <v>0.14899999999999999</v>
      </c>
      <c r="BB154">
        <v>-0.29099999999999998</v>
      </c>
      <c r="BC154">
        <v>-0.73899999999999999</v>
      </c>
      <c r="BD154">
        <v>-0.20799999999999999</v>
      </c>
      <c r="BE154">
        <v>-0.30499999999999999</v>
      </c>
      <c r="BF154">
        <v>0.219</v>
      </c>
      <c r="BG154">
        <v>-3.5000000000000003E-2</v>
      </c>
      <c r="BH154">
        <v>-1E-3</v>
      </c>
      <c r="BI154">
        <v>0.92800000000000005</v>
      </c>
      <c r="BJ154">
        <v>-0.11600000000000001</v>
      </c>
      <c r="BK154">
        <v>-0.71899999999999997</v>
      </c>
      <c r="BL154">
        <v>-0.33400000000000002</v>
      </c>
      <c r="BM154">
        <v>-0.65500000000000003</v>
      </c>
    </row>
    <row r="155" spans="1:65" x14ac:dyDescent="0.3">
      <c r="A155" t="s">
        <v>199</v>
      </c>
      <c r="B155">
        <v>0</v>
      </c>
      <c r="C155">
        <v>2.84911909638456E-2</v>
      </c>
      <c r="M155" t="s">
        <v>240</v>
      </c>
      <c r="N155">
        <v>0.56799999999999995</v>
      </c>
      <c r="O155">
        <v>0.47599999999999998</v>
      </c>
      <c r="P155" t="s">
        <v>71</v>
      </c>
      <c r="Q155">
        <v>0</v>
      </c>
      <c r="R155">
        <v>0</v>
      </c>
      <c r="S155">
        <v>15</v>
      </c>
      <c r="T155">
        <v>-0.94199999999999995</v>
      </c>
      <c r="U155">
        <v>-0.72499999999999998</v>
      </c>
      <c r="V155">
        <v>-1</v>
      </c>
      <c r="W155">
        <v>-0.85699999999999998</v>
      </c>
      <c r="X155">
        <v>-0.92500000000000004</v>
      </c>
      <c r="Y155">
        <v>-0.82799999999999996</v>
      </c>
      <c r="Z155">
        <v>-0.81200000000000006</v>
      </c>
      <c r="AA155">
        <v>-0.64100000000000001</v>
      </c>
      <c r="AB155">
        <v>5.5E-2</v>
      </c>
      <c r="AC155">
        <v>6.4000000000000001E-2</v>
      </c>
      <c r="AD155">
        <v>0.48099999999999998</v>
      </c>
      <c r="AE155">
        <v>0.56100000000000005</v>
      </c>
      <c r="AF155">
        <v>0.58499999999999996</v>
      </c>
      <c r="AG155">
        <v>-1</v>
      </c>
      <c r="AH155">
        <v>-0.95899999999999996</v>
      </c>
      <c r="AI155">
        <v>0.32500000000000001</v>
      </c>
      <c r="AJ155">
        <v>-1</v>
      </c>
      <c r="AK155">
        <v>-0.45300000000000001</v>
      </c>
      <c r="AL155">
        <v>-1</v>
      </c>
      <c r="AM155">
        <v>-0.52</v>
      </c>
      <c r="AN155">
        <v>-1</v>
      </c>
      <c r="AO155">
        <v>-0.81599999999999995</v>
      </c>
      <c r="AP155">
        <v>-0.36399999999999999</v>
      </c>
      <c r="AQ155">
        <v>0.91100000000000003</v>
      </c>
      <c r="AR155">
        <v>0.95399999999999996</v>
      </c>
      <c r="AS155">
        <v>-0.65900000000000003</v>
      </c>
      <c r="AT155">
        <v>0.30499999999999999</v>
      </c>
      <c r="AU155">
        <v>4.0000000000000001E-3</v>
      </c>
      <c r="AV155">
        <v>8.0000000000000002E-3</v>
      </c>
      <c r="AW155">
        <v>-7.0999999999999994E-2</v>
      </c>
      <c r="AX155">
        <v>-0.77600000000000002</v>
      </c>
      <c r="AY155">
        <v>0.433</v>
      </c>
      <c r="AZ155">
        <v>-0.438</v>
      </c>
      <c r="BA155">
        <v>-0.112</v>
      </c>
      <c r="BB155">
        <v>6.8000000000000005E-2</v>
      </c>
      <c r="BC155">
        <v>0.61899999999999999</v>
      </c>
      <c r="BD155">
        <v>-0.63100000000000001</v>
      </c>
      <c r="BE155">
        <v>-0.77600000000000002</v>
      </c>
      <c r="BF155">
        <v>0.47899999999999998</v>
      </c>
      <c r="BG155">
        <v>-1</v>
      </c>
      <c r="BH155">
        <v>0.19400000000000001</v>
      </c>
      <c r="BI155">
        <v>2.9000000000000001E-2</v>
      </c>
      <c r="BJ155">
        <v>-0.67200000000000004</v>
      </c>
      <c r="BK155">
        <v>-1</v>
      </c>
      <c r="BL155">
        <v>-1</v>
      </c>
      <c r="BM155">
        <v>-0.40699999999999997</v>
      </c>
    </row>
    <row r="156" spans="1:65" x14ac:dyDescent="0.3">
      <c r="A156" t="s">
        <v>139</v>
      </c>
      <c r="B156">
        <v>0</v>
      </c>
      <c r="C156">
        <v>0</v>
      </c>
      <c r="M156" t="s">
        <v>206</v>
      </c>
      <c r="N156">
        <v>0.56699999999999995</v>
      </c>
      <c r="O156">
        <v>0.53600000000000003</v>
      </c>
      <c r="P156" t="s">
        <v>57</v>
      </c>
      <c r="Q156">
        <v>0</v>
      </c>
      <c r="R156">
        <v>0</v>
      </c>
      <c r="S156">
        <v>80</v>
      </c>
      <c r="T156">
        <v>-0.73599999999999999</v>
      </c>
      <c r="U156">
        <v>-0.8</v>
      </c>
      <c r="V156">
        <v>-0.87</v>
      </c>
      <c r="W156">
        <v>-0.80500000000000005</v>
      </c>
      <c r="X156">
        <v>-0.88800000000000001</v>
      </c>
      <c r="Y156">
        <v>-0.63500000000000001</v>
      </c>
      <c r="Z156">
        <v>-0.499</v>
      </c>
      <c r="AA156">
        <v>-0.83899999999999997</v>
      </c>
      <c r="AB156">
        <v>-2.5999999999999999E-2</v>
      </c>
      <c r="AC156">
        <v>-2.5999999999999999E-2</v>
      </c>
      <c r="AD156">
        <v>0.64300000000000002</v>
      </c>
      <c r="AE156">
        <v>0.57599999999999996</v>
      </c>
      <c r="AF156">
        <v>0.41399999999999998</v>
      </c>
      <c r="AG156">
        <v>-0.85199999999999998</v>
      </c>
      <c r="AH156">
        <v>-0.14399999999999999</v>
      </c>
      <c r="AI156">
        <v>-0.73099999999999998</v>
      </c>
      <c r="AJ156">
        <v>-0.90900000000000003</v>
      </c>
      <c r="AK156">
        <v>-0.98499999999999999</v>
      </c>
      <c r="AL156">
        <v>-0.95399999999999996</v>
      </c>
      <c r="AM156">
        <v>-9.4E-2</v>
      </c>
      <c r="AN156">
        <v>-0.60499999999999998</v>
      </c>
      <c r="AO156">
        <v>-0.45</v>
      </c>
      <c r="AP156">
        <v>0.19800000000000001</v>
      </c>
      <c r="AQ156">
        <v>-0.33100000000000002</v>
      </c>
      <c r="AR156">
        <v>-1.4E-2</v>
      </c>
      <c r="AS156">
        <v>0.1</v>
      </c>
      <c r="AT156">
        <v>0.222</v>
      </c>
      <c r="AU156">
        <v>0.35899999999999999</v>
      </c>
      <c r="AV156">
        <v>-8.8999999999999996E-2</v>
      </c>
      <c r="AW156">
        <v>4.8000000000000001E-2</v>
      </c>
      <c r="AX156">
        <v>-0.68100000000000005</v>
      </c>
      <c r="AY156">
        <v>5.7000000000000002E-2</v>
      </c>
      <c r="AZ156">
        <v>-0.214</v>
      </c>
      <c r="BA156">
        <v>-0.115</v>
      </c>
      <c r="BB156">
        <v>0.59199999999999997</v>
      </c>
      <c r="BC156">
        <v>0.52200000000000002</v>
      </c>
      <c r="BD156">
        <v>-0.316</v>
      </c>
      <c r="BE156">
        <v>5.1999999999999998E-2</v>
      </c>
      <c r="BF156">
        <v>0.14899999999999999</v>
      </c>
      <c r="BG156">
        <v>8.5999999999999993E-2</v>
      </c>
      <c r="BH156">
        <v>5.8000000000000003E-2</v>
      </c>
      <c r="BI156">
        <v>0.54700000000000004</v>
      </c>
      <c r="BJ156">
        <v>-5.8000000000000003E-2</v>
      </c>
      <c r="BK156">
        <v>0.24299999999999999</v>
      </c>
      <c r="BL156">
        <v>0.189</v>
      </c>
      <c r="BM156">
        <v>-0.57499999999999996</v>
      </c>
    </row>
    <row r="157" spans="1:65" x14ac:dyDescent="0.3">
      <c r="A157" t="s">
        <v>237</v>
      </c>
      <c r="B157">
        <v>0</v>
      </c>
      <c r="C157">
        <v>0</v>
      </c>
      <c r="M157" t="s">
        <v>234</v>
      </c>
      <c r="N157">
        <v>0.56399999999999995</v>
      </c>
      <c r="O157">
        <v>0.86599999999999999</v>
      </c>
      <c r="P157" t="s">
        <v>55</v>
      </c>
      <c r="Q157">
        <v>0</v>
      </c>
      <c r="R157">
        <v>-1.2E-2</v>
      </c>
      <c r="S157">
        <v>67</v>
      </c>
      <c r="T157">
        <v>-0.93</v>
      </c>
      <c r="U157">
        <v>-0.85899999999999999</v>
      </c>
      <c r="V157">
        <v>-0.96599999999999997</v>
      </c>
      <c r="W157">
        <v>-0.89100000000000001</v>
      </c>
      <c r="X157">
        <v>-0.91400000000000003</v>
      </c>
      <c r="Y157">
        <v>-0.76700000000000002</v>
      </c>
      <c r="Z157">
        <v>-0.63600000000000001</v>
      </c>
      <c r="AA157">
        <v>-0.64800000000000002</v>
      </c>
      <c r="AB157">
        <v>6.4000000000000001E-2</v>
      </c>
      <c r="AC157">
        <v>6.2E-2</v>
      </c>
      <c r="AD157">
        <v>0.47399999999999998</v>
      </c>
      <c r="AE157">
        <v>0.32600000000000001</v>
      </c>
      <c r="AF157">
        <v>0.52900000000000003</v>
      </c>
      <c r="AG157">
        <v>-0.96</v>
      </c>
      <c r="AH157">
        <v>-0.98899999999999999</v>
      </c>
      <c r="AI157">
        <v>-0.247</v>
      </c>
      <c r="AJ157">
        <v>-0.91300000000000003</v>
      </c>
      <c r="AK157">
        <v>-0.21299999999999999</v>
      </c>
      <c r="AL157">
        <v>-0.95399999999999996</v>
      </c>
      <c r="AM157">
        <v>-0.43099999999999999</v>
      </c>
      <c r="AN157">
        <v>-0.14499999999999999</v>
      </c>
      <c r="AO157">
        <v>-0.36199999999999999</v>
      </c>
      <c r="AP157">
        <v>-0.48899999999999999</v>
      </c>
      <c r="AQ157">
        <v>0.29199999999999998</v>
      </c>
      <c r="AR157">
        <v>0.79</v>
      </c>
      <c r="AS157">
        <v>-0.41099999999999998</v>
      </c>
      <c r="AT157">
        <v>-1</v>
      </c>
      <c r="AU157">
        <v>-0.48499999999999999</v>
      </c>
      <c r="AV157">
        <v>-0.499</v>
      </c>
      <c r="AW157">
        <v>-0.63400000000000001</v>
      </c>
      <c r="AX157">
        <v>-0.54600000000000004</v>
      </c>
      <c r="AY157">
        <v>0.58699999999999997</v>
      </c>
      <c r="AZ157">
        <v>-0.73099999999999998</v>
      </c>
      <c r="BA157">
        <v>-0.28499999999999998</v>
      </c>
      <c r="BB157">
        <v>-9.0999999999999998E-2</v>
      </c>
      <c r="BC157">
        <v>-0.35299999999999998</v>
      </c>
      <c r="BD157">
        <v>0.27200000000000002</v>
      </c>
      <c r="BE157">
        <v>-0.14199999999999999</v>
      </c>
      <c r="BF157">
        <v>0.316</v>
      </c>
      <c r="BG157">
        <v>-0.33400000000000002</v>
      </c>
      <c r="BH157">
        <v>0.48899999999999999</v>
      </c>
      <c r="BI157">
        <v>0.84899999999999998</v>
      </c>
      <c r="BJ157">
        <v>-0.30299999999999999</v>
      </c>
      <c r="BK157">
        <v>-5.0000000000000001E-3</v>
      </c>
      <c r="BL157">
        <v>0.13700000000000001</v>
      </c>
      <c r="BM157">
        <v>5.2999999999999999E-2</v>
      </c>
    </row>
    <row r="158" spans="1:65" x14ac:dyDescent="0.3">
      <c r="A158" t="s">
        <v>224</v>
      </c>
      <c r="B158">
        <v>0</v>
      </c>
      <c r="C158">
        <v>0</v>
      </c>
      <c r="M158" t="s">
        <v>218</v>
      </c>
      <c r="N158">
        <v>0.56299999999999994</v>
      </c>
      <c r="O158">
        <v>0.77800000000000002</v>
      </c>
      <c r="P158" t="s">
        <v>55</v>
      </c>
      <c r="Q158">
        <v>0</v>
      </c>
      <c r="R158">
        <v>0</v>
      </c>
      <c r="S158">
        <v>17</v>
      </c>
      <c r="T158">
        <v>-0.86</v>
      </c>
      <c r="U158">
        <v>-0.89500000000000002</v>
      </c>
      <c r="V158">
        <v>-0.98099999999999998</v>
      </c>
      <c r="W158">
        <v>-0.81899999999999995</v>
      </c>
      <c r="X158">
        <v>-0.93700000000000006</v>
      </c>
      <c r="Y158">
        <v>-0.63700000000000001</v>
      </c>
      <c r="Z158">
        <v>-0.42199999999999999</v>
      </c>
      <c r="AA158">
        <v>-0.80900000000000005</v>
      </c>
      <c r="AB158">
        <v>-1.2999999999999999E-2</v>
      </c>
      <c r="AC158">
        <v>-1.0999999999999999E-2</v>
      </c>
      <c r="AD158">
        <v>0.64400000000000002</v>
      </c>
      <c r="AE158">
        <v>0.59699999999999998</v>
      </c>
      <c r="AF158">
        <v>0.44500000000000001</v>
      </c>
      <c r="AG158">
        <v>-0.60699999999999998</v>
      </c>
      <c r="AH158">
        <v>-0.74199999999999999</v>
      </c>
      <c r="AI158">
        <v>-0.64200000000000002</v>
      </c>
      <c r="AJ158">
        <v>-0.97199999999999998</v>
      </c>
      <c r="AK158">
        <v>-0.81399999999999995</v>
      </c>
      <c r="AL158">
        <v>-1</v>
      </c>
      <c r="AM158">
        <v>-0.28599999999999998</v>
      </c>
      <c r="AN158">
        <v>-0.63500000000000001</v>
      </c>
      <c r="AO158">
        <v>-0.58399999999999996</v>
      </c>
      <c r="AP158">
        <v>-0.23699999999999999</v>
      </c>
      <c r="AQ158">
        <v>-9.7000000000000003E-2</v>
      </c>
      <c r="AR158">
        <v>0.26300000000000001</v>
      </c>
      <c r="AS158">
        <v>-6.4000000000000001E-2</v>
      </c>
      <c r="AT158">
        <v>0.19800000000000001</v>
      </c>
      <c r="AU158">
        <v>0.13500000000000001</v>
      </c>
      <c r="AV158">
        <v>-5.5E-2</v>
      </c>
      <c r="AW158">
        <v>-0.39100000000000001</v>
      </c>
      <c r="AX158">
        <v>-0.129</v>
      </c>
      <c r="AY158">
        <v>0.51600000000000001</v>
      </c>
      <c r="AZ158">
        <v>-0.82799999999999996</v>
      </c>
      <c r="BA158">
        <v>0.94399999999999995</v>
      </c>
      <c r="BB158">
        <v>0.33600000000000002</v>
      </c>
      <c r="BC158">
        <v>0.223</v>
      </c>
      <c r="BD158">
        <v>0.159</v>
      </c>
      <c r="BE158">
        <v>1.4999999999999999E-2</v>
      </c>
      <c r="BF158">
        <v>0.34200000000000003</v>
      </c>
      <c r="BG158">
        <v>-1.6E-2</v>
      </c>
      <c r="BH158">
        <v>0.254</v>
      </c>
      <c r="BI158">
        <v>0.86799999999999999</v>
      </c>
      <c r="BJ158">
        <v>-0.45800000000000002</v>
      </c>
      <c r="BK158">
        <v>1.0999999999999999E-2</v>
      </c>
      <c r="BL158">
        <v>-0.33300000000000002</v>
      </c>
      <c r="BM158">
        <v>-0.49</v>
      </c>
    </row>
    <row r="159" spans="1:65" x14ac:dyDescent="0.3">
      <c r="A159" t="s">
        <v>183</v>
      </c>
      <c r="B159">
        <v>0</v>
      </c>
      <c r="C159">
        <v>0</v>
      </c>
      <c r="M159" t="s">
        <v>277</v>
      </c>
      <c r="N159">
        <v>0.56299999999999994</v>
      </c>
      <c r="O159">
        <v>0.55900000000000005</v>
      </c>
      <c r="P159" t="s">
        <v>55</v>
      </c>
      <c r="Q159">
        <v>0</v>
      </c>
      <c r="R159">
        <v>0</v>
      </c>
      <c r="S159">
        <v>80</v>
      </c>
      <c r="T159">
        <v>-0.77400000000000002</v>
      </c>
      <c r="U159">
        <v>-0.71</v>
      </c>
      <c r="V159">
        <v>-0.83399999999999996</v>
      </c>
      <c r="W159">
        <v>-0.85899999999999999</v>
      </c>
      <c r="X159">
        <v>-0.875</v>
      </c>
      <c r="Y159">
        <v>-0.73499999999999999</v>
      </c>
      <c r="Z159">
        <v>-0.64800000000000002</v>
      </c>
      <c r="AA159">
        <v>-0.83099999999999996</v>
      </c>
      <c r="AB159">
        <v>5.5E-2</v>
      </c>
      <c r="AC159">
        <v>5.8000000000000003E-2</v>
      </c>
      <c r="AD159">
        <v>0.44400000000000001</v>
      </c>
      <c r="AE159">
        <v>0.23400000000000001</v>
      </c>
      <c r="AF159">
        <v>0.53400000000000003</v>
      </c>
      <c r="AG159">
        <v>-1</v>
      </c>
      <c r="AH159">
        <v>-1</v>
      </c>
      <c r="AI159">
        <v>-0.47499999999999998</v>
      </c>
      <c r="AJ159">
        <v>-0.755</v>
      </c>
      <c r="AK159">
        <v>-0.38800000000000001</v>
      </c>
      <c r="AL159">
        <v>-0.78800000000000003</v>
      </c>
      <c r="AM159">
        <v>-0.23300000000000001</v>
      </c>
      <c r="AN159">
        <v>-0.79700000000000004</v>
      </c>
      <c r="AO159">
        <v>-0.46700000000000003</v>
      </c>
      <c r="AP159">
        <v>-0.24099999999999999</v>
      </c>
      <c r="AQ159">
        <v>3.0000000000000001E-3</v>
      </c>
      <c r="AR159">
        <v>0.18</v>
      </c>
      <c r="AS159">
        <v>-0.105</v>
      </c>
      <c r="AT159">
        <v>0.25600000000000001</v>
      </c>
      <c r="AU159">
        <v>-0.217</v>
      </c>
      <c r="AV159">
        <v>-8.3000000000000004E-2</v>
      </c>
      <c r="AW159">
        <v>8.1000000000000003E-2</v>
      </c>
      <c r="AX159">
        <v>-0.68899999999999995</v>
      </c>
      <c r="AY159">
        <v>0.23400000000000001</v>
      </c>
      <c r="AZ159">
        <v>0.125</v>
      </c>
      <c r="BA159">
        <v>0.63600000000000001</v>
      </c>
      <c r="BB159">
        <v>8.5999999999999993E-2</v>
      </c>
      <c r="BC159">
        <v>0.64600000000000002</v>
      </c>
      <c r="BD159">
        <v>0.01</v>
      </c>
      <c r="BE159">
        <v>-0.108</v>
      </c>
      <c r="BF159">
        <v>0.44700000000000001</v>
      </c>
      <c r="BG159">
        <v>-0.28899999999999998</v>
      </c>
      <c r="BH159">
        <v>-0.252</v>
      </c>
      <c r="BI159">
        <v>0.245</v>
      </c>
      <c r="BJ159">
        <v>1E-3</v>
      </c>
      <c r="BK159">
        <v>-0.16</v>
      </c>
      <c r="BL159">
        <v>0.83799999999999997</v>
      </c>
      <c r="BM159">
        <v>-3.7999999999999999E-2</v>
      </c>
    </row>
    <row r="160" spans="1:65" x14ac:dyDescent="0.3">
      <c r="A160" t="s">
        <v>276</v>
      </c>
      <c r="B160">
        <v>0</v>
      </c>
      <c r="C160">
        <v>0</v>
      </c>
      <c r="M160" t="s">
        <v>276</v>
      </c>
      <c r="N160">
        <v>0.56200000000000006</v>
      </c>
      <c r="O160">
        <v>0.38400000000000001</v>
      </c>
      <c r="P160" t="s">
        <v>68</v>
      </c>
      <c r="Q160">
        <v>0</v>
      </c>
      <c r="R160">
        <v>0</v>
      </c>
      <c r="S160">
        <v>80</v>
      </c>
      <c r="T160">
        <v>-0.80800000000000005</v>
      </c>
      <c r="U160">
        <v>-0.81</v>
      </c>
      <c r="V160">
        <v>-0.81599999999999995</v>
      </c>
      <c r="W160">
        <v>-0.83499999999999996</v>
      </c>
      <c r="X160">
        <v>-0.85199999999999998</v>
      </c>
      <c r="Y160">
        <v>-0.88900000000000001</v>
      </c>
      <c r="Z160">
        <v>-0.90700000000000003</v>
      </c>
      <c r="AA160">
        <v>-0.73399999999999999</v>
      </c>
      <c r="AB160">
        <v>3.4000000000000002E-2</v>
      </c>
      <c r="AC160">
        <v>2.9000000000000001E-2</v>
      </c>
      <c r="AD160">
        <v>0.13400000000000001</v>
      </c>
      <c r="AE160">
        <v>0.45700000000000002</v>
      </c>
      <c r="AF160">
        <v>0.61799999999999999</v>
      </c>
      <c r="AG160">
        <v>-0.79900000000000004</v>
      </c>
      <c r="AH160">
        <v>-1</v>
      </c>
      <c r="AI160">
        <v>-0.41099999999999998</v>
      </c>
      <c r="AJ160">
        <v>-0.8</v>
      </c>
      <c r="AK160">
        <v>0.26300000000000001</v>
      </c>
      <c r="AL160">
        <v>-0.65300000000000002</v>
      </c>
      <c r="AM160">
        <v>-0.28699999999999998</v>
      </c>
      <c r="AN160">
        <v>-0.71399999999999997</v>
      </c>
      <c r="AO160">
        <v>-0.72799999999999998</v>
      </c>
      <c r="AP160">
        <v>-0.90600000000000003</v>
      </c>
      <c r="AQ160">
        <v>0.67900000000000005</v>
      </c>
      <c r="AR160">
        <v>1</v>
      </c>
      <c r="AS160">
        <v>-0.41799999999999998</v>
      </c>
      <c r="AT160">
        <v>-0.54800000000000004</v>
      </c>
      <c r="AU160">
        <v>-0.32700000000000001</v>
      </c>
      <c r="AV160">
        <v>0.22600000000000001</v>
      </c>
      <c r="AW160">
        <v>-0.50700000000000001</v>
      </c>
      <c r="AX160">
        <v>-7.3999999999999996E-2</v>
      </c>
      <c r="AY160">
        <v>-0.72499999999999998</v>
      </c>
      <c r="AZ160">
        <v>-4.2000000000000003E-2</v>
      </c>
      <c r="BA160">
        <v>-0.40899999999999997</v>
      </c>
      <c r="BB160">
        <v>-0.17499999999999999</v>
      </c>
      <c r="BC160">
        <v>0.95</v>
      </c>
      <c r="BD160">
        <v>0.161</v>
      </c>
      <c r="BE160">
        <v>6.2E-2</v>
      </c>
      <c r="BF160">
        <v>0.84299999999999997</v>
      </c>
      <c r="BG160">
        <v>-0.21199999999999999</v>
      </c>
      <c r="BH160">
        <v>-1</v>
      </c>
      <c r="BI160">
        <v>-0.40200000000000002</v>
      </c>
      <c r="BJ160">
        <v>-1</v>
      </c>
      <c r="BK160">
        <v>0.58699999999999997</v>
      </c>
      <c r="BL160">
        <v>0.97899999999999998</v>
      </c>
      <c r="BM160">
        <v>0.437</v>
      </c>
    </row>
    <row r="161" spans="1:65" x14ac:dyDescent="0.3">
      <c r="A161" t="s">
        <v>131</v>
      </c>
      <c r="B161">
        <v>1.6610321696079001E-2</v>
      </c>
      <c r="C161">
        <v>2.8655760170652401E-2</v>
      </c>
      <c r="M161" t="s">
        <v>220</v>
      </c>
      <c r="N161">
        <v>0.56100000000000005</v>
      </c>
      <c r="O161">
        <v>0.58399999999999996</v>
      </c>
      <c r="P161" t="s">
        <v>57</v>
      </c>
      <c r="Q161">
        <v>0</v>
      </c>
      <c r="R161">
        <v>0</v>
      </c>
      <c r="S161">
        <v>19</v>
      </c>
      <c r="T161">
        <v>-0.78200000000000003</v>
      </c>
      <c r="U161">
        <v>-0.82899999999999996</v>
      </c>
      <c r="V161">
        <v>-0.94699999999999995</v>
      </c>
      <c r="W161">
        <v>-0.72499999999999998</v>
      </c>
      <c r="X161">
        <v>-0.875</v>
      </c>
      <c r="Y161">
        <v>-0.76600000000000001</v>
      </c>
      <c r="Z161">
        <v>-0.7</v>
      </c>
      <c r="AA161">
        <v>-0.745</v>
      </c>
      <c r="AB161">
        <v>-0.11799999999999999</v>
      </c>
      <c r="AC161">
        <v>-0.11899999999999999</v>
      </c>
      <c r="AD161">
        <v>0.64800000000000002</v>
      </c>
      <c r="AE161">
        <v>0.63300000000000001</v>
      </c>
      <c r="AF161">
        <v>0.40100000000000002</v>
      </c>
      <c r="AG161">
        <v>-0.35799999999999998</v>
      </c>
      <c r="AH161">
        <v>-0.52500000000000002</v>
      </c>
      <c r="AI161">
        <v>-0.67200000000000004</v>
      </c>
      <c r="AJ161">
        <v>-0.97</v>
      </c>
      <c r="AK161">
        <v>-0.86099999999999999</v>
      </c>
      <c r="AL161">
        <v>-1</v>
      </c>
      <c r="AM161">
        <v>-0.28799999999999998</v>
      </c>
      <c r="AN161">
        <v>-0.41799999999999998</v>
      </c>
      <c r="AO161">
        <v>-0.63800000000000001</v>
      </c>
      <c r="AP161">
        <v>0.317</v>
      </c>
      <c r="AQ161">
        <v>8.0000000000000002E-3</v>
      </c>
      <c r="AR161">
        <v>-0.05</v>
      </c>
      <c r="AS161">
        <v>4.4999999999999998E-2</v>
      </c>
      <c r="AT161">
        <v>0.48</v>
      </c>
      <c r="AU161">
        <v>0.42399999999999999</v>
      </c>
      <c r="AV161">
        <v>4.9000000000000002E-2</v>
      </c>
      <c r="AW161">
        <v>-0.22900000000000001</v>
      </c>
      <c r="AX161">
        <v>0.11899999999999999</v>
      </c>
      <c r="AY161">
        <v>-0.105</v>
      </c>
      <c r="AZ161">
        <v>-0.24299999999999999</v>
      </c>
      <c r="BA161">
        <v>0.504</v>
      </c>
      <c r="BB161">
        <v>-0.36899999999999999</v>
      </c>
      <c r="BC161">
        <v>0.53100000000000003</v>
      </c>
      <c r="BD161">
        <v>0.155</v>
      </c>
      <c r="BE161">
        <v>4.2000000000000003E-2</v>
      </c>
      <c r="BF161">
        <v>0.41</v>
      </c>
      <c r="BG161">
        <v>7.6999999999999999E-2</v>
      </c>
      <c r="BH161">
        <v>-0.34100000000000003</v>
      </c>
      <c r="BI161">
        <v>-5.7000000000000002E-2</v>
      </c>
      <c r="BJ161">
        <v>-6.5000000000000002E-2</v>
      </c>
      <c r="BK161">
        <v>0.47799999999999998</v>
      </c>
      <c r="BL161">
        <v>-0.54900000000000004</v>
      </c>
      <c r="BM161">
        <v>-0.65</v>
      </c>
    </row>
    <row r="162" spans="1:65" x14ac:dyDescent="0.3">
      <c r="A162" t="s">
        <v>122</v>
      </c>
      <c r="B162">
        <v>0</v>
      </c>
      <c r="C162">
        <v>0</v>
      </c>
      <c r="M162" t="s">
        <v>225</v>
      </c>
      <c r="N162">
        <v>0.55900000000000005</v>
      </c>
      <c r="O162">
        <v>0.44800000000000001</v>
      </c>
      <c r="P162" t="s">
        <v>71</v>
      </c>
      <c r="Q162">
        <v>0</v>
      </c>
      <c r="R162">
        <v>-5.0000000000000001E-3</v>
      </c>
      <c r="S162">
        <v>78</v>
      </c>
      <c r="T162">
        <v>-0.67600000000000005</v>
      </c>
      <c r="U162">
        <v>-0.77900000000000003</v>
      </c>
      <c r="V162">
        <v>-0.70899999999999996</v>
      </c>
      <c r="W162">
        <v>-0.52300000000000002</v>
      </c>
      <c r="X162">
        <v>-0.69699999999999995</v>
      </c>
      <c r="Y162">
        <v>-0.67200000000000004</v>
      </c>
      <c r="Z162">
        <v>-0.77700000000000002</v>
      </c>
      <c r="AA162">
        <v>-0.83</v>
      </c>
      <c r="AB162">
        <v>-0.123</v>
      </c>
      <c r="AC162">
        <v>-0.123</v>
      </c>
      <c r="AD162">
        <v>0.312</v>
      </c>
      <c r="AE162">
        <v>0.50700000000000001</v>
      </c>
      <c r="AF162">
        <v>0.34</v>
      </c>
      <c r="AG162">
        <v>2.1000000000000001E-2</v>
      </c>
      <c r="AH162">
        <v>0.20399999999999999</v>
      </c>
      <c r="AI162">
        <v>-0.51200000000000001</v>
      </c>
      <c r="AJ162">
        <v>0.16900000000000001</v>
      </c>
      <c r="AK162">
        <v>-0.73</v>
      </c>
      <c r="AL162">
        <v>-0.79600000000000004</v>
      </c>
      <c r="AM162">
        <v>1</v>
      </c>
      <c r="AN162">
        <v>-0.503</v>
      </c>
      <c r="AO162">
        <v>-0.47099999999999997</v>
      </c>
      <c r="AP162">
        <v>8.4000000000000005E-2</v>
      </c>
      <c r="AQ162">
        <v>-0.80300000000000005</v>
      </c>
      <c r="AR162">
        <v>-0.65500000000000003</v>
      </c>
      <c r="AS162">
        <v>-0.128</v>
      </c>
      <c r="AT162">
        <v>0.249</v>
      </c>
      <c r="AU162">
        <v>0.20200000000000001</v>
      </c>
      <c r="AV162">
        <v>0.54900000000000004</v>
      </c>
      <c r="AW162">
        <v>-0.58199999999999996</v>
      </c>
      <c r="AX162">
        <v>-0.126</v>
      </c>
      <c r="AY162">
        <v>0.28100000000000003</v>
      </c>
      <c r="AZ162">
        <v>-0.317</v>
      </c>
      <c r="BA162">
        <v>-0.37</v>
      </c>
      <c r="BB162">
        <v>0.22900000000000001</v>
      </c>
      <c r="BC162">
        <v>-0.19700000000000001</v>
      </c>
      <c r="BD162">
        <v>-0.29199999999999998</v>
      </c>
      <c r="BE162">
        <v>0.24</v>
      </c>
      <c r="BF162">
        <v>0.247</v>
      </c>
      <c r="BG162">
        <v>-1</v>
      </c>
      <c r="BH162">
        <v>-0.54500000000000004</v>
      </c>
      <c r="BI162">
        <v>-0.39400000000000002</v>
      </c>
      <c r="BJ162">
        <v>0.40799999999999997</v>
      </c>
      <c r="BK162">
        <v>-0.184</v>
      </c>
      <c r="BL162">
        <v>-0.61599999999999999</v>
      </c>
      <c r="BM162">
        <v>0.184</v>
      </c>
    </row>
    <row r="163" spans="1:65" x14ac:dyDescent="0.3">
      <c r="A163" t="s">
        <v>260</v>
      </c>
      <c r="B163">
        <v>0</v>
      </c>
      <c r="C163">
        <v>0</v>
      </c>
      <c r="M163" t="s">
        <v>246</v>
      </c>
      <c r="N163">
        <v>0.55800000000000005</v>
      </c>
      <c r="O163">
        <v>1.0609999999999999</v>
      </c>
      <c r="P163" t="s">
        <v>53</v>
      </c>
      <c r="Q163">
        <v>0</v>
      </c>
      <c r="R163">
        <v>-2.4E-2</v>
      </c>
      <c r="S163">
        <v>54</v>
      </c>
      <c r="T163">
        <v>-0.79900000000000004</v>
      </c>
      <c r="U163">
        <v>-0.70299999999999996</v>
      </c>
      <c r="V163">
        <v>-0.89</v>
      </c>
      <c r="W163">
        <v>-0.82799999999999996</v>
      </c>
      <c r="X163">
        <v>-0.86299999999999999</v>
      </c>
      <c r="Y163">
        <v>-0.71199999999999997</v>
      </c>
      <c r="Z163">
        <v>-0.65100000000000002</v>
      </c>
      <c r="AA163">
        <v>-0.75</v>
      </c>
      <c r="AB163">
        <v>-7.1999999999999995E-2</v>
      </c>
      <c r="AC163">
        <v>-7.2999999999999995E-2</v>
      </c>
      <c r="AD163">
        <v>0.58299999999999996</v>
      </c>
      <c r="AE163">
        <v>0.66100000000000003</v>
      </c>
      <c r="AF163">
        <v>0.29399999999999998</v>
      </c>
      <c r="AG163">
        <v>-1</v>
      </c>
      <c r="AH163">
        <v>-0.39200000000000002</v>
      </c>
      <c r="AI163">
        <v>-0.45800000000000002</v>
      </c>
      <c r="AJ163">
        <v>-0.93700000000000006</v>
      </c>
      <c r="AK163">
        <v>-0.33600000000000002</v>
      </c>
      <c r="AL163">
        <v>-0.54700000000000004</v>
      </c>
      <c r="AM163">
        <v>-0.55900000000000005</v>
      </c>
      <c r="AN163">
        <v>-0.63700000000000001</v>
      </c>
      <c r="AO163">
        <v>-0.41699999999999998</v>
      </c>
      <c r="AP163">
        <v>0.151</v>
      </c>
      <c r="AQ163">
        <v>0.253</v>
      </c>
      <c r="AR163">
        <v>0.60799999999999998</v>
      </c>
      <c r="AS163">
        <v>1.2999999999999999E-2</v>
      </c>
      <c r="AT163">
        <v>0.29299999999999998</v>
      </c>
      <c r="AU163">
        <v>8.3000000000000004E-2</v>
      </c>
      <c r="AV163">
        <v>-0.26800000000000002</v>
      </c>
      <c r="AW163">
        <v>-0.47799999999999998</v>
      </c>
      <c r="AX163">
        <v>-0.48099999999999998</v>
      </c>
      <c r="AY163">
        <v>0.28299999999999997</v>
      </c>
      <c r="AZ163">
        <v>-0.28799999999999998</v>
      </c>
      <c r="BA163">
        <v>0.747</v>
      </c>
      <c r="BB163">
        <v>0.54500000000000004</v>
      </c>
      <c r="BC163">
        <v>-0.42</v>
      </c>
      <c r="BD163">
        <v>-9.2999999999999999E-2</v>
      </c>
      <c r="BE163">
        <v>8.6999999999999994E-2</v>
      </c>
      <c r="BF163">
        <v>-0.27100000000000002</v>
      </c>
      <c r="BG163">
        <v>-0.63700000000000001</v>
      </c>
      <c r="BH163">
        <v>1</v>
      </c>
      <c r="BI163">
        <v>0.58099999999999996</v>
      </c>
      <c r="BJ163">
        <v>-0.113</v>
      </c>
      <c r="BK163">
        <v>4.9000000000000002E-2</v>
      </c>
      <c r="BL163">
        <v>-0.104</v>
      </c>
      <c r="BM163">
        <v>-0.191</v>
      </c>
    </row>
    <row r="164" spans="1:65" x14ac:dyDescent="0.3">
      <c r="A164" t="s">
        <v>231</v>
      </c>
      <c r="B164">
        <v>0</v>
      </c>
      <c r="C164">
        <v>0</v>
      </c>
      <c r="M164" t="s">
        <v>156</v>
      </c>
      <c r="N164">
        <v>0.55700000000000005</v>
      </c>
      <c r="O164">
        <v>0.67900000000000005</v>
      </c>
      <c r="P164" t="s">
        <v>55</v>
      </c>
      <c r="Q164">
        <v>0</v>
      </c>
      <c r="R164">
        <v>-7.0000000000000001E-3</v>
      </c>
      <c r="S164">
        <v>80</v>
      </c>
      <c r="T164">
        <v>-0.76500000000000001</v>
      </c>
      <c r="U164">
        <v>-0.73299999999999998</v>
      </c>
      <c r="V164">
        <v>-0.80900000000000005</v>
      </c>
      <c r="W164">
        <v>-0.745</v>
      </c>
      <c r="X164">
        <v>-0.75600000000000001</v>
      </c>
      <c r="Y164">
        <v>-0.70799999999999996</v>
      </c>
      <c r="Z164">
        <v>-0.60299999999999998</v>
      </c>
      <c r="AA164">
        <v>-0.74099999999999999</v>
      </c>
      <c r="AB164">
        <v>-0.19700000000000001</v>
      </c>
      <c r="AC164">
        <v>-0.19600000000000001</v>
      </c>
      <c r="AD164">
        <v>0.42099999999999999</v>
      </c>
      <c r="AE164">
        <v>0.64700000000000002</v>
      </c>
      <c r="AF164">
        <v>0.27400000000000002</v>
      </c>
      <c r="AG164">
        <v>-0.81299999999999994</v>
      </c>
      <c r="AH164">
        <v>0.105</v>
      </c>
      <c r="AI164">
        <v>9.0999999999999998E-2</v>
      </c>
      <c r="AJ164">
        <v>-0.23400000000000001</v>
      </c>
      <c r="AK164">
        <v>-0.40699999999999997</v>
      </c>
      <c r="AL164">
        <v>-0.84699999999999998</v>
      </c>
      <c r="AM164">
        <v>-5.0000000000000001E-3</v>
      </c>
      <c r="AN164">
        <v>-0.28299999999999997</v>
      </c>
      <c r="AO164">
        <v>6.0000000000000001E-3</v>
      </c>
      <c r="AP164">
        <v>0.58599999999999997</v>
      </c>
      <c r="AQ164">
        <v>-0.438</v>
      </c>
      <c r="AR164">
        <v>-0.24</v>
      </c>
      <c r="AS164">
        <v>0.25700000000000001</v>
      </c>
      <c r="AT164">
        <v>-0.24299999999999999</v>
      </c>
      <c r="AU164">
        <v>-0.68300000000000005</v>
      </c>
      <c r="AV164">
        <v>-6.4000000000000001E-2</v>
      </c>
      <c r="AW164">
        <v>0.14699999999999999</v>
      </c>
      <c r="AX164">
        <v>-0.54500000000000004</v>
      </c>
      <c r="AY164">
        <v>-0.35</v>
      </c>
      <c r="AZ164">
        <v>-0.97299999999999998</v>
      </c>
      <c r="BA164">
        <v>0.84599999999999997</v>
      </c>
      <c r="BB164">
        <v>0.39</v>
      </c>
      <c r="BC164">
        <v>0.56100000000000005</v>
      </c>
      <c r="BD164">
        <v>-0.55100000000000005</v>
      </c>
      <c r="BE164">
        <v>-0.79600000000000004</v>
      </c>
      <c r="BF164">
        <v>0.255</v>
      </c>
      <c r="BG164">
        <v>0.58599999999999997</v>
      </c>
      <c r="BH164">
        <v>-1</v>
      </c>
      <c r="BI164">
        <v>-0.105</v>
      </c>
      <c r="BJ164">
        <v>-0.218</v>
      </c>
      <c r="BK164">
        <v>0.90100000000000002</v>
      </c>
      <c r="BL164">
        <v>-0.27900000000000003</v>
      </c>
      <c r="BM164">
        <v>0.13100000000000001</v>
      </c>
    </row>
    <row r="165" spans="1:65" x14ac:dyDescent="0.3">
      <c r="A165" t="s">
        <v>216</v>
      </c>
      <c r="B165">
        <v>0</v>
      </c>
      <c r="C165">
        <v>1.2062368480711299E-2</v>
      </c>
      <c r="M165" t="s">
        <v>227</v>
      </c>
      <c r="N165">
        <v>0.55700000000000005</v>
      </c>
      <c r="O165">
        <v>0.47199999999999998</v>
      </c>
      <c r="P165" t="s">
        <v>71</v>
      </c>
      <c r="Q165">
        <v>0</v>
      </c>
      <c r="R165">
        <v>0</v>
      </c>
      <c r="S165">
        <v>80</v>
      </c>
      <c r="T165">
        <v>-0.93400000000000005</v>
      </c>
      <c r="U165">
        <v>-0.91100000000000003</v>
      </c>
      <c r="V165">
        <v>-0.98599999999999999</v>
      </c>
      <c r="W165">
        <v>-0.88400000000000001</v>
      </c>
      <c r="X165">
        <v>-0.93899999999999995</v>
      </c>
      <c r="Y165">
        <v>-0.73299999999999998</v>
      </c>
      <c r="Z165">
        <v>-0.66600000000000004</v>
      </c>
      <c r="AA165">
        <v>-0.78900000000000003</v>
      </c>
      <c r="AB165">
        <v>0.28799999999999998</v>
      </c>
      <c r="AC165">
        <v>0.29099999999999998</v>
      </c>
      <c r="AD165">
        <v>0.32</v>
      </c>
      <c r="AE165">
        <v>0.49199999999999999</v>
      </c>
      <c r="AF165">
        <v>0.47</v>
      </c>
      <c r="AG165">
        <v>-1</v>
      </c>
      <c r="AH165">
        <v>-0.82899999999999996</v>
      </c>
      <c r="AI165">
        <v>-0.33200000000000002</v>
      </c>
      <c r="AJ165">
        <v>-0.97699999999999998</v>
      </c>
      <c r="AK165">
        <v>-0.86199999999999999</v>
      </c>
      <c r="AL165">
        <v>-0.95799999999999996</v>
      </c>
      <c r="AM165">
        <v>-0.104</v>
      </c>
      <c r="AN165">
        <v>-0.51200000000000001</v>
      </c>
      <c r="AO165">
        <v>-0.57999999999999996</v>
      </c>
      <c r="AP165">
        <v>-0.16600000000000001</v>
      </c>
      <c r="AQ165">
        <v>6.2E-2</v>
      </c>
      <c r="AR165">
        <v>-0.04</v>
      </c>
      <c r="AS165">
        <v>-0.43099999999999999</v>
      </c>
      <c r="AT165">
        <v>-0.32200000000000001</v>
      </c>
      <c r="AU165">
        <v>-0.38300000000000001</v>
      </c>
      <c r="AV165">
        <v>0.48599999999999999</v>
      </c>
      <c r="AW165">
        <v>-0.63600000000000001</v>
      </c>
      <c r="AX165">
        <v>-0.88200000000000001</v>
      </c>
      <c r="AY165">
        <v>0.67700000000000005</v>
      </c>
      <c r="AZ165">
        <v>-0.60399999999999998</v>
      </c>
      <c r="BA165">
        <v>0.56100000000000005</v>
      </c>
      <c r="BB165">
        <v>4.0000000000000001E-3</v>
      </c>
      <c r="BC165">
        <v>0.14499999999999999</v>
      </c>
      <c r="BD165">
        <v>-0.158</v>
      </c>
      <c r="BE165">
        <v>-0.21099999999999999</v>
      </c>
      <c r="BF165">
        <v>0.17</v>
      </c>
      <c r="BG165">
        <v>0.67200000000000004</v>
      </c>
      <c r="BH165">
        <v>-0.10299999999999999</v>
      </c>
      <c r="BI165">
        <v>0.75900000000000001</v>
      </c>
      <c r="BJ165">
        <v>-0.309</v>
      </c>
      <c r="BK165">
        <v>-0.43</v>
      </c>
      <c r="BL165">
        <v>0.187</v>
      </c>
      <c r="BM165">
        <v>-0.86599999999999999</v>
      </c>
    </row>
    <row r="166" spans="1:65" x14ac:dyDescent="0.3">
      <c r="A166" t="s">
        <v>215</v>
      </c>
      <c r="B166">
        <v>0</v>
      </c>
      <c r="C166">
        <v>0</v>
      </c>
      <c r="M166" t="s">
        <v>194</v>
      </c>
      <c r="N166">
        <v>0.55500000000000005</v>
      </c>
      <c r="O166">
        <v>0.998</v>
      </c>
      <c r="P166" t="s">
        <v>57</v>
      </c>
      <c r="Q166">
        <v>0</v>
      </c>
      <c r="R166">
        <v>-1.7999999999999999E-2</v>
      </c>
      <c r="S166">
        <v>58</v>
      </c>
      <c r="T166">
        <v>-0.83699999999999997</v>
      </c>
      <c r="U166">
        <v>-0.91</v>
      </c>
      <c r="V166">
        <v>-0.91</v>
      </c>
      <c r="W166">
        <v>-0.78500000000000003</v>
      </c>
      <c r="X166">
        <v>-0.88800000000000001</v>
      </c>
      <c r="Y166">
        <v>-0.66800000000000004</v>
      </c>
      <c r="Z166">
        <v>-0.46700000000000003</v>
      </c>
      <c r="AA166">
        <v>-0.77400000000000002</v>
      </c>
      <c r="AB166">
        <v>-0.122</v>
      </c>
      <c r="AC166">
        <v>-0.123</v>
      </c>
      <c r="AD166">
        <v>0.59599999999999997</v>
      </c>
      <c r="AE166">
        <v>0.56100000000000005</v>
      </c>
      <c r="AF166">
        <v>0.312</v>
      </c>
      <c r="AG166">
        <v>-0.55800000000000005</v>
      </c>
      <c r="AH166">
        <v>0.14000000000000001</v>
      </c>
      <c r="AI166">
        <v>-0.59199999999999997</v>
      </c>
      <c r="AJ166">
        <v>-0.621</v>
      </c>
      <c r="AK166">
        <v>-0.76100000000000001</v>
      </c>
      <c r="AL166">
        <v>-0.85099999999999998</v>
      </c>
      <c r="AM166">
        <v>-0.252</v>
      </c>
      <c r="AN166">
        <v>-7.0000000000000007E-2</v>
      </c>
      <c r="AO166">
        <v>-0.33100000000000002</v>
      </c>
      <c r="AP166">
        <v>0.184</v>
      </c>
      <c r="AQ166">
        <v>-0.51700000000000002</v>
      </c>
      <c r="AR166">
        <v>-0.54800000000000004</v>
      </c>
      <c r="AS166">
        <v>0.33600000000000002</v>
      </c>
      <c r="AT166">
        <v>9.4E-2</v>
      </c>
      <c r="AU166">
        <v>-0.441</v>
      </c>
      <c r="AV166">
        <v>-1.7000000000000001E-2</v>
      </c>
      <c r="AW166">
        <v>-0.188</v>
      </c>
      <c r="AX166">
        <v>-0.35799999999999998</v>
      </c>
      <c r="AY166">
        <v>-0.17599999999999999</v>
      </c>
      <c r="AZ166">
        <v>-0.185</v>
      </c>
      <c r="BA166">
        <v>0.81399999999999995</v>
      </c>
      <c r="BB166">
        <v>0.29499999999999998</v>
      </c>
      <c r="BC166">
        <v>0.436</v>
      </c>
      <c r="BD166">
        <v>-0.67800000000000005</v>
      </c>
      <c r="BE166">
        <v>-0.629</v>
      </c>
      <c r="BF166">
        <v>0.10299999999999999</v>
      </c>
      <c r="BG166">
        <v>0.51500000000000001</v>
      </c>
      <c r="BH166">
        <v>0.34399999999999997</v>
      </c>
      <c r="BI166">
        <v>0.64800000000000002</v>
      </c>
      <c r="BJ166">
        <v>-0.50800000000000001</v>
      </c>
      <c r="BK166">
        <v>0.67700000000000005</v>
      </c>
      <c r="BL166">
        <v>-0.78300000000000003</v>
      </c>
      <c r="BM166">
        <v>-0.379</v>
      </c>
    </row>
    <row r="167" spans="1:65" x14ac:dyDescent="0.3">
      <c r="A167" t="s">
        <v>126</v>
      </c>
      <c r="B167">
        <v>1.30666123910051E-2</v>
      </c>
      <c r="C167">
        <v>9.9104639769963098E-3</v>
      </c>
      <c r="M167" t="s">
        <v>252</v>
      </c>
      <c r="N167">
        <v>0.55200000000000005</v>
      </c>
      <c r="O167">
        <v>0.66700000000000004</v>
      </c>
      <c r="P167" t="s">
        <v>53</v>
      </c>
      <c r="Q167">
        <v>0</v>
      </c>
      <c r="R167">
        <v>-3.4000000000000002E-2</v>
      </c>
      <c r="S167">
        <v>42</v>
      </c>
      <c r="T167">
        <v>-0.745</v>
      </c>
      <c r="U167">
        <v>-0.80700000000000005</v>
      </c>
      <c r="V167">
        <v>-0.90400000000000003</v>
      </c>
      <c r="W167">
        <v>-0.73399999999999999</v>
      </c>
      <c r="X167">
        <v>-0.86699999999999999</v>
      </c>
      <c r="Y167">
        <v>-0.71399999999999997</v>
      </c>
      <c r="Z167">
        <v>-0.67300000000000004</v>
      </c>
      <c r="AA167">
        <v>-0.86099999999999999</v>
      </c>
      <c r="AB167">
        <v>-0.17799999999999999</v>
      </c>
      <c r="AC167">
        <v>-0.17499999999999999</v>
      </c>
      <c r="AD167">
        <v>0.60899999999999999</v>
      </c>
      <c r="AE167">
        <v>0.66500000000000004</v>
      </c>
      <c r="AF167">
        <v>0.32400000000000001</v>
      </c>
      <c r="AG167">
        <v>-0.39400000000000002</v>
      </c>
      <c r="AH167">
        <v>-0.32600000000000001</v>
      </c>
      <c r="AI167">
        <v>-0.60299999999999998</v>
      </c>
      <c r="AJ167">
        <v>-0.69399999999999995</v>
      </c>
      <c r="AK167">
        <v>-0.77400000000000002</v>
      </c>
      <c r="AL167">
        <v>-0.9</v>
      </c>
      <c r="AM167">
        <v>0.39400000000000002</v>
      </c>
      <c r="AN167">
        <v>-0.86699999999999999</v>
      </c>
      <c r="AO167">
        <v>-0.65100000000000002</v>
      </c>
      <c r="AP167">
        <v>9.0999999999999998E-2</v>
      </c>
      <c r="AQ167">
        <v>-0.26100000000000001</v>
      </c>
      <c r="AR167">
        <v>4.5999999999999999E-2</v>
      </c>
      <c r="AS167">
        <v>-0.18099999999999999</v>
      </c>
      <c r="AT167">
        <v>0.872</v>
      </c>
      <c r="AU167">
        <v>0.17</v>
      </c>
      <c r="AV167">
        <v>0.47799999999999998</v>
      </c>
      <c r="AW167">
        <v>-0.6</v>
      </c>
      <c r="AX167">
        <v>-5.0999999999999997E-2</v>
      </c>
      <c r="AY167">
        <v>-9.1999999999999998E-2</v>
      </c>
      <c r="AZ167">
        <v>-0.432</v>
      </c>
      <c r="BA167">
        <v>0.84499999999999997</v>
      </c>
      <c r="BB167">
        <v>0.111</v>
      </c>
      <c r="BC167">
        <v>-4.0000000000000001E-3</v>
      </c>
      <c r="BD167">
        <v>-0.184</v>
      </c>
      <c r="BE167">
        <v>7.4999999999999997E-2</v>
      </c>
      <c r="BF167">
        <v>0.251</v>
      </c>
      <c r="BG167">
        <v>0.114</v>
      </c>
      <c r="BH167">
        <v>1</v>
      </c>
      <c r="BI167">
        <v>0.45200000000000001</v>
      </c>
      <c r="BJ167">
        <v>0.121</v>
      </c>
      <c r="BK167">
        <v>0.33400000000000002</v>
      </c>
      <c r="BL167">
        <v>-0.51800000000000002</v>
      </c>
      <c r="BM167">
        <v>-0.126</v>
      </c>
    </row>
    <row r="168" spans="1:65" x14ac:dyDescent="0.3">
      <c r="A168" t="s">
        <v>54</v>
      </c>
      <c r="B168">
        <v>1.60682340853559E-2</v>
      </c>
      <c r="C168">
        <v>1.41902281757988E-2</v>
      </c>
      <c r="M168" t="s">
        <v>128</v>
      </c>
      <c r="N168">
        <v>0.55000000000000004</v>
      </c>
      <c r="O168">
        <v>0.42899999999999999</v>
      </c>
      <c r="P168" t="s">
        <v>68</v>
      </c>
      <c r="Q168">
        <v>0</v>
      </c>
      <c r="R168">
        <v>0</v>
      </c>
      <c r="S168">
        <v>80</v>
      </c>
      <c r="T168">
        <v>-0.83099999999999996</v>
      </c>
      <c r="U168">
        <v>-0.66100000000000003</v>
      </c>
      <c r="V168">
        <v>-0.56899999999999995</v>
      </c>
      <c r="W168">
        <v>-0.91300000000000003</v>
      </c>
      <c r="X168">
        <v>-0.80500000000000005</v>
      </c>
      <c r="Y168">
        <v>-0.84</v>
      </c>
      <c r="Z168">
        <v>-0.751</v>
      </c>
      <c r="AA168">
        <v>-0.89400000000000002</v>
      </c>
      <c r="AB168">
        <v>-7.8E-2</v>
      </c>
      <c r="AC168">
        <v>-7.6999999999999999E-2</v>
      </c>
      <c r="AD168">
        <v>0.253</v>
      </c>
      <c r="AE168">
        <v>0.43</v>
      </c>
      <c r="AF168">
        <v>0.48899999999999999</v>
      </c>
      <c r="AG168">
        <v>-0.879</v>
      </c>
      <c r="AH168">
        <v>-1</v>
      </c>
      <c r="AI168">
        <v>-0.52500000000000002</v>
      </c>
      <c r="AJ168">
        <v>-2.7E-2</v>
      </c>
      <c r="AK168">
        <v>0.185</v>
      </c>
      <c r="AL168">
        <v>-0.22800000000000001</v>
      </c>
      <c r="AM168">
        <v>-0.41499999999999998</v>
      </c>
      <c r="AN168">
        <v>-0.69</v>
      </c>
      <c r="AO168">
        <v>0.108</v>
      </c>
      <c r="AP168">
        <v>-0.49</v>
      </c>
      <c r="AQ168">
        <v>-0.20799999999999999</v>
      </c>
      <c r="AR168">
        <v>3.2000000000000001E-2</v>
      </c>
      <c r="AS168">
        <v>-0.63100000000000001</v>
      </c>
      <c r="AT168">
        <v>-0.68799999999999994</v>
      </c>
      <c r="AU168">
        <v>-5.3999999999999999E-2</v>
      </c>
      <c r="AV168">
        <v>-0.28599999999999998</v>
      </c>
      <c r="AW168">
        <v>-0.45900000000000002</v>
      </c>
      <c r="AX168">
        <v>-0.67500000000000004</v>
      </c>
      <c r="AY168">
        <v>0.37</v>
      </c>
      <c r="AZ168">
        <v>-0.312</v>
      </c>
      <c r="BA168">
        <v>0.60199999999999998</v>
      </c>
      <c r="BB168">
        <v>-1</v>
      </c>
      <c r="BC168">
        <v>0.45200000000000001</v>
      </c>
      <c r="BD168">
        <v>6.7000000000000004E-2</v>
      </c>
      <c r="BE168">
        <v>-7.2999999999999995E-2</v>
      </c>
      <c r="BF168">
        <v>-4.9000000000000002E-2</v>
      </c>
      <c r="BG168">
        <v>-0.19500000000000001</v>
      </c>
      <c r="BH168">
        <v>0.66900000000000004</v>
      </c>
      <c r="BI168">
        <v>0.84499999999999997</v>
      </c>
      <c r="BJ168">
        <v>0.60799999999999998</v>
      </c>
      <c r="BK168">
        <v>-6.2E-2</v>
      </c>
      <c r="BL168">
        <v>0.79600000000000004</v>
      </c>
      <c r="BM168">
        <v>0.73199999999999998</v>
      </c>
    </row>
    <row r="169" spans="1:65" x14ac:dyDescent="0.3">
      <c r="A169" t="s">
        <v>190</v>
      </c>
      <c r="B169">
        <v>0</v>
      </c>
      <c r="C169">
        <v>0</v>
      </c>
      <c r="M169" t="s">
        <v>247</v>
      </c>
      <c r="N169">
        <v>0.54800000000000004</v>
      </c>
      <c r="O169">
        <v>0.39700000000000002</v>
      </c>
      <c r="P169" t="s">
        <v>57</v>
      </c>
      <c r="Q169">
        <v>0</v>
      </c>
      <c r="R169">
        <v>0</v>
      </c>
      <c r="S169">
        <v>80</v>
      </c>
      <c r="T169">
        <v>-0.71</v>
      </c>
      <c r="U169">
        <v>-0.87</v>
      </c>
      <c r="V169">
        <v>-0.68500000000000005</v>
      </c>
      <c r="W169">
        <v>-0.79700000000000004</v>
      </c>
      <c r="X169">
        <v>-0.86199999999999999</v>
      </c>
      <c r="Y169">
        <v>-0.68100000000000005</v>
      </c>
      <c r="Z169">
        <v>-0.43</v>
      </c>
      <c r="AA169">
        <v>-0.91800000000000004</v>
      </c>
      <c r="AB169">
        <v>0.122</v>
      </c>
      <c r="AC169">
        <v>0.11899999999999999</v>
      </c>
      <c r="AD169">
        <v>-4.2000000000000003E-2</v>
      </c>
      <c r="AE169">
        <v>0.32400000000000001</v>
      </c>
      <c r="AF169">
        <v>0.22600000000000001</v>
      </c>
      <c r="AG169">
        <v>-0.96899999999999997</v>
      </c>
      <c r="AH169">
        <v>0.52900000000000003</v>
      </c>
      <c r="AI169">
        <v>-0.98799999999999999</v>
      </c>
      <c r="AJ169">
        <v>-0.81200000000000006</v>
      </c>
      <c r="AK169">
        <v>-1</v>
      </c>
      <c r="AL169">
        <v>-0.29599999999999999</v>
      </c>
      <c r="AM169">
        <v>-0.41499999999999998</v>
      </c>
      <c r="AN169">
        <v>-0.65700000000000003</v>
      </c>
      <c r="AO169">
        <v>-0.20399999999999999</v>
      </c>
      <c r="AP169">
        <v>0.33400000000000002</v>
      </c>
      <c r="AQ169">
        <v>-0.873</v>
      </c>
      <c r="AR169">
        <v>-0.92200000000000004</v>
      </c>
      <c r="AS169">
        <v>0.32800000000000001</v>
      </c>
      <c r="AT169">
        <v>0.99299999999999999</v>
      </c>
      <c r="AU169">
        <v>-0.123</v>
      </c>
      <c r="AV169">
        <v>0.17599999999999999</v>
      </c>
      <c r="AW169">
        <v>0.77300000000000002</v>
      </c>
      <c r="AX169">
        <v>-0.40699999999999997</v>
      </c>
      <c r="AY169">
        <v>-0.218</v>
      </c>
      <c r="AZ169">
        <v>2.7E-2</v>
      </c>
      <c r="BA169">
        <v>-0.13800000000000001</v>
      </c>
      <c r="BB169">
        <v>0.375</v>
      </c>
      <c r="BC169">
        <v>0.67300000000000004</v>
      </c>
      <c r="BD169">
        <v>-0.15</v>
      </c>
      <c r="BE169">
        <v>-0.28999999999999998</v>
      </c>
      <c r="BF169">
        <v>-0.11899999999999999</v>
      </c>
      <c r="BG169">
        <v>1</v>
      </c>
      <c r="BH169">
        <v>1</v>
      </c>
      <c r="BI169">
        <v>0.17100000000000001</v>
      </c>
      <c r="BJ169">
        <v>-0.33700000000000002</v>
      </c>
      <c r="BK169">
        <v>0.20300000000000001</v>
      </c>
      <c r="BL169">
        <v>0.53200000000000003</v>
      </c>
      <c r="BM169">
        <v>-0.109</v>
      </c>
    </row>
    <row r="170" spans="1:65" x14ac:dyDescent="0.3">
      <c r="A170" t="s">
        <v>277</v>
      </c>
      <c r="B170">
        <v>0</v>
      </c>
      <c r="C170">
        <v>0</v>
      </c>
      <c r="M170" t="s">
        <v>176</v>
      </c>
      <c r="N170">
        <v>0.54500000000000004</v>
      </c>
      <c r="O170">
        <v>0.42</v>
      </c>
      <c r="P170" t="s">
        <v>57</v>
      </c>
      <c r="Q170">
        <v>0</v>
      </c>
      <c r="R170">
        <v>-7.0000000000000001E-3</v>
      </c>
      <c r="S170">
        <v>76</v>
      </c>
      <c r="T170">
        <v>-0.54600000000000004</v>
      </c>
      <c r="U170">
        <v>-0.83699999999999997</v>
      </c>
      <c r="V170">
        <v>-0.439</v>
      </c>
      <c r="W170">
        <v>-0.34899999999999998</v>
      </c>
      <c r="X170">
        <v>-0.60399999999999998</v>
      </c>
      <c r="Y170">
        <v>-0.70799999999999996</v>
      </c>
      <c r="Z170">
        <v>-0.73499999999999999</v>
      </c>
      <c r="AA170">
        <v>-0.84199999999999997</v>
      </c>
      <c r="AB170">
        <v>-0.316</v>
      </c>
      <c r="AC170">
        <v>-0.313</v>
      </c>
      <c r="AD170">
        <v>0.32500000000000001</v>
      </c>
      <c r="AE170">
        <v>-0.104</v>
      </c>
      <c r="AF170">
        <v>7.9000000000000001E-2</v>
      </c>
      <c r="AG170">
        <v>0.73599999999999999</v>
      </c>
      <c r="AH170">
        <v>0.17399999999999999</v>
      </c>
      <c r="AI170">
        <v>-0.66400000000000003</v>
      </c>
      <c r="AJ170">
        <v>-0.24</v>
      </c>
      <c r="AK170">
        <v>-0.53800000000000003</v>
      </c>
      <c r="AL170">
        <v>0.63800000000000001</v>
      </c>
      <c r="AM170">
        <v>0.39100000000000001</v>
      </c>
      <c r="AN170">
        <v>-0.72199999999999998</v>
      </c>
      <c r="AO170">
        <v>-0.25600000000000001</v>
      </c>
      <c r="AP170">
        <v>0.19600000000000001</v>
      </c>
      <c r="AQ170">
        <v>-0.82</v>
      </c>
      <c r="AR170">
        <v>4.4999999999999998E-2</v>
      </c>
      <c r="AS170">
        <v>0.60399999999999998</v>
      </c>
      <c r="AT170">
        <v>-0.309</v>
      </c>
      <c r="AU170">
        <v>-0.45100000000000001</v>
      </c>
      <c r="AV170">
        <v>0.29099999999999998</v>
      </c>
      <c r="AW170">
        <v>-0.19500000000000001</v>
      </c>
      <c r="AX170">
        <v>0.80100000000000005</v>
      </c>
      <c r="AY170">
        <v>-0.59799999999999998</v>
      </c>
      <c r="AZ170">
        <v>8.8999999999999996E-2</v>
      </c>
      <c r="BA170">
        <v>0.66200000000000003</v>
      </c>
      <c r="BB170">
        <v>8.4000000000000005E-2</v>
      </c>
      <c r="BC170">
        <v>-0.23699999999999999</v>
      </c>
      <c r="BD170">
        <v>-0.14599999999999999</v>
      </c>
      <c r="BE170">
        <v>-0.215</v>
      </c>
      <c r="BF170">
        <v>0.42899999999999999</v>
      </c>
      <c r="BG170">
        <v>0.151</v>
      </c>
      <c r="BH170">
        <v>-0.187</v>
      </c>
      <c r="BI170">
        <v>-0.215</v>
      </c>
      <c r="BJ170">
        <v>-0.56999999999999995</v>
      </c>
      <c r="BK170">
        <v>0.34599999999999997</v>
      </c>
      <c r="BL170">
        <v>-0.84799999999999998</v>
      </c>
      <c r="BM170">
        <v>0.39800000000000002</v>
      </c>
    </row>
    <row r="171" spans="1:65" x14ac:dyDescent="0.3">
      <c r="A171" t="s">
        <v>267</v>
      </c>
      <c r="B171">
        <v>0</v>
      </c>
      <c r="C171">
        <v>0</v>
      </c>
      <c r="M171" t="s">
        <v>178</v>
      </c>
      <c r="N171">
        <v>0.54400000000000004</v>
      </c>
      <c r="O171">
        <v>0.42799999999999999</v>
      </c>
      <c r="P171" t="s">
        <v>53</v>
      </c>
      <c r="Q171">
        <v>0</v>
      </c>
      <c r="R171">
        <v>0</v>
      </c>
      <c r="S171">
        <v>25</v>
      </c>
      <c r="T171">
        <v>-0.85299999999999998</v>
      </c>
      <c r="U171">
        <v>-0.92600000000000005</v>
      </c>
      <c r="V171">
        <v>-0.94799999999999995</v>
      </c>
      <c r="W171">
        <v>-0.81499999999999995</v>
      </c>
      <c r="X171">
        <v>-0.93300000000000005</v>
      </c>
      <c r="Y171">
        <v>-0.71499999999999997</v>
      </c>
      <c r="Z171">
        <v>-0.53500000000000003</v>
      </c>
      <c r="AA171">
        <v>-0.84399999999999997</v>
      </c>
      <c r="AB171">
        <v>-8.4000000000000005E-2</v>
      </c>
      <c r="AC171">
        <v>-8.3000000000000004E-2</v>
      </c>
      <c r="AD171">
        <v>0.53</v>
      </c>
      <c r="AE171">
        <v>0.54100000000000004</v>
      </c>
      <c r="AF171">
        <v>0.252</v>
      </c>
      <c r="AG171">
        <v>-0.443</v>
      </c>
      <c r="AH171">
        <v>-0.88200000000000001</v>
      </c>
      <c r="AI171">
        <v>-0.84299999999999997</v>
      </c>
      <c r="AJ171">
        <v>-0.97599999999999998</v>
      </c>
      <c r="AK171">
        <v>-0.83799999999999997</v>
      </c>
      <c r="AL171">
        <v>-0.70899999999999996</v>
      </c>
      <c r="AM171">
        <v>-0.32400000000000001</v>
      </c>
      <c r="AN171">
        <v>-0.76</v>
      </c>
      <c r="AO171">
        <v>-0.91</v>
      </c>
      <c r="AP171">
        <v>0.40400000000000003</v>
      </c>
      <c r="AQ171">
        <v>-0.219</v>
      </c>
      <c r="AR171">
        <v>-0.61199999999999999</v>
      </c>
      <c r="AS171">
        <v>-4.9000000000000002E-2</v>
      </c>
      <c r="AT171">
        <v>0.159</v>
      </c>
      <c r="AU171">
        <v>-0.66400000000000003</v>
      </c>
      <c r="AV171">
        <v>0.52100000000000002</v>
      </c>
      <c r="AW171">
        <v>-0.42499999999999999</v>
      </c>
      <c r="AX171">
        <v>0.36699999999999999</v>
      </c>
      <c r="AY171">
        <v>0.31</v>
      </c>
      <c r="AZ171">
        <v>-9.7000000000000003E-2</v>
      </c>
      <c r="BA171">
        <v>0.94699999999999995</v>
      </c>
      <c r="BB171">
        <v>0.51</v>
      </c>
      <c r="BC171">
        <v>0.36799999999999999</v>
      </c>
      <c r="BD171">
        <v>-0.26600000000000001</v>
      </c>
      <c r="BE171">
        <v>-0.127</v>
      </c>
      <c r="BF171">
        <v>0.38600000000000001</v>
      </c>
      <c r="BG171">
        <v>0.30299999999999999</v>
      </c>
      <c r="BH171">
        <v>-0.12</v>
      </c>
      <c r="BI171">
        <v>0.64200000000000002</v>
      </c>
      <c r="BJ171">
        <v>-5.2999999999999999E-2</v>
      </c>
      <c r="BK171">
        <v>-0.28399999999999997</v>
      </c>
      <c r="BL171">
        <v>-0.254</v>
      </c>
      <c r="BM171">
        <v>-0.67700000000000005</v>
      </c>
    </row>
    <row r="172" spans="1:65" x14ac:dyDescent="0.3">
      <c r="A172" t="s">
        <v>234</v>
      </c>
      <c r="B172">
        <v>0</v>
      </c>
      <c r="C172">
        <v>0</v>
      </c>
      <c r="M172" t="s">
        <v>197</v>
      </c>
      <c r="N172">
        <v>0.54300000000000004</v>
      </c>
      <c r="O172">
        <v>0.60899999999999999</v>
      </c>
      <c r="P172" t="s">
        <v>53</v>
      </c>
      <c r="Q172">
        <v>0</v>
      </c>
      <c r="R172">
        <v>0</v>
      </c>
      <c r="S172">
        <v>21</v>
      </c>
      <c r="T172">
        <v>-0.82799999999999996</v>
      </c>
      <c r="U172">
        <v>-0.94399999999999995</v>
      </c>
      <c r="V172">
        <v>-0.92600000000000005</v>
      </c>
      <c r="W172">
        <v>-0.78200000000000003</v>
      </c>
      <c r="X172">
        <v>-0.92100000000000004</v>
      </c>
      <c r="Y172">
        <v>-0.67300000000000004</v>
      </c>
      <c r="Z172">
        <v>-0.51100000000000001</v>
      </c>
      <c r="AA172">
        <v>-0.78600000000000003</v>
      </c>
      <c r="AB172">
        <v>-0.32100000000000001</v>
      </c>
      <c r="AC172">
        <v>-0.32100000000000001</v>
      </c>
      <c r="AD172">
        <v>0.58899999999999997</v>
      </c>
      <c r="AE172">
        <v>0.50900000000000001</v>
      </c>
      <c r="AF172">
        <v>0.23499999999999999</v>
      </c>
      <c r="AG172">
        <v>-0.501</v>
      </c>
      <c r="AH172">
        <v>-0.01</v>
      </c>
      <c r="AI172">
        <v>-0.97699999999999998</v>
      </c>
      <c r="AJ172">
        <v>-0.94699999999999995</v>
      </c>
      <c r="AK172">
        <v>-1</v>
      </c>
      <c r="AL172">
        <v>-0.97299999999999998</v>
      </c>
      <c r="AM172">
        <v>-0.5</v>
      </c>
      <c r="AN172">
        <v>-0.11799999999999999</v>
      </c>
      <c r="AO172">
        <v>-0.85399999999999998</v>
      </c>
      <c r="AP172">
        <v>0.316</v>
      </c>
      <c r="AQ172">
        <v>-0.45</v>
      </c>
      <c r="AR172">
        <v>-0.218</v>
      </c>
      <c r="AS172">
        <v>0.41499999999999998</v>
      </c>
      <c r="AT172">
        <v>0.27200000000000002</v>
      </c>
      <c r="AU172">
        <v>-0.34799999999999998</v>
      </c>
      <c r="AV172">
        <v>-1.2999999999999999E-2</v>
      </c>
      <c r="AW172">
        <v>-0.34300000000000003</v>
      </c>
      <c r="AX172">
        <v>-0.115</v>
      </c>
      <c r="AY172">
        <v>0.214</v>
      </c>
      <c r="AZ172">
        <v>0.20499999999999999</v>
      </c>
      <c r="BA172">
        <v>0.83899999999999997</v>
      </c>
      <c r="BB172">
        <v>0.25600000000000001</v>
      </c>
      <c r="BC172">
        <v>0.65600000000000003</v>
      </c>
      <c r="BD172">
        <v>2.3E-2</v>
      </c>
      <c r="BE172">
        <v>-0.247</v>
      </c>
      <c r="BF172">
        <v>0.22</v>
      </c>
      <c r="BG172">
        <v>0.222</v>
      </c>
      <c r="BH172">
        <v>0.437</v>
      </c>
      <c r="BI172">
        <v>0.32800000000000001</v>
      </c>
      <c r="BJ172">
        <v>-0.217</v>
      </c>
      <c r="BK172">
        <v>-0.20399999999999999</v>
      </c>
      <c r="BL172">
        <v>-0.14399999999999999</v>
      </c>
      <c r="BM172">
        <v>-0.874</v>
      </c>
    </row>
    <row r="173" spans="1:65" x14ac:dyDescent="0.3">
      <c r="A173" t="s">
        <v>85</v>
      </c>
      <c r="B173">
        <v>1.7907707251904499E-2</v>
      </c>
      <c r="C173">
        <v>1.8026514398718201E-2</v>
      </c>
      <c r="M173" t="s">
        <v>169</v>
      </c>
      <c r="N173">
        <v>0.54</v>
      </c>
      <c r="O173">
        <v>0.53900000000000003</v>
      </c>
      <c r="P173" t="s">
        <v>57</v>
      </c>
      <c r="Q173">
        <v>0</v>
      </c>
      <c r="R173">
        <v>0</v>
      </c>
      <c r="S173">
        <v>80</v>
      </c>
      <c r="T173">
        <v>-0.77500000000000002</v>
      </c>
      <c r="U173">
        <v>-0.91300000000000003</v>
      </c>
      <c r="V173">
        <v>-0.747</v>
      </c>
      <c r="W173">
        <v>-0.82699999999999996</v>
      </c>
      <c r="X173">
        <v>-0.89300000000000002</v>
      </c>
      <c r="Y173">
        <v>-0.70599999999999996</v>
      </c>
      <c r="Z173">
        <v>-0.60399999999999998</v>
      </c>
      <c r="AA173">
        <v>-0.88800000000000001</v>
      </c>
      <c r="AB173">
        <v>8.0000000000000002E-3</v>
      </c>
      <c r="AC173">
        <v>6.0000000000000001E-3</v>
      </c>
      <c r="AD173">
        <v>0.435</v>
      </c>
      <c r="AE173">
        <v>0.36499999999999999</v>
      </c>
      <c r="AF173">
        <v>0.14499999999999999</v>
      </c>
      <c r="AG173">
        <v>-0.94099999999999995</v>
      </c>
      <c r="AH173">
        <v>0.26700000000000002</v>
      </c>
      <c r="AI173">
        <v>-0.85</v>
      </c>
      <c r="AJ173">
        <v>-0.746</v>
      </c>
      <c r="AK173">
        <v>-0.94299999999999995</v>
      </c>
      <c r="AL173">
        <v>-0.46100000000000002</v>
      </c>
      <c r="AM173">
        <v>-0.252</v>
      </c>
      <c r="AN173">
        <v>-0.56499999999999995</v>
      </c>
      <c r="AO173">
        <v>-0.33100000000000002</v>
      </c>
      <c r="AP173">
        <v>0.38</v>
      </c>
      <c r="AQ173">
        <v>-0.60199999999999998</v>
      </c>
      <c r="AR173">
        <v>-0.621</v>
      </c>
      <c r="AS173">
        <v>0.375</v>
      </c>
      <c r="AT173">
        <v>0.29499999999999998</v>
      </c>
      <c r="AU173">
        <v>-0.19</v>
      </c>
      <c r="AV173">
        <v>-3.5000000000000003E-2</v>
      </c>
      <c r="AW173">
        <v>-0.188</v>
      </c>
      <c r="AX173">
        <v>-0.57299999999999995</v>
      </c>
      <c r="AY173">
        <v>0.06</v>
      </c>
      <c r="AZ173">
        <v>-0.185</v>
      </c>
      <c r="BA173">
        <v>0.63900000000000001</v>
      </c>
      <c r="BB173">
        <v>0.64800000000000002</v>
      </c>
      <c r="BC173">
        <v>0.32600000000000001</v>
      </c>
      <c r="BD173">
        <v>-0.26200000000000001</v>
      </c>
      <c r="BE173">
        <v>-0.54300000000000004</v>
      </c>
      <c r="BF173">
        <v>-1.7000000000000001E-2</v>
      </c>
      <c r="BG173">
        <v>0.42</v>
      </c>
      <c r="BH173">
        <v>0.33100000000000002</v>
      </c>
      <c r="BI173">
        <v>0.438</v>
      </c>
      <c r="BJ173">
        <v>-0.501</v>
      </c>
      <c r="BK173">
        <v>0.82699999999999996</v>
      </c>
      <c r="BL173">
        <v>0.54800000000000004</v>
      </c>
      <c r="BM173">
        <v>-0.379</v>
      </c>
    </row>
    <row r="174" spans="1:65" x14ac:dyDescent="0.3">
      <c r="A174" t="s">
        <v>228</v>
      </c>
      <c r="B174">
        <v>0</v>
      </c>
      <c r="C174">
        <v>0</v>
      </c>
      <c r="M174" t="s">
        <v>238</v>
      </c>
      <c r="N174">
        <v>0.54</v>
      </c>
      <c r="O174">
        <v>0.53400000000000003</v>
      </c>
      <c r="P174" t="s">
        <v>68</v>
      </c>
      <c r="Q174">
        <v>0</v>
      </c>
      <c r="R174">
        <v>-5.0000000000000001E-3</v>
      </c>
      <c r="S174">
        <v>80</v>
      </c>
      <c r="T174">
        <v>-0.77500000000000002</v>
      </c>
      <c r="U174">
        <v>-0.56999999999999995</v>
      </c>
      <c r="V174">
        <v>-0.68100000000000005</v>
      </c>
      <c r="W174">
        <v>-0.872</v>
      </c>
      <c r="X174">
        <v>-0.78700000000000003</v>
      </c>
      <c r="Y174">
        <v>-0.82399999999999995</v>
      </c>
      <c r="Z174">
        <v>-0.81899999999999995</v>
      </c>
      <c r="AA174">
        <v>-0.81399999999999995</v>
      </c>
      <c r="AB174">
        <v>-0.36499999999999999</v>
      </c>
      <c r="AC174">
        <v>-0.36299999999999999</v>
      </c>
      <c r="AD174">
        <v>-8.2000000000000003E-2</v>
      </c>
      <c r="AE174">
        <v>0.504</v>
      </c>
      <c r="AF174">
        <v>0.35299999999999998</v>
      </c>
      <c r="AG174">
        <v>-0.90200000000000002</v>
      </c>
      <c r="AH174">
        <v>-0.748</v>
      </c>
      <c r="AI174">
        <v>0.09</v>
      </c>
      <c r="AJ174">
        <v>4.5999999999999999E-2</v>
      </c>
      <c r="AK174">
        <v>0.55100000000000005</v>
      </c>
      <c r="AL174">
        <v>-0.71699999999999997</v>
      </c>
      <c r="AM174">
        <v>8.5999999999999993E-2</v>
      </c>
      <c r="AN174">
        <v>-0.61899999999999999</v>
      </c>
      <c r="AO174">
        <v>-0.112</v>
      </c>
      <c r="AP174">
        <v>-0.50900000000000001</v>
      </c>
      <c r="AQ174">
        <v>-0.14599999999999999</v>
      </c>
      <c r="AR174">
        <v>0.873</v>
      </c>
      <c r="AS174">
        <v>-0.63200000000000001</v>
      </c>
      <c r="AT174">
        <v>-1</v>
      </c>
      <c r="AU174">
        <v>-0.81899999999999995</v>
      </c>
      <c r="AV174">
        <v>-0.29299999999999998</v>
      </c>
      <c r="AW174">
        <v>-0.71799999999999997</v>
      </c>
      <c r="AX174">
        <v>-0.77600000000000002</v>
      </c>
      <c r="AY174">
        <v>0.32700000000000001</v>
      </c>
      <c r="AZ174">
        <v>-0.27</v>
      </c>
      <c r="BA174">
        <v>0.40100000000000002</v>
      </c>
      <c r="BB174">
        <v>-5.0000000000000001E-3</v>
      </c>
      <c r="BC174">
        <v>4.0000000000000001E-3</v>
      </c>
      <c r="BD174">
        <v>0.71399999999999997</v>
      </c>
      <c r="BE174">
        <v>0.433</v>
      </c>
      <c r="BF174">
        <v>0.23499999999999999</v>
      </c>
      <c r="BG174">
        <v>8.9999999999999993E-3</v>
      </c>
      <c r="BH174">
        <v>0.11</v>
      </c>
      <c r="BI174">
        <v>0.35899999999999999</v>
      </c>
      <c r="BJ174">
        <v>0.17699999999999999</v>
      </c>
      <c r="BK174">
        <v>0.71699999999999997</v>
      </c>
      <c r="BL174">
        <v>-3.0000000000000001E-3</v>
      </c>
      <c r="BM174">
        <v>0.378</v>
      </c>
    </row>
    <row r="175" spans="1:65" x14ac:dyDescent="0.3">
      <c r="A175" t="s">
        <v>255</v>
      </c>
      <c r="B175">
        <v>0</v>
      </c>
      <c r="C175">
        <v>0</v>
      </c>
      <c r="M175" t="s">
        <v>170</v>
      </c>
      <c r="N175">
        <v>0.53600000000000003</v>
      </c>
      <c r="O175">
        <v>0.48899999999999999</v>
      </c>
      <c r="P175" t="s">
        <v>57</v>
      </c>
      <c r="Q175">
        <v>0</v>
      </c>
      <c r="R175">
        <v>-4.0000000000000001E-3</v>
      </c>
      <c r="S175">
        <v>80</v>
      </c>
      <c r="T175">
        <v>-0.75</v>
      </c>
      <c r="U175">
        <v>-0.82699999999999996</v>
      </c>
      <c r="V175">
        <v>-0.75</v>
      </c>
      <c r="W175">
        <v>-0.78900000000000003</v>
      </c>
      <c r="X175">
        <v>-0.83399999999999996</v>
      </c>
      <c r="Y175">
        <v>-0.81</v>
      </c>
      <c r="Z175">
        <v>-0.80600000000000005</v>
      </c>
      <c r="AA175">
        <v>-0.879</v>
      </c>
      <c r="AB175">
        <v>-0.26800000000000002</v>
      </c>
      <c r="AC175">
        <v>-0.26800000000000002</v>
      </c>
      <c r="AD175">
        <v>0.45800000000000002</v>
      </c>
      <c r="AE175">
        <v>0.42199999999999999</v>
      </c>
      <c r="AF175">
        <v>0.20200000000000001</v>
      </c>
      <c r="AG175">
        <v>-0.6</v>
      </c>
      <c r="AH175">
        <v>-0.17299999999999999</v>
      </c>
      <c r="AI175">
        <v>-0.625</v>
      </c>
      <c r="AJ175">
        <v>-0.33100000000000002</v>
      </c>
      <c r="AK175">
        <v>-0.21099999999999999</v>
      </c>
      <c r="AL175">
        <v>-0.28000000000000003</v>
      </c>
      <c r="AM175">
        <v>-0.28399999999999997</v>
      </c>
      <c r="AN175">
        <v>-0.57199999999999995</v>
      </c>
      <c r="AO175">
        <v>-0.34399999999999997</v>
      </c>
      <c r="AP175">
        <v>0.193</v>
      </c>
      <c r="AQ175">
        <v>-0.56699999999999995</v>
      </c>
      <c r="AR175">
        <v>0.115</v>
      </c>
      <c r="AS175">
        <v>0.35399999999999998</v>
      </c>
      <c r="AT175">
        <v>0.27400000000000002</v>
      </c>
      <c r="AU175">
        <v>0.17499999999999999</v>
      </c>
      <c r="AV175">
        <v>0.14199999999999999</v>
      </c>
      <c r="AW175">
        <v>-0.45100000000000001</v>
      </c>
      <c r="AX175">
        <v>-0.183</v>
      </c>
      <c r="AY175">
        <v>-0.40799999999999997</v>
      </c>
      <c r="AZ175">
        <v>-0.42499999999999999</v>
      </c>
      <c r="BA175">
        <v>0.65200000000000002</v>
      </c>
      <c r="BB175">
        <v>0.23499999999999999</v>
      </c>
      <c r="BC175">
        <v>0.42299999999999999</v>
      </c>
      <c r="BD175">
        <v>-0.309</v>
      </c>
      <c r="BE175">
        <v>-0.70299999999999996</v>
      </c>
      <c r="BF175">
        <v>0.21199999999999999</v>
      </c>
      <c r="BG175">
        <v>-0.113</v>
      </c>
      <c r="BH175">
        <v>0.11799999999999999</v>
      </c>
      <c r="BI175">
        <v>-3.3000000000000002E-2</v>
      </c>
      <c r="BJ175">
        <v>-8.3000000000000004E-2</v>
      </c>
      <c r="BK175">
        <v>0.29899999999999999</v>
      </c>
      <c r="BL175">
        <v>-0.17100000000000001</v>
      </c>
      <c r="BM175">
        <v>3.5000000000000003E-2</v>
      </c>
    </row>
    <row r="176" spans="1:65" x14ac:dyDescent="0.3">
      <c r="A176" t="s">
        <v>138</v>
      </c>
      <c r="B176">
        <v>0</v>
      </c>
      <c r="C176">
        <v>0</v>
      </c>
      <c r="M176" t="s">
        <v>217</v>
      </c>
      <c r="N176">
        <v>0.53500000000000003</v>
      </c>
      <c r="O176">
        <v>0.49299999999999999</v>
      </c>
      <c r="P176" t="s">
        <v>57</v>
      </c>
      <c r="Q176">
        <v>0</v>
      </c>
      <c r="R176">
        <v>0</v>
      </c>
      <c r="S176">
        <v>80</v>
      </c>
      <c r="T176">
        <v>-0.75900000000000001</v>
      </c>
      <c r="U176">
        <v>-0.86399999999999999</v>
      </c>
      <c r="V176">
        <v>-0.84699999999999998</v>
      </c>
      <c r="W176">
        <v>-0.81799999999999995</v>
      </c>
      <c r="X176">
        <v>-0.9</v>
      </c>
      <c r="Y176">
        <v>-0.79300000000000004</v>
      </c>
      <c r="Z176">
        <v>-0.75900000000000001</v>
      </c>
      <c r="AA176">
        <v>-0.88500000000000001</v>
      </c>
      <c r="AB176">
        <v>-0.16200000000000001</v>
      </c>
      <c r="AC176">
        <v>-0.16200000000000001</v>
      </c>
      <c r="AD176">
        <v>0.375</v>
      </c>
      <c r="AE176">
        <v>0.44</v>
      </c>
      <c r="AF176">
        <v>0.18</v>
      </c>
      <c r="AG176">
        <v>-0.97399999999999998</v>
      </c>
      <c r="AH176">
        <v>-0.17</v>
      </c>
      <c r="AI176">
        <v>-0.754</v>
      </c>
      <c r="AJ176">
        <v>-0.98399999999999999</v>
      </c>
      <c r="AK176">
        <v>-0.89900000000000002</v>
      </c>
      <c r="AL176">
        <v>-0.72</v>
      </c>
      <c r="AM176">
        <v>-0.28799999999999998</v>
      </c>
      <c r="AN176">
        <v>-0.72699999999999998</v>
      </c>
      <c r="AO176">
        <v>-0.63800000000000001</v>
      </c>
      <c r="AP176">
        <v>0.371</v>
      </c>
      <c r="AQ176">
        <v>-0.33100000000000002</v>
      </c>
      <c r="AR176">
        <v>-2.5999999999999999E-2</v>
      </c>
      <c r="AS176">
        <v>0.41099999999999998</v>
      </c>
      <c r="AT176">
        <v>0.47099999999999997</v>
      </c>
      <c r="AU176">
        <v>0.22700000000000001</v>
      </c>
      <c r="AV176">
        <v>4.5999999999999999E-2</v>
      </c>
      <c r="AW176">
        <v>-0.22900000000000001</v>
      </c>
      <c r="AX176">
        <v>-0.432</v>
      </c>
      <c r="AY176">
        <v>-4.2999999999999997E-2</v>
      </c>
      <c r="AZ176">
        <v>-0.24299999999999999</v>
      </c>
      <c r="BA176">
        <v>-6.8000000000000005E-2</v>
      </c>
      <c r="BB176">
        <v>0.13900000000000001</v>
      </c>
      <c r="BC176">
        <v>0.51300000000000001</v>
      </c>
      <c r="BD176">
        <v>-0.156</v>
      </c>
      <c r="BE176">
        <v>-0.05</v>
      </c>
      <c r="BF176">
        <v>0.17499999999999999</v>
      </c>
      <c r="BG176">
        <v>5.2999999999999999E-2</v>
      </c>
      <c r="BH176">
        <v>-0.26700000000000002</v>
      </c>
      <c r="BI176">
        <v>-6.6000000000000003E-2</v>
      </c>
      <c r="BJ176">
        <v>-3.5000000000000003E-2</v>
      </c>
      <c r="BK176">
        <v>0.505</v>
      </c>
      <c r="BL176">
        <v>0.60099999999999998</v>
      </c>
      <c r="BM176">
        <v>-0.65</v>
      </c>
    </row>
    <row r="177" spans="1:65" x14ac:dyDescent="0.3">
      <c r="A177" t="s">
        <v>186</v>
      </c>
      <c r="B177">
        <v>0</v>
      </c>
      <c r="C177">
        <v>0</v>
      </c>
      <c r="M177" t="s">
        <v>257</v>
      </c>
      <c r="N177">
        <v>0.53400000000000003</v>
      </c>
      <c r="O177">
        <v>0.40200000000000002</v>
      </c>
      <c r="P177" t="s">
        <v>57</v>
      </c>
      <c r="Q177">
        <v>0</v>
      </c>
      <c r="R177">
        <v>-5.0000000000000001E-3</v>
      </c>
      <c r="S177">
        <v>79</v>
      </c>
      <c r="T177">
        <v>-0.78300000000000003</v>
      </c>
      <c r="U177">
        <v>-0.68600000000000005</v>
      </c>
      <c r="V177">
        <v>-0.85</v>
      </c>
      <c r="W177">
        <v>-0.83899999999999997</v>
      </c>
      <c r="X177">
        <v>-0.84199999999999997</v>
      </c>
      <c r="Y177">
        <v>-0.81200000000000006</v>
      </c>
      <c r="Z177">
        <v>-0.75700000000000001</v>
      </c>
      <c r="AA177">
        <v>-0.83399999999999996</v>
      </c>
      <c r="AB177">
        <v>-0.20499999999999999</v>
      </c>
      <c r="AC177">
        <v>-0.20799999999999999</v>
      </c>
      <c r="AD177">
        <v>0.25</v>
      </c>
      <c r="AE177">
        <v>-3.1E-2</v>
      </c>
      <c r="AF177">
        <v>0.245</v>
      </c>
      <c r="AG177">
        <v>-0.65900000000000003</v>
      </c>
      <c r="AH177">
        <v>-0.64900000000000002</v>
      </c>
      <c r="AI177">
        <v>-0.71399999999999997</v>
      </c>
      <c r="AJ177">
        <v>-0.436</v>
      </c>
      <c r="AK177">
        <v>-0.42699999999999999</v>
      </c>
      <c r="AL177">
        <v>-0.81100000000000005</v>
      </c>
      <c r="AM177">
        <v>-3.2000000000000001E-2</v>
      </c>
      <c r="AN177">
        <v>-0.41899999999999998</v>
      </c>
      <c r="AO177">
        <v>-0.17699999999999999</v>
      </c>
      <c r="AP177">
        <v>0.35499999999999998</v>
      </c>
      <c r="AQ177">
        <v>-0.19800000000000001</v>
      </c>
      <c r="AR177">
        <v>-0.192</v>
      </c>
      <c r="AS177">
        <v>-0.12</v>
      </c>
      <c r="AT177">
        <v>9.6000000000000002E-2</v>
      </c>
      <c r="AU177">
        <v>0.24399999999999999</v>
      </c>
      <c r="AV177">
        <v>1.4E-2</v>
      </c>
      <c r="AW177">
        <v>0.123</v>
      </c>
      <c r="AX177">
        <v>-0.39700000000000002</v>
      </c>
      <c r="AY177">
        <v>-0.68700000000000006</v>
      </c>
      <c r="AZ177">
        <v>-0.36099999999999999</v>
      </c>
      <c r="BA177">
        <v>-0.13800000000000001</v>
      </c>
      <c r="BB177">
        <v>0.125</v>
      </c>
      <c r="BC177">
        <v>-2.3E-2</v>
      </c>
      <c r="BD177">
        <v>-0.1</v>
      </c>
      <c r="BE177">
        <v>-8.4000000000000005E-2</v>
      </c>
      <c r="BF177">
        <v>0.13700000000000001</v>
      </c>
      <c r="BG177">
        <v>0.30199999999999999</v>
      </c>
      <c r="BH177">
        <v>-3.0000000000000001E-3</v>
      </c>
      <c r="BI177">
        <v>-1.7000000000000001E-2</v>
      </c>
      <c r="BJ177">
        <v>0.47099999999999997</v>
      </c>
      <c r="BK177">
        <v>0.97799999999999998</v>
      </c>
      <c r="BL177">
        <v>-0.64200000000000002</v>
      </c>
      <c r="BM177">
        <v>0.308</v>
      </c>
    </row>
    <row r="178" spans="1:65" x14ac:dyDescent="0.3">
      <c r="A178" t="s">
        <v>230</v>
      </c>
      <c r="B178">
        <v>0</v>
      </c>
      <c r="C178">
        <v>0</v>
      </c>
      <c r="M178" t="s">
        <v>251</v>
      </c>
      <c r="N178">
        <v>0.53400000000000003</v>
      </c>
      <c r="O178">
        <v>0.36499999999999999</v>
      </c>
      <c r="P178" t="s">
        <v>55</v>
      </c>
      <c r="Q178">
        <v>0</v>
      </c>
      <c r="R178">
        <v>0</v>
      </c>
      <c r="S178">
        <v>80</v>
      </c>
      <c r="T178">
        <v>-0.67800000000000005</v>
      </c>
      <c r="U178">
        <v>-0.28199999999999997</v>
      </c>
      <c r="V178">
        <v>-0.155</v>
      </c>
      <c r="W178">
        <v>-0.874</v>
      </c>
      <c r="X178">
        <v>-0.58499999999999996</v>
      </c>
      <c r="Y178">
        <v>-0.83499999999999996</v>
      </c>
      <c r="Z178">
        <v>-0.879</v>
      </c>
      <c r="AA178">
        <v>-0.93500000000000005</v>
      </c>
      <c r="AB178">
        <v>-0.26700000000000002</v>
      </c>
      <c r="AC178">
        <v>-0.26700000000000002</v>
      </c>
      <c r="AD178">
        <v>0.121</v>
      </c>
      <c r="AE178">
        <v>-0.27</v>
      </c>
      <c r="AF178">
        <v>0.14099999999999999</v>
      </c>
      <c r="AG178">
        <v>-0.61499999999999999</v>
      </c>
      <c r="AH178">
        <v>-0.20599999999999999</v>
      </c>
      <c r="AI178">
        <v>-0.32400000000000001</v>
      </c>
      <c r="AJ178">
        <v>1</v>
      </c>
      <c r="AK178">
        <v>-0.34</v>
      </c>
      <c r="AL178">
        <v>-0.57799999999999996</v>
      </c>
      <c r="AM178">
        <v>0.68600000000000005</v>
      </c>
      <c r="AN178">
        <v>-1</v>
      </c>
      <c r="AO178">
        <v>0.79800000000000004</v>
      </c>
      <c r="AP178">
        <v>-0.27200000000000002</v>
      </c>
      <c r="AQ178">
        <v>-0.65300000000000002</v>
      </c>
      <c r="AR178">
        <v>-0.66900000000000004</v>
      </c>
      <c r="AS178">
        <v>-0.45700000000000002</v>
      </c>
      <c r="AT178">
        <v>-0.68200000000000005</v>
      </c>
      <c r="AU178">
        <v>-0.437</v>
      </c>
      <c r="AV178">
        <v>-0.26400000000000001</v>
      </c>
      <c r="AW178">
        <v>-0.40500000000000003</v>
      </c>
      <c r="AX178">
        <v>-0.81499999999999995</v>
      </c>
      <c r="AY178">
        <v>-0.61499999999999999</v>
      </c>
      <c r="AZ178">
        <v>-0.39300000000000002</v>
      </c>
      <c r="BA178">
        <v>0.54100000000000004</v>
      </c>
      <c r="BB178">
        <v>0.875</v>
      </c>
      <c r="BC178">
        <v>0.67900000000000005</v>
      </c>
      <c r="BD178">
        <v>-0.376</v>
      </c>
      <c r="BE178">
        <v>0.16800000000000001</v>
      </c>
      <c r="BF178">
        <v>-7.0999999999999994E-2</v>
      </c>
      <c r="BG178">
        <v>-6.0999999999999999E-2</v>
      </c>
      <c r="BH178">
        <v>-1.4999999999999999E-2</v>
      </c>
      <c r="BI178">
        <v>0.08</v>
      </c>
      <c r="BJ178">
        <v>0.97199999999999998</v>
      </c>
      <c r="BK178">
        <v>-6.9000000000000006E-2</v>
      </c>
      <c r="BL178">
        <v>0.45400000000000001</v>
      </c>
      <c r="BM178">
        <v>1</v>
      </c>
    </row>
    <row r="179" spans="1:65" x14ac:dyDescent="0.3">
      <c r="A179" t="s">
        <v>182</v>
      </c>
      <c r="B179">
        <v>0</v>
      </c>
      <c r="C179">
        <v>0</v>
      </c>
      <c r="M179" t="s">
        <v>231</v>
      </c>
      <c r="N179">
        <v>0.53400000000000003</v>
      </c>
      <c r="O179">
        <v>0.64600000000000002</v>
      </c>
      <c r="P179" t="s">
        <v>71</v>
      </c>
      <c r="Q179">
        <v>0</v>
      </c>
      <c r="R179">
        <v>-6.0000000000000001E-3</v>
      </c>
      <c r="S179">
        <v>80</v>
      </c>
      <c r="T179">
        <v>-0.93100000000000005</v>
      </c>
      <c r="U179">
        <v>-0.92100000000000004</v>
      </c>
      <c r="V179">
        <v>-0.95699999999999996</v>
      </c>
      <c r="W179">
        <v>-0.91200000000000003</v>
      </c>
      <c r="X179">
        <v>-0.95099999999999996</v>
      </c>
      <c r="Y179">
        <v>-0.84299999999999997</v>
      </c>
      <c r="Z179">
        <v>-0.85499999999999998</v>
      </c>
      <c r="AA179">
        <v>-0.86599999999999999</v>
      </c>
      <c r="AB179">
        <v>-9.6000000000000002E-2</v>
      </c>
      <c r="AC179">
        <v>-9.5000000000000001E-2</v>
      </c>
      <c r="AD179">
        <v>0.53600000000000003</v>
      </c>
      <c r="AE179">
        <v>0.52900000000000003</v>
      </c>
      <c r="AF179">
        <v>0.316</v>
      </c>
      <c r="AG179">
        <v>-0.94099999999999995</v>
      </c>
      <c r="AH179">
        <v>-0.93300000000000005</v>
      </c>
      <c r="AI179">
        <v>-0.47499999999999998</v>
      </c>
      <c r="AJ179">
        <v>-0.83399999999999996</v>
      </c>
      <c r="AK179">
        <v>-0.36199999999999999</v>
      </c>
      <c r="AL179">
        <v>-0.81299999999999994</v>
      </c>
      <c r="AM179">
        <v>-0.48199999999999998</v>
      </c>
      <c r="AN179">
        <v>-0.84599999999999997</v>
      </c>
      <c r="AO179">
        <v>-0.69699999999999995</v>
      </c>
      <c r="AP179">
        <v>-0.14499999999999999</v>
      </c>
      <c r="AQ179">
        <v>4.0000000000000001E-3</v>
      </c>
      <c r="AR179">
        <v>0.34899999999999998</v>
      </c>
      <c r="AS179">
        <v>-4.8000000000000001E-2</v>
      </c>
      <c r="AT179">
        <v>-0.40100000000000002</v>
      </c>
      <c r="AU179">
        <v>-0.71799999999999997</v>
      </c>
      <c r="AV179">
        <v>0.152</v>
      </c>
      <c r="AW179">
        <v>-0.55600000000000005</v>
      </c>
      <c r="AX179">
        <v>-0.52200000000000002</v>
      </c>
      <c r="AY179">
        <v>0.45200000000000001</v>
      </c>
      <c r="AZ179">
        <v>-3.1E-2</v>
      </c>
      <c r="BA179">
        <v>0.72799999999999998</v>
      </c>
      <c r="BB179">
        <v>0.59099999999999997</v>
      </c>
      <c r="BC179">
        <v>0.52700000000000002</v>
      </c>
      <c r="BD179">
        <v>-0.95199999999999996</v>
      </c>
      <c r="BE179">
        <v>-0.76800000000000002</v>
      </c>
      <c r="BF179">
        <v>-0.17799999999999999</v>
      </c>
      <c r="BG179">
        <v>-1</v>
      </c>
      <c r="BH179">
        <v>-0.98399999999999999</v>
      </c>
      <c r="BI179">
        <v>0</v>
      </c>
      <c r="BJ179">
        <v>-0.314</v>
      </c>
      <c r="BK179">
        <v>-0.316</v>
      </c>
      <c r="BL179">
        <v>0.35099999999999998</v>
      </c>
      <c r="BM179">
        <v>-7.6999999999999999E-2</v>
      </c>
    </row>
    <row r="180" spans="1:65" x14ac:dyDescent="0.3">
      <c r="A180" t="s">
        <v>60</v>
      </c>
      <c r="B180">
        <v>1.7842948571419201E-2</v>
      </c>
      <c r="C180">
        <v>1.0739004319166599E-2</v>
      </c>
      <c r="M180" t="s">
        <v>187</v>
      </c>
      <c r="N180">
        <v>0.53300000000000003</v>
      </c>
      <c r="O180">
        <v>0.54700000000000004</v>
      </c>
      <c r="P180" t="s">
        <v>53</v>
      </c>
      <c r="Q180">
        <v>0</v>
      </c>
      <c r="R180">
        <v>-6.0000000000000001E-3</v>
      </c>
      <c r="S180">
        <v>80</v>
      </c>
      <c r="T180">
        <v>-0.86399999999999999</v>
      </c>
      <c r="U180">
        <v>-0.92300000000000004</v>
      </c>
      <c r="V180">
        <v>-0.85299999999999998</v>
      </c>
      <c r="W180">
        <v>-0.84299999999999997</v>
      </c>
      <c r="X180">
        <v>-0.89600000000000002</v>
      </c>
      <c r="Y180">
        <v>-0.84299999999999997</v>
      </c>
      <c r="Z180">
        <v>-0.8</v>
      </c>
      <c r="AA180">
        <v>-0.90500000000000003</v>
      </c>
      <c r="AB180">
        <v>-4.7E-2</v>
      </c>
      <c r="AC180">
        <v>-4.7E-2</v>
      </c>
      <c r="AD180">
        <v>0.51200000000000001</v>
      </c>
      <c r="AE180">
        <v>0.52800000000000002</v>
      </c>
      <c r="AF180">
        <v>0.184</v>
      </c>
      <c r="AG180">
        <v>-0.501</v>
      </c>
      <c r="AH180">
        <v>-0.317</v>
      </c>
      <c r="AI180">
        <v>-0.83099999999999996</v>
      </c>
      <c r="AJ180">
        <v>-0.67</v>
      </c>
      <c r="AK180">
        <v>-0.93600000000000005</v>
      </c>
      <c r="AL180">
        <v>-0.58699999999999997</v>
      </c>
      <c r="AM180">
        <v>7.3999999999999996E-2</v>
      </c>
      <c r="AN180">
        <v>-0.52500000000000002</v>
      </c>
      <c r="AO180">
        <v>-0.14699999999999999</v>
      </c>
      <c r="AP180">
        <v>0.747</v>
      </c>
      <c r="AQ180">
        <v>-0.69899999999999995</v>
      </c>
      <c r="AR180">
        <v>-0.373</v>
      </c>
      <c r="AS180">
        <v>0.223</v>
      </c>
      <c r="AT180">
        <v>-0.17599999999999999</v>
      </c>
      <c r="AU180">
        <v>-0.86899999999999999</v>
      </c>
      <c r="AV180">
        <v>0.45300000000000001</v>
      </c>
      <c r="AW180">
        <v>-0.46899999999999997</v>
      </c>
      <c r="AX180">
        <v>-0.28599999999999998</v>
      </c>
      <c r="AY180">
        <v>0.06</v>
      </c>
      <c r="AZ180">
        <v>0.189</v>
      </c>
      <c r="BA180">
        <v>0.94899999999999995</v>
      </c>
      <c r="BB180">
        <v>9.7000000000000003E-2</v>
      </c>
      <c r="BC180">
        <v>2.3E-2</v>
      </c>
      <c r="BD180">
        <v>-0.52600000000000002</v>
      </c>
      <c r="BE180">
        <v>-0.312</v>
      </c>
      <c r="BF180">
        <v>6.7000000000000004E-2</v>
      </c>
      <c r="BG180">
        <v>-0.29799999999999999</v>
      </c>
      <c r="BH180">
        <v>-9.0999999999999998E-2</v>
      </c>
      <c r="BI180">
        <v>-0.16500000000000001</v>
      </c>
      <c r="BJ180">
        <v>0.152</v>
      </c>
      <c r="BK180">
        <v>-0.36</v>
      </c>
      <c r="BL180">
        <v>8.6999999999999994E-2</v>
      </c>
      <c r="BM180">
        <v>-7.2999999999999995E-2</v>
      </c>
    </row>
    <row r="181" spans="1:65" x14ac:dyDescent="0.3">
      <c r="A181" t="s">
        <v>261</v>
      </c>
      <c r="B181">
        <v>0</v>
      </c>
      <c r="C181">
        <v>0</v>
      </c>
      <c r="M181" t="s">
        <v>157</v>
      </c>
      <c r="N181">
        <v>0.53200000000000003</v>
      </c>
      <c r="O181">
        <v>0.41299999999999998</v>
      </c>
      <c r="P181" t="s">
        <v>57</v>
      </c>
      <c r="Q181">
        <v>0</v>
      </c>
      <c r="R181">
        <v>-8.0000000000000002E-3</v>
      </c>
      <c r="S181">
        <v>73</v>
      </c>
      <c r="T181">
        <v>-0.67200000000000004</v>
      </c>
      <c r="U181">
        <v>-0.46</v>
      </c>
      <c r="V181">
        <v>-0.52900000000000003</v>
      </c>
      <c r="W181">
        <v>-0.56899999999999995</v>
      </c>
      <c r="X181">
        <v>-0.40899999999999997</v>
      </c>
      <c r="Y181">
        <v>-0.77200000000000002</v>
      </c>
      <c r="Z181">
        <v>-0.752</v>
      </c>
      <c r="AA181">
        <v>-0.88</v>
      </c>
      <c r="AB181">
        <v>-0.28199999999999997</v>
      </c>
      <c r="AC181">
        <v>-0.28000000000000003</v>
      </c>
      <c r="AD181">
        <v>-0.20300000000000001</v>
      </c>
      <c r="AE181">
        <v>-1</v>
      </c>
      <c r="AF181">
        <v>0.23200000000000001</v>
      </c>
      <c r="AG181">
        <v>6.4000000000000001E-2</v>
      </c>
      <c r="AH181">
        <v>0.78900000000000003</v>
      </c>
      <c r="AI181">
        <v>-0.13900000000000001</v>
      </c>
      <c r="AJ181">
        <v>0.19400000000000001</v>
      </c>
      <c r="AK181">
        <v>-0.70699999999999996</v>
      </c>
      <c r="AL181">
        <v>-0.20899999999999999</v>
      </c>
      <c r="AM181">
        <v>0.69599999999999995</v>
      </c>
      <c r="AN181">
        <v>-0.93</v>
      </c>
      <c r="AO181">
        <v>0.20699999999999999</v>
      </c>
      <c r="AP181">
        <v>0.20200000000000001</v>
      </c>
      <c r="AQ181">
        <v>-0.55800000000000005</v>
      </c>
      <c r="AR181">
        <v>-0.56999999999999995</v>
      </c>
      <c r="AS181">
        <v>0.34799999999999998</v>
      </c>
      <c r="AT181">
        <v>-0.98399999999999999</v>
      </c>
      <c r="AU181">
        <v>-0.29199999999999998</v>
      </c>
      <c r="AV181">
        <v>0.29199999999999998</v>
      </c>
      <c r="AW181">
        <v>-0.16900000000000001</v>
      </c>
      <c r="AX181">
        <v>-0.20699999999999999</v>
      </c>
      <c r="AY181">
        <v>-0.78800000000000003</v>
      </c>
      <c r="AZ181">
        <v>-0.22</v>
      </c>
      <c r="BA181">
        <v>0.32100000000000001</v>
      </c>
      <c r="BB181">
        <v>-0.91200000000000003</v>
      </c>
      <c r="BC181">
        <v>-0.14599999999999999</v>
      </c>
      <c r="BD181">
        <v>0.11799999999999999</v>
      </c>
      <c r="BE181">
        <v>6.8000000000000005E-2</v>
      </c>
      <c r="BF181">
        <v>0.25700000000000001</v>
      </c>
      <c r="BG181">
        <v>0.80500000000000005</v>
      </c>
      <c r="BH181">
        <v>0.97099999999999997</v>
      </c>
      <c r="BI181">
        <v>0.38400000000000001</v>
      </c>
      <c r="BJ181">
        <v>1</v>
      </c>
      <c r="BK181">
        <v>0.123</v>
      </c>
      <c r="BL181">
        <v>-0.89600000000000002</v>
      </c>
      <c r="BM181">
        <v>-0.36499999999999999</v>
      </c>
    </row>
    <row r="182" spans="1:65" x14ac:dyDescent="0.3">
      <c r="A182" t="s">
        <v>178</v>
      </c>
      <c r="B182">
        <v>0</v>
      </c>
      <c r="C182">
        <v>0</v>
      </c>
      <c r="M182" t="s">
        <v>223</v>
      </c>
      <c r="N182">
        <v>0.53100000000000003</v>
      </c>
      <c r="O182">
        <v>0.63300000000000001</v>
      </c>
      <c r="P182" t="s">
        <v>68</v>
      </c>
      <c r="Q182">
        <v>0</v>
      </c>
      <c r="R182">
        <v>-3.0000000000000001E-3</v>
      </c>
      <c r="S182">
        <v>80</v>
      </c>
      <c r="T182">
        <v>-0.95199999999999996</v>
      </c>
      <c r="U182">
        <v>-0.90600000000000003</v>
      </c>
      <c r="V182">
        <v>-0.91800000000000004</v>
      </c>
      <c r="W182">
        <v>-0.92800000000000005</v>
      </c>
      <c r="X182">
        <v>-0.93</v>
      </c>
      <c r="Y182">
        <v>-0.93799999999999994</v>
      </c>
      <c r="Z182">
        <v>-0.89300000000000002</v>
      </c>
      <c r="AA182">
        <v>-0.88600000000000001</v>
      </c>
      <c r="AB182">
        <v>5.3999999999999999E-2</v>
      </c>
      <c r="AC182">
        <v>4.7E-2</v>
      </c>
      <c r="AD182">
        <v>0.437</v>
      </c>
      <c r="AE182">
        <v>0.45200000000000001</v>
      </c>
      <c r="AF182">
        <v>0.27200000000000002</v>
      </c>
      <c r="AG182">
        <v>-0.96599999999999997</v>
      </c>
      <c r="AH182">
        <v>-1</v>
      </c>
      <c r="AI182">
        <v>-0.47899999999999998</v>
      </c>
      <c r="AJ182">
        <v>-0.47699999999999998</v>
      </c>
      <c r="AK182">
        <v>1</v>
      </c>
      <c r="AL182">
        <v>-0.58499999999999996</v>
      </c>
      <c r="AM182">
        <v>-0.34899999999999998</v>
      </c>
      <c r="AN182">
        <v>-0.96599999999999997</v>
      </c>
      <c r="AO182">
        <v>-0.66400000000000003</v>
      </c>
      <c r="AP182">
        <v>-0.42399999999999999</v>
      </c>
      <c r="AQ182">
        <v>0.32100000000000001</v>
      </c>
      <c r="AR182">
        <v>0.109</v>
      </c>
      <c r="AS182">
        <v>-0.86399999999999999</v>
      </c>
      <c r="AT182">
        <v>-0.89200000000000002</v>
      </c>
      <c r="AU182">
        <v>-0.311</v>
      </c>
      <c r="AV182">
        <v>1.4999999999999999E-2</v>
      </c>
      <c r="AW182">
        <v>-0.45400000000000001</v>
      </c>
      <c r="AX182">
        <v>-0.502</v>
      </c>
      <c r="AY182">
        <v>0.53600000000000003</v>
      </c>
      <c r="AZ182">
        <v>-0.13400000000000001</v>
      </c>
      <c r="BA182">
        <v>0.75700000000000001</v>
      </c>
      <c r="BB182">
        <v>-0.56699999999999995</v>
      </c>
      <c r="BC182">
        <v>-0.38700000000000001</v>
      </c>
      <c r="BD182">
        <v>-1</v>
      </c>
      <c r="BE182">
        <v>-0.68500000000000005</v>
      </c>
      <c r="BF182">
        <v>8.7999999999999995E-2</v>
      </c>
      <c r="BG182">
        <v>-0.20200000000000001</v>
      </c>
      <c r="BH182">
        <v>-1</v>
      </c>
      <c r="BI182">
        <v>0.10299999999999999</v>
      </c>
      <c r="BJ182">
        <v>-0.61699999999999999</v>
      </c>
      <c r="BK182">
        <v>0.25700000000000001</v>
      </c>
      <c r="BL182">
        <v>0.13400000000000001</v>
      </c>
      <c r="BM182">
        <v>0.55100000000000005</v>
      </c>
    </row>
    <row r="183" spans="1:65" x14ac:dyDescent="0.3">
      <c r="A183" t="s">
        <v>168</v>
      </c>
      <c r="B183">
        <v>0</v>
      </c>
      <c r="C183">
        <v>0</v>
      </c>
      <c r="M183" t="s">
        <v>191</v>
      </c>
      <c r="N183">
        <v>0.53</v>
      </c>
      <c r="O183">
        <v>0.628</v>
      </c>
      <c r="P183" t="s">
        <v>71</v>
      </c>
      <c r="Q183">
        <v>0</v>
      </c>
      <c r="R183">
        <v>0</v>
      </c>
      <c r="S183">
        <v>80</v>
      </c>
      <c r="T183">
        <v>-0.97599999999999998</v>
      </c>
      <c r="U183">
        <v>-0.97099999999999997</v>
      </c>
      <c r="V183">
        <v>-0.92700000000000005</v>
      </c>
      <c r="W183">
        <v>-0.95099999999999996</v>
      </c>
      <c r="X183">
        <v>-0.95499999999999996</v>
      </c>
      <c r="Y183">
        <v>-0.85199999999999998</v>
      </c>
      <c r="Z183">
        <v>-0.78300000000000003</v>
      </c>
      <c r="AA183">
        <v>-0.86599999999999999</v>
      </c>
      <c r="AB183">
        <v>3.5999999999999997E-2</v>
      </c>
      <c r="AC183">
        <v>3.3000000000000002E-2</v>
      </c>
      <c r="AD183">
        <v>9.0999999999999998E-2</v>
      </c>
      <c r="AE183">
        <v>8.5000000000000006E-2</v>
      </c>
      <c r="AF183">
        <v>0.38700000000000001</v>
      </c>
      <c r="AG183">
        <v>-0.95599999999999996</v>
      </c>
      <c r="AH183">
        <v>-1</v>
      </c>
      <c r="AI183">
        <v>-0.85099999999999998</v>
      </c>
      <c r="AJ183">
        <v>-0.45400000000000001</v>
      </c>
      <c r="AK183">
        <v>-0.17299999999999999</v>
      </c>
      <c r="AL183">
        <v>-0.60399999999999998</v>
      </c>
      <c r="AM183">
        <v>-0.41</v>
      </c>
      <c r="AN183">
        <v>-0.13</v>
      </c>
      <c r="AO183">
        <v>-0.35</v>
      </c>
      <c r="AP183">
        <v>-0.50800000000000001</v>
      </c>
      <c r="AQ183">
        <v>-0.156</v>
      </c>
      <c r="AR183">
        <v>2.4E-2</v>
      </c>
      <c r="AS183">
        <v>-0.315</v>
      </c>
      <c r="AT183">
        <v>-1</v>
      </c>
      <c r="AU183">
        <v>-0.70499999999999996</v>
      </c>
      <c r="AV183">
        <v>-0.36299999999999999</v>
      </c>
      <c r="AW183">
        <v>-0.82099999999999995</v>
      </c>
      <c r="AX183">
        <v>-0.78600000000000003</v>
      </c>
      <c r="AY183">
        <v>0.82099999999999995</v>
      </c>
      <c r="AZ183">
        <v>-0.77500000000000002</v>
      </c>
      <c r="BA183">
        <v>-0.24199999999999999</v>
      </c>
      <c r="BB183">
        <v>-0.90100000000000002</v>
      </c>
      <c r="BC183">
        <v>-0.17799999999999999</v>
      </c>
      <c r="BD183">
        <v>9.8000000000000004E-2</v>
      </c>
      <c r="BE183">
        <v>-0.214</v>
      </c>
      <c r="BF183">
        <v>0.20300000000000001</v>
      </c>
      <c r="BG183">
        <v>-0.43099999999999999</v>
      </c>
      <c r="BH183">
        <v>0.252</v>
      </c>
      <c r="BI183">
        <v>0.78500000000000003</v>
      </c>
      <c r="BJ183">
        <v>-9.8000000000000004E-2</v>
      </c>
      <c r="BK183">
        <v>-0.626</v>
      </c>
      <c r="BL183">
        <v>0.71599999999999997</v>
      </c>
      <c r="BM183">
        <v>0.51900000000000002</v>
      </c>
    </row>
    <row r="184" spans="1:65" x14ac:dyDescent="0.3">
      <c r="A184" t="s">
        <v>600</v>
      </c>
      <c r="B184">
        <v>9.6706709976041704E-3</v>
      </c>
      <c r="C184">
        <v>7.92144947270528E-3</v>
      </c>
      <c r="M184" t="s">
        <v>129</v>
      </c>
      <c r="N184">
        <v>0.52800000000000002</v>
      </c>
      <c r="O184">
        <v>0.36199999999999999</v>
      </c>
      <c r="P184" t="s">
        <v>57</v>
      </c>
      <c r="Q184">
        <v>0</v>
      </c>
      <c r="R184">
        <v>0</v>
      </c>
      <c r="S184">
        <v>80</v>
      </c>
      <c r="T184">
        <v>-0.82</v>
      </c>
      <c r="U184">
        <v>-0.51200000000000001</v>
      </c>
      <c r="V184">
        <v>-0.379</v>
      </c>
      <c r="W184">
        <v>-0.86</v>
      </c>
      <c r="X184">
        <v>-0.57199999999999995</v>
      </c>
      <c r="Y184">
        <v>-0.93700000000000006</v>
      </c>
      <c r="Z184">
        <v>-0.94799999999999995</v>
      </c>
      <c r="AA184">
        <v>-0.83699999999999997</v>
      </c>
      <c r="AB184">
        <v>-0.123</v>
      </c>
      <c r="AC184">
        <v>-0.123</v>
      </c>
      <c r="AD184">
        <v>-0.13</v>
      </c>
      <c r="AE184">
        <v>9.4E-2</v>
      </c>
      <c r="AF184">
        <v>0.03</v>
      </c>
      <c r="AG184">
        <v>-0.65</v>
      </c>
      <c r="AH184">
        <v>-0.20399999999999999</v>
      </c>
      <c r="AI184">
        <v>2.7E-2</v>
      </c>
      <c r="AJ184">
        <v>0.86599999999999999</v>
      </c>
      <c r="AK184">
        <v>0.24099999999999999</v>
      </c>
      <c r="AL184">
        <v>-0.51600000000000001</v>
      </c>
      <c r="AM184">
        <v>-0.26900000000000002</v>
      </c>
      <c r="AN184">
        <v>-0.33</v>
      </c>
      <c r="AO184">
        <v>0.75600000000000001</v>
      </c>
      <c r="AP184">
        <v>-0.17299999999999999</v>
      </c>
      <c r="AQ184">
        <v>-0.35</v>
      </c>
      <c r="AR184">
        <v>-0.45900000000000002</v>
      </c>
      <c r="AS184">
        <v>-9.7000000000000003E-2</v>
      </c>
      <c r="AT184">
        <v>-2E-3</v>
      </c>
      <c r="AU184">
        <v>-0.30199999999999999</v>
      </c>
      <c r="AV184">
        <v>-0.34399999999999997</v>
      </c>
      <c r="AW184">
        <v>-0.35799999999999998</v>
      </c>
      <c r="AX184">
        <v>-0.74</v>
      </c>
      <c r="AY184">
        <v>-1</v>
      </c>
      <c r="AZ184">
        <v>-0.70799999999999996</v>
      </c>
      <c r="BA184">
        <v>-0.115</v>
      </c>
      <c r="BB184">
        <v>-0.26400000000000001</v>
      </c>
      <c r="BC184">
        <v>-0.751</v>
      </c>
      <c r="BD184">
        <v>0.20100000000000001</v>
      </c>
      <c r="BE184">
        <v>-0.28000000000000003</v>
      </c>
      <c r="BF184">
        <v>0.28599999999999998</v>
      </c>
      <c r="BG184">
        <v>-0.248</v>
      </c>
      <c r="BH184">
        <v>-0.49199999999999999</v>
      </c>
      <c r="BI184">
        <v>-0.64200000000000002</v>
      </c>
      <c r="BJ184">
        <v>0.16600000000000001</v>
      </c>
      <c r="BK184">
        <v>0.73699999999999999</v>
      </c>
      <c r="BL184">
        <v>0.219</v>
      </c>
      <c r="BM184">
        <v>0.92400000000000004</v>
      </c>
    </row>
    <row r="185" spans="1:65" x14ac:dyDescent="0.3">
      <c r="A185" t="s">
        <v>128</v>
      </c>
      <c r="B185">
        <v>0</v>
      </c>
      <c r="C185">
        <v>0</v>
      </c>
      <c r="M185" t="s">
        <v>183</v>
      </c>
      <c r="N185">
        <v>0.52300000000000002</v>
      </c>
      <c r="O185">
        <v>0.91800000000000004</v>
      </c>
      <c r="P185" t="s">
        <v>68</v>
      </c>
      <c r="Q185">
        <v>0</v>
      </c>
      <c r="R185">
        <v>-1.2999999999999999E-2</v>
      </c>
      <c r="S185">
        <v>80</v>
      </c>
      <c r="T185">
        <v>-0.89600000000000002</v>
      </c>
      <c r="U185">
        <v>-0.97899999999999998</v>
      </c>
      <c r="V185">
        <v>-0.93600000000000005</v>
      </c>
      <c r="W185">
        <v>-0.90300000000000002</v>
      </c>
      <c r="X185">
        <v>-0.97499999999999998</v>
      </c>
      <c r="Y185">
        <v>-0.82099999999999995</v>
      </c>
      <c r="Z185">
        <v>-0.73199999999999998</v>
      </c>
      <c r="AA185">
        <v>-0.92800000000000005</v>
      </c>
      <c r="AB185">
        <v>-0.17299999999999999</v>
      </c>
      <c r="AC185">
        <v>-0.17100000000000001</v>
      </c>
      <c r="AD185">
        <v>0.33200000000000002</v>
      </c>
      <c r="AE185">
        <v>0.38500000000000001</v>
      </c>
      <c r="AF185">
        <v>0.14099999999999999</v>
      </c>
      <c r="AG185">
        <v>-0.71199999999999997</v>
      </c>
      <c r="AH185">
        <v>-0.71799999999999997</v>
      </c>
      <c r="AI185">
        <v>-1</v>
      </c>
      <c r="AJ185">
        <v>-0.80300000000000005</v>
      </c>
      <c r="AK185">
        <v>-0.87</v>
      </c>
      <c r="AL185">
        <v>-0.91400000000000003</v>
      </c>
      <c r="AM185">
        <v>-6.0999999999999999E-2</v>
      </c>
      <c r="AN185">
        <v>-0.72599999999999998</v>
      </c>
      <c r="AO185">
        <v>-0.75600000000000001</v>
      </c>
      <c r="AP185">
        <v>0.34100000000000003</v>
      </c>
      <c r="AQ185">
        <v>-0.56100000000000005</v>
      </c>
      <c r="AR185">
        <v>-0.77600000000000002</v>
      </c>
      <c r="AS185">
        <v>-4.8000000000000001E-2</v>
      </c>
      <c r="AT185">
        <v>8.7999999999999995E-2</v>
      </c>
      <c r="AU185">
        <v>-0.83399999999999996</v>
      </c>
      <c r="AV185">
        <v>0.34399999999999997</v>
      </c>
      <c r="AW185">
        <v>-0.52100000000000002</v>
      </c>
      <c r="AX185">
        <v>-0.311</v>
      </c>
      <c r="AY185">
        <v>0.308</v>
      </c>
      <c r="AZ185">
        <v>0.06</v>
      </c>
      <c r="BA185">
        <v>0.93300000000000005</v>
      </c>
      <c r="BB185">
        <v>0.52600000000000002</v>
      </c>
      <c r="BC185">
        <v>0.41699999999999998</v>
      </c>
      <c r="BD185">
        <v>-0.35099999999999998</v>
      </c>
      <c r="BE185">
        <v>8.0000000000000002E-3</v>
      </c>
      <c r="BF185">
        <v>0.13500000000000001</v>
      </c>
      <c r="BG185">
        <v>0.4</v>
      </c>
      <c r="BH185">
        <v>-0.61599999999999999</v>
      </c>
      <c r="BI185">
        <v>0.53300000000000003</v>
      </c>
      <c r="BJ185">
        <v>-0.255</v>
      </c>
      <c r="BK185">
        <v>0.14000000000000001</v>
      </c>
      <c r="BL185">
        <v>9.8000000000000004E-2</v>
      </c>
      <c r="BM185">
        <v>-0.25600000000000001</v>
      </c>
    </row>
    <row r="186" spans="1:65" x14ac:dyDescent="0.3">
      <c r="A186" t="s">
        <v>189</v>
      </c>
      <c r="B186">
        <v>0</v>
      </c>
      <c r="C186">
        <v>0</v>
      </c>
      <c r="M186" t="s">
        <v>224</v>
      </c>
      <c r="N186">
        <v>0.52100000000000002</v>
      </c>
      <c r="O186">
        <v>0.432</v>
      </c>
      <c r="P186" t="s">
        <v>71</v>
      </c>
      <c r="Q186">
        <v>0</v>
      </c>
      <c r="R186">
        <v>-1E-3</v>
      </c>
      <c r="S186">
        <v>80</v>
      </c>
      <c r="T186">
        <v>-0.96199999999999997</v>
      </c>
      <c r="U186">
        <v>-0.94299999999999995</v>
      </c>
      <c r="V186">
        <v>-0.90500000000000003</v>
      </c>
      <c r="W186">
        <v>-0.95499999999999996</v>
      </c>
      <c r="X186">
        <v>-0.95399999999999996</v>
      </c>
      <c r="Y186">
        <v>-0.86599999999999999</v>
      </c>
      <c r="Z186">
        <v>-0.82099999999999995</v>
      </c>
      <c r="AA186">
        <v>-0.95599999999999996</v>
      </c>
      <c r="AB186">
        <v>0.10299999999999999</v>
      </c>
      <c r="AC186">
        <v>0.10299999999999999</v>
      </c>
      <c r="AD186">
        <v>-2.1999999999999999E-2</v>
      </c>
      <c r="AE186">
        <v>-0.33</v>
      </c>
      <c r="AF186">
        <v>0.32700000000000001</v>
      </c>
      <c r="AG186">
        <v>-0.89</v>
      </c>
      <c r="AH186">
        <v>-0.621</v>
      </c>
      <c r="AI186">
        <v>-0.96199999999999997</v>
      </c>
      <c r="AJ186">
        <v>-9.7000000000000003E-2</v>
      </c>
      <c r="AK186">
        <v>-0.496</v>
      </c>
      <c r="AL186">
        <v>-0.63400000000000001</v>
      </c>
      <c r="AM186">
        <v>-0.65800000000000003</v>
      </c>
      <c r="AN186">
        <v>-0.502</v>
      </c>
      <c r="AO186">
        <v>-1.7000000000000001E-2</v>
      </c>
      <c r="AP186">
        <v>-0.25800000000000001</v>
      </c>
      <c r="AQ186">
        <v>-0.68700000000000006</v>
      </c>
      <c r="AR186">
        <v>-0.51600000000000001</v>
      </c>
      <c r="AS186">
        <v>-0.41699999999999998</v>
      </c>
      <c r="AT186">
        <v>0.69699999999999995</v>
      </c>
      <c r="AU186">
        <v>0.34200000000000003</v>
      </c>
      <c r="AV186">
        <v>-0.223</v>
      </c>
      <c r="AW186">
        <v>-0.72699999999999998</v>
      </c>
      <c r="AX186">
        <v>-0.78100000000000003</v>
      </c>
      <c r="AY186">
        <v>0.55600000000000005</v>
      </c>
      <c r="AZ186">
        <v>-0.128</v>
      </c>
      <c r="BA186">
        <v>-0.42599999999999999</v>
      </c>
      <c r="BB186">
        <v>-0.79500000000000004</v>
      </c>
      <c r="BC186">
        <v>-0.93100000000000005</v>
      </c>
      <c r="BD186">
        <v>-0.32500000000000001</v>
      </c>
      <c r="BE186">
        <v>-0.7</v>
      </c>
      <c r="BF186">
        <v>-0.45</v>
      </c>
      <c r="BG186">
        <v>-4.0000000000000001E-3</v>
      </c>
      <c r="BH186">
        <v>0.12</v>
      </c>
      <c r="BI186">
        <v>0.78600000000000003</v>
      </c>
      <c r="BJ186">
        <v>0.20599999999999999</v>
      </c>
      <c r="BK186">
        <v>-0.52700000000000002</v>
      </c>
      <c r="BL186">
        <v>0.23699999999999999</v>
      </c>
      <c r="BM186">
        <v>0.83</v>
      </c>
    </row>
    <row r="187" spans="1:65" x14ac:dyDescent="0.3">
      <c r="A187" t="s">
        <v>238</v>
      </c>
      <c r="B187">
        <v>0</v>
      </c>
      <c r="C187">
        <v>0</v>
      </c>
      <c r="M187" t="s">
        <v>207</v>
      </c>
      <c r="N187">
        <v>0.51900000000000002</v>
      </c>
      <c r="O187">
        <v>0.35699999999999998</v>
      </c>
      <c r="P187" t="s">
        <v>53</v>
      </c>
      <c r="Q187">
        <v>0</v>
      </c>
      <c r="R187">
        <v>-2E-3</v>
      </c>
      <c r="S187">
        <v>80</v>
      </c>
      <c r="T187">
        <v>-0.73299999999999998</v>
      </c>
      <c r="U187">
        <v>-0.34300000000000003</v>
      </c>
      <c r="V187">
        <v>-0.73199999999999998</v>
      </c>
      <c r="W187">
        <v>-0.84899999999999998</v>
      </c>
      <c r="X187">
        <v>-0.73799999999999999</v>
      </c>
      <c r="Y187">
        <v>-0.93500000000000005</v>
      </c>
      <c r="Z187">
        <v>-0.96</v>
      </c>
      <c r="AA187">
        <v>-0.86</v>
      </c>
      <c r="AB187">
        <v>-0.47699999999999998</v>
      </c>
      <c r="AC187">
        <v>-0.47699999999999998</v>
      </c>
      <c r="AD187">
        <v>-8.5999999999999993E-2</v>
      </c>
      <c r="AE187">
        <v>-5.8000000000000003E-2</v>
      </c>
      <c r="AF187">
        <v>2.9000000000000001E-2</v>
      </c>
      <c r="AG187">
        <v>-0.79100000000000004</v>
      </c>
      <c r="AH187">
        <v>-0.60699999999999998</v>
      </c>
      <c r="AI187">
        <v>-0.24199999999999999</v>
      </c>
      <c r="AJ187">
        <v>-0.498</v>
      </c>
      <c r="AK187">
        <v>1.0999999999999999E-2</v>
      </c>
      <c r="AL187">
        <v>-0.83599999999999997</v>
      </c>
      <c r="AM187">
        <v>-0.124</v>
      </c>
      <c r="AN187">
        <v>-1</v>
      </c>
      <c r="AO187">
        <v>-0.126</v>
      </c>
      <c r="AP187">
        <v>-0.313</v>
      </c>
      <c r="AQ187">
        <v>0.38400000000000001</v>
      </c>
      <c r="AR187">
        <v>-0.433</v>
      </c>
      <c r="AS187">
        <v>-0.23100000000000001</v>
      </c>
      <c r="AT187">
        <v>0.71</v>
      </c>
      <c r="AU187">
        <v>0.28199999999999997</v>
      </c>
      <c r="AV187">
        <v>-0.27100000000000002</v>
      </c>
      <c r="AW187">
        <v>-0.57999999999999996</v>
      </c>
      <c r="AX187">
        <v>-0.59</v>
      </c>
      <c r="AY187">
        <v>-0.77400000000000002</v>
      </c>
      <c r="AZ187">
        <v>-0.45600000000000002</v>
      </c>
      <c r="BA187">
        <v>0.64</v>
      </c>
      <c r="BB187">
        <v>-0.67</v>
      </c>
      <c r="BC187">
        <v>0.81499999999999995</v>
      </c>
      <c r="BD187">
        <v>0.92700000000000005</v>
      </c>
      <c r="BE187">
        <v>0.50700000000000001</v>
      </c>
      <c r="BF187">
        <v>1</v>
      </c>
      <c r="BG187">
        <v>-1</v>
      </c>
      <c r="BH187">
        <v>-0.67200000000000004</v>
      </c>
      <c r="BI187">
        <v>-0.84299999999999997</v>
      </c>
      <c r="BJ187">
        <v>1</v>
      </c>
      <c r="BK187">
        <v>0.27500000000000002</v>
      </c>
      <c r="BL187">
        <v>0.61</v>
      </c>
      <c r="BM187">
        <v>0.11899999999999999</v>
      </c>
    </row>
    <row r="188" spans="1:65" x14ac:dyDescent="0.3">
      <c r="A188" t="s">
        <v>242</v>
      </c>
      <c r="B188">
        <v>0</v>
      </c>
      <c r="C188">
        <v>0</v>
      </c>
      <c r="M188" t="s">
        <v>221</v>
      </c>
      <c r="N188">
        <v>0.51900000000000002</v>
      </c>
      <c r="O188">
        <v>0.92200000000000004</v>
      </c>
      <c r="P188" t="s">
        <v>57</v>
      </c>
      <c r="Q188">
        <v>0</v>
      </c>
      <c r="R188">
        <v>-3.1E-2</v>
      </c>
      <c r="S188">
        <v>44</v>
      </c>
      <c r="T188">
        <v>-0.83499999999999996</v>
      </c>
      <c r="U188">
        <v>-0.92900000000000005</v>
      </c>
      <c r="V188">
        <v>-0.91</v>
      </c>
      <c r="W188">
        <v>-0.72299999999999998</v>
      </c>
      <c r="X188">
        <v>-0.88900000000000001</v>
      </c>
      <c r="Y188">
        <v>-0.85399999999999998</v>
      </c>
      <c r="Z188">
        <v>-0.81399999999999995</v>
      </c>
      <c r="AA188">
        <v>-0.875</v>
      </c>
      <c r="AB188">
        <v>-0.33600000000000002</v>
      </c>
      <c r="AC188">
        <v>-0.33900000000000002</v>
      </c>
      <c r="AD188">
        <v>0.36899999999999999</v>
      </c>
      <c r="AE188">
        <v>0.36299999999999999</v>
      </c>
      <c r="AF188">
        <v>-0.04</v>
      </c>
      <c r="AG188">
        <v>-0.28000000000000003</v>
      </c>
      <c r="AH188">
        <v>3.4000000000000002E-2</v>
      </c>
      <c r="AI188">
        <v>-0.93100000000000005</v>
      </c>
      <c r="AJ188">
        <v>-0.83099999999999996</v>
      </c>
      <c r="AK188">
        <v>-0.83899999999999997</v>
      </c>
      <c r="AL188">
        <v>-0.47199999999999998</v>
      </c>
      <c r="AM188">
        <v>-0.27500000000000002</v>
      </c>
      <c r="AN188">
        <v>-0.48099999999999998</v>
      </c>
      <c r="AO188">
        <v>-0.67</v>
      </c>
      <c r="AP188">
        <v>0.46600000000000003</v>
      </c>
      <c r="AQ188">
        <v>-0.64300000000000002</v>
      </c>
      <c r="AR188">
        <v>-0.159</v>
      </c>
      <c r="AS188">
        <v>0.83699999999999997</v>
      </c>
      <c r="AT188">
        <v>0.39200000000000002</v>
      </c>
      <c r="AU188">
        <v>-0.17100000000000001</v>
      </c>
      <c r="AV188">
        <v>2.5999999999999999E-2</v>
      </c>
      <c r="AW188">
        <v>4.9000000000000002E-2</v>
      </c>
      <c r="AX188">
        <v>0.38700000000000001</v>
      </c>
      <c r="AY188">
        <v>6.0000000000000001E-3</v>
      </c>
      <c r="AZ188">
        <v>7.3999999999999996E-2</v>
      </c>
      <c r="BA188">
        <v>0.8</v>
      </c>
      <c r="BB188">
        <v>-9.5000000000000001E-2</v>
      </c>
      <c r="BC188">
        <v>-8.0000000000000002E-3</v>
      </c>
      <c r="BD188">
        <v>-0.49</v>
      </c>
      <c r="BE188">
        <v>-0.39400000000000002</v>
      </c>
      <c r="BF188">
        <v>-7.8E-2</v>
      </c>
      <c r="BG188">
        <v>-0.80800000000000005</v>
      </c>
      <c r="BH188">
        <v>-1</v>
      </c>
      <c r="BI188">
        <v>-0.76200000000000001</v>
      </c>
      <c r="BJ188">
        <v>-1.4E-2</v>
      </c>
      <c r="BK188">
        <v>-0.01</v>
      </c>
      <c r="BL188">
        <v>-0.59699999999999998</v>
      </c>
      <c r="BM188">
        <v>-0.112</v>
      </c>
    </row>
    <row r="189" spans="1:65" x14ac:dyDescent="0.3">
      <c r="A189" t="s">
        <v>133</v>
      </c>
      <c r="B189">
        <v>0</v>
      </c>
      <c r="C189">
        <v>0</v>
      </c>
      <c r="M189" t="s">
        <v>235</v>
      </c>
      <c r="N189">
        <v>0.51800000000000002</v>
      </c>
      <c r="O189">
        <v>0.53</v>
      </c>
      <c r="P189" t="s">
        <v>57</v>
      </c>
      <c r="Q189">
        <v>0</v>
      </c>
      <c r="R189">
        <v>-8.0000000000000002E-3</v>
      </c>
      <c r="S189">
        <v>72</v>
      </c>
      <c r="T189">
        <v>-0.82799999999999996</v>
      </c>
      <c r="U189">
        <v>-0.92100000000000004</v>
      </c>
      <c r="V189">
        <v>-0.81899999999999995</v>
      </c>
      <c r="W189">
        <v>-0.81399999999999995</v>
      </c>
      <c r="X189">
        <v>-0.89400000000000002</v>
      </c>
      <c r="Y189">
        <v>-0.80600000000000005</v>
      </c>
      <c r="Z189">
        <v>-0.748</v>
      </c>
      <c r="AA189">
        <v>-0.89</v>
      </c>
      <c r="AB189">
        <v>-0.37</v>
      </c>
      <c r="AC189">
        <v>-0.36699999999999999</v>
      </c>
      <c r="AD189">
        <v>0.437</v>
      </c>
      <c r="AE189">
        <v>0.35499999999999998</v>
      </c>
      <c r="AF189">
        <v>-0.122</v>
      </c>
      <c r="AG189">
        <v>-0.20300000000000001</v>
      </c>
      <c r="AH189">
        <v>-0.627</v>
      </c>
      <c r="AI189">
        <v>-0.99</v>
      </c>
      <c r="AJ189">
        <v>-0.66300000000000003</v>
      </c>
      <c r="AK189">
        <v>-0.72799999999999998</v>
      </c>
      <c r="AL189">
        <v>0.501</v>
      </c>
      <c r="AM189">
        <v>-0.252</v>
      </c>
      <c r="AN189">
        <v>-0.67900000000000005</v>
      </c>
      <c r="AO189">
        <v>-0.73299999999999998</v>
      </c>
      <c r="AP189">
        <v>0.52100000000000002</v>
      </c>
      <c r="AQ189">
        <v>-0.70199999999999996</v>
      </c>
      <c r="AR189">
        <v>-0.42799999999999999</v>
      </c>
      <c r="AS189">
        <v>4.8000000000000001E-2</v>
      </c>
      <c r="AT189">
        <v>-4.2000000000000003E-2</v>
      </c>
      <c r="AU189">
        <v>-0.71099999999999997</v>
      </c>
      <c r="AV189">
        <v>0.35899999999999999</v>
      </c>
      <c r="AW189">
        <v>3.5999999999999997E-2</v>
      </c>
      <c r="AX189">
        <v>0.35399999999999998</v>
      </c>
      <c r="AY189">
        <v>-5.6000000000000001E-2</v>
      </c>
      <c r="AZ189">
        <v>0.153</v>
      </c>
      <c r="BA189">
        <v>0.55000000000000004</v>
      </c>
      <c r="BB189">
        <v>1</v>
      </c>
      <c r="BC189">
        <v>-9.8000000000000004E-2</v>
      </c>
      <c r="BD189">
        <v>-0.45800000000000002</v>
      </c>
      <c r="BE189">
        <v>-0.36199999999999999</v>
      </c>
      <c r="BF189">
        <v>0.15</v>
      </c>
      <c r="BG189">
        <v>5.2999999999999999E-2</v>
      </c>
      <c r="BH189">
        <v>0.747</v>
      </c>
      <c r="BI189">
        <v>-0.124</v>
      </c>
      <c r="BJ189">
        <v>-0.182</v>
      </c>
      <c r="BK189">
        <v>-0.104</v>
      </c>
      <c r="BL189">
        <v>-0.73099999999999998</v>
      </c>
      <c r="BM189">
        <v>-2E-3</v>
      </c>
    </row>
    <row r="190" spans="1:65" x14ac:dyDescent="0.3">
      <c r="A190" t="s">
        <v>109</v>
      </c>
      <c r="B190">
        <v>1.04081971824598E-2</v>
      </c>
      <c r="C190">
        <v>9.2554060811686507E-3</v>
      </c>
      <c r="M190" t="s">
        <v>219</v>
      </c>
      <c r="N190">
        <v>0.51800000000000002</v>
      </c>
      <c r="O190">
        <v>0.41799999999999998</v>
      </c>
      <c r="P190" t="s">
        <v>57</v>
      </c>
      <c r="Q190">
        <v>0</v>
      </c>
      <c r="R190">
        <v>0</v>
      </c>
      <c r="S190">
        <v>80</v>
      </c>
      <c r="T190">
        <v>-0.85</v>
      </c>
      <c r="U190">
        <v>-0.95799999999999996</v>
      </c>
      <c r="V190">
        <v>-0.873</v>
      </c>
      <c r="W190">
        <v>-0.80300000000000005</v>
      </c>
      <c r="X190">
        <v>-0.91200000000000003</v>
      </c>
      <c r="Y190">
        <v>-0.84099999999999997</v>
      </c>
      <c r="Z190">
        <v>-0.79</v>
      </c>
      <c r="AA190">
        <v>-0.93400000000000005</v>
      </c>
      <c r="AB190">
        <v>-0.191</v>
      </c>
      <c r="AC190">
        <v>-0.193</v>
      </c>
      <c r="AD190">
        <v>0.379</v>
      </c>
      <c r="AE190">
        <v>0.28000000000000003</v>
      </c>
      <c r="AF190">
        <v>-6.0999999999999999E-2</v>
      </c>
      <c r="AG190">
        <v>-0.40500000000000003</v>
      </c>
      <c r="AH190">
        <v>0.375</v>
      </c>
      <c r="AI190">
        <v>-0.96099999999999997</v>
      </c>
      <c r="AJ190">
        <v>-0.81899999999999995</v>
      </c>
      <c r="AK190">
        <v>-0.97199999999999998</v>
      </c>
      <c r="AL190">
        <v>-0.308</v>
      </c>
      <c r="AM190">
        <v>-0.20899999999999999</v>
      </c>
      <c r="AN190">
        <v>-0.84299999999999997</v>
      </c>
      <c r="AO190">
        <v>-0.35499999999999998</v>
      </c>
      <c r="AP190">
        <v>0.56699999999999995</v>
      </c>
      <c r="AQ190">
        <v>-0.74299999999999999</v>
      </c>
      <c r="AR190">
        <v>-0.55000000000000004</v>
      </c>
      <c r="AS190">
        <v>0.63500000000000001</v>
      </c>
      <c r="AT190">
        <v>0.34</v>
      </c>
      <c r="AU190">
        <v>-0.38800000000000001</v>
      </c>
      <c r="AV190">
        <v>-1.0999999999999999E-2</v>
      </c>
      <c r="AW190">
        <v>0.13400000000000001</v>
      </c>
      <c r="AX190">
        <v>2E-3</v>
      </c>
      <c r="AY190">
        <v>-0.30199999999999999</v>
      </c>
      <c r="AZ190">
        <v>-0.29199999999999998</v>
      </c>
      <c r="BA190">
        <v>0.871</v>
      </c>
      <c r="BB190">
        <v>0.44500000000000001</v>
      </c>
      <c r="BC190">
        <v>0.253</v>
      </c>
      <c r="BD190">
        <v>-0.67700000000000005</v>
      </c>
      <c r="BE190">
        <v>-0.39800000000000002</v>
      </c>
      <c r="BF190">
        <v>3.2000000000000001E-2</v>
      </c>
      <c r="BG190">
        <v>1</v>
      </c>
      <c r="BH190">
        <v>1</v>
      </c>
      <c r="BI190">
        <v>-0.217</v>
      </c>
      <c r="BJ190">
        <v>-0.56799999999999995</v>
      </c>
      <c r="BK190">
        <v>-0.13</v>
      </c>
      <c r="BL190">
        <v>-5.8000000000000003E-2</v>
      </c>
      <c r="BM190">
        <v>0.16500000000000001</v>
      </c>
    </row>
    <row r="191" spans="1:65" x14ac:dyDescent="0.3">
      <c r="A191" t="s">
        <v>121</v>
      </c>
      <c r="B191">
        <v>0</v>
      </c>
      <c r="C191">
        <v>0</v>
      </c>
      <c r="M191" t="s">
        <v>248</v>
      </c>
      <c r="N191">
        <v>0.51600000000000001</v>
      </c>
      <c r="O191">
        <v>0.436</v>
      </c>
      <c r="P191" t="s">
        <v>57</v>
      </c>
      <c r="Q191">
        <v>0</v>
      </c>
      <c r="R191">
        <v>-7.0000000000000001E-3</v>
      </c>
      <c r="S191">
        <v>75</v>
      </c>
      <c r="T191">
        <v>-0.77600000000000002</v>
      </c>
      <c r="U191">
        <v>-0.84299999999999997</v>
      </c>
      <c r="V191">
        <v>-0.82199999999999995</v>
      </c>
      <c r="W191">
        <v>-0.81799999999999995</v>
      </c>
      <c r="X191">
        <v>-0.86899999999999999</v>
      </c>
      <c r="Y191">
        <v>-0.83799999999999997</v>
      </c>
      <c r="Z191">
        <v>-0.84599999999999997</v>
      </c>
      <c r="AA191">
        <v>-0.93600000000000005</v>
      </c>
      <c r="AB191">
        <v>-0.45200000000000001</v>
      </c>
      <c r="AC191">
        <v>-0.45400000000000001</v>
      </c>
      <c r="AD191">
        <v>0.32900000000000001</v>
      </c>
      <c r="AE191">
        <v>0.39600000000000002</v>
      </c>
      <c r="AF191">
        <v>-7.9000000000000001E-2</v>
      </c>
      <c r="AG191">
        <v>-0.19700000000000001</v>
      </c>
      <c r="AH191">
        <v>0.20899999999999999</v>
      </c>
      <c r="AI191">
        <v>-0.83299999999999996</v>
      </c>
      <c r="AJ191">
        <v>-0.28100000000000003</v>
      </c>
      <c r="AK191">
        <v>-0.51500000000000001</v>
      </c>
      <c r="AL191">
        <v>-0.74099999999999999</v>
      </c>
      <c r="AM191">
        <v>-1.2999999999999999E-2</v>
      </c>
      <c r="AN191">
        <v>-1</v>
      </c>
      <c r="AO191">
        <v>-5.5E-2</v>
      </c>
      <c r="AP191">
        <v>-0.13700000000000001</v>
      </c>
      <c r="AQ191">
        <v>-0.59299999999999997</v>
      </c>
      <c r="AR191">
        <v>-0.91100000000000003</v>
      </c>
      <c r="AS191">
        <v>-0.05</v>
      </c>
      <c r="AT191">
        <v>1</v>
      </c>
      <c r="AU191">
        <v>0.24199999999999999</v>
      </c>
      <c r="AV191">
        <v>-0.29599999999999999</v>
      </c>
      <c r="AW191">
        <v>-0.56499999999999995</v>
      </c>
      <c r="AX191">
        <v>-9.2999999999999999E-2</v>
      </c>
      <c r="AY191">
        <v>-0.435</v>
      </c>
      <c r="AZ191">
        <v>-0.82899999999999996</v>
      </c>
      <c r="BA191">
        <v>0.52400000000000002</v>
      </c>
      <c r="BB191">
        <v>0.63900000000000001</v>
      </c>
      <c r="BC191">
        <v>0.191</v>
      </c>
      <c r="BD191">
        <v>0.28100000000000003</v>
      </c>
      <c r="BE191">
        <v>0.1</v>
      </c>
      <c r="BF191">
        <v>0.46300000000000002</v>
      </c>
      <c r="BG191">
        <v>0.47</v>
      </c>
      <c r="BH191">
        <v>-0.54300000000000004</v>
      </c>
      <c r="BI191">
        <v>0.22500000000000001</v>
      </c>
      <c r="BJ191">
        <v>0.19600000000000001</v>
      </c>
      <c r="BK191">
        <v>0.58499999999999996</v>
      </c>
      <c r="BL191">
        <v>-0.70499999999999996</v>
      </c>
      <c r="BM191">
        <v>3.2000000000000001E-2</v>
      </c>
    </row>
    <row r="192" spans="1:65" x14ac:dyDescent="0.3">
      <c r="A192" t="s">
        <v>148</v>
      </c>
      <c r="B192">
        <v>0</v>
      </c>
      <c r="C192">
        <v>0</v>
      </c>
      <c r="M192" t="s">
        <v>202</v>
      </c>
      <c r="N192">
        <v>0.51500000000000001</v>
      </c>
      <c r="O192">
        <v>0.47099999999999997</v>
      </c>
      <c r="P192" t="s">
        <v>57</v>
      </c>
      <c r="Q192">
        <v>0</v>
      </c>
      <c r="R192">
        <v>-5.0000000000000001E-3</v>
      </c>
      <c r="S192">
        <v>80</v>
      </c>
      <c r="T192">
        <v>-0.876</v>
      </c>
      <c r="U192">
        <v>-0.94299999999999995</v>
      </c>
      <c r="V192">
        <v>-0.89200000000000002</v>
      </c>
      <c r="W192">
        <v>-0.89</v>
      </c>
      <c r="X192">
        <v>-0.94499999999999995</v>
      </c>
      <c r="Y192">
        <v>-0.85099999999999998</v>
      </c>
      <c r="Z192">
        <v>-0.78400000000000003</v>
      </c>
      <c r="AA192">
        <v>-0.93400000000000005</v>
      </c>
      <c r="AB192">
        <v>-0.30199999999999999</v>
      </c>
      <c r="AC192">
        <v>-0.30499999999999999</v>
      </c>
      <c r="AD192">
        <v>0.30299999999999999</v>
      </c>
      <c r="AE192">
        <v>0.13600000000000001</v>
      </c>
      <c r="AF192">
        <v>1.7000000000000001E-2</v>
      </c>
      <c r="AG192">
        <v>-0.51400000000000001</v>
      </c>
      <c r="AH192">
        <v>-0.754</v>
      </c>
      <c r="AI192">
        <v>-0.91300000000000003</v>
      </c>
      <c r="AJ192">
        <v>-0.68500000000000005</v>
      </c>
      <c r="AK192">
        <v>-0.42099999999999999</v>
      </c>
      <c r="AL192">
        <v>-0.83499999999999996</v>
      </c>
      <c r="AM192">
        <v>-0.251</v>
      </c>
      <c r="AN192">
        <v>-1</v>
      </c>
      <c r="AO192">
        <v>-0.78800000000000003</v>
      </c>
      <c r="AP192">
        <v>0.107</v>
      </c>
      <c r="AQ192">
        <v>-0.34899999999999998</v>
      </c>
      <c r="AR192">
        <v>-0.107</v>
      </c>
      <c r="AS192">
        <v>-0.28399999999999997</v>
      </c>
      <c r="AT192">
        <v>-0.49</v>
      </c>
      <c r="AU192">
        <v>-0.25800000000000001</v>
      </c>
      <c r="AV192">
        <v>-0.19700000000000001</v>
      </c>
      <c r="AW192">
        <v>-0.41399999999999998</v>
      </c>
      <c r="AX192">
        <v>7.6999999999999999E-2</v>
      </c>
      <c r="AY192">
        <v>0.17499999999999999</v>
      </c>
      <c r="AZ192">
        <v>-0.26900000000000002</v>
      </c>
      <c r="BA192">
        <v>-0.78300000000000003</v>
      </c>
      <c r="BB192">
        <v>-0.27600000000000002</v>
      </c>
      <c r="BC192">
        <v>0.65800000000000003</v>
      </c>
      <c r="BD192">
        <v>-0.154</v>
      </c>
      <c r="BE192">
        <v>-0.23300000000000001</v>
      </c>
      <c r="BF192">
        <v>0.48699999999999999</v>
      </c>
      <c r="BG192">
        <v>0.19500000000000001</v>
      </c>
      <c r="BH192">
        <v>0.39900000000000002</v>
      </c>
      <c r="BI192">
        <v>0.45200000000000001</v>
      </c>
      <c r="BJ192">
        <v>4.0000000000000001E-3</v>
      </c>
      <c r="BK192">
        <v>0.153</v>
      </c>
      <c r="BL192">
        <v>0.58499999999999996</v>
      </c>
      <c r="BM192">
        <v>0.20599999999999999</v>
      </c>
    </row>
    <row r="193" spans="1:65" x14ac:dyDescent="0.3">
      <c r="A193" t="s">
        <v>130</v>
      </c>
      <c r="B193">
        <v>1.1675067933945399E-2</v>
      </c>
      <c r="C193">
        <v>1.4505219814832999E-2</v>
      </c>
      <c r="M193" t="s">
        <v>195</v>
      </c>
      <c r="N193">
        <v>0.51400000000000001</v>
      </c>
      <c r="O193">
        <v>0.44500000000000001</v>
      </c>
      <c r="P193" t="s">
        <v>57</v>
      </c>
      <c r="Q193">
        <v>0</v>
      </c>
      <c r="R193">
        <v>0</v>
      </c>
      <c r="S193">
        <v>80</v>
      </c>
      <c r="T193">
        <v>-0.94799999999999995</v>
      </c>
      <c r="U193">
        <v>-0.99099999999999999</v>
      </c>
      <c r="V193">
        <v>-0.997</v>
      </c>
      <c r="W193">
        <v>-0.93799999999999994</v>
      </c>
      <c r="X193">
        <v>-1</v>
      </c>
      <c r="Y193">
        <v>-0.85199999999999998</v>
      </c>
      <c r="Z193">
        <v>-0.69</v>
      </c>
      <c r="AA193">
        <v>-0.97799999999999998</v>
      </c>
      <c r="AB193">
        <v>-0.115</v>
      </c>
      <c r="AC193">
        <v>-0.11</v>
      </c>
      <c r="AD193">
        <v>4.0000000000000001E-3</v>
      </c>
      <c r="AE193">
        <v>0.19400000000000001</v>
      </c>
      <c r="AF193">
        <v>9.6000000000000002E-2</v>
      </c>
      <c r="AG193">
        <v>-1</v>
      </c>
      <c r="AH193">
        <v>-0.71799999999999997</v>
      </c>
      <c r="AI193">
        <v>-1</v>
      </c>
      <c r="AJ193">
        <v>-1</v>
      </c>
      <c r="AK193">
        <v>-1</v>
      </c>
      <c r="AL193">
        <v>-0.85699999999999998</v>
      </c>
      <c r="AM193">
        <v>-0.38</v>
      </c>
      <c r="AN193">
        <v>-1</v>
      </c>
      <c r="AO193">
        <v>-0.80100000000000005</v>
      </c>
      <c r="AP193">
        <v>0.311</v>
      </c>
      <c r="AQ193">
        <v>-0.66500000000000004</v>
      </c>
      <c r="AR193">
        <v>-0.84699999999999998</v>
      </c>
      <c r="AS193">
        <v>0.27900000000000003</v>
      </c>
      <c r="AT193">
        <v>0.30599999999999999</v>
      </c>
      <c r="AU193">
        <v>0.28699999999999998</v>
      </c>
      <c r="AV193">
        <v>0.152</v>
      </c>
      <c r="AW193">
        <v>2.5000000000000001E-2</v>
      </c>
      <c r="AX193">
        <v>-0.623</v>
      </c>
      <c r="AY193">
        <v>0</v>
      </c>
      <c r="AZ193">
        <v>5.8999999999999997E-2</v>
      </c>
      <c r="BA193">
        <v>-1.0999999999999999E-2</v>
      </c>
      <c r="BB193">
        <v>2.1999999999999999E-2</v>
      </c>
      <c r="BC193">
        <v>0.55300000000000005</v>
      </c>
      <c r="BD193">
        <v>-0.50900000000000001</v>
      </c>
      <c r="BE193">
        <v>-0.58699999999999997</v>
      </c>
      <c r="BF193">
        <v>-0.25600000000000001</v>
      </c>
      <c r="BG193">
        <v>0.26</v>
      </c>
      <c r="BH193">
        <v>0.435</v>
      </c>
      <c r="BI193">
        <v>0.90300000000000002</v>
      </c>
      <c r="BJ193">
        <v>-0.35899999999999999</v>
      </c>
      <c r="BK193">
        <v>-0.61099999999999999</v>
      </c>
      <c r="BL193">
        <v>0.21</v>
      </c>
      <c r="BM193">
        <v>-0.38600000000000001</v>
      </c>
    </row>
    <row r="194" spans="1:65" x14ac:dyDescent="0.3">
      <c r="A194" t="s">
        <v>219</v>
      </c>
      <c r="B194">
        <v>0</v>
      </c>
      <c r="C194">
        <v>0</v>
      </c>
      <c r="M194" t="s">
        <v>254</v>
      </c>
      <c r="N194">
        <v>0.51200000000000001</v>
      </c>
      <c r="O194">
        <v>0.60799999999999998</v>
      </c>
      <c r="P194" t="s">
        <v>57</v>
      </c>
      <c r="Q194">
        <v>0</v>
      </c>
      <c r="R194">
        <v>-3.1E-2</v>
      </c>
      <c r="S194">
        <v>45</v>
      </c>
      <c r="T194">
        <v>-0.92700000000000005</v>
      </c>
      <c r="U194">
        <v>-0.91300000000000003</v>
      </c>
      <c r="V194">
        <v>-0.92700000000000005</v>
      </c>
      <c r="W194">
        <v>-0.9</v>
      </c>
      <c r="X194">
        <v>-0.91900000000000004</v>
      </c>
      <c r="Y194">
        <v>-0.89700000000000002</v>
      </c>
      <c r="Z194">
        <v>-0.84599999999999997</v>
      </c>
      <c r="AA194">
        <v>-0.95899999999999996</v>
      </c>
      <c r="AB194">
        <v>-0.53</v>
      </c>
      <c r="AC194">
        <v>-0.52900000000000003</v>
      </c>
      <c r="AD194">
        <v>0.54900000000000004</v>
      </c>
      <c r="AE194">
        <v>0.42899999999999999</v>
      </c>
      <c r="AF194">
        <v>8.9999999999999993E-3</v>
      </c>
      <c r="AG194">
        <v>-5.8000000000000003E-2</v>
      </c>
      <c r="AH194">
        <v>-0.186</v>
      </c>
      <c r="AI194">
        <v>-0.72</v>
      </c>
      <c r="AJ194">
        <v>-0.55000000000000004</v>
      </c>
      <c r="AK194">
        <v>-1</v>
      </c>
      <c r="AL194">
        <v>-0.98899999999999999</v>
      </c>
      <c r="AM194">
        <v>0.27700000000000002</v>
      </c>
      <c r="AN194">
        <v>-0.80900000000000005</v>
      </c>
      <c r="AO194">
        <v>0.154</v>
      </c>
      <c r="AP194">
        <v>-0.34300000000000003</v>
      </c>
      <c r="AQ194">
        <v>-0.81499999999999995</v>
      </c>
      <c r="AR194">
        <v>-0.58499999999999996</v>
      </c>
      <c r="AS194">
        <v>-0.189</v>
      </c>
      <c r="AT194">
        <v>-0.61199999999999999</v>
      </c>
      <c r="AU194">
        <v>-0.42199999999999999</v>
      </c>
      <c r="AV194">
        <v>-0.43099999999999999</v>
      </c>
      <c r="AW194">
        <v>-0.16200000000000001</v>
      </c>
      <c r="AX194">
        <v>-0.26100000000000001</v>
      </c>
      <c r="AY194">
        <v>-0.41899999999999998</v>
      </c>
      <c r="AZ194">
        <v>-0.33100000000000002</v>
      </c>
      <c r="BA194">
        <v>0.30399999999999999</v>
      </c>
      <c r="BB194">
        <v>-0.27300000000000002</v>
      </c>
      <c r="BC194">
        <v>-3.7999999999999999E-2</v>
      </c>
      <c r="BD194">
        <v>0.32800000000000001</v>
      </c>
      <c r="BE194">
        <v>4.4999999999999998E-2</v>
      </c>
      <c r="BF194">
        <v>0.08</v>
      </c>
      <c r="BG194">
        <v>0.35899999999999999</v>
      </c>
      <c r="BH194">
        <v>-0.10299999999999999</v>
      </c>
      <c r="BI194">
        <v>0.39900000000000002</v>
      </c>
      <c r="BJ194">
        <v>0.65300000000000002</v>
      </c>
      <c r="BK194">
        <v>0.35599999999999998</v>
      </c>
      <c r="BL194">
        <v>-0.622</v>
      </c>
      <c r="BM194">
        <v>-0.26900000000000002</v>
      </c>
    </row>
    <row r="195" spans="1:65" x14ac:dyDescent="0.3">
      <c r="A195" t="s">
        <v>227</v>
      </c>
      <c r="B195">
        <v>0</v>
      </c>
      <c r="C195">
        <v>0</v>
      </c>
      <c r="M195" t="s">
        <v>230</v>
      </c>
      <c r="N195">
        <v>0.50800000000000001</v>
      </c>
      <c r="O195">
        <v>0.46899999999999997</v>
      </c>
      <c r="P195" t="s">
        <v>71</v>
      </c>
      <c r="Q195">
        <v>0</v>
      </c>
      <c r="R195">
        <v>-1.4E-2</v>
      </c>
      <c r="S195">
        <v>64</v>
      </c>
      <c r="T195">
        <v>-1</v>
      </c>
      <c r="U195">
        <v>-0.98</v>
      </c>
      <c r="V195">
        <v>-1</v>
      </c>
      <c r="W195">
        <v>-0.996</v>
      </c>
      <c r="X195">
        <v>-0.998</v>
      </c>
      <c r="Y195">
        <v>-0.95699999999999996</v>
      </c>
      <c r="Z195">
        <v>-0.93899999999999995</v>
      </c>
      <c r="AA195">
        <v>-0.96099999999999997</v>
      </c>
      <c r="AB195">
        <v>-0.48799999999999999</v>
      </c>
      <c r="AC195">
        <v>-0.48799999999999999</v>
      </c>
      <c r="AD195">
        <v>0.23899999999999999</v>
      </c>
      <c r="AE195">
        <v>0.46400000000000002</v>
      </c>
      <c r="AF195">
        <v>0.129</v>
      </c>
      <c r="AG195">
        <v>-0.95699999999999996</v>
      </c>
      <c r="AH195">
        <v>-0.92300000000000004</v>
      </c>
      <c r="AI195">
        <v>-0.97399999999999998</v>
      </c>
      <c r="AJ195">
        <v>-0.79800000000000004</v>
      </c>
      <c r="AK195">
        <v>-0.92800000000000005</v>
      </c>
      <c r="AL195">
        <v>-0.93700000000000006</v>
      </c>
      <c r="AM195">
        <v>-0.64500000000000002</v>
      </c>
      <c r="AN195">
        <v>-0.11</v>
      </c>
      <c r="AO195">
        <v>0.186</v>
      </c>
      <c r="AP195">
        <v>-0.73199999999999998</v>
      </c>
      <c r="AQ195">
        <v>-0.61099999999999999</v>
      </c>
      <c r="AR195">
        <v>-0.66900000000000004</v>
      </c>
      <c r="AS195">
        <v>-0.68100000000000005</v>
      </c>
      <c r="AT195">
        <v>0.42</v>
      </c>
      <c r="AU195">
        <v>-3.2000000000000001E-2</v>
      </c>
      <c r="AV195">
        <v>-0.36699999999999999</v>
      </c>
      <c r="AW195">
        <v>-0.57499999999999996</v>
      </c>
      <c r="AX195">
        <v>-0.81499999999999995</v>
      </c>
      <c r="AY195">
        <v>-0.42899999999999999</v>
      </c>
      <c r="AZ195">
        <v>-0.70099999999999996</v>
      </c>
      <c r="BA195">
        <v>0.63</v>
      </c>
      <c r="BB195">
        <v>-1</v>
      </c>
      <c r="BC195">
        <v>0.32900000000000001</v>
      </c>
      <c r="BD195">
        <v>3.5999999999999997E-2</v>
      </c>
      <c r="BE195">
        <v>-0.02</v>
      </c>
      <c r="BF195">
        <v>0.20799999999999999</v>
      </c>
      <c r="BG195">
        <v>-0.70299999999999996</v>
      </c>
      <c r="BH195">
        <v>-0.437</v>
      </c>
      <c r="BI195">
        <v>-3.4000000000000002E-2</v>
      </c>
      <c r="BJ195">
        <v>0.50800000000000001</v>
      </c>
      <c r="BK195">
        <v>0.35699999999999998</v>
      </c>
      <c r="BL195">
        <v>-0.32800000000000001</v>
      </c>
      <c r="BM195">
        <v>9.9000000000000005E-2</v>
      </c>
    </row>
    <row r="196" spans="1:65" x14ac:dyDescent="0.3">
      <c r="A196" t="s">
        <v>147</v>
      </c>
      <c r="B196">
        <v>0</v>
      </c>
      <c r="C196">
        <v>0</v>
      </c>
      <c r="M196" t="s">
        <v>212</v>
      </c>
      <c r="N196">
        <v>0.50700000000000001</v>
      </c>
      <c r="O196">
        <v>0.38200000000000001</v>
      </c>
      <c r="P196" t="s">
        <v>57</v>
      </c>
      <c r="Q196">
        <v>0</v>
      </c>
      <c r="R196">
        <v>-2E-3</v>
      </c>
      <c r="S196">
        <v>80</v>
      </c>
      <c r="T196">
        <v>-0.97499999999999998</v>
      </c>
      <c r="U196">
        <v>-1</v>
      </c>
      <c r="V196">
        <v>-0.94199999999999995</v>
      </c>
      <c r="W196">
        <v>-0.95</v>
      </c>
      <c r="X196">
        <v>-0.98699999999999999</v>
      </c>
      <c r="Y196">
        <v>-0.93500000000000005</v>
      </c>
      <c r="Z196">
        <v>-0.89600000000000002</v>
      </c>
      <c r="AA196">
        <v>-0.94499999999999995</v>
      </c>
      <c r="AB196">
        <v>-0.317</v>
      </c>
      <c r="AC196">
        <v>-0.314</v>
      </c>
      <c r="AD196">
        <v>0.214</v>
      </c>
      <c r="AE196">
        <v>0.27700000000000002</v>
      </c>
      <c r="AF196">
        <v>-4.1000000000000002E-2</v>
      </c>
      <c r="AG196">
        <v>-0.83899999999999997</v>
      </c>
      <c r="AH196">
        <v>-0.67200000000000004</v>
      </c>
      <c r="AI196">
        <v>-1</v>
      </c>
      <c r="AJ196">
        <v>-0.38800000000000001</v>
      </c>
      <c r="AK196">
        <v>-0.57599999999999996</v>
      </c>
      <c r="AL196">
        <v>-0.432</v>
      </c>
      <c r="AM196">
        <v>-0.113</v>
      </c>
      <c r="AN196">
        <v>-0.32600000000000001</v>
      </c>
      <c r="AO196">
        <v>-0.65400000000000003</v>
      </c>
      <c r="AP196">
        <v>-0.25800000000000001</v>
      </c>
      <c r="AQ196">
        <v>-0.76400000000000001</v>
      </c>
      <c r="AR196">
        <v>-0.72099999999999997</v>
      </c>
      <c r="AS196">
        <v>-4.4999999999999998E-2</v>
      </c>
      <c r="AT196">
        <v>-0.375</v>
      </c>
      <c r="AU196">
        <v>-0.74399999999999999</v>
      </c>
      <c r="AV196">
        <v>0.42299999999999999</v>
      </c>
      <c r="AW196">
        <v>-0.374</v>
      </c>
      <c r="AX196">
        <v>-0.64</v>
      </c>
      <c r="AY196">
        <v>-0.19600000000000001</v>
      </c>
      <c r="AZ196">
        <v>0.40100000000000002</v>
      </c>
      <c r="BA196">
        <v>0.68100000000000005</v>
      </c>
      <c r="BB196">
        <v>0.38</v>
      </c>
      <c r="BC196">
        <v>-0.497</v>
      </c>
      <c r="BD196">
        <v>-0.56799999999999995</v>
      </c>
      <c r="BE196">
        <v>-0.3</v>
      </c>
      <c r="BF196">
        <v>-0.23799999999999999</v>
      </c>
      <c r="BG196">
        <v>0.76400000000000001</v>
      </c>
      <c r="BH196">
        <v>0.60799999999999998</v>
      </c>
      <c r="BI196">
        <v>-8.4000000000000005E-2</v>
      </c>
      <c r="BJ196">
        <v>-0.61399999999999999</v>
      </c>
      <c r="BK196">
        <v>0.29099999999999998</v>
      </c>
      <c r="BL196">
        <v>-0.41899999999999998</v>
      </c>
      <c r="BM196">
        <v>0.23499999999999999</v>
      </c>
    </row>
    <row r="197" spans="1:65" x14ac:dyDescent="0.3">
      <c r="A197" t="s">
        <v>67</v>
      </c>
      <c r="B197">
        <v>1.9521104236099301E-2</v>
      </c>
      <c r="C197">
        <v>1.4164190378759999E-2</v>
      </c>
      <c r="M197" t="s">
        <v>181</v>
      </c>
      <c r="N197">
        <v>0.50600000000000001</v>
      </c>
      <c r="O197">
        <v>0.38700000000000001</v>
      </c>
      <c r="P197" t="s">
        <v>68</v>
      </c>
      <c r="Q197">
        <v>0</v>
      </c>
      <c r="R197">
        <v>0</v>
      </c>
      <c r="S197">
        <v>14</v>
      </c>
      <c r="T197">
        <v>-0.89200000000000002</v>
      </c>
      <c r="U197">
        <v>-0.999</v>
      </c>
      <c r="V197">
        <v>-0.97899999999999998</v>
      </c>
      <c r="W197">
        <v>-0.86599999999999999</v>
      </c>
      <c r="X197">
        <v>-0.98799999999999999</v>
      </c>
      <c r="Y197">
        <v>-0.86199999999999999</v>
      </c>
      <c r="Z197">
        <v>-0.83399999999999996</v>
      </c>
      <c r="AA197">
        <v>-0.92300000000000004</v>
      </c>
      <c r="AB197">
        <v>-0.35299999999999998</v>
      </c>
      <c r="AC197">
        <v>-0.35299999999999998</v>
      </c>
      <c r="AD197">
        <v>0.28499999999999998</v>
      </c>
      <c r="AE197">
        <v>0.254</v>
      </c>
      <c r="AF197">
        <v>-0.25900000000000001</v>
      </c>
      <c r="AG197">
        <v>-0.57199999999999995</v>
      </c>
      <c r="AH197">
        <v>-0.64700000000000002</v>
      </c>
      <c r="AI197">
        <v>-0.98399999999999999</v>
      </c>
      <c r="AJ197">
        <v>-1</v>
      </c>
      <c r="AK197">
        <v>-1</v>
      </c>
      <c r="AL197">
        <v>-0.72899999999999998</v>
      </c>
      <c r="AM197">
        <v>-0.34599999999999997</v>
      </c>
      <c r="AN197">
        <v>-0.94</v>
      </c>
      <c r="AO197">
        <v>-0.82199999999999995</v>
      </c>
      <c r="AP197">
        <v>0.32600000000000001</v>
      </c>
      <c r="AQ197">
        <v>-0.27300000000000002</v>
      </c>
      <c r="AR197">
        <v>-0.314</v>
      </c>
      <c r="AS197">
        <v>0.45500000000000002</v>
      </c>
      <c r="AT197">
        <v>-0.27700000000000002</v>
      </c>
      <c r="AU197">
        <v>-0.40799999999999997</v>
      </c>
      <c r="AV197">
        <v>-6.6000000000000003E-2</v>
      </c>
      <c r="AW197">
        <v>-0.64900000000000002</v>
      </c>
      <c r="AX197">
        <v>0.221</v>
      </c>
      <c r="AY197">
        <v>0.36199999999999999</v>
      </c>
      <c r="AZ197">
        <v>9.4E-2</v>
      </c>
      <c r="BA197">
        <v>0.26</v>
      </c>
      <c r="BB197">
        <v>0.63</v>
      </c>
      <c r="BC197">
        <v>0.28799999999999998</v>
      </c>
      <c r="BD197">
        <v>8.4000000000000005E-2</v>
      </c>
      <c r="BE197">
        <v>0.253</v>
      </c>
      <c r="BF197">
        <v>0.34599999999999997</v>
      </c>
      <c r="BG197">
        <v>0.24</v>
      </c>
      <c r="BH197">
        <v>0.92300000000000004</v>
      </c>
      <c r="BI197">
        <v>-0.1</v>
      </c>
      <c r="BJ197">
        <v>-1</v>
      </c>
      <c r="BK197">
        <v>0.79800000000000004</v>
      </c>
      <c r="BL197">
        <v>-0.42399999999999999</v>
      </c>
      <c r="BM197">
        <v>-0.80200000000000005</v>
      </c>
    </row>
    <row r="198" spans="1:65" x14ac:dyDescent="0.3">
      <c r="A198" t="s">
        <v>90</v>
      </c>
      <c r="B198">
        <v>3.6453377663411897E-2</v>
      </c>
      <c r="C198">
        <v>2.5658454004482401E-2</v>
      </c>
      <c r="M198" t="s">
        <v>213</v>
      </c>
      <c r="N198">
        <v>0.505</v>
      </c>
      <c r="O198">
        <v>0.88700000000000001</v>
      </c>
      <c r="P198" t="s">
        <v>57</v>
      </c>
      <c r="Q198">
        <v>0</v>
      </c>
      <c r="R198">
        <v>-0.05</v>
      </c>
      <c r="S198">
        <v>32</v>
      </c>
      <c r="T198">
        <v>-0.95099999999999996</v>
      </c>
      <c r="U198">
        <v>-1</v>
      </c>
      <c r="V198">
        <v>-0.98499999999999999</v>
      </c>
      <c r="W198">
        <v>-0.88600000000000001</v>
      </c>
      <c r="X198">
        <v>-0.98199999999999998</v>
      </c>
      <c r="Y198">
        <v>-0.90500000000000003</v>
      </c>
      <c r="Z198">
        <v>-0.82399999999999995</v>
      </c>
      <c r="AA198">
        <v>-0.95099999999999996</v>
      </c>
      <c r="AB198">
        <v>-0.375</v>
      </c>
      <c r="AC198">
        <v>-0.372</v>
      </c>
      <c r="AD198">
        <v>0.34899999999999998</v>
      </c>
      <c r="AE198">
        <v>0.36499999999999999</v>
      </c>
      <c r="AF198">
        <v>-0.22800000000000001</v>
      </c>
      <c r="AG198">
        <v>-0.60899999999999999</v>
      </c>
      <c r="AH198">
        <v>-0.57799999999999996</v>
      </c>
      <c r="AI198">
        <v>-1</v>
      </c>
      <c r="AJ198">
        <v>-0.94799999999999995</v>
      </c>
      <c r="AK198">
        <v>-1</v>
      </c>
      <c r="AL198">
        <v>-0.437</v>
      </c>
      <c r="AM198">
        <v>-0.60399999999999998</v>
      </c>
      <c r="AN198">
        <v>-0.749</v>
      </c>
      <c r="AO198">
        <v>-0.92300000000000004</v>
      </c>
      <c r="AP198">
        <v>0.53500000000000003</v>
      </c>
      <c r="AQ198">
        <v>-0.88500000000000001</v>
      </c>
      <c r="AR198">
        <v>-0.40600000000000003</v>
      </c>
      <c r="AS198">
        <v>0.36899999999999999</v>
      </c>
      <c r="AT198">
        <v>0.20899999999999999</v>
      </c>
      <c r="AU198">
        <v>0.154</v>
      </c>
      <c r="AV198">
        <v>0.25600000000000001</v>
      </c>
      <c r="AW198">
        <v>0.154</v>
      </c>
      <c r="AX198">
        <v>0.16800000000000001</v>
      </c>
      <c r="AY198">
        <v>0.21299999999999999</v>
      </c>
      <c r="AZ198">
        <v>-0.41699999999999998</v>
      </c>
      <c r="BA198">
        <v>0.876</v>
      </c>
      <c r="BB198">
        <v>0.59299999999999997</v>
      </c>
      <c r="BC198">
        <v>-0.309</v>
      </c>
      <c r="BD198">
        <v>-0.85299999999999998</v>
      </c>
      <c r="BE198">
        <v>-1</v>
      </c>
      <c r="BF198">
        <v>-0.497</v>
      </c>
      <c r="BG198">
        <v>-0.26200000000000001</v>
      </c>
      <c r="BH198">
        <v>-1</v>
      </c>
      <c r="BI198">
        <v>-0.371</v>
      </c>
      <c r="BJ198">
        <v>-0.20899999999999999</v>
      </c>
      <c r="BK198">
        <v>-0.11600000000000001</v>
      </c>
      <c r="BL198">
        <v>-0.311</v>
      </c>
      <c r="BM198">
        <v>-0.621</v>
      </c>
    </row>
    <row r="199" spans="1:65" x14ac:dyDescent="0.3">
      <c r="A199" t="s">
        <v>79</v>
      </c>
      <c r="B199">
        <v>1.5947647465804501E-2</v>
      </c>
      <c r="C199">
        <v>1.8934569334372001E-2</v>
      </c>
      <c r="M199" t="s">
        <v>249</v>
      </c>
      <c r="N199">
        <v>0.501</v>
      </c>
      <c r="O199">
        <v>0.34200000000000003</v>
      </c>
      <c r="P199" t="s">
        <v>71</v>
      </c>
      <c r="Q199">
        <v>0</v>
      </c>
      <c r="R199">
        <v>0</v>
      </c>
      <c r="S199">
        <v>80</v>
      </c>
      <c r="T199">
        <v>-0.85399999999999998</v>
      </c>
      <c r="U199">
        <v>-0.56799999999999995</v>
      </c>
      <c r="V199">
        <v>-0.79800000000000004</v>
      </c>
      <c r="W199">
        <v>-0.91900000000000004</v>
      </c>
      <c r="X199">
        <v>-0.83099999999999996</v>
      </c>
      <c r="Y199">
        <v>-0.93899999999999995</v>
      </c>
      <c r="Z199">
        <v>-0.97199999999999998</v>
      </c>
      <c r="AA199">
        <v>-0.84099999999999997</v>
      </c>
      <c r="AB199">
        <v>-0.39</v>
      </c>
      <c r="AC199">
        <v>-0.40100000000000002</v>
      </c>
      <c r="AD199">
        <v>-1</v>
      </c>
      <c r="AE199">
        <v>-1</v>
      </c>
      <c r="AF199">
        <v>-5.6000000000000001E-2</v>
      </c>
      <c r="AG199">
        <v>-1</v>
      </c>
      <c r="AH199">
        <v>-1</v>
      </c>
      <c r="AI199">
        <v>-0.34399999999999997</v>
      </c>
      <c r="AJ199">
        <v>-0.63900000000000001</v>
      </c>
      <c r="AK199">
        <v>1</v>
      </c>
      <c r="AL199">
        <v>-0.66100000000000003</v>
      </c>
      <c r="AM199">
        <v>-0.55300000000000005</v>
      </c>
      <c r="AN199">
        <v>-1</v>
      </c>
      <c r="AO199">
        <v>-0.41299999999999998</v>
      </c>
      <c r="AP199">
        <v>-0.40500000000000003</v>
      </c>
      <c r="AQ199">
        <v>0.79800000000000004</v>
      </c>
      <c r="AR199">
        <v>0.91600000000000004</v>
      </c>
      <c r="AS199">
        <v>-0.66800000000000004</v>
      </c>
      <c r="AT199">
        <v>-1</v>
      </c>
      <c r="AU199">
        <v>-2.5999999999999999E-2</v>
      </c>
      <c r="AV199">
        <v>-0.67700000000000005</v>
      </c>
      <c r="AW199">
        <v>-0.02</v>
      </c>
      <c r="AX199">
        <v>-0.52400000000000002</v>
      </c>
      <c r="AY199">
        <v>-0.77800000000000002</v>
      </c>
      <c r="AZ199">
        <v>-9.9000000000000005E-2</v>
      </c>
      <c r="BA199">
        <v>-0.56200000000000006</v>
      </c>
      <c r="BB199">
        <v>-0.88600000000000001</v>
      </c>
      <c r="BC199">
        <v>0.875</v>
      </c>
      <c r="BD199">
        <v>0.49199999999999999</v>
      </c>
      <c r="BE199">
        <v>0.17699999999999999</v>
      </c>
      <c r="BF199">
        <v>0.73799999999999999</v>
      </c>
      <c r="BG199">
        <v>-0.63</v>
      </c>
      <c r="BH199">
        <v>-0.10299999999999999</v>
      </c>
      <c r="BI199">
        <v>-1</v>
      </c>
      <c r="BJ199">
        <v>0.155</v>
      </c>
      <c r="BK199">
        <v>0.36099999999999999</v>
      </c>
      <c r="BL199">
        <v>0.83599999999999997</v>
      </c>
      <c r="BM199">
        <v>0.72599999999999998</v>
      </c>
    </row>
    <row r="200" spans="1:65" x14ac:dyDescent="0.3">
      <c r="A200" t="s">
        <v>120</v>
      </c>
      <c r="B200">
        <v>4.9025164314406601E-2</v>
      </c>
      <c r="C200">
        <v>5.7085421677838102E-2</v>
      </c>
      <c r="M200" t="s">
        <v>245</v>
      </c>
      <c r="N200">
        <v>0.5</v>
      </c>
      <c r="O200">
        <v>0.371</v>
      </c>
      <c r="P200" t="s">
        <v>57</v>
      </c>
      <c r="Q200">
        <v>0</v>
      </c>
      <c r="R200">
        <v>-4.0000000000000001E-3</v>
      </c>
      <c r="S200">
        <v>80</v>
      </c>
      <c r="T200">
        <v>-0.97</v>
      </c>
      <c r="U200">
        <v>-0.91900000000000004</v>
      </c>
      <c r="V200">
        <v>-0.90900000000000003</v>
      </c>
      <c r="W200">
        <v>-0.94499999999999995</v>
      </c>
      <c r="X200">
        <v>-0.92200000000000004</v>
      </c>
      <c r="Y200">
        <v>-0.98099999999999998</v>
      </c>
      <c r="Z200">
        <v>-0.98099999999999998</v>
      </c>
      <c r="AA200">
        <v>-0.94799999999999995</v>
      </c>
      <c r="AB200">
        <v>-0.14199999999999999</v>
      </c>
      <c r="AC200">
        <v>-0.14799999999999999</v>
      </c>
      <c r="AD200">
        <v>-0.33200000000000002</v>
      </c>
      <c r="AE200">
        <v>-0.30599999999999999</v>
      </c>
      <c r="AF200">
        <v>-0.14399999999999999</v>
      </c>
      <c r="AG200">
        <v>-0.38100000000000001</v>
      </c>
      <c r="AH200">
        <v>-0.71</v>
      </c>
      <c r="AI200">
        <v>-0.59399999999999997</v>
      </c>
      <c r="AJ200">
        <v>-0.38700000000000001</v>
      </c>
      <c r="AK200">
        <v>-0.55400000000000005</v>
      </c>
      <c r="AL200">
        <v>-0.84199999999999997</v>
      </c>
      <c r="AM200">
        <v>0.114</v>
      </c>
      <c r="AN200">
        <v>-0.90400000000000003</v>
      </c>
      <c r="AO200">
        <v>0.38100000000000001</v>
      </c>
      <c r="AP200">
        <v>-6.9000000000000006E-2</v>
      </c>
      <c r="AQ200">
        <v>-0.33100000000000002</v>
      </c>
      <c r="AR200">
        <v>-0.56000000000000005</v>
      </c>
      <c r="AS200">
        <v>-0.54400000000000004</v>
      </c>
      <c r="AT200">
        <v>-1</v>
      </c>
      <c r="AU200">
        <v>-0.78900000000000003</v>
      </c>
      <c r="AV200">
        <v>-0.121</v>
      </c>
      <c r="AW200">
        <v>-0.379</v>
      </c>
      <c r="AX200">
        <v>-0.26200000000000001</v>
      </c>
      <c r="AY200">
        <v>-0.81899999999999995</v>
      </c>
      <c r="AZ200">
        <v>-0.48099999999999998</v>
      </c>
      <c r="BA200">
        <v>0.46200000000000002</v>
      </c>
      <c r="BB200">
        <v>0.48599999999999999</v>
      </c>
      <c r="BC200">
        <v>-0.73</v>
      </c>
      <c r="BD200">
        <v>-1E-3</v>
      </c>
      <c r="BE200">
        <v>-0.41099999999999998</v>
      </c>
      <c r="BF200">
        <v>0.249</v>
      </c>
      <c r="BG200">
        <v>0.30199999999999999</v>
      </c>
      <c r="BH200">
        <v>-0.96</v>
      </c>
      <c r="BI200">
        <v>-0.54800000000000004</v>
      </c>
      <c r="BJ200">
        <v>0.17399999999999999</v>
      </c>
      <c r="BK200">
        <v>0.56499999999999995</v>
      </c>
      <c r="BL200">
        <v>-7.1999999999999995E-2</v>
      </c>
      <c r="BM200">
        <v>0.29099999999999998</v>
      </c>
    </row>
    <row r="201" spans="1:65" x14ac:dyDescent="0.3">
      <c r="A201" t="s">
        <v>94</v>
      </c>
      <c r="B201">
        <v>3.1097463401021701E-2</v>
      </c>
      <c r="C201">
        <v>3.5493795556052303E-2</v>
      </c>
      <c r="M201" t="s">
        <v>243</v>
      </c>
      <c r="N201">
        <v>0.499</v>
      </c>
      <c r="O201">
        <v>0.36199999999999999</v>
      </c>
      <c r="P201" t="s">
        <v>53</v>
      </c>
      <c r="Q201">
        <v>0</v>
      </c>
      <c r="R201">
        <v>-1.0999999999999999E-2</v>
      </c>
      <c r="S201">
        <v>69</v>
      </c>
      <c r="T201">
        <v>-0.71299999999999997</v>
      </c>
      <c r="U201">
        <v>-0.251</v>
      </c>
      <c r="V201">
        <v>-0.73299999999999998</v>
      </c>
      <c r="W201">
        <v>-0.78300000000000003</v>
      </c>
      <c r="X201">
        <v>-0.65800000000000003</v>
      </c>
      <c r="Y201">
        <v>-0.89900000000000002</v>
      </c>
      <c r="Z201">
        <v>-0.94499999999999995</v>
      </c>
      <c r="AA201">
        <v>-0.92200000000000004</v>
      </c>
      <c r="AB201">
        <v>-0.57999999999999996</v>
      </c>
      <c r="AC201">
        <v>-0.57999999999999996</v>
      </c>
      <c r="AD201">
        <v>-0.28699999999999998</v>
      </c>
      <c r="AE201">
        <v>-0.54600000000000004</v>
      </c>
      <c r="AF201">
        <v>-0.52600000000000002</v>
      </c>
      <c r="AG201">
        <v>-0.41299999999999998</v>
      </c>
      <c r="AH201">
        <v>0.22</v>
      </c>
      <c r="AI201">
        <v>0.123</v>
      </c>
      <c r="AJ201">
        <v>-0.214</v>
      </c>
      <c r="AK201">
        <v>-0.35599999999999998</v>
      </c>
      <c r="AL201">
        <v>-0.80900000000000005</v>
      </c>
      <c r="AM201">
        <v>0.45300000000000001</v>
      </c>
      <c r="AN201">
        <v>-1</v>
      </c>
      <c r="AO201">
        <v>0.85699999999999998</v>
      </c>
      <c r="AP201">
        <v>-0.29199999999999998</v>
      </c>
      <c r="AQ201">
        <v>-0.76500000000000001</v>
      </c>
      <c r="AR201">
        <v>0.93600000000000005</v>
      </c>
      <c r="AS201">
        <v>8.0000000000000002E-3</v>
      </c>
      <c r="AT201">
        <v>-0.36299999999999999</v>
      </c>
      <c r="AU201">
        <v>-1.4E-2</v>
      </c>
      <c r="AV201">
        <v>-0.26</v>
      </c>
      <c r="AW201">
        <v>-0.33</v>
      </c>
      <c r="AX201">
        <v>-0.41299999999999998</v>
      </c>
      <c r="AY201">
        <v>-0.81200000000000006</v>
      </c>
      <c r="AZ201">
        <v>-0.36299999999999999</v>
      </c>
      <c r="BA201">
        <v>0.40799999999999997</v>
      </c>
      <c r="BB201">
        <v>0.52800000000000002</v>
      </c>
      <c r="BC201">
        <v>0.17</v>
      </c>
      <c r="BD201">
        <v>0.26100000000000001</v>
      </c>
      <c r="BE201">
        <v>-5.1999999999999998E-2</v>
      </c>
      <c r="BF201">
        <v>9.2999999999999999E-2</v>
      </c>
      <c r="BG201">
        <v>-0.627</v>
      </c>
      <c r="BH201">
        <v>0.10199999999999999</v>
      </c>
      <c r="BI201">
        <v>-0.90900000000000003</v>
      </c>
      <c r="BJ201">
        <v>1</v>
      </c>
      <c r="BK201">
        <v>0.28499999999999998</v>
      </c>
      <c r="BL201">
        <v>-0.85399999999999998</v>
      </c>
      <c r="BM201">
        <v>-2.5999999999999999E-2</v>
      </c>
    </row>
    <row r="202" spans="1:65" x14ac:dyDescent="0.3">
      <c r="A202" t="s">
        <v>113</v>
      </c>
      <c r="B202">
        <v>0</v>
      </c>
      <c r="C202">
        <v>0</v>
      </c>
      <c r="M202" t="s">
        <v>258</v>
      </c>
      <c r="N202">
        <v>0.497</v>
      </c>
      <c r="O202">
        <v>0.35399999999999998</v>
      </c>
      <c r="P202" t="s">
        <v>57</v>
      </c>
      <c r="Q202">
        <v>0</v>
      </c>
      <c r="R202">
        <v>-1E-3</v>
      </c>
      <c r="S202">
        <v>80</v>
      </c>
      <c r="T202">
        <v>-0.76600000000000001</v>
      </c>
      <c r="U202">
        <v>-0.60099999999999998</v>
      </c>
      <c r="V202">
        <v>-0.38200000000000001</v>
      </c>
      <c r="W202">
        <v>-0.90200000000000002</v>
      </c>
      <c r="X202">
        <v>-0.76300000000000001</v>
      </c>
      <c r="Y202">
        <v>-0.92400000000000004</v>
      </c>
      <c r="Z202">
        <v>-0.94399999999999995</v>
      </c>
      <c r="AA202">
        <v>-0.94599999999999995</v>
      </c>
      <c r="AB202">
        <v>-0.68700000000000006</v>
      </c>
      <c r="AC202">
        <v>-0.68500000000000005</v>
      </c>
      <c r="AD202">
        <v>-0.20200000000000001</v>
      </c>
      <c r="AE202">
        <v>-0.97399999999999998</v>
      </c>
      <c r="AF202">
        <v>-0.32</v>
      </c>
      <c r="AG202">
        <v>-0.76800000000000002</v>
      </c>
      <c r="AH202">
        <v>-0.41399999999999998</v>
      </c>
      <c r="AI202">
        <v>-0.45900000000000002</v>
      </c>
      <c r="AJ202">
        <v>1</v>
      </c>
      <c r="AK202">
        <v>3.5000000000000003E-2</v>
      </c>
      <c r="AL202">
        <v>-0.49</v>
      </c>
      <c r="AM202">
        <v>0.498</v>
      </c>
      <c r="AN202">
        <v>-0.68799999999999994</v>
      </c>
      <c r="AO202">
        <v>-2.7E-2</v>
      </c>
      <c r="AP202">
        <v>-0.308</v>
      </c>
      <c r="AQ202">
        <v>-0.66</v>
      </c>
      <c r="AR202">
        <v>-0.35699999999999998</v>
      </c>
      <c r="AS202">
        <v>-0.43</v>
      </c>
      <c r="AT202">
        <v>-0.30299999999999999</v>
      </c>
      <c r="AU202">
        <v>-0.23200000000000001</v>
      </c>
      <c r="AV202">
        <v>-0.28699999999999998</v>
      </c>
      <c r="AW202">
        <v>-0.35799999999999998</v>
      </c>
      <c r="AX202">
        <v>-0.71199999999999997</v>
      </c>
      <c r="AY202">
        <v>-0.78500000000000003</v>
      </c>
      <c r="AZ202">
        <v>0.39300000000000002</v>
      </c>
      <c r="BA202">
        <v>-6.4000000000000001E-2</v>
      </c>
      <c r="BB202">
        <v>-0.27400000000000002</v>
      </c>
      <c r="BC202">
        <v>-0.34</v>
      </c>
      <c r="BD202">
        <v>0.624</v>
      </c>
      <c r="BE202">
        <v>1</v>
      </c>
      <c r="BF202">
        <v>-8.9999999999999993E-3</v>
      </c>
      <c r="BG202">
        <v>1</v>
      </c>
      <c r="BH202">
        <v>1</v>
      </c>
      <c r="BI202">
        <v>-0.42399999999999999</v>
      </c>
      <c r="BJ202">
        <v>0.747</v>
      </c>
      <c r="BK202">
        <v>0.623</v>
      </c>
      <c r="BL202">
        <v>-0.21</v>
      </c>
      <c r="BM202">
        <v>1</v>
      </c>
    </row>
    <row r="203" spans="1:65" x14ac:dyDescent="0.3">
      <c r="A203" t="s">
        <v>134</v>
      </c>
      <c r="B203">
        <v>0</v>
      </c>
      <c r="C203">
        <v>0</v>
      </c>
      <c r="M203" t="s">
        <v>260</v>
      </c>
      <c r="N203">
        <v>0.49199999999999999</v>
      </c>
      <c r="O203">
        <v>0.33600000000000002</v>
      </c>
      <c r="P203" t="s">
        <v>57</v>
      </c>
      <c r="Q203">
        <v>0</v>
      </c>
      <c r="R203">
        <v>0</v>
      </c>
      <c r="S203">
        <v>80</v>
      </c>
      <c r="T203">
        <v>-0.96699999999999997</v>
      </c>
      <c r="U203">
        <v>-0.93799999999999994</v>
      </c>
      <c r="V203">
        <v>-0.89100000000000001</v>
      </c>
      <c r="W203">
        <v>-0.98199999999999998</v>
      </c>
      <c r="X203">
        <v>-0.95799999999999996</v>
      </c>
      <c r="Y203">
        <v>-0.97499999999999998</v>
      </c>
      <c r="Z203">
        <v>-0.96699999999999997</v>
      </c>
      <c r="AA203">
        <v>-0.99</v>
      </c>
      <c r="AB203">
        <v>-0.77800000000000002</v>
      </c>
      <c r="AC203">
        <v>-0.77500000000000002</v>
      </c>
      <c r="AD203">
        <v>-0.36899999999999999</v>
      </c>
      <c r="AE203">
        <v>-0.33700000000000002</v>
      </c>
      <c r="AF203">
        <v>-0.115</v>
      </c>
      <c r="AG203">
        <v>-0.84799999999999998</v>
      </c>
      <c r="AH203">
        <v>-0.68200000000000005</v>
      </c>
      <c r="AI203">
        <v>-0.73399999999999999</v>
      </c>
      <c r="AJ203">
        <v>-6.2E-2</v>
      </c>
      <c r="AK203">
        <v>-0.74299999999999999</v>
      </c>
      <c r="AL203">
        <v>-0.86299999999999999</v>
      </c>
      <c r="AM203">
        <v>0.51</v>
      </c>
      <c r="AN203">
        <v>-0.57799999999999996</v>
      </c>
      <c r="AO203">
        <v>-0.307</v>
      </c>
      <c r="AP203">
        <v>-0.309</v>
      </c>
      <c r="AQ203">
        <v>-0.83</v>
      </c>
      <c r="AR203">
        <v>-0.26200000000000001</v>
      </c>
      <c r="AS203">
        <v>-0.92200000000000004</v>
      </c>
      <c r="AT203">
        <v>-0.51600000000000001</v>
      </c>
      <c r="AU203">
        <v>-0.13200000000000001</v>
      </c>
      <c r="AV203">
        <v>-0.41399999999999998</v>
      </c>
      <c r="AW203">
        <v>-0.79400000000000004</v>
      </c>
      <c r="AX203">
        <v>-0.81499999999999995</v>
      </c>
      <c r="AY203">
        <v>-0.63700000000000001</v>
      </c>
      <c r="AZ203">
        <v>-0.33200000000000002</v>
      </c>
      <c r="BA203">
        <v>-0.10299999999999999</v>
      </c>
      <c r="BB203">
        <v>-0.61899999999999999</v>
      </c>
      <c r="BC203">
        <v>-9.4E-2</v>
      </c>
      <c r="BD203">
        <v>0.63</v>
      </c>
      <c r="BE203">
        <v>0.111</v>
      </c>
      <c r="BF203">
        <v>-7.1999999999999995E-2</v>
      </c>
      <c r="BG203">
        <v>0.54500000000000004</v>
      </c>
      <c r="BH203">
        <v>0.14099999999999999</v>
      </c>
      <c r="BI203">
        <v>9.4E-2</v>
      </c>
      <c r="BJ203">
        <v>1</v>
      </c>
      <c r="BK203">
        <v>0.111</v>
      </c>
      <c r="BL203">
        <v>0.32700000000000001</v>
      </c>
      <c r="BM203">
        <v>0.22800000000000001</v>
      </c>
    </row>
    <row r="204" spans="1:65" x14ac:dyDescent="0.3">
      <c r="A204" t="s">
        <v>116</v>
      </c>
      <c r="B204">
        <v>1.1657131200931099E-2</v>
      </c>
      <c r="C204">
        <v>9.9552673895462202E-3</v>
      </c>
      <c r="M204" t="s">
        <v>242</v>
      </c>
      <c r="N204">
        <v>0.49199999999999999</v>
      </c>
      <c r="O204">
        <v>0.33700000000000002</v>
      </c>
      <c r="P204" t="s">
        <v>57</v>
      </c>
      <c r="Q204">
        <v>0</v>
      </c>
      <c r="R204">
        <v>-1E-3</v>
      </c>
      <c r="S204">
        <v>80</v>
      </c>
      <c r="T204">
        <v>-0.80200000000000005</v>
      </c>
      <c r="U204">
        <v>-0.76600000000000001</v>
      </c>
      <c r="V204">
        <v>-0.53300000000000003</v>
      </c>
      <c r="W204">
        <v>-0.88200000000000001</v>
      </c>
      <c r="X204">
        <v>-0.79600000000000004</v>
      </c>
      <c r="Y204">
        <v>-0.93200000000000005</v>
      </c>
      <c r="Z204">
        <v>-0.93200000000000005</v>
      </c>
      <c r="AA204">
        <v>-0.99299999999999999</v>
      </c>
      <c r="AB204">
        <v>-0.74099999999999999</v>
      </c>
      <c r="AC204">
        <v>-0.74099999999999999</v>
      </c>
      <c r="AD204">
        <v>-0.66400000000000003</v>
      </c>
      <c r="AE204">
        <v>-0.91800000000000004</v>
      </c>
      <c r="AF204">
        <v>-0.312</v>
      </c>
      <c r="AG204">
        <v>-0.624</v>
      </c>
      <c r="AH204">
        <v>4.9000000000000002E-2</v>
      </c>
      <c r="AI204">
        <v>-0.59</v>
      </c>
      <c r="AJ204">
        <v>0.624</v>
      </c>
      <c r="AK204">
        <v>-0.4</v>
      </c>
      <c r="AL204">
        <v>-0.56699999999999995</v>
      </c>
      <c r="AM204">
        <v>0.85299999999999998</v>
      </c>
      <c r="AN204">
        <v>-1</v>
      </c>
      <c r="AO204">
        <v>-3.7999999999999999E-2</v>
      </c>
      <c r="AP204">
        <v>-0.23699999999999999</v>
      </c>
      <c r="AQ204">
        <v>-0.87</v>
      </c>
      <c r="AR204">
        <v>-0.49</v>
      </c>
      <c r="AS204">
        <v>-0.32600000000000001</v>
      </c>
      <c r="AT204">
        <v>-0.42899999999999999</v>
      </c>
      <c r="AU204">
        <v>0.159</v>
      </c>
      <c r="AV204">
        <v>-0.246</v>
      </c>
      <c r="AW204">
        <v>-0.27700000000000002</v>
      </c>
      <c r="AX204">
        <v>-0.41399999999999998</v>
      </c>
      <c r="AY204">
        <v>-0.98099999999999998</v>
      </c>
      <c r="AZ204">
        <v>-0.80500000000000005</v>
      </c>
      <c r="BA204">
        <v>-0.92200000000000004</v>
      </c>
      <c r="BB204">
        <v>-1</v>
      </c>
      <c r="BC204">
        <v>0.14099999999999999</v>
      </c>
      <c r="BD204">
        <v>0.66300000000000003</v>
      </c>
      <c r="BE204">
        <v>0.85299999999999998</v>
      </c>
      <c r="BF204">
        <v>0.28199999999999997</v>
      </c>
      <c r="BG204">
        <v>1</v>
      </c>
      <c r="BH204">
        <v>4.4999999999999998E-2</v>
      </c>
      <c r="BI204">
        <v>-0.193</v>
      </c>
      <c r="BJ204">
        <v>1</v>
      </c>
      <c r="BK204">
        <v>0.56499999999999995</v>
      </c>
      <c r="BL204">
        <v>0.14000000000000001</v>
      </c>
      <c r="BM204">
        <v>0.25800000000000001</v>
      </c>
    </row>
    <row r="205" spans="1:65" x14ac:dyDescent="0.3">
      <c r="A205" t="s">
        <v>268</v>
      </c>
      <c r="B205">
        <v>0</v>
      </c>
      <c r="C205">
        <v>0</v>
      </c>
      <c r="M205" t="s">
        <v>255</v>
      </c>
      <c r="N205">
        <v>0.48899999999999999</v>
      </c>
      <c r="O205">
        <v>0.51</v>
      </c>
      <c r="P205" t="s">
        <v>57</v>
      </c>
      <c r="Q205">
        <v>0</v>
      </c>
      <c r="R205">
        <v>0</v>
      </c>
      <c r="S205">
        <v>80</v>
      </c>
      <c r="T205">
        <v>-0.86499999999999999</v>
      </c>
      <c r="U205">
        <v>-0.96099999999999997</v>
      </c>
      <c r="V205">
        <v>-0.86199999999999999</v>
      </c>
      <c r="W205">
        <v>-0.92100000000000004</v>
      </c>
      <c r="X205">
        <v>-0.97</v>
      </c>
      <c r="Y205">
        <v>-0.89200000000000002</v>
      </c>
      <c r="Z205">
        <v>-0.86599999999999999</v>
      </c>
      <c r="AA205">
        <v>-0.96499999999999997</v>
      </c>
      <c r="AB205">
        <v>-0.89</v>
      </c>
      <c r="AC205">
        <v>-0.89300000000000002</v>
      </c>
      <c r="AD205">
        <v>0.111</v>
      </c>
      <c r="AE205">
        <v>5.0000000000000001E-3</v>
      </c>
      <c r="AF205">
        <v>-0.63400000000000001</v>
      </c>
      <c r="AG205">
        <v>-1</v>
      </c>
      <c r="AH205">
        <v>-2.5999999999999999E-2</v>
      </c>
      <c r="AI205">
        <v>-1</v>
      </c>
      <c r="AJ205">
        <v>-0.77400000000000002</v>
      </c>
      <c r="AK205">
        <v>0.48899999999999999</v>
      </c>
      <c r="AL205">
        <v>-0.60899999999999999</v>
      </c>
      <c r="AM205">
        <v>-1</v>
      </c>
      <c r="AN205">
        <v>-0.75800000000000001</v>
      </c>
      <c r="AO205">
        <v>-0.83499999999999996</v>
      </c>
      <c r="AP205">
        <v>0.2</v>
      </c>
      <c r="AQ205">
        <v>-0.81899999999999995</v>
      </c>
      <c r="AR205">
        <v>0.63200000000000001</v>
      </c>
      <c r="AS205">
        <v>0.57799999999999996</v>
      </c>
      <c r="AT205">
        <v>0.28199999999999997</v>
      </c>
      <c r="AU205">
        <v>0.17799999999999999</v>
      </c>
      <c r="AV205">
        <v>-1</v>
      </c>
      <c r="AW205">
        <v>-0.02</v>
      </c>
      <c r="AX205">
        <v>-0.39300000000000002</v>
      </c>
      <c r="AY205">
        <v>-1.7999999999999999E-2</v>
      </c>
      <c r="AZ205">
        <v>-0.34699999999999998</v>
      </c>
      <c r="BA205">
        <v>-0.13</v>
      </c>
      <c r="BB205">
        <v>0.39</v>
      </c>
      <c r="BC205">
        <v>0.71899999999999997</v>
      </c>
      <c r="BD205">
        <v>-0.60899999999999999</v>
      </c>
      <c r="BE205">
        <v>-0.27700000000000002</v>
      </c>
      <c r="BF205">
        <v>-0.308</v>
      </c>
      <c r="BG205">
        <v>-0.66900000000000004</v>
      </c>
      <c r="BH205">
        <v>-0.45200000000000001</v>
      </c>
      <c r="BI205">
        <v>-0.26900000000000002</v>
      </c>
      <c r="BJ205">
        <v>-0.44500000000000001</v>
      </c>
      <c r="BK205">
        <v>-0.188</v>
      </c>
      <c r="BL205">
        <v>0.54700000000000004</v>
      </c>
      <c r="BM205">
        <v>0.17799999999999999</v>
      </c>
    </row>
    <row r="206" spans="1:65" x14ac:dyDescent="0.3">
      <c r="A206" t="s">
        <v>146</v>
      </c>
      <c r="B206">
        <v>0</v>
      </c>
      <c r="C206">
        <v>0</v>
      </c>
      <c r="M206" t="s">
        <v>256</v>
      </c>
      <c r="N206">
        <v>0.48499999999999999</v>
      </c>
      <c r="O206">
        <v>0.35299999999999998</v>
      </c>
      <c r="P206" t="s">
        <v>68</v>
      </c>
      <c r="Q206">
        <v>0</v>
      </c>
      <c r="R206">
        <v>0</v>
      </c>
      <c r="S206">
        <v>80</v>
      </c>
      <c r="T206">
        <v>-1</v>
      </c>
      <c r="U206">
        <v>-1</v>
      </c>
      <c r="V206">
        <v>-0.92900000000000005</v>
      </c>
      <c r="W206">
        <v>-1</v>
      </c>
      <c r="X206">
        <v>-1</v>
      </c>
      <c r="Y206">
        <v>-1</v>
      </c>
      <c r="Z206">
        <v>-0.995</v>
      </c>
      <c r="AA206">
        <v>-1</v>
      </c>
      <c r="AB206">
        <v>-1</v>
      </c>
      <c r="AC206">
        <v>-1</v>
      </c>
      <c r="AD206">
        <v>-7.1999999999999995E-2</v>
      </c>
      <c r="AE206">
        <v>-6.3E-2</v>
      </c>
      <c r="AF206">
        <v>-0.441</v>
      </c>
      <c r="AG206">
        <v>-1</v>
      </c>
      <c r="AH206">
        <v>-1</v>
      </c>
      <c r="AI206">
        <v>-1</v>
      </c>
      <c r="AJ206">
        <v>-0.60199999999999998</v>
      </c>
      <c r="AK206">
        <v>-0.49299999999999999</v>
      </c>
      <c r="AL206">
        <v>-0.57799999999999996</v>
      </c>
      <c r="AM206">
        <v>-0.56000000000000005</v>
      </c>
      <c r="AN206">
        <v>-1</v>
      </c>
      <c r="AO206">
        <v>-0.45100000000000001</v>
      </c>
      <c r="AP206">
        <v>-1</v>
      </c>
      <c r="AQ206">
        <v>-0.95299999999999996</v>
      </c>
      <c r="AR206">
        <v>-0.95099999999999996</v>
      </c>
      <c r="AS206">
        <v>-0.71399999999999997</v>
      </c>
      <c r="AT206">
        <v>-5.2999999999999999E-2</v>
      </c>
      <c r="AU206">
        <v>-0.109</v>
      </c>
      <c r="AV206">
        <v>-0.56299999999999994</v>
      </c>
      <c r="AW206">
        <v>-0.66500000000000004</v>
      </c>
      <c r="AX206">
        <v>-1</v>
      </c>
      <c r="AY206">
        <v>-0.28100000000000003</v>
      </c>
      <c r="AZ206">
        <v>-0.314</v>
      </c>
      <c r="BA206">
        <v>-0.39300000000000002</v>
      </c>
      <c r="BB206">
        <v>-0.15</v>
      </c>
      <c r="BC206">
        <v>3.3000000000000002E-2</v>
      </c>
      <c r="BD206">
        <v>0.46600000000000003</v>
      </c>
      <c r="BE206">
        <v>0.26600000000000001</v>
      </c>
      <c r="BF206">
        <v>9.9000000000000005E-2</v>
      </c>
      <c r="BG206">
        <v>0.63500000000000001</v>
      </c>
      <c r="BH206">
        <v>4.1000000000000002E-2</v>
      </c>
      <c r="BI206">
        <v>6.3E-2</v>
      </c>
      <c r="BJ206">
        <v>0.67200000000000004</v>
      </c>
      <c r="BK206">
        <v>-7.2999999999999995E-2</v>
      </c>
      <c r="BL206">
        <v>0.88700000000000001</v>
      </c>
      <c r="BM206">
        <v>1</v>
      </c>
    </row>
    <row r="207" spans="1:65" x14ac:dyDescent="0.3">
      <c r="A207" t="s">
        <v>136</v>
      </c>
      <c r="B207">
        <v>0</v>
      </c>
      <c r="C207">
        <v>0</v>
      </c>
      <c r="M207" t="s">
        <v>198</v>
      </c>
      <c r="N207">
        <v>0.48199999999999998</v>
      </c>
      <c r="O207">
        <v>0.33600000000000002</v>
      </c>
      <c r="P207" t="s">
        <v>57</v>
      </c>
      <c r="Q207">
        <v>0</v>
      </c>
      <c r="R207">
        <v>-2E-3</v>
      </c>
      <c r="S207">
        <v>80</v>
      </c>
      <c r="T207">
        <v>-0.83</v>
      </c>
      <c r="U207">
        <v>-0.82799999999999996</v>
      </c>
      <c r="V207">
        <v>-0.64800000000000002</v>
      </c>
      <c r="W207">
        <v>-0.81100000000000005</v>
      </c>
      <c r="X207">
        <v>-0.76400000000000001</v>
      </c>
      <c r="Y207">
        <v>-0.95599999999999996</v>
      </c>
      <c r="Z207">
        <v>-0.96199999999999997</v>
      </c>
      <c r="AA207">
        <v>-0.93799999999999994</v>
      </c>
      <c r="AB207">
        <v>-0.93899999999999995</v>
      </c>
      <c r="AC207">
        <v>-0.94</v>
      </c>
      <c r="AD207">
        <v>-0.219</v>
      </c>
      <c r="AE207">
        <v>-0.24</v>
      </c>
      <c r="AF207">
        <v>-1</v>
      </c>
      <c r="AG207">
        <v>-0.36</v>
      </c>
      <c r="AH207">
        <v>-0.14000000000000001</v>
      </c>
      <c r="AI207">
        <v>-0.82499999999999996</v>
      </c>
      <c r="AJ207">
        <v>-0.183</v>
      </c>
      <c r="AK207">
        <v>-0.14899999999999999</v>
      </c>
      <c r="AL207">
        <v>1</v>
      </c>
      <c r="AM207">
        <v>6.7000000000000004E-2</v>
      </c>
      <c r="AN207">
        <v>-1</v>
      </c>
      <c r="AO207">
        <v>-0.67800000000000005</v>
      </c>
      <c r="AP207">
        <v>0.311</v>
      </c>
      <c r="AQ207">
        <v>-0.122</v>
      </c>
      <c r="AR207">
        <v>-0.55000000000000004</v>
      </c>
      <c r="AS207">
        <v>0.745</v>
      </c>
      <c r="AT207">
        <v>-1</v>
      </c>
      <c r="AU207">
        <v>-0.56799999999999995</v>
      </c>
      <c r="AV207">
        <v>-0.126</v>
      </c>
      <c r="AW207">
        <v>-0.183</v>
      </c>
      <c r="AX207">
        <v>0.42</v>
      </c>
      <c r="AY207">
        <v>-0.93100000000000005</v>
      </c>
      <c r="AZ207">
        <v>-0.26800000000000002</v>
      </c>
      <c r="BA207">
        <v>-1</v>
      </c>
      <c r="BB207">
        <v>-1</v>
      </c>
      <c r="BC207">
        <v>6.6000000000000003E-2</v>
      </c>
      <c r="BD207">
        <v>5.8000000000000003E-2</v>
      </c>
      <c r="BE207">
        <v>0.48399999999999999</v>
      </c>
      <c r="BF207">
        <v>0.47099999999999997</v>
      </c>
      <c r="BG207">
        <v>-0.41299999999999998</v>
      </c>
      <c r="BH207">
        <v>-1</v>
      </c>
      <c r="BI207">
        <v>-1</v>
      </c>
      <c r="BJ207">
        <v>0.71</v>
      </c>
      <c r="BK207">
        <v>0.14000000000000001</v>
      </c>
      <c r="BL207">
        <v>-0.64800000000000002</v>
      </c>
      <c r="BM207">
        <v>0.82599999999999996</v>
      </c>
    </row>
    <row r="208" spans="1:65" x14ac:dyDescent="0.3">
      <c r="A208" t="s">
        <v>195</v>
      </c>
      <c r="B208">
        <v>0</v>
      </c>
      <c r="C208">
        <v>0</v>
      </c>
      <c r="M208" t="s">
        <v>261</v>
      </c>
      <c r="N208">
        <v>0.47799999999999998</v>
      </c>
      <c r="O208">
        <v>0.34300000000000003</v>
      </c>
      <c r="P208" t="s">
        <v>68</v>
      </c>
      <c r="Q208">
        <v>0</v>
      </c>
      <c r="R208">
        <v>-8.9999999999999993E-3</v>
      </c>
      <c r="S208">
        <v>71</v>
      </c>
      <c r="T208">
        <v>-1</v>
      </c>
      <c r="U208">
        <v>-0.94299999999999995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-0.97299999999999998</v>
      </c>
      <c r="AB208">
        <v>-0.94099999999999995</v>
      </c>
      <c r="AC208">
        <v>-0.93500000000000005</v>
      </c>
      <c r="AD208">
        <v>-1</v>
      </c>
      <c r="AE208">
        <v>-0.73499999999999999</v>
      </c>
      <c r="AF208">
        <v>-0.55900000000000005</v>
      </c>
      <c r="AG208">
        <v>-1</v>
      </c>
      <c r="AH208">
        <v>-1</v>
      </c>
      <c r="AI208">
        <v>-0.872</v>
      </c>
      <c r="AJ208">
        <v>-0.96399999999999997</v>
      </c>
      <c r="AK208">
        <v>-0.29599999999999999</v>
      </c>
      <c r="AL208">
        <v>-0.93400000000000005</v>
      </c>
      <c r="AM208">
        <v>-0.79300000000000004</v>
      </c>
      <c r="AN208">
        <v>-1</v>
      </c>
      <c r="AO208">
        <v>-0.64800000000000002</v>
      </c>
      <c r="AP208">
        <v>-0.69699999999999995</v>
      </c>
      <c r="AQ208">
        <v>0.42299999999999999</v>
      </c>
      <c r="AR208">
        <v>0.41899999999999998</v>
      </c>
      <c r="AS208">
        <v>-0.441</v>
      </c>
      <c r="AT208">
        <v>0.79200000000000004</v>
      </c>
      <c r="AU208">
        <v>0.123</v>
      </c>
      <c r="AV208">
        <v>-0.60799999999999998</v>
      </c>
      <c r="AW208">
        <v>-0.95699999999999996</v>
      </c>
      <c r="AX208">
        <v>-1</v>
      </c>
      <c r="AY208">
        <v>-0.55800000000000005</v>
      </c>
      <c r="AZ208">
        <v>-0.42499999999999999</v>
      </c>
      <c r="BA208">
        <v>-0.35</v>
      </c>
      <c r="BB208">
        <v>-0.95699999999999996</v>
      </c>
      <c r="BC208">
        <v>-4.2999999999999997E-2</v>
      </c>
      <c r="BD208">
        <v>0.745</v>
      </c>
      <c r="BE208">
        <v>0.36099999999999999</v>
      </c>
      <c r="BF208">
        <v>0.40500000000000003</v>
      </c>
      <c r="BG208">
        <v>-1</v>
      </c>
      <c r="BH208">
        <v>-1</v>
      </c>
      <c r="BI208">
        <v>-1</v>
      </c>
      <c r="BJ208">
        <v>0.71299999999999997</v>
      </c>
      <c r="BK208">
        <v>-0.77400000000000002</v>
      </c>
      <c r="BL208">
        <v>-6.9000000000000006E-2</v>
      </c>
      <c r="BM208">
        <v>-0.315</v>
      </c>
    </row>
    <row r="209" spans="1:65" x14ac:dyDescent="0.3">
      <c r="A209" t="s">
        <v>160</v>
      </c>
      <c r="B209">
        <v>5.1207962235238604E-3</v>
      </c>
      <c r="C209">
        <v>0</v>
      </c>
      <c r="M209" t="s">
        <v>263</v>
      </c>
      <c r="N209">
        <v>0.47699999999999998</v>
      </c>
      <c r="O209">
        <v>0.32600000000000001</v>
      </c>
      <c r="P209" t="s">
        <v>68</v>
      </c>
      <c r="Q209">
        <v>0</v>
      </c>
      <c r="R209">
        <v>0</v>
      </c>
      <c r="S209">
        <v>80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  <c r="AF209">
        <v>-1</v>
      </c>
      <c r="AG209">
        <v>-1</v>
      </c>
      <c r="AH209">
        <v>-1</v>
      </c>
      <c r="AI209">
        <v>-1</v>
      </c>
      <c r="AJ209">
        <v>-0.59599999999999997</v>
      </c>
      <c r="AK209">
        <v>0.66100000000000003</v>
      </c>
      <c r="AL209">
        <v>-0.57799999999999996</v>
      </c>
      <c r="AM209">
        <v>-0.96599999999999997</v>
      </c>
      <c r="AN209">
        <v>-1</v>
      </c>
      <c r="AO209">
        <v>-1</v>
      </c>
      <c r="AP209">
        <v>-0.51400000000000001</v>
      </c>
      <c r="AQ209">
        <v>0.187</v>
      </c>
      <c r="AR209">
        <v>-1</v>
      </c>
      <c r="AS209">
        <v>-0.59399999999999997</v>
      </c>
      <c r="AT209">
        <v>1.0999999999999999E-2</v>
      </c>
      <c r="AU209">
        <v>0.23599999999999999</v>
      </c>
      <c r="AV209">
        <v>-1</v>
      </c>
      <c r="AW209">
        <v>-1</v>
      </c>
      <c r="AX209">
        <v>-1</v>
      </c>
      <c r="AY209">
        <v>-0.32800000000000001</v>
      </c>
      <c r="AZ209">
        <v>-0.70799999999999996</v>
      </c>
      <c r="BA209">
        <v>-0.45600000000000002</v>
      </c>
      <c r="BB209">
        <v>-1</v>
      </c>
      <c r="BC209">
        <v>0.32900000000000001</v>
      </c>
      <c r="BD209">
        <v>0.32100000000000001</v>
      </c>
      <c r="BE209">
        <v>-0.28799999999999998</v>
      </c>
      <c r="BF209">
        <v>0.34200000000000003</v>
      </c>
      <c r="BG209">
        <v>1</v>
      </c>
      <c r="BH209">
        <v>-1</v>
      </c>
      <c r="BI209">
        <v>-1</v>
      </c>
      <c r="BJ209">
        <v>0.74199999999999999</v>
      </c>
      <c r="BK209">
        <v>-0.27900000000000003</v>
      </c>
      <c r="BL209">
        <v>-0.50900000000000001</v>
      </c>
      <c r="BM209">
        <v>1</v>
      </c>
    </row>
    <row r="210" spans="1:65" x14ac:dyDescent="0.3">
      <c r="A210" t="s">
        <v>247</v>
      </c>
      <c r="B210">
        <v>0</v>
      </c>
      <c r="C210">
        <v>0</v>
      </c>
      <c r="M210" t="s">
        <v>175</v>
      </c>
      <c r="N210">
        <v>0.47699999999999998</v>
      </c>
      <c r="O210">
        <v>0.33100000000000002</v>
      </c>
      <c r="P210" t="s">
        <v>53</v>
      </c>
      <c r="Q210">
        <v>0</v>
      </c>
      <c r="R210">
        <v>0</v>
      </c>
      <c r="S210">
        <v>80</v>
      </c>
      <c r="T210">
        <v>-0.92700000000000005</v>
      </c>
      <c r="U210">
        <v>-0.95</v>
      </c>
      <c r="V210">
        <v>-0.80100000000000005</v>
      </c>
      <c r="W210">
        <v>-0.92800000000000005</v>
      </c>
      <c r="X210">
        <v>-0.91100000000000003</v>
      </c>
      <c r="Y210">
        <v>-0.99299999999999999</v>
      </c>
      <c r="Z210">
        <v>-1</v>
      </c>
      <c r="AA210">
        <v>-1</v>
      </c>
      <c r="AB210">
        <v>-1</v>
      </c>
      <c r="AC210">
        <v>-1</v>
      </c>
      <c r="AD210">
        <v>-0.62</v>
      </c>
      <c r="AE210">
        <v>-0.98699999999999999</v>
      </c>
      <c r="AF210">
        <v>-1</v>
      </c>
      <c r="AG210">
        <v>-0.47899999999999998</v>
      </c>
      <c r="AH210">
        <v>-2.1999999999999999E-2</v>
      </c>
      <c r="AI210">
        <v>-0.69799999999999995</v>
      </c>
      <c r="AJ210">
        <v>0.60899999999999999</v>
      </c>
      <c r="AK210">
        <v>-0.38300000000000001</v>
      </c>
      <c r="AL210">
        <v>-0.29799999999999999</v>
      </c>
      <c r="AM210">
        <v>0.59499999999999997</v>
      </c>
      <c r="AN210">
        <v>-1</v>
      </c>
      <c r="AO210">
        <v>-0.22500000000000001</v>
      </c>
      <c r="AP210">
        <v>-0.33200000000000002</v>
      </c>
      <c r="AQ210">
        <v>-0.82899999999999996</v>
      </c>
      <c r="AR210">
        <v>-0.60299999999999998</v>
      </c>
      <c r="AS210">
        <v>-0.20699999999999999</v>
      </c>
      <c r="AT210">
        <v>-1</v>
      </c>
      <c r="AU210">
        <v>-0.53800000000000003</v>
      </c>
      <c r="AV210">
        <v>-0.48899999999999999</v>
      </c>
      <c r="AW210">
        <v>-0.81899999999999995</v>
      </c>
      <c r="AX210">
        <v>-9.6000000000000002E-2</v>
      </c>
      <c r="AY210">
        <v>-0.62</v>
      </c>
      <c r="AZ210">
        <v>-0.437</v>
      </c>
      <c r="BA210">
        <v>-0.501</v>
      </c>
      <c r="BB210">
        <v>-0.60599999999999998</v>
      </c>
      <c r="BC210">
        <v>0.38100000000000001</v>
      </c>
      <c r="BD210">
        <v>0.70199999999999996</v>
      </c>
      <c r="BE210">
        <v>0.53100000000000003</v>
      </c>
      <c r="BF210">
        <v>0.33200000000000002</v>
      </c>
      <c r="BG210">
        <v>-0.34300000000000003</v>
      </c>
      <c r="BH210">
        <v>-0.34</v>
      </c>
      <c r="BI210">
        <v>-0.94</v>
      </c>
      <c r="BJ210">
        <v>0.35799999999999998</v>
      </c>
      <c r="BK210">
        <v>0.58699999999999997</v>
      </c>
      <c r="BL210">
        <v>-0.59499999999999997</v>
      </c>
      <c r="BM210">
        <v>0.752</v>
      </c>
    </row>
    <row r="211" spans="1:65" x14ac:dyDescent="0.3">
      <c r="A211" t="s">
        <v>206</v>
      </c>
      <c r="B211">
        <v>0</v>
      </c>
      <c r="C211">
        <v>0</v>
      </c>
      <c r="M211" t="s">
        <v>259</v>
      </c>
      <c r="N211">
        <v>0.47699999999999998</v>
      </c>
      <c r="O211">
        <v>0.32700000000000001</v>
      </c>
      <c r="P211" t="s">
        <v>57</v>
      </c>
      <c r="Q211">
        <v>0</v>
      </c>
      <c r="R211">
        <v>-1E-3</v>
      </c>
      <c r="S211">
        <v>80</v>
      </c>
      <c r="T211">
        <v>-1</v>
      </c>
      <c r="U211">
        <v>-1</v>
      </c>
      <c r="V211">
        <v>-0.96599999999999997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-0.98299999999999998</v>
      </c>
      <c r="AC211">
        <v>-0.97899999999999998</v>
      </c>
      <c r="AD211">
        <v>-1</v>
      </c>
      <c r="AE211">
        <v>0.23400000000000001</v>
      </c>
      <c r="AF211">
        <v>-1</v>
      </c>
      <c r="AG211">
        <v>-0.91</v>
      </c>
      <c r="AH211">
        <v>-1</v>
      </c>
      <c r="AI211">
        <v>-0.96499999999999997</v>
      </c>
      <c r="AJ211">
        <v>0.186</v>
      </c>
      <c r="AK211">
        <v>-0.55300000000000005</v>
      </c>
      <c r="AL211">
        <v>-0.57799999999999996</v>
      </c>
      <c r="AM211">
        <v>-0.79200000000000004</v>
      </c>
      <c r="AN211">
        <v>-1</v>
      </c>
      <c r="AO211">
        <v>1</v>
      </c>
      <c r="AP211">
        <v>-0.93899999999999995</v>
      </c>
      <c r="AQ211">
        <v>-1</v>
      </c>
      <c r="AR211">
        <v>-1</v>
      </c>
      <c r="AS211">
        <v>-0.94699999999999995</v>
      </c>
      <c r="AT211">
        <v>-0.76600000000000001</v>
      </c>
      <c r="AU211">
        <v>-0.28799999999999998</v>
      </c>
      <c r="AV211">
        <v>-0.80100000000000005</v>
      </c>
      <c r="AW211">
        <v>-1</v>
      </c>
      <c r="AX211">
        <v>-1</v>
      </c>
      <c r="AY211">
        <v>-0.63300000000000001</v>
      </c>
      <c r="AZ211">
        <v>-0.745</v>
      </c>
      <c r="BA211">
        <v>-0.71</v>
      </c>
      <c r="BB211">
        <v>-1</v>
      </c>
      <c r="BC211">
        <v>-0.22900000000000001</v>
      </c>
      <c r="BD211">
        <v>0.54300000000000004</v>
      </c>
      <c r="BE211">
        <v>0.214</v>
      </c>
      <c r="BF211">
        <v>0.11799999999999999</v>
      </c>
      <c r="BG211">
        <v>0.157</v>
      </c>
      <c r="BH211">
        <v>6.8000000000000005E-2</v>
      </c>
      <c r="BI211">
        <v>-0.92200000000000004</v>
      </c>
      <c r="BJ211">
        <v>1</v>
      </c>
      <c r="BK211">
        <v>-1E-3</v>
      </c>
      <c r="BL211">
        <v>-0.13800000000000001</v>
      </c>
      <c r="BM211">
        <v>1</v>
      </c>
    </row>
    <row r="212" spans="1:65" x14ac:dyDescent="0.3">
      <c r="A212" t="s">
        <v>249</v>
      </c>
      <c r="B212">
        <v>0</v>
      </c>
      <c r="C212">
        <v>0</v>
      </c>
      <c r="M212" t="s">
        <v>239</v>
      </c>
      <c r="N212">
        <v>0.47699999999999998</v>
      </c>
      <c r="O212">
        <v>0.32900000000000001</v>
      </c>
      <c r="P212" t="s">
        <v>57</v>
      </c>
      <c r="Q212">
        <v>0</v>
      </c>
      <c r="R212">
        <v>-1E-3</v>
      </c>
      <c r="S212">
        <v>80</v>
      </c>
      <c r="T212">
        <v>-0.88600000000000001</v>
      </c>
      <c r="U212">
        <v>-0.86299999999999999</v>
      </c>
      <c r="V212">
        <v>-0.63400000000000001</v>
      </c>
      <c r="W212">
        <v>-0.94599999999999995</v>
      </c>
      <c r="X212">
        <v>-0.89500000000000002</v>
      </c>
      <c r="Y212">
        <v>-0.96</v>
      </c>
      <c r="Z212">
        <v>-0.97799999999999998</v>
      </c>
      <c r="AA212">
        <v>-0.97</v>
      </c>
      <c r="AB212">
        <v>-1</v>
      </c>
      <c r="AC212">
        <v>-1</v>
      </c>
      <c r="AD212">
        <v>-0.88200000000000001</v>
      </c>
      <c r="AE212">
        <v>-1</v>
      </c>
      <c r="AF212">
        <v>-0.83099999999999996</v>
      </c>
      <c r="AG212">
        <v>-0.77800000000000002</v>
      </c>
      <c r="AH212">
        <v>-0.77300000000000002</v>
      </c>
      <c r="AI212">
        <v>-0.70599999999999996</v>
      </c>
      <c r="AJ212">
        <v>-0.39700000000000002</v>
      </c>
      <c r="AK212">
        <v>1</v>
      </c>
      <c r="AL212">
        <v>1</v>
      </c>
      <c r="AM212">
        <v>-0.80300000000000005</v>
      </c>
      <c r="AN212">
        <v>-1</v>
      </c>
      <c r="AO212">
        <v>-0.47</v>
      </c>
      <c r="AP212">
        <v>-0.32400000000000001</v>
      </c>
      <c r="AQ212">
        <v>-0.35899999999999999</v>
      </c>
      <c r="AR212">
        <v>0.81499999999999995</v>
      </c>
      <c r="AS212">
        <v>0.26700000000000002</v>
      </c>
      <c r="AT212">
        <v>-1</v>
      </c>
      <c r="AU212">
        <v>-0.51400000000000001</v>
      </c>
      <c r="AV212">
        <v>-0.64300000000000002</v>
      </c>
      <c r="AW212">
        <v>-0.84399999999999997</v>
      </c>
      <c r="AX212">
        <v>-0.107</v>
      </c>
      <c r="AY212">
        <v>-0.66400000000000003</v>
      </c>
      <c r="AZ212">
        <v>0.17399999999999999</v>
      </c>
      <c r="BA212">
        <v>-0.247</v>
      </c>
      <c r="BB212">
        <v>-0.25800000000000001</v>
      </c>
      <c r="BC212">
        <v>-0.121</v>
      </c>
      <c r="BD212">
        <v>-0.53900000000000003</v>
      </c>
      <c r="BE212">
        <v>-0.54500000000000004</v>
      </c>
      <c r="BF212">
        <v>0.34300000000000003</v>
      </c>
      <c r="BG212">
        <v>-0.92300000000000004</v>
      </c>
      <c r="BH212">
        <v>-0.54100000000000004</v>
      </c>
      <c r="BI212">
        <v>-0.20499999999999999</v>
      </c>
      <c r="BJ212">
        <v>0.29399999999999998</v>
      </c>
      <c r="BK212">
        <v>0.21199999999999999</v>
      </c>
      <c r="BL212">
        <v>-0.188</v>
      </c>
      <c r="BM212">
        <v>0.92</v>
      </c>
    </row>
    <row r="213" spans="1:65" x14ac:dyDescent="0.3">
      <c r="A213" t="s">
        <v>247</v>
      </c>
      <c r="B213">
        <v>0</v>
      </c>
      <c r="C213">
        <v>0</v>
      </c>
      <c r="M213" t="s">
        <v>267</v>
      </c>
      <c r="N213">
        <v>0.47699999999999998</v>
      </c>
      <c r="O213">
        <v>0.33100000000000002</v>
      </c>
      <c r="P213" t="s">
        <v>53</v>
      </c>
      <c r="Q213">
        <v>0</v>
      </c>
      <c r="R213">
        <v>-4.0000000000000001E-3</v>
      </c>
      <c r="S213">
        <v>80</v>
      </c>
      <c r="T213">
        <v>-1</v>
      </c>
      <c r="U213">
        <v>-0.98</v>
      </c>
      <c r="V213">
        <v>-0.93500000000000005</v>
      </c>
      <c r="W213">
        <v>-1</v>
      </c>
      <c r="X213">
        <v>-0.98899999999999999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-0.88500000000000001</v>
      </c>
      <c r="AH213">
        <v>-0.753</v>
      </c>
      <c r="AI213">
        <v>-1</v>
      </c>
      <c r="AJ213">
        <v>-0.157</v>
      </c>
      <c r="AK213">
        <v>-0.39200000000000002</v>
      </c>
      <c r="AL213">
        <v>-0.68500000000000005</v>
      </c>
      <c r="AM213">
        <v>-0.217</v>
      </c>
      <c r="AN213">
        <v>-1</v>
      </c>
      <c r="AO213">
        <v>-0.36399999999999999</v>
      </c>
      <c r="AP213">
        <v>-0.80200000000000005</v>
      </c>
      <c r="AQ213">
        <v>-0.46700000000000003</v>
      </c>
      <c r="AR213">
        <v>-0.59899999999999998</v>
      </c>
      <c r="AS213">
        <v>-0.54500000000000004</v>
      </c>
      <c r="AT213">
        <v>-1</v>
      </c>
      <c r="AU213">
        <v>-0.37</v>
      </c>
      <c r="AV213">
        <v>-0.66300000000000003</v>
      </c>
      <c r="AW213">
        <v>-0.60099999999999998</v>
      </c>
      <c r="AX213">
        <v>-0.80200000000000005</v>
      </c>
      <c r="AY213">
        <v>-0.58399999999999996</v>
      </c>
      <c r="AZ213">
        <v>-1</v>
      </c>
      <c r="BA213">
        <v>-0.48499999999999999</v>
      </c>
      <c r="BB213">
        <v>0.10299999999999999</v>
      </c>
      <c r="BC213">
        <v>0.31900000000000001</v>
      </c>
      <c r="BD213">
        <v>1</v>
      </c>
      <c r="BE213">
        <v>3.1E-2</v>
      </c>
      <c r="BF213">
        <v>0.24099999999999999</v>
      </c>
      <c r="BG213">
        <v>0.16800000000000001</v>
      </c>
      <c r="BH213">
        <v>7.2999999999999995E-2</v>
      </c>
      <c r="BI213">
        <v>-1</v>
      </c>
      <c r="BJ213">
        <v>0.998</v>
      </c>
      <c r="BK213">
        <v>0.26700000000000002</v>
      </c>
      <c r="BL213">
        <v>0.317</v>
      </c>
      <c r="BM213">
        <v>0.60099999999999998</v>
      </c>
    </row>
    <row r="214" spans="1:65" x14ac:dyDescent="0.3">
      <c r="A214" t="s">
        <v>206</v>
      </c>
      <c r="B214">
        <v>0</v>
      </c>
      <c r="C214">
        <v>0</v>
      </c>
      <c r="M214" t="s">
        <v>268</v>
      </c>
      <c r="N214">
        <v>0.47699999999999998</v>
      </c>
      <c r="O214">
        <v>0.32600000000000001</v>
      </c>
      <c r="P214" t="s">
        <v>71</v>
      </c>
      <c r="Q214">
        <v>0</v>
      </c>
      <c r="R214">
        <v>0</v>
      </c>
      <c r="S214">
        <v>80</v>
      </c>
      <c r="T214">
        <v>-0.996</v>
      </c>
      <c r="U214">
        <v>-1</v>
      </c>
      <c r="V214">
        <v>-0.93300000000000005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-1</v>
      </c>
      <c r="AH214">
        <v>-0.82299999999999995</v>
      </c>
      <c r="AI214">
        <v>-1</v>
      </c>
      <c r="AJ214">
        <v>-0.48</v>
      </c>
      <c r="AK214">
        <v>-0.26400000000000001</v>
      </c>
      <c r="AL214">
        <v>-0.39700000000000002</v>
      </c>
      <c r="AM214">
        <v>-0.58499999999999996</v>
      </c>
      <c r="AN214">
        <v>-1</v>
      </c>
      <c r="AO214">
        <v>-0.95699999999999996</v>
      </c>
      <c r="AP214">
        <v>-1.7000000000000001E-2</v>
      </c>
      <c r="AQ214">
        <v>-0.58499999999999996</v>
      </c>
      <c r="AR214">
        <v>-0.378</v>
      </c>
      <c r="AS214">
        <v>0.17100000000000001</v>
      </c>
      <c r="AT214">
        <v>-0.502</v>
      </c>
      <c r="AU214">
        <v>-0.35599999999999998</v>
      </c>
      <c r="AV214">
        <v>-0.78300000000000003</v>
      </c>
      <c r="AW214">
        <v>-0.81899999999999995</v>
      </c>
      <c r="AX214">
        <v>-0.41699999999999998</v>
      </c>
      <c r="AY214">
        <v>-0.49199999999999999</v>
      </c>
      <c r="AZ214">
        <v>-0.77400000000000002</v>
      </c>
      <c r="BA214">
        <v>-0.87</v>
      </c>
      <c r="BB214">
        <v>-0.621</v>
      </c>
      <c r="BC214">
        <v>-0.47699999999999998</v>
      </c>
      <c r="BD214">
        <v>0.85299999999999998</v>
      </c>
      <c r="BE214">
        <v>0.755</v>
      </c>
      <c r="BF214">
        <v>-2.3E-2</v>
      </c>
      <c r="BG214">
        <v>0.62</v>
      </c>
      <c r="BH214">
        <v>0.69799999999999995</v>
      </c>
      <c r="BI214">
        <v>-0.70799999999999996</v>
      </c>
      <c r="BJ214">
        <v>1</v>
      </c>
      <c r="BK214">
        <v>-0.02</v>
      </c>
      <c r="BL214">
        <v>0.68899999999999995</v>
      </c>
      <c r="BM214">
        <v>0.96499999999999997</v>
      </c>
    </row>
    <row r="215" spans="1:65" x14ac:dyDescent="0.3">
      <c r="A215" t="s">
        <v>249</v>
      </c>
      <c r="B215">
        <v>0</v>
      </c>
      <c r="C215">
        <v>0</v>
      </c>
    </row>
  </sheetData>
  <autoFilter ref="M3:BM214" xr:uid="{C84CD9E3-DB8D-4FD0-A003-F7C20566E9D5}">
    <sortState xmlns:xlrd2="http://schemas.microsoft.com/office/spreadsheetml/2017/richdata2" ref="M4:BM214">
      <sortCondition descending="1" ref="N3:N214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304B-5B19-4913-BCAD-20C9E5A6DBFF}">
  <dimension ref="A1:BM214"/>
  <sheetViews>
    <sheetView workbookViewId="0">
      <selection activeCell="E37" sqref="E37"/>
    </sheetView>
  </sheetViews>
  <sheetFormatPr defaultRowHeight="14.4" x14ac:dyDescent="0.3"/>
  <sheetData>
    <row r="1" spans="1:65" x14ac:dyDescent="0.3">
      <c r="A1" t="s">
        <v>306</v>
      </c>
      <c r="B1" t="s">
        <v>603</v>
      </c>
      <c r="C1" t="s">
        <v>604</v>
      </c>
      <c r="M1" t="s">
        <v>275</v>
      </c>
    </row>
    <row r="2" spans="1:65" x14ac:dyDescent="0.3">
      <c r="A2" t="s">
        <v>192</v>
      </c>
      <c r="B2">
        <v>0</v>
      </c>
      <c r="C2">
        <v>0</v>
      </c>
    </row>
    <row r="3" spans="1:65" x14ac:dyDescent="0.3">
      <c r="A3" t="s">
        <v>72</v>
      </c>
      <c r="B3">
        <v>7.6984327600901998E-3</v>
      </c>
      <c r="C3">
        <v>5.8337540443094303E-3</v>
      </c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273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21</v>
      </c>
      <c r="AJ3" t="s">
        <v>22</v>
      </c>
      <c r="AK3" t="s">
        <v>23</v>
      </c>
      <c r="AL3" t="s">
        <v>24</v>
      </c>
      <c r="AM3" t="s">
        <v>25</v>
      </c>
      <c r="AN3" t="s">
        <v>26</v>
      </c>
      <c r="AO3" t="s">
        <v>27</v>
      </c>
      <c r="AP3" t="s">
        <v>28</v>
      </c>
      <c r="AQ3" t="s">
        <v>29</v>
      </c>
      <c r="AR3" t="s">
        <v>30</v>
      </c>
      <c r="AS3" t="s">
        <v>31</v>
      </c>
      <c r="AT3" t="s">
        <v>32</v>
      </c>
      <c r="AU3" t="s">
        <v>33</v>
      </c>
      <c r="AV3" t="s">
        <v>34</v>
      </c>
      <c r="AW3" t="s">
        <v>35</v>
      </c>
      <c r="AX3" t="s">
        <v>36</v>
      </c>
      <c r="AY3" t="s">
        <v>37</v>
      </c>
      <c r="AZ3" t="s">
        <v>38</v>
      </c>
      <c r="BA3" t="s">
        <v>39</v>
      </c>
      <c r="BB3" t="s">
        <v>40</v>
      </c>
      <c r="BC3" t="s">
        <v>41</v>
      </c>
      <c r="BD3" t="s">
        <v>42</v>
      </c>
      <c r="BE3" t="s">
        <v>43</v>
      </c>
      <c r="BF3" t="s">
        <v>44</v>
      </c>
      <c r="BG3" t="s">
        <v>45</v>
      </c>
      <c r="BH3" t="s">
        <v>46</v>
      </c>
      <c r="BI3" t="s">
        <v>47</v>
      </c>
      <c r="BJ3" t="s">
        <v>48</v>
      </c>
      <c r="BK3" t="s">
        <v>49</v>
      </c>
      <c r="BL3" t="s">
        <v>50</v>
      </c>
      <c r="BM3" t="s">
        <v>51</v>
      </c>
    </row>
    <row r="4" spans="1:65" x14ac:dyDescent="0.3">
      <c r="A4" t="s">
        <v>98</v>
      </c>
      <c r="B4">
        <v>0</v>
      </c>
      <c r="C4">
        <v>0</v>
      </c>
      <c r="M4" t="s">
        <v>52</v>
      </c>
      <c r="N4">
        <v>3.6120000000000001</v>
      </c>
      <c r="O4">
        <v>3.5640000000000001</v>
      </c>
      <c r="P4" t="s">
        <v>53</v>
      </c>
      <c r="Q4">
        <v>1.2E-2</v>
      </c>
      <c r="R4">
        <v>1.2E-2</v>
      </c>
      <c r="S4">
        <v>0.37509688257666701</v>
      </c>
      <c r="T4">
        <v>1</v>
      </c>
      <c r="U4">
        <v>0.96599999999999997</v>
      </c>
      <c r="V4">
        <v>1</v>
      </c>
      <c r="W4">
        <v>1</v>
      </c>
      <c r="X4">
        <v>1</v>
      </c>
      <c r="Y4">
        <v>1</v>
      </c>
      <c r="Z4">
        <v>1</v>
      </c>
      <c r="AA4">
        <v>0.63100000000000001</v>
      </c>
      <c r="AB4">
        <v>0.72399999999999998</v>
      </c>
      <c r="AC4">
        <v>0.72299999999999998</v>
      </c>
      <c r="AD4">
        <v>1</v>
      </c>
      <c r="AE4">
        <v>1</v>
      </c>
      <c r="AF4">
        <v>0.99</v>
      </c>
      <c r="AG4">
        <v>1</v>
      </c>
      <c r="AH4">
        <v>0.20499999999999999</v>
      </c>
      <c r="AI4">
        <v>0.42099999999999999</v>
      </c>
      <c r="AJ4">
        <v>0.54600000000000004</v>
      </c>
      <c r="AK4">
        <v>0.997</v>
      </c>
      <c r="AL4">
        <v>1</v>
      </c>
      <c r="AM4">
        <v>0.55100000000000005</v>
      </c>
      <c r="AN4">
        <v>-0.187</v>
      </c>
      <c r="AO4">
        <v>-0.26300000000000001</v>
      </c>
      <c r="AP4">
        <v>5.5E-2</v>
      </c>
      <c r="AQ4">
        <v>3.5999999999999997E-2</v>
      </c>
      <c r="AR4">
        <v>0.11799999999999999</v>
      </c>
      <c r="AS4">
        <v>0.27100000000000002</v>
      </c>
      <c r="AT4">
        <v>0.157</v>
      </c>
      <c r="AU4">
        <v>-0.34599999999999997</v>
      </c>
      <c r="AV4">
        <v>0.72399999999999998</v>
      </c>
      <c r="AW4">
        <v>0.40300000000000002</v>
      </c>
      <c r="AX4">
        <v>1</v>
      </c>
      <c r="AY4">
        <v>0.36299999999999999</v>
      </c>
      <c r="AZ4">
        <v>-6.2E-2</v>
      </c>
      <c r="BA4">
        <v>0.80400000000000005</v>
      </c>
      <c r="BB4">
        <v>0.496</v>
      </c>
      <c r="BC4">
        <v>-4.2999999999999997E-2</v>
      </c>
      <c r="BD4">
        <v>0.05</v>
      </c>
      <c r="BE4">
        <v>0.06</v>
      </c>
      <c r="BF4">
        <v>0.53500000000000003</v>
      </c>
      <c r="BG4">
        <v>-2.1000000000000001E-2</v>
      </c>
      <c r="BH4">
        <v>1</v>
      </c>
      <c r="BI4">
        <v>0.64100000000000001</v>
      </c>
      <c r="BJ4">
        <v>-0.36099999999999999</v>
      </c>
      <c r="BK4">
        <v>-0.36699999999999999</v>
      </c>
      <c r="BL4">
        <v>0.61399999999999999</v>
      </c>
      <c r="BM4">
        <v>0.69299999999999995</v>
      </c>
    </row>
    <row r="5" spans="1:65" x14ac:dyDescent="0.3">
      <c r="A5" t="s">
        <v>63</v>
      </c>
      <c r="B5">
        <v>6.0187910568478501E-3</v>
      </c>
      <c r="C5">
        <v>0</v>
      </c>
      <c r="M5" t="s">
        <v>69</v>
      </c>
      <c r="N5">
        <v>3.6120000000000001</v>
      </c>
      <c r="O5">
        <v>3.605</v>
      </c>
      <c r="P5" t="s">
        <v>57</v>
      </c>
      <c r="Q5">
        <v>1.2E-2</v>
      </c>
      <c r="R5">
        <v>1.2E-2</v>
      </c>
      <c r="S5">
        <v>0.45753333333333301</v>
      </c>
      <c r="T5">
        <v>0.90200000000000002</v>
      </c>
      <c r="U5">
        <v>1</v>
      </c>
      <c r="V5">
        <v>0.81699999999999995</v>
      </c>
      <c r="W5">
        <v>0.91100000000000003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0.19400000000000001</v>
      </c>
      <c r="AH5">
        <v>1</v>
      </c>
      <c r="AI5">
        <v>1</v>
      </c>
      <c r="AJ5">
        <v>0.251</v>
      </c>
      <c r="AK5">
        <v>1</v>
      </c>
      <c r="AL5">
        <v>0.23</v>
      </c>
      <c r="AM5">
        <v>7.2999999999999995E-2</v>
      </c>
      <c r="AN5">
        <v>0.54</v>
      </c>
      <c r="AO5">
        <v>0.42</v>
      </c>
      <c r="AP5">
        <v>0.223</v>
      </c>
      <c r="AQ5">
        <v>0.56100000000000005</v>
      </c>
      <c r="AR5">
        <v>0.81299999999999994</v>
      </c>
      <c r="AS5">
        <v>0.55700000000000005</v>
      </c>
      <c r="AT5">
        <v>0.25</v>
      </c>
      <c r="AU5">
        <v>-0.13900000000000001</v>
      </c>
      <c r="AV5">
        <v>2E-3</v>
      </c>
      <c r="AW5">
        <v>-0.26700000000000002</v>
      </c>
      <c r="AX5">
        <v>-0.13100000000000001</v>
      </c>
      <c r="AY5">
        <v>0.51500000000000001</v>
      </c>
      <c r="AZ5">
        <v>-0.09</v>
      </c>
      <c r="BA5">
        <v>0.65500000000000003</v>
      </c>
      <c r="BB5">
        <v>0.249</v>
      </c>
      <c r="BC5">
        <v>-3.0000000000000001E-3</v>
      </c>
      <c r="BD5">
        <v>0.126</v>
      </c>
      <c r="BE5">
        <v>0.215</v>
      </c>
      <c r="BF5">
        <v>-0.73199999999999998</v>
      </c>
      <c r="BG5">
        <v>-0.36299999999999999</v>
      </c>
      <c r="BH5">
        <v>0.186</v>
      </c>
      <c r="BI5">
        <v>0.93600000000000005</v>
      </c>
      <c r="BJ5">
        <v>-0.81</v>
      </c>
      <c r="BK5">
        <v>8.2000000000000003E-2</v>
      </c>
      <c r="BL5">
        <v>0.64</v>
      </c>
      <c r="BM5">
        <v>0.67900000000000005</v>
      </c>
    </row>
    <row r="6" spans="1:65" x14ac:dyDescent="0.3">
      <c r="A6" t="s">
        <v>164</v>
      </c>
      <c r="B6">
        <v>0</v>
      </c>
      <c r="C6">
        <v>0</v>
      </c>
      <c r="M6" t="s">
        <v>87</v>
      </c>
      <c r="N6">
        <v>3.6120000000000001</v>
      </c>
      <c r="O6">
        <v>4.1130000000000004</v>
      </c>
      <c r="P6" t="s">
        <v>55</v>
      </c>
      <c r="Q6">
        <v>8.9999999999999993E-3</v>
      </c>
      <c r="R6">
        <v>7.0000000000000001E-3</v>
      </c>
      <c r="S6">
        <v>2.24793346502</v>
      </c>
      <c r="T6">
        <v>0.753</v>
      </c>
      <c r="U6">
        <v>1</v>
      </c>
      <c r="V6">
        <v>0.51100000000000001</v>
      </c>
      <c r="W6">
        <v>0.89600000000000002</v>
      </c>
      <c r="X6">
        <v>0.88200000000000001</v>
      </c>
      <c r="Y6">
        <v>0.996</v>
      </c>
      <c r="Z6">
        <v>1</v>
      </c>
      <c r="AA6">
        <v>1</v>
      </c>
      <c r="AB6">
        <v>0.53500000000000003</v>
      </c>
      <c r="AC6">
        <v>0.54</v>
      </c>
      <c r="AD6">
        <v>1</v>
      </c>
      <c r="AE6">
        <v>0.99099999999999999</v>
      </c>
      <c r="AF6">
        <v>1</v>
      </c>
      <c r="AG6">
        <v>1</v>
      </c>
      <c r="AH6">
        <v>9.1999999999999998E-2</v>
      </c>
      <c r="AI6">
        <v>0.79700000000000004</v>
      </c>
      <c r="AJ6">
        <v>0.29799999999999999</v>
      </c>
      <c r="AK6">
        <v>0.91800000000000004</v>
      </c>
      <c r="AL6">
        <v>-0.122</v>
      </c>
      <c r="AM6">
        <v>-0.20399999999999999</v>
      </c>
      <c r="AN6">
        <v>0.32700000000000001</v>
      </c>
      <c r="AO6">
        <v>-0.17</v>
      </c>
      <c r="AP6">
        <v>3.3000000000000002E-2</v>
      </c>
      <c r="AQ6">
        <v>0.439</v>
      </c>
      <c r="AR6">
        <v>2.3E-2</v>
      </c>
      <c r="AS6">
        <v>-7.1999999999999995E-2</v>
      </c>
      <c r="AT6">
        <v>0.52700000000000002</v>
      </c>
      <c r="AU6">
        <v>0.52</v>
      </c>
      <c r="AV6">
        <v>-0.109</v>
      </c>
      <c r="AW6">
        <v>0.75900000000000001</v>
      </c>
      <c r="AX6">
        <v>0.41899999999999998</v>
      </c>
      <c r="AY6">
        <v>0.34399999999999997</v>
      </c>
      <c r="AZ6">
        <v>-0.73499999999999999</v>
      </c>
      <c r="BA6">
        <v>0.03</v>
      </c>
      <c r="BB6">
        <v>-0.26200000000000001</v>
      </c>
      <c r="BC6">
        <v>-0.245</v>
      </c>
      <c r="BD6">
        <v>0.13500000000000001</v>
      </c>
      <c r="BE6">
        <v>0.59299999999999997</v>
      </c>
      <c r="BF6">
        <v>0.51</v>
      </c>
      <c r="BG6">
        <v>-0.35099999999999998</v>
      </c>
      <c r="BH6">
        <v>-0.122</v>
      </c>
      <c r="BI6">
        <v>0.72799999999999998</v>
      </c>
      <c r="BJ6">
        <v>-0.41599999999999998</v>
      </c>
      <c r="BK6">
        <v>0.223</v>
      </c>
      <c r="BL6">
        <v>0.36899999999999999</v>
      </c>
      <c r="BM6">
        <v>0.29699999999999999</v>
      </c>
    </row>
    <row r="7" spans="1:65" x14ac:dyDescent="0.3">
      <c r="A7" t="s">
        <v>73</v>
      </c>
      <c r="B7">
        <v>1.6768678195533199E-2</v>
      </c>
      <c r="C7">
        <v>9.9976546854135401E-3</v>
      </c>
      <c r="M7" t="s">
        <v>54</v>
      </c>
      <c r="N7">
        <v>3.6120000000000001</v>
      </c>
      <c r="O7">
        <v>3.629</v>
      </c>
      <c r="P7" t="s">
        <v>55</v>
      </c>
      <c r="Q7">
        <v>8.9999999999999993E-3</v>
      </c>
      <c r="R7">
        <v>8.9999999999999993E-3</v>
      </c>
      <c r="S7">
        <v>0.362970655454667</v>
      </c>
      <c r="T7">
        <v>1</v>
      </c>
      <c r="U7">
        <v>1</v>
      </c>
      <c r="V7">
        <v>0.64200000000000002</v>
      </c>
      <c r="W7">
        <v>1</v>
      </c>
      <c r="X7">
        <v>0.93799999999999994</v>
      </c>
      <c r="Y7">
        <v>1</v>
      </c>
      <c r="Z7">
        <v>1</v>
      </c>
      <c r="AA7">
        <v>1</v>
      </c>
      <c r="AB7">
        <v>0.68700000000000006</v>
      </c>
      <c r="AC7">
        <v>0.68899999999999995</v>
      </c>
      <c r="AD7">
        <v>1</v>
      </c>
      <c r="AE7">
        <v>1</v>
      </c>
      <c r="AF7">
        <v>1</v>
      </c>
      <c r="AG7">
        <v>0.55700000000000005</v>
      </c>
      <c r="AH7">
        <v>2E-3</v>
      </c>
      <c r="AI7">
        <v>0.80500000000000005</v>
      </c>
      <c r="AJ7">
        <v>-0.26100000000000001</v>
      </c>
      <c r="AK7">
        <v>1</v>
      </c>
      <c r="AL7">
        <v>0.752</v>
      </c>
      <c r="AM7">
        <v>-0.20499999999999999</v>
      </c>
      <c r="AN7">
        <v>0.13300000000000001</v>
      </c>
      <c r="AO7">
        <v>-0.80500000000000005</v>
      </c>
      <c r="AP7">
        <v>6.4000000000000001E-2</v>
      </c>
      <c r="AQ7">
        <v>0.751</v>
      </c>
      <c r="AR7">
        <v>1</v>
      </c>
      <c r="AS7">
        <v>0.29299999999999998</v>
      </c>
      <c r="AT7">
        <v>0.40500000000000003</v>
      </c>
      <c r="AU7">
        <v>0.47499999999999998</v>
      </c>
      <c r="AV7">
        <v>0.41699999999999998</v>
      </c>
      <c r="AW7">
        <v>0.26</v>
      </c>
      <c r="AX7">
        <v>0.76700000000000002</v>
      </c>
      <c r="AY7">
        <v>0.42599999999999999</v>
      </c>
      <c r="AZ7">
        <v>0.17899999999999999</v>
      </c>
      <c r="BA7">
        <v>0.88500000000000001</v>
      </c>
      <c r="BB7">
        <v>0.104</v>
      </c>
      <c r="BC7">
        <v>0.58299999999999996</v>
      </c>
      <c r="BD7">
        <v>-0.29899999999999999</v>
      </c>
      <c r="BE7">
        <v>-0.20100000000000001</v>
      </c>
      <c r="BF7">
        <v>0.29299999999999998</v>
      </c>
      <c r="BG7">
        <v>-0.371</v>
      </c>
      <c r="BH7">
        <v>0.371</v>
      </c>
      <c r="BI7">
        <v>0.68200000000000005</v>
      </c>
      <c r="BJ7">
        <v>-0.52700000000000002</v>
      </c>
      <c r="BK7">
        <v>-0.40100000000000002</v>
      </c>
      <c r="BL7">
        <v>0.71699999999999997</v>
      </c>
      <c r="BM7">
        <v>0.495</v>
      </c>
    </row>
    <row r="8" spans="1:65" x14ac:dyDescent="0.3">
      <c r="A8" t="s">
        <v>263</v>
      </c>
      <c r="B8">
        <v>0</v>
      </c>
      <c r="C8">
        <v>0</v>
      </c>
      <c r="M8" t="s">
        <v>91</v>
      </c>
      <c r="N8">
        <v>3.6120000000000001</v>
      </c>
      <c r="O8">
        <v>3.895</v>
      </c>
      <c r="P8" t="s">
        <v>57</v>
      </c>
      <c r="Q8">
        <v>8.0000000000000002E-3</v>
      </c>
      <c r="R8">
        <v>4.0000000000000001E-3</v>
      </c>
      <c r="S8">
        <v>0.448932809866667</v>
      </c>
      <c r="T8">
        <v>1</v>
      </c>
      <c r="U8">
        <v>1</v>
      </c>
      <c r="V8">
        <v>0.60599999999999998</v>
      </c>
      <c r="W8">
        <v>1</v>
      </c>
      <c r="X8">
        <v>1</v>
      </c>
      <c r="Y8">
        <v>1</v>
      </c>
      <c r="Z8">
        <v>0.97299999999999998</v>
      </c>
      <c r="AA8">
        <v>1</v>
      </c>
      <c r="AB8">
        <v>0.69499999999999995</v>
      </c>
      <c r="AC8">
        <v>0.69099999999999995</v>
      </c>
      <c r="AD8">
        <v>0.92900000000000005</v>
      </c>
      <c r="AE8">
        <v>0.85899999999999999</v>
      </c>
      <c r="AF8">
        <v>1</v>
      </c>
      <c r="AG8">
        <v>1</v>
      </c>
      <c r="AH8">
        <v>0.93799999999999994</v>
      </c>
      <c r="AI8">
        <v>1</v>
      </c>
      <c r="AJ8">
        <v>-0.41499999999999998</v>
      </c>
      <c r="AK8">
        <v>0.72799999999999998</v>
      </c>
      <c r="AL8">
        <v>0.253</v>
      </c>
      <c r="AM8">
        <v>0.29599999999999999</v>
      </c>
      <c r="AN8">
        <v>-5.2999999999999999E-2</v>
      </c>
      <c r="AO8">
        <v>-0.41099999999999998</v>
      </c>
      <c r="AP8">
        <v>0.313</v>
      </c>
      <c r="AQ8">
        <v>0.63200000000000001</v>
      </c>
      <c r="AR8">
        <v>0.92700000000000005</v>
      </c>
      <c r="AS8">
        <v>0.53200000000000003</v>
      </c>
      <c r="AT8">
        <v>0.182</v>
      </c>
      <c r="AU8">
        <v>0.309</v>
      </c>
      <c r="AV8">
        <v>0.33</v>
      </c>
      <c r="AW8">
        <v>0.41399999999999998</v>
      </c>
      <c r="AX8">
        <v>0.90800000000000003</v>
      </c>
      <c r="AY8">
        <v>-4.4999999999999998E-2</v>
      </c>
      <c r="AZ8">
        <v>0.13600000000000001</v>
      </c>
      <c r="BA8">
        <v>-0.17599999999999999</v>
      </c>
      <c r="BB8">
        <v>0.53700000000000003</v>
      </c>
      <c r="BC8">
        <v>-0.253</v>
      </c>
      <c r="BD8">
        <v>8.0000000000000002E-3</v>
      </c>
      <c r="BE8">
        <v>0.54100000000000004</v>
      </c>
      <c r="BF8">
        <v>0.64700000000000002</v>
      </c>
      <c r="BG8">
        <v>0.217</v>
      </c>
      <c r="BH8">
        <v>0.151</v>
      </c>
      <c r="BI8">
        <v>0.14199999999999999</v>
      </c>
      <c r="BJ8">
        <v>-0.85699999999999998</v>
      </c>
      <c r="BK8">
        <v>0.70399999999999996</v>
      </c>
      <c r="BL8">
        <v>-5.0999999999999997E-2</v>
      </c>
      <c r="BM8">
        <v>-0.25800000000000001</v>
      </c>
    </row>
    <row r="9" spans="1:65" x14ac:dyDescent="0.3">
      <c r="A9" t="s">
        <v>177</v>
      </c>
      <c r="B9">
        <v>0</v>
      </c>
      <c r="C9">
        <v>0</v>
      </c>
      <c r="M9" t="s">
        <v>59</v>
      </c>
      <c r="N9">
        <v>3.6120000000000001</v>
      </c>
      <c r="O9">
        <v>2.778</v>
      </c>
      <c r="P9" t="s">
        <v>57</v>
      </c>
      <c r="Q9">
        <v>6.0000000000000001E-3</v>
      </c>
      <c r="R9">
        <v>6.0000000000000001E-3</v>
      </c>
      <c r="S9">
        <v>2.1306249228366698</v>
      </c>
      <c r="T9">
        <v>1</v>
      </c>
      <c r="U9">
        <v>0.64600000000000002</v>
      </c>
      <c r="V9">
        <v>1</v>
      </c>
      <c r="W9">
        <v>1</v>
      </c>
      <c r="X9">
        <v>1</v>
      </c>
      <c r="Y9">
        <v>1</v>
      </c>
      <c r="Z9">
        <v>1</v>
      </c>
      <c r="AA9">
        <v>0.73699999999999999</v>
      </c>
      <c r="AB9">
        <v>1</v>
      </c>
      <c r="AC9">
        <v>1</v>
      </c>
      <c r="AD9">
        <v>0.73499999999999999</v>
      </c>
      <c r="AE9">
        <v>0.749</v>
      </c>
      <c r="AF9">
        <v>0.92800000000000005</v>
      </c>
      <c r="AG9">
        <v>1</v>
      </c>
      <c r="AH9">
        <v>1</v>
      </c>
      <c r="AI9">
        <v>-0.13800000000000001</v>
      </c>
      <c r="AJ9">
        <v>1</v>
      </c>
      <c r="AK9">
        <v>-0.315</v>
      </c>
      <c r="AL9">
        <v>1</v>
      </c>
      <c r="AM9">
        <v>0.88200000000000001</v>
      </c>
      <c r="AN9">
        <v>1</v>
      </c>
      <c r="AO9">
        <v>0.45100000000000001</v>
      </c>
      <c r="AP9">
        <v>0.65200000000000002</v>
      </c>
      <c r="AQ9">
        <v>-0.80800000000000005</v>
      </c>
      <c r="AR9">
        <v>-0.66500000000000004</v>
      </c>
      <c r="AS9">
        <v>0.30299999999999999</v>
      </c>
      <c r="AT9">
        <v>0.59399999999999997</v>
      </c>
      <c r="AU9">
        <v>9.7000000000000003E-2</v>
      </c>
      <c r="AV9">
        <v>0.69699999999999995</v>
      </c>
      <c r="AW9">
        <v>-0.54800000000000004</v>
      </c>
      <c r="AX9">
        <v>0.90800000000000003</v>
      </c>
      <c r="AY9">
        <v>0.32600000000000001</v>
      </c>
      <c r="AZ9">
        <v>5.3999999999999999E-2</v>
      </c>
      <c r="BA9">
        <v>0.47</v>
      </c>
      <c r="BB9">
        <v>0.60399999999999998</v>
      </c>
      <c r="BC9">
        <v>0.25</v>
      </c>
      <c r="BD9">
        <v>0.29199999999999998</v>
      </c>
      <c r="BE9">
        <v>0.30299999999999999</v>
      </c>
      <c r="BF9">
        <v>0.59399999999999997</v>
      </c>
      <c r="BG9">
        <v>4.2999999999999997E-2</v>
      </c>
      <c r="BH9">
        <v>9.7000000000000003E-2</v>
      </c>
      <c r="BI9">
        <v>0.90700000000000003</v>
      </c>
      <c r="BJ9">
        <v>-0.34499999999999997</v>
      </c>
      <c r="BK9">
        <v>-0.437</v>
      </c>
      <c r="BL9">
        <v>0.52100000000000002</v>
      </c>
      <c r="BM9">
        <v>0.80200000000000005</v>
      </c>
    </row>
    <row r="10" spans="1:65" x14ac:dyDescent="0.3">
      <c r="A10" t="s">
        <v>159</v>
      </c>
      <c r="B10">
        <v>0</v>
      </c>
      <c r="C10">
        <v>0</v>
      </c>
      <c r="M10" t="s">
        <v>60</v>
      </c>
      <c r="N10">
        <v>3.5289999999999999</v>
      </c>
      <c r="O10">
        <v>2.738</v>
      </c>
      <c r="P10" t="s">
        <v>57</v>
      </c>
      <c r="Q10">
        <v>8.0000000000000002E-3</v>
      </c>
      <c r="R10">
        <v>8.0000000000000002E-3</v>
      </c>
      <c r="S10">
        <v>1.1310543896</v>
      </c>
      <c r="T10">
        <v>0.99299999999999999</v>
      </c>
      <c r="U10">
        <v>0.84899999999999998</v>
      </c>
      <c r="V10">
        <v>0.79700000000000004</v>
      </c>
      <c r="W10">
        <v>1</v>
      </c>
      <c r="X10">
        <v>0.96899999999999997</v>
      </c>
      <c r="Y10">
        <v>0.78600000000000003</v>
      </c>
      <c r="Z10">
        <v>0.51400000000000001</v>
      </c>
      <c r="AA10">
        <v>0.755</v>
      </c>
      <c r="AB10">
        <v>0.75700000000000001</v>
      </c>
      <c r="AC10">
        <v>0.752</v>
      </c>
      <c r="AD10">
        <v>0.77800000000000002</v>
      </c>
      <c r="AE10">
        <v>0.79800000000000004</v>
      </c>
      <c r="AF10">
        <v>0.95599999999999996</v>
      </c>
      <c r="AG10">
        <v>1</v>
      </c>
      <c r="AH10">
        <v>1</v>
      </c>
      <c r="AI10">
        <v>0.41799999999999998</v>
      </c>
      <c r="AJ10">
        <v>0.13700000000000001</v>
      </c>
      <c r="AK10">
        <v>0.13300000000000001</v>
      </c>
      <c r="AL10">
        <v>0.61</v>
      </c>
      <c r="AM10">
        <v>0.55600000000000005</v>
      </c>
      <c r="AN10">
        <v>9.0999999999999998E-2</v>
      </c>
      <c r="AO10">
        <v>-0.11799999999999999</v>
      </c>
      <c r="AP10">
        <v>0.47799999999999998</v>
      </c>
      <c r="AQ10">
        <v>0.22700000000000001</v>
      </c>
      <c r="AR10">
        <v>-8.1000000000000003E-2</v>
      </c>
      <c r="AS10">
        <v>0.58399999999999996</v>
      </c>
      <c r="AT10">
        <v>0.76800000000000002</v>
      </c>
      <c r="AU10">
        <v>0.38400000000000001</v>
      </c>
      <c r="AV10">
        <v>0.42799999999999999</v>
      </c>
      <c r="AW10">
        <v>-0.1</v>
      </c>
      <c r="AX10">
        <v>0.95799999999999996</v>
      </c>
      <c r="AY10">
        <v>-0.59099999999999997</v>
      </c>
      <c r="AZ10">
        <v>7.6999999999999999E-2</v>
      </c>
      <c r="BA10">
        <v>0.42299999999999999</v>
      </c>
      <c r="BB10">
        <v>0.629</v>
      </c>
      <c r="BC10">
        <v>-0.314</v>
      </c>
      <c r="BD10">
        <v>0.21099999999999999</v>
      </c>
      <c r="BE10">
        <v>1.9E-2</v>
      </c>
      <c r="BF10">
        <v>0.625</v>
      </c>
      <c r="BG10">
        <v>0.23400000000000001</v>
      </c>
      <c r="BH10">
        <v>-0.28799999999999998</v>
      </c>
      <c r="BI10">
        <v>0.20399999999999999</v>
      </c>
      <c r="BJ10">
        <v>-0.48799999999999999</v>
      </c>
      <c r="BK10">
        <v>0.29199999999999998</v>
      </c>
      <c r="BL10">
        <v>0.253</v>
      </c>
      <c r="BM10">
        <v>0.20599999999999999</v>
      </c>
    </row>
    <row r="11" spans="1:65" x14ac:dyDescent="0.3">
      <c r="A11" t="s">
        <v>172</v>
      </c>
      <c r="B11">
        <v>0</v>
      </c>
      <c r="C11">
        <v>0</v>
      </c>
      <c r="M11" t="s">
        <v>58</v>
      </c>
      <c r="N11">
        <v>3.4969999999999999</v>
      </c>
      <c r="O11">
        <v>3.883</v>
      </c>
      <c r="P11" t="s">
        <v>57</v>
      </c>
      <c r="Q11">
        <v>1.2E-2</v>
      </c>
      <c r="R11">
        <v>0.01</v>
      </c>
      <c r="S11">
        <v>0.75574801700000005</v>
      </c>
      <c r="T11">
        <v>0.73699999999999999</v>
      </c>
      <c r="U11">
        <v>0.61</v>
      </c>
      <c r="V11">
        <v>0.67800000000000005</v>
      </c>
      <c r="W11">
        <v>0.68700000000000006</v>
      </c>
      <c r="X11">
        <v>0.67500000000000004</v>
      </c>
      <c r="Y11">
        <v>1</v>
      </c>
      <c r="Z11">
        <v>1</v>
      </c>
      <c r="AA11">
        <v>0.97799999999999998</v>
      </c>
      <c r="AB11">
        <v>0.55600000000000005</v>
      </c>
      <c r="AC11">
        <v>0.55900000000000005</v>
      </c>
      <c r="AD11">
        <v>0.89400000000000002</v>
      </c>
      <c r="AE11">
        <v>0.83899999999999997</v>
      </c>
      <c r="AF11">
        <v>0.89100000000000001</v>
      </c>
      <c r="AG11">
        <v>0.84699999999999998</v>
      </c>
      <c r="AH11">
        <v>6.3E-2</v>
      </c>
      <c r="AI11">
        <v>-0.123</v>
      </c>
      <c r="AJ11">
        <v>2.7E-2</v>
      </c>
      <c r="AK11">
        <v>0.129</v>
      </c>
      <c r="AL11">
        <v>0.84699999999999998</v>
      </c>
      <c r="AM11">
        <v>0.13500000000000001</v>
      </c>
      <c r="AN11">
        <v>0.94799999999999995</v>
      </c>
      <c r="AO11">
        <v>-0.47699999999999998</v>
      </c>
      <c r="AP11">
        <v>0.54</v>
      </c>
      <c r="AQ11">
        <v>0.16900000000000001</v>
      </c>
      <c r="AR11">
        <v>-0.25800000000000001</v>
      </c>
      <c r="AS11">
        <v>-2.3E-2</v>
      </c>
      <c r="AT11">
        <v>0.29899999999999999</v>
      </c>
      <c r="AU11">
        <v>-0.16800000000000001</v>
      </c>
      <c r="AV11">
        <v>0.20499999999999999</v>
      </c>
      <c r="AW11">
        <v>0.159</v>
      </c>
      <c r="AX11">
        <v>0.17</v>
      </c>
      <c r="AY11">
        <v>0.51800000000000002</v>
      </c>
      <c r="AZ11">
        <v>0.77400000000000002</v>
      </c>
      <c r="BA11">
        <v>0.495</v>
      </c>
      <c r="BB11">
        <v>-4.9000000000000002E-2</v>
      </c>
      <c r="BC11">
        <v>0.10199999999999999</v>
      </c>
      <c r="BD11">
        <v>0.55300000000000005</v>
      </c>
      <c r="BE11">
        <v>0.50700000000000001</v>
      </c>
      <c r="BF11">
        <v>0.54600000000000004</v>
      </c>
      <c r="BG11">
        <v>0.21099999999999999</v>
      </c>
      <c r="BH11">
        <v>4.8000000000000001E-2</v>
      </c>
      <c r="BI11">
        <v>0.82899999999999996</v>
      </c>
      <c r="BJ11">
        <v>-7.4999999999999997E-2</v>
      </c>
      <c r="BK11">
        <v>-0.35799999999999998</v>
      </c>
      <c r="BL11">
        <v>0.19700000000000001</v>
      </c>
      <c r="BM11">
        <v>0.34699999999999998</v>
      </c>
    </row>
    <row r="12" spans="1:65" x14ac:dyDescent="0.3">
      <c r="A12" t="s">
        <v>145</v>
      </c>
      <c r="B12">
        <v>6.9141210932008798E-3</v>
      </c>
      <c r="C12">
        <v>8.6098457156624803E-3</v>
      </c>
      <c r="M12" t="s">
        <v>75</v>
      </c>
      <c r="N12">
        <v>3.3780000000000001</v>
      </c>
      <c r="O12">
        <v>2.5910000000000002</v>
      </c>
      <c r="P12" t="s">
        <v>55</v>
      </c>
      <c r="Q12">
        <v>7.0000000000000001E-3</v>
      </c>
      <c r="R12">
        <v>7.0000000000000001E-3</v>
      </c>
      <c r="S12">
        <v>0.38847621060999998</v>
      </c>
      <c r="T12">
        <v>1</v>
      </c>
      <c r="U12">
        <v>1</v>
      </c>
      <c r="V12">
        <v>1</v>
      </c>
      <c r="W12">
        <v>0.70199999999999996</v>
      </c>
      <c r="X12">
        <v>1</v>
      </c>
      <c r="Y12">
        <v>0.86</v>
      </c>
      <c r="Z12">
        <v>0.81</v>
      </c>
      <c r="AA12">
        <v>0.47</v>
      </c>
      <c r="AB12">
        <v>0.55700000000000005</v>
      </c>
      <c r="AC12">
        <v>0.55600000000000005</v>
      </c>
      <c r="AD12">
        <v>0.64400000000000002</v>
      </c>
      <c r="AE12">
        <v>0.81</v>
      </c>
      <c r="AF12">
        <v>0.97799999999999998</v>
      </c>
      <c r="AG12">
        <v>0.23699999999999999</v>
      </c>
      <c r="AH12">
        <v>1</v>
      </c>
      <c r="AI12">
        <v>1</v>
      </c>
      <c r="AJ12">
        <v>1</v>
      </c>
      <c r="AK12">
        <v>0.38400000000000001</v>
      </c>
      <c r="AL12">
        <v>-0.22500000000000001</v>
      </c>
      <c r="AM12">
        <v>0.75</v>
      </c>
      <c r="AN12">
        <v>-0.02</v>
      </c>
      <c r="AO12">
        <v>1</v>
      </c>
      <c r="AP12">
        <v>0.77500000000000002</v>
      </c>
      <c r="AQ12">
        <v>-9.7000000000000003E-2</v>
      </c>
      <c r="AR12">
        <v>-0.185</v>
      </c>
      <c r="AS12">
        <v>-0.221</v>
      </c>
      <c r="AT12">
        <v>0.34300000000000003</v>
      </c>
      <c r="AU12">
        <v>0.114</v>
      </c>
      <c r="AV12">
        <v>-0.22800000000000001</v>
      </c>
      <c r="AW12">
        <v>0.47</v>
      </c>
      <c r="AX12">
        <v>-0.33600000000000002</v>
      </c>
      <c r="AY12">
        <v>-4.8000000000000001E-2</v>
      </c>
      <c r="AZ12">
        <v>-0.71399999999999997</v>
      </c>
      <c r="BA12">
        <v>-0.34399999999999997</v>
      </c>
      <c r="BB12">
        <v>0.126</v>
      </c>
      <c r="BC12">
        <v>0.84699999999999998</v>
      </c>
      <c r="BD12">
        <v>0.16600000000000001</v>
      </c>
      <c r="BE12">
        <v>0.73899999999999999</v>
      </c>
      <c r="BF12">
        <v>0.32600000000000001</v>
      </c>
      <c r="BG12">
        <v>-1E-3</v>
      </c>
      <c r="BH12">
        <v>0.315</v>
      </c>
      <c r="BI12">
        <v>0.28299999999999997</v>
      </c>
      <c r="BJ12">
        <v>0.154</v>
      </c>
      <c r="BK12">
        <v>0.81899999999999995</v>
      </c>
      <c r="BL12">
        <v>0.621</v>
      </c>
      <c r="BM12">
        <v>0.97399999999999998</v>
      </c>
    </row>
    <row r="13" spans="1:65" x14ac:dyDescent="0.3">
      <c r="A13" t="s">
        <v>256</v>
      </c>
      <c r="B13">
        <v>0</v>
      </c>
      <c r="C13">
        <v>0</v>
      </c>
      <c r="M13" t="s">
        <v>67</v>
      </c>
      <c r="N13">
        <v>3.3239999999999998</v>
      </c>
      <c r="O13">
        <v>3.0920000000000001</v>
      </c>
      <c r="P13" t="s">
        <v>68</v>
      </c>
      <c r="Q13">
        <v>0.01</v>
      </c>
      <c r="R13">
        <v>8.0000000000000002E-3</v>
      </c>
      <c r="S13">
        <v>0.65941919204866695</v>
      </c>
      <c r="T13">
        <v>0.621</v>
      </c>
      <c r="U13">
        <v>0.14000000000000001</v>
      </c>
      <c r="V13">
        <v>0.39700000000000002</v>
      </c>
      <c r="W13">
        <v>0.92300000000000004</v>
      </c>
      <c r="X13">
        <v>0.53900000000000003</v>
      </c>
      <c r="Y13">
        <v>0.84799999999999998</v>
      </c>
      <c r="Z13">
        <v>0.81599999999999995</v>
      </c>
      <c r="AA13">
        <v>1</v>
      </c>
      <c r="AB13">
        <v>0.63200000000000001</v>
      </c>
      <c r="AC13">
        <v>0.63300000000000001</v>
      </c>
      <c r="AD13">
        <v>0.94599999999999995</v>
      </c>
      <c r="AE13">
        <v>0.86</v>
      </c>
      <c r="AF13">
        <v>0.85399999999999998</v>
      </c>
      <c r="AG13">
        <v>1</v>
      </c>
      <c r="AH13">
        <v>0.59</v>
      </c>
      <c r="AI13">
        <v>0.154</v>
      </c>
      <c r="AJ13">
        <v>-0.45400000000000001</v>
      </c>
      <c r="AK13">
        <v>-0.03</v>
      </c>
      <c r="AL13">
        <v>9.6000000000000002E-2</v>
      </c>
      <c r="AM13">
        <v>-3.5000000000000003E-2</v>
      </c>
      <c r="AN13">
        <v>0.628</v>
      </c>
      <c r="AO13">
        <v>-0.68500000000000005</v>
      </c>
      <c r="AP13">
        <v>0.375</v>
      </c>
      <c r="AQ13">
        <v>0.28699999999999998</v>
      </c>
      <c r="AR13">
        <v>0.44800000000000001</v>
      </c>
      <c r="AS13">
        <v>0.59899999999999998</v>
      </c>
      <c r="AT13">
        <v>0.28299999999999997</v>
      </c>
      <c r="AU13">
        <v>-0.498</v>
      </c>
      <c r="AV13">
        <v>0.61399999999999999</v>
      </c>
      <c r="AW13">
        <v>-0.33700000000000002</v>
      </c>
      <c r="AX13">
        <v>0.64400000000000002</v>
      </c>
      <c r="AY13">
        <v>0.41</v>
      </c>
      <c r="AZ13">
        <v>0.114</v>
      </c>
      <c r="BA13">
        <v>0.84299999999999997</v>
      </c>
      <c r="BB13">
        <v>0.74099999999999999</v>
      </c>
      <c r="BC13">
        <v>0.22600000000000001</v>
      </c>
      <c r="BD13">
        <v>-0.159</v>
      </c>
      <c r="BE13">
        <v>-0.188</v>
      </c>
      <c r="BF13">
        <v>0.438</v>
      </c>
      <c r="BG13">
        <v>-0.41699999999999998</v>
      </c>
      <c r="BH13">
        <v>0.14599999999999999</v>
      </c>
      <c r="BI13">
        <v>0.34599999999999997</v>
      </c>
      <c r="BJ13">
        <v>-0.96099999999999997</v>
      </c>
      <c r="BK13">
        <v>0.17199999999999999</v>
      </c>
      <c r="BL13">
        <v>0.73</v>
      </c>
      <c r="BM13">
        <v>-0.151</v>
      </c>
    </row>
    <row r="14" spans="1:65" x14ac:dyDescent="0.3">
      <c r="A14" t="s">
        <v>222</v>
      </c>
      <c r="B14">
        <v>0</v>
      </c>
      <c r="C14">
        <v>0</v>
      </c>
      <c r="M14" t="s">
        <v>86</v>
      </c>
      <c r="N14">
        <v>3.23</v>
      </c>
      <c r="O14">
        <v>3.4940000000000002</v>
      </c>
      <c r="P14" t="s">
        <v>57</v>
      </c>
      <c r="Q14">
        <v>1.4999999999999999E-2</v>
      </c>
      <c r="R14">
        <v>1.4999999999999999E-2</v>
      </c>
      <c r="S14">
        <v>0.52897668937333298</v>
      </c>
      <c r="T14">
        <v>0.68799999999999994</v>
      </c>
      <c r="U14">
        <v>0.79400000000000004</v>
      </c>
      <c r="V14">
        <v>0.80100000000000005</v>
      </c>
      <c r="W14">
        <v>0.52</v>
      </c>
      <c r="X14">
        <v>0.76700000000000002</v>
      </c>
      <c r="Y14">
        <v>0.68799999999999994</v>
      </c>
      <c r="Z14">
        <v>0.66700000000000004</v>
      </c>
      <c r="AA14">
        <v>0.60199999999999998</v>
      </c>
      <c r="AB14">
        <v>0.67600000000000005</v>
      </c>
      <c r="AC14">
        <v>0.67200000000000004</v>
      </c>
      <c r="AD14">
        <v>1</v>
      </c>
      <c r="AE14">
        <v>0.93400000000000005</v>
      </c>
      <c r="AF14">
        <v>0.93700000000000006</v>
      </c>
      <c r="AG14">
        <v>-2.5999999999999999E-2</v>
      </c>
      <c r="AH14">
        <v>1</v>
      </c>
      <c r="AI14">
        <v>0.53500000000000003</v>
      </c>
      <c r="AJ14">
        <v>1</v>
      </c>
      <c r="AK14">
        <v>0.45600000000000002</v>
      </c>
      <c r="AL14">
        <v>1.6E-2</v>
      </c>
      <c r="AM14">
        <v>0.14699999999999999</v>
      </c>
      <c r="AN14">
        <v>0.69899999999999995</v>
      </c>
      <c r="AO14">
        <v>0.31900000000000001</v>
      </c>
      <c r="AP14">
        <v>0.41599999999999998</v>
      </c>
      <c r="AQ14">
        <v>-0.13100000000000001</v>
      </c>
      <c r="AR14">
        <v>-0.245</v>
      </c>
      <c r="AS14">
        <v>0.252</v>
      </c>
      <c r="AT14">
        <v>0.54600000000000004</v>
      </c>
      <c r="AU14">
        <v>0.17100000000000001</v>
      </c>
      <c r="AV14">
        <v>-3.1E-2</v>
      </c>
      <c r="AW14">
        <v>-0.32700000000000001</v>
      </c>
      <c r="AX14">
        <v>-0.23899999999999999</v>
      </c>
      <c r="AY14">
        <v>-1.4999999999999999E-2</v>
      </c>
      <c r="AZ14">
        <v>-0.32600000000000001</v>
      </c>
      <c r="BA14">
        <v>0.67800000000000005</v>
      </c>
      <c r="BB14">
        <v>0.185</v>
      </c>
      <c r="BC14">
        <v>5.8000000000000003E-2</v>
      </c>
      <c r="BD14">
        <v>-0.186</v>
      </c>
      <c r="BE14">
        <v>-7.0000000000000007E-2</v>
      </c>
      <c r="BF14">
        <v>0.24399999999999999</v>
      </c>
      <c r="BG14">
        <v>-0.151</v>
      </c>
      <c r="BH14">
        <v>0.36699999999999999</v>
      </c>
      <c r="BI14">
        <v>0.85299999999999998</v>
      </c>
      <c r="BJ14">
        <v>-6.0999999999999999E-2</v>
      </c>
      <c r="BK14">
        <v>0.12</v>
      </c>
      <c r="BL14">
        <v>0.60899999999999999</v>
      </c>
      <c r="BM14">
        <v>0.875</v>
      </c>
    </row>
    <row r="15" spans="1:65" x14ac:dyDescent="0.3">
      <c r="A15" t="s">
        <v>253</v>
      </c>
      <c r="B15">
        <v>0</v>
      </c>
      <c r="C15">
        <v>0</v>
      </c>
      <c r="M15" t="s">
        <v>126</v>
      </c>
      <c r="N15">
        <v>2.9369999999999998</v>
      </c>
      <c r="O15">
        <v>2.1800000000000002</v>
      </c>
      <c r="P15" t="s">
        <v>57</v>
      </c>
      <c r="Q15">
        <v>5.0000000000000001E-3</v>
      </c>
      <c r="R15">
        <v>5.0000000000000001E-3</v>
      </c>
      <c r="S15">
        <v>1.6823221086666701E-2</v>
      </c>
      <c r="T15">
        <v>1</v>
      </c>
      <c r="U15">
        <v>1</v>
      </c>
      <c r="V15">
        <v>1</v>
      </c>
      <c r="W15">
        <v>1</v>
      </c>
      <c r="X15">
        <v>1</v>
      </c>
      <c r="Y15">
        <v>0.184</v>
      </c>
      <c r="Z15">
        <v>-0.57499999999999996</v>
      </c>
      <c r="AA15">
        <v>0.38900000000000001</v>
      </c>
      <c r="AB15">
        <v>0.34799999999999998</v>
      </c>
      <c r="AC15">
        <v>0.34699999999999998</v>
      </c>
      <c r="AD15">
        <v>0.76600000000000001</v>
      </c>
      <c r="AE15">
        <v>0.79300000000000004</v>
      </c>
      <c r="AF15">
        <v>1</v>
      </c>
      <c r="AG15">
        <v>1</v>
      </c>
      <c r="AH15">
        <v>1</v>
      </c>
      <c r="AI15">
        <v>1</v>
      </c>
      <c r="AJ15">
        <v>0.58799999999999997</v>
      </c>
      <c r="AK15">
        <v>0.89800000000000002</v>
      </c>
      <c r="AL15">
        <v>1</v>
      </c>
      <c r="AM15">
        <v>0.42399999999999999</v>
      </c>
      <c r="AN15">
        <v>-0.80900000000000005</v>
      </c>
      <c r="AO15">
        <v>0.44500000000000001</v>
      </c>
      <c r="AP15">
        <v>0.34100000000000003</v>
      </c>
      <c r="AQ15">
        <v>0.35499999999999998</v>
      </c>
      <c r="AR15">
        <v>0.38200000000000001</v>
      </c>
      <c r="AS15">
        <v>0.7</v>
      </c>
      <c r="AT15">
        <v>0.66400000000000003</v>
      </c>
      <c r="AU15">
        <v>0.36599999999999999</v>
      </c>
      <c r="AV15">
        <v>0.13700000000000001</v>
      </c>
      <c r="AW15">
        <v>-0.44500000000000001</v>
      </c>
      <c r="AX15">
        <v>0.85799999999999998</v>
      </c>
      <c r="AY15">
        <v>-0.52800000000000002</v>
      </c>
      <c r="AZ15">
        <v>0.35799999999999998</v>
      </c>
      <c r="BA15">
        <v>0.41299999999999998</v>
      </c>
      <c r="BB15">
        <v>-0.318</v>
      </c>
      <c r="BC15">
        <v>0.93200000000000005</v>
      </c>
      <c r="BD15">
        <v>0.33600000000000002</v>
      </c>
      <c r="BE15">
        <v>0.23400000000000001</v>
      </c>
      <c r="BF15">
        <v>0.79900000000000004</v>
      </c>
      <c r="BG15">
        <v>-1</v>
      </c>
      <c r="BH15">
        <v>-0.38200000000000001</v>
      </c>
      <c r="BI15">
        <v>-1</v>
      </c>
      <c r="BJ15">
        <v>0.53300000000000003</v>
      </c>
      <c r="BK15">
        <v>-0.127</v>
      </c>
      <c r="BL15">
        <v>0.91700000000000004</v>
      </c>
      <c r="BM15">
        <v>0.46400000000000002</v>
      </c>
    </row>
    <row r="16" spans="1:65" x14ac:dyDescent="0.3">
      <c r="A16" t="s">
        <v>185</v>
      </c>
      <c r="B16">
        <v>0</v>
      </c>
      <c r="C16">
        <v>1.29529563484444E-2</v>
      </c>
      <c r="M16" t="s">
        <v>70</v>
      </c>
      <c r="N16">
        <v>2.92</v>
      </c>
      <c r="O16">
        <v>3.6560000000000001</v>
      </c>
      <c r="P16" t="s">
        <v>71</v>
      </c>
      <c r="Q16">
        <v>3.1E-2</v>
      </c>
      <c r="R16">
        <v>3.1E-2</v>
      </c>
      <c r="S16">
        <v>2.2288193296666701</v>
      </c>
      <c r="T16">
        <v>8.6999999999999994E-2</v>
      </c>
      <c r="U16">
        <v>0.432</v>
      </c>
      <c r="V16">
        <v>-0.19</v>
      </c>
      <c r="W16">
        <v>0.2</v>
      </c>
      <c r="X16">
        <v>0.191</v>
      </c>
      <c r="Y16">
        <v>0.58199999999999996</v>
      </c>
      <c r="Z16">
        <v>0.73</v>
      </c>
      <c r="AA16">
        <v>0.879</v>
      </c>
      <c r="AB16">
        <v>0.97299999999999998</v>
      </c>
      <c r="AC16">
        <v>0.96799999999999997</v>
      </c>
      <c r="AD16">
        <v>0.78900000000000003</v>
      </c>
      <c r="AE16">
        <v>0.78700000000000003</v>
      </c>
      <c r="AF16">
        <v>1</v>
      </c>
      <c r="AG16">
        <v>-0.129</v>
      </c>
      <c r="AH16">
        <v>-0.58699999999999997</v>
      </c>
      <c r="AI16">
        <v>0.44400000000000001</v>
      </c>
      <c r="AJ16">
        <v>-0.63800000000000001</v>
      </c>
      <c r="AK16">
        <v>0.17100000000000001</v>
      </c>
      <c r="AL16">
        <v>-0.49099999999999999</v>
      </c>
      <c r="AM16">
        <v>-0.30599999999999999</v>
      </c>
      <c r="AN16">
        <v>0.66</v>
      </c>
      <c r="AO16">
        <v>-0.439</v>
      </c>
      <c r="AP16">
        <v>-0.48899999999999999</v>
      </c>
      <c r="AQ16">
        <v>0.79900000000000004</v>
      </c>
      <c r="AR16">
        <v>0.125</v>
      </c>
      <c r="AS16">
        <v>-0.77600000000000002</v>
      </c>
      <c r="AT16">
        <v>0.68600000000000005</v>
      </c>
      <c r="AU16">
        <v>0.40699999999999997</v>
      </c>
      <c r="AV16">
        <v>4.3999999999999997E-2</v>
      </c>
      <c r="AW16">
        <v>7.1999999999999995E-2</v>
      </c>
      <c r="AX16">
        <v>0.11899999999999999</v>
      </c>
      <c r="AY16">
        <v>0.67600000000000005</v>
      </c>
      <c r="AZ16">
        <v>8.5999999999999993E-2</v>
      </c>
      <c r="BA16">
        <v>0.61399999999999999</v>
      </c>
      <c r="BB16">
        <v>-0.94099999999999995</v>
      </c>
      <c r="BC16">
        <v>0.86699999999999999</v>
      </c>
      <c r="BD16">
        <v>-9.0999999999999998E-2</v>
      </c>
      <c r="BE16">
        <v>0.377</v>
      </c>
      <c r="BF16">
        <v>0.58299999999999996</v>
      </c>
      <c r="BG16">
        <v>-0.45700000000000002</v>
      </c>
      <c r="BH16">
        <v>-4.0000000000000001E-3</v>
      </c>
      <c r="BI16">
        <v>0.71799999999999997</v>
      </c>
      <c r="BJ16">
        <v>-0.34899999999999998</v>
      </c>
      <c r="BK16">
        <v>-0.53200000000000003</v>
      </c>
      <c r="BL16">
        <v>1</v>
      </c>
      <c r="BM16">
        <v>9.6000000000000002E-2</v>
      </c>
    </row>
    <row r="17" spans="1:65" x14ac:dyDescent="0.3">
      <c r="A17" t="s">
        <v>165</v>
      </c>
      <c r="B17">
        <v>0</v>
      </c>
      <c r="C17">
        <v>0</v>
      </c>
      <c r="M17" t="s">
        <v>66</v>
      </c>
      <c r="N17">
        <v>2.9009999999999998</v>
      </c>
      <c r="O17">
        <v>2.274</v>
      </c>
      <c r="P17" t="s">
        <v>55</v>
      </c>
      <c r="Q17">
        <v>8.9999999999999993E-3</v>
      </c>
      <c r="R17">
        <v>8.0000000000000002E-3</v>
      </c>
      <c r="S17">
        <v>3.19697189111</v>
      </c>
      <c r="T17">
        <v>0.61099999999999999</v>
      </c>
      <c r="U17">
        <v>-4.0000000000000001E-3</v>
      </c>
      <c r="V17">
        <v>1</v>
      </c>
      <c r="W17">
        <v>0.67100000000000004</v>
      </c>
      <c r="X17">
        <v>0.65800000000000003</v>
      </c>
      <c r="Y17">
        <v>0.82</v>
      </c>
      <c r="Z17">
        <v>0.98299999999999998</v>
      </c>
      <c r="AA17">
        <v>0.42399999999999999</v>
      </c>
      <c r="AB17">
        <v>0.42</v>
      </c>
      <c r="AC17">
        <v>0.41899999999999998</v>
      </c>
      <c r="AD17">
        <v>0.89400000000000002</v>
      </c>
      <c r="AE17">
        <v>0.81499999999999995</v>
      </c>
      <c r="AF17">
        <v>0.751</v>
      </c>
      <c r="AG17">
        <v>1</v>
      </c>
      <c r="AH17">
        <v>1</v>
      </c>
      <c r="AI17">
        <v>-0.63500000000000001</v>
      </c>
      <c r="AJ17">
        <v>1</v>
      </c>
      <c r="AK17">
        <v>-0.185</v>
      </c>
      <c r="AL17">
        <v>1</v>
      </c>
      <c r="AM17">
        <v>0.377</v>
      </c>
      <c r="AN17">
        <v>1</v>
      </c>
      <c r="AO17">
        <v>0.215</v>
      </c>
      <c r="AP17">
        <v>-0.28199999999999997</v>
      </c>
      <c r="AQ17">
        <v>-0.56499999999999995</v>
      </c>
      <c r="AR17">
        <v>-0.497</v>
      </c>
      <c r="AS17">
        <v>0.69499999999999995</v>
      </c>
      <c r="AT17">
        <v>-0.375</v>
      </c>
      <c r="AU17">
        <v>-2.7E-2</v>
      </c>
      <c r="AV17">
        <v>-0.11899999999999999</v>
      </c>
      <c r="AW17">
        <v>0.14599999999999999</v>
      </c>
      <c r="AX17">
        <v>0.379</v>
      </c>
      <c r="AY17">
        <v>0.23799999999999999</v>
      </c>
      <c r="AZ17">
        <v>-0.35799999999999998</v>
      </c>
      <c r="BA17">
        <v>5.2999999999999999E-2</v>
      </c>
      <c r="BB17">
        <v>-0.182</v>
      </c>
      <c r="BC17">
        <v>7.0000000000000001E-3</v>
      </c>
      <c r="BD17">
        <v>0.60199999999999998</v>
      </c>
      <c r="BE17">
        <v>0.73</v>
      </c>
      <c r="BF17">
        <v>0.622</v>
      </c>
      <c r="BG17">
        <v>-0.114</v>
      </c>
      <c r="BH17">
        <v>-0.53700000000000003</v>
      </c>
      <c r="BI17">
        <v>0.54200000000000004</v>
      </c>
      <c r="BJ17">
        <v>-0.85199999999999998</v>
      </c>
      <c r="BK17">
        <v>9.9000000000000005E-2</v>
      </c>
      <c r="BL17">
        <v>0.66900000000000004</v>
      </c>
      <c r="BM17">
        <v>0.82199999999999995</v>
      </c>
    </row>
    <row r="18" spans="1:65" x14ac:dyDescent="0.3">
      <c r="A18" t="s">
        <v>179</v>
      </c>
      <c r="B18">
        <v>0</v>
      </c>
      <c r="C18">
        <v>0</v>
      </c>
      <c r="M18" t="s">
        <v>73</v>
      </c>
      <c r="N18">
        <v>2.8340000000000001</v>
      </c>
      <c r="O18">
        <v>3.4689999999999999</v>
      </c>
      <c r="P18" t="s">
        <v>57</v>
      </c>
      <c r="Q18">
        <v>1.2E-2</v>
      </c>
      <c r="R18">
        <v>8.0000000000000002E-3</v>
      </c>
      <c r="S18">
        <v>1.1343465399999999</v>
      </c>
      <c r="T18">
        <v>0.249</v>
      </c>
      <c r="U18">
        <v>0.52800000000000002</v>
      </c>
      <c r="V18">
        <v>-3.1E-2</v>
      </c>
      <c r="W18">
        <v>0.371</v>
      </c>
      <c r="X18">
        <v>0.36099999999999999</v>
      </c>
      <c r="Y18">
        <v>0.53400000000000003</v>
      </c>
      <c r="Z18">
        <v>0.67200000000000004</v>
      </c>
      <c r="AA18">
        <v>0.57099999999999995</v>
      </c>
      <c r="AB18">
        <v>0.91200000000000003</v>
      </c>
      <c r="AC18">
        <v>0.91100000000000003</v>
      </c>
      <c r="AD18">
        <v>0.86299999999999999</v>
      </c>
      <c r="AE18">
        <v>0.91400000000000003</v>
      </c>
      <c r="AF18">
        <v>0.94499999999999995</v>
      </c>
      <c r="AG18">
        <v>-7.6999999999999999E-2</v>
      </c>
      <c r="AH18">
        <v>0.65100000000000002</v>
      </c>
      <c r="AI18">
        <v>0.92400000000000004</v>
      </c>
      <c r="AJ18">
        <v>-3.7999999999999999E-2</v>
      </c>
      <c r="AK18">
        <v>-0.27300000000000002</v>
      </c>
      <c r="AL18">
        <v>-0.625</v>
      </c>
      <c r="AM18">
        <v>-5.8000000000000003E-2</v>
      </c>
      <c r="AN18">
        <v>0.32</v>
      </c>
      <c r="AO18">
        <v>0.58299999999999996</v>
      </c>
      <c r="AP18">
        <v>0.34200000000000003</v>
      </c>
      <c r="AQ18">
        <v>0.114</v>
      </c>
      <c r="AR18">
        <v>-0.51400000000000001</v>
      </c>
      <c r="AS18">
        <v>0.13800000000000001</v>
      </c>
      <c r="AT18">
        <v>0.32100000000000001</v>
      </c>
      <c r="AU18">
        <v>0.24099999999999999</v>
      </c>
      <c r="AV18">
        <v>-0.16200000000000001</v>
      </c>
      <c r="AW18">
        <v>-0.23799999999999999</v>
      </c>
      <c r="AX18">
        <v>-0.21199999999999999</v>
      </c>
      <c r="AY18">
        <v>0.442</v>
      </c>
      <c r="AZ18">
        <v>-0.39300000000000002</v>
      </c>
      <c r="BA18">
        <v>0.67</v>
      </c>
      <c r="BB18">
        <v>0.39300000000000002</v>
      </c>
      <c r="BC18">
        <v>0.65700000000000003</v>
      </c>
      <c r="BD18">
        <v>-0.40899999999999997</v>
      </c>
      <c r="BE18">
        <v>-0.23400000000000001</v>
      </c>
      <c r="BF18">
        <v>0.34</v>
      </c>
      <c r="BG18">
        <v>-4.3999999999999997E-2</v>
      </c>
      <c r="BH18">
        <v>0.29099999999999998</v>
      </c>
      <c r="BI18">
        <v>0.95799999999999996</v>
      </c>
      <c r="BJ18">
        <v>-0.47799999999999998</v>
      </c>
      <c r="BK18">
        <v>-8.8999999999999996E-2</v>
      </c>
      <c r="BL18">
        <v>0.20300000000000001</v>
      </c>
      <c r="BM18">
        <v>0.42599999999999999</v>
      </c>
    </row>
    <row r="19" spans="1:65" x14ac:dyDescent="0.3">
      <c r="A19" t="s">
        <v>204</v>
      </c>
      <c r="B19">
        <v>0</v>
      </c>
      <c r="C19">
        <v>0</v>
      </c>
      <c r="M19" t="s">
        <v>163</v>
      </c>
      <c r="N19">
        <v>2.64</v>
      </c>
      <c r="O19">
        <v>3.2669999999999999</v>
      </c>
      <c r="P19" t="s">
        <v>68</v>
      </c>
      <c r="Q19">
        <v>1.2999999999999999E-2</v>
      </c>
      <c r="R19">
        <v>1.2999999999999999E-2</v>
      </c>
      <c r="S19">
        <v>0.65441948251000004</v>
      </c>
      <c r="T19">
        <v>0.499</v>
      </c>
      <c r="U19">
        <v>0.28100000000000003</v>
      </c>
      <c r="V19">
        <v>0.11</v>
      </c>
      <c r="W19">
        <v>0.375</v>
      </c>
      <c r="X19">
        <v>0.126</v>
      </c>
      <c r="Y19">
        <v>0.67300000000000004</v>
      </c>
      <c r="Z19">
        <v>0.95299999999999996</v>
      </c>
      <c r="AA19">
        <v>0.191</v>
      </c>
      <c r="AB19">
        <v>0.70199999999999996</v>
      </c>
      <c r="AC19">
        <v>0.69699999999999995</v>
      </c>
      <c r="AD19">
        <v>0.90400000000000003</v>
      </c>
      <c r="AE19">
        <v>0.88800000000000001</v>
      </c>
      <c r="AF19">
        <v>0.84499999999999997</v>
      </c>
      <c r="AG19">
        <v>2.1999999999999999E-2</v>
      </c>
      <c r="AH19">
        <v>0.11600000000000001</v>
      </c>
      <c r="AI19">
        <v>-0.16500000000000001</v>
      </c>
      <c r="AJ19">
        <v>-0.34100000000000003</v>
      </c>
      <c r="AK19">
        <v>0.34599999999999997</v>
      </c>
      <c r="AL19">
        <v>6.0000000000000001E-3</v>
      </c>
      <c r="AM19">
        <v>-5.6000000000000001E-2</v>
      </c>
      <c r="AN19">
        <v>-0.23599999999999999</v>
      </c>
      <c r="AO19">
        <v>-0.61699999999999999</v>
      </c>
      <c r="AP19">
        <v>0.82499999999999996</v>
      </c>
      <c r="AQ19">
        <v>0.20899999999999999</v>
      </c>
      <c r="AR19">
        <v>-0.249</v>
      </c>
      <c r="AS19">
        <v>0.34</v>
      </c>
      <c r="AT19">
        <v>0.86399999999999999</v>
      </c>
      <c r="AU19">
        <v>0.25800000000000001</v>
      </c>
      <c r="AV19">
        <v>0.436</v>
      </c>
      <c r="AW19">
        <v>0.442</v>
      </c>
      <c r="AX19">
        <v>0.32500000000000001</v>
      </c>
      <c r="AY19">
        <v>0.39700000000000002</v>
      </c>
      <c r="AZ19">
        <v>4.3999999999999997E-2</v>
      </c>
      <c r="BA19">
        <v>0.38400000000000001</v>
      </c>
      <c r="BB19">
        <v>0.60699999999999998</v>
      </c>
      <c r="BC19">
        <v>0.46600000000000003</v>
      </c>
      <c r="BD19">
        <v>-0.29299999999999998</v>
      </c>
      <c r="BE19">
        <v>-0.375</v>
      </c>
      <c r="BF19">
        <v>0.39900000000000002</v>
      </c>
      <c r="BG19">
        <v>-0.373</v>
      </c>
      <c r="BH19">
        <v>-0.309</v>
      </c>
      <c r="BI19">
        <v>0.80800000000000005</v>
      </c>
      <c r="BJ19">
        <v>-0.48299999999999998</v>
      </c>
      <c r="BK19">
        <v>0.215</v>
      </c>
      <c r="BL19">
        <v>0.29499999999999998</v>
      </c>
      <c r="BM19">
        <v>4.7E-2</v>
      </c>
    </row>
    <row r="20" spans="1:65" x14ac:dyDescent="0.3">
      <c r="A20" t="s">
        <v>194</v>
      </c>
      <c r="B20">
        <v>0</v>
      </c>
      <c r="C20">
        <v>0</v>
      </c>
      <c r="M20" t="s">
        <v>130</v>
      </c>
      <c r="N20">
        <v>2.6240000000000001</v>
      </c>
      <c r="O20">
        <v>1.88</v>
      </c>
      <c r="P20" t="s">
        <v>71</v>
      </c>
      <c r="Q20">
        <v>5.0000000000000001E-3</v>
      </c>
      <c r="R20">
        <v>5.0000000000000001E-3</v>
      </c>
      <c r="S20">
        <v>2.1689231177566701</v>
      </c>
      <c r="T20">
        <v>0.33</v>
      </c>
      <c r="U20">
        <v>0.65800000000000003</v>
      </c>
      <c r="V20">
        <v>-0.46700000000000003</v>
      </c>
      <c r="W20">
        <v>0.58899999999999997</v>
      </c>
      <c r="X20">
        <v>0.20300000000000001</v>
      </c>
      <c r="Y20">
        <v>0.22700000000000001</v>
      </c>
      <c r="Z20">
        <v>-0.08</v>
      </c>
      <c r="AA20">
        <v>0.47</v>
      </c>
      <c r="AB20">
        <v>1</v>
      </c>
      <c r="AC20">
        <v>1</v>
      </c>
      <c r="AD20">
        <v>0.871</v>
      </c>
      <c r="AE20">
        <v>0.996</v>
      </c>
      <c r="AF20">
        <v>0.96599999999999997</v>
      </c>
      <c r="AG20">
        <v>-0.26500000000000001</v>
      </c>
      <c r="AH20">
        <v>-0.50800000000000001</v>
      </c>
      <c r="AI20">
        <v>1</v>
      </c>
      <c r="AJ20">
        <v>-0.754</v>
      </c>
      <c r="AK20">
        <v>4.1000000000000002E-2</v>
      </c>
      <c r="AL20">
        <v>-0.67800000000000005</v>
      </c>
      <c r="AM20">
        <v>0.10100000000000001</v>
      </c>
      <c r="AN20">
        <v>-0.54600000000000004</v>
      </c>
      <c r="AO20">
        <v>-0.20200000000000001</v>
      </c>
      <c r="AP20">
        <v>-0.54300000000000004</v>
      </c>
      <c r="AQ20">
        <v>0.83399999999999996</v>
      </c>
      <c r="AR20">
        <v>0.81100000000000005</v>
      </c>
      <c r="AS20">
        <v>0.495</v>
      </c>
      <c r="AT20">
        <v>0.92200000000000004</v>
      </c>
      <c r="AU20">
        <v>0.36299999999999999</v>
      </c>
      <c r="AV20">
        <v>0.95599999999999996</v>
      </c>
      <c r="AW20">
        <v>0.373</v>
      </c>
      <c r="AX20">
        <v>0.83499999999999996</v>
      </c>
      <c r="AY20">
        <v>4.5999999999999999E-2</v>
      </c>
      <c r="AZ20">
        <v>0.16700000000000001</v>
      </c>
      <c r="BA20">
        <v>-0.35299999999999998</v>
      </c>
      <c r="BB20">
        <v>0.14099999999999999</v>
      </c>
      <c r="BC20">
        <v>0.65700000000000003</v>
      </c>
      <c r="BD20">
        <v>-0.28199999999999997</v>
      </c>
      <c r="BE20">
        <v>0.33</v>
      </c>
      <c r="BF20">
        <v>0.64600000000000002</v>
      </c>
      <c r="BG20">
        <v>1</v>
      </c>
      <c r="BH20">
        <v>-0.36399999999999999</v>
      </c>
      <c r="BI20">
        <v>-0.78600000000000003</v>
      </c>
      <c r="BJ20">
        <v>-1</v>
      </c>
      <c r="BK20">
        <v>0.36099999999999999</v>
      </c>
      <c r="BL20">
        <v>-1.9E-2</v>
      </c>
      <c r="BM20">
        <v>-0.45500000000000002</v>
      </c>
    </row>
    <row r="21" spans="1:65" x14ac:dyDescent="0.3">
      <c r="A21" t="s">
        <v>169</v>
      </c>
      <c r="B21">
        <v>0</v>
      </c>
      <c r="C21">
        <v>0</v>
      </c>
      <c r="M21" t="s">
        <v>82</v>
      </c>
      <c r="N21">
        <v>2.61</v>
      </c>
      <c r="O21">
        <v>4.2750000000000004</v>
      </c>
      <c r="P21" t="s">
        <v>71</v>
      </c>
      <c r="Q21">
        <v>0.03</v>
      </c>
      <c r="R21">
        <v>0.02</v>
      </c>
      <c r="S21">
        <v>2.4517012629999999</v>
      </c>
      <c r="T21">
        <v>-0.11700000000000001</v>
      </c>
      <c r="U21">
        <v>0.40799999999999997</v>
      </c>
      <c r="V21">
        <v>-0.56599999999999995</v>
      </c>
      <c r="W21">
        <v>0.127</v>
      </c>
      <c r="X21">
        <v>5.5E-2</v>
      </c>
      <c r="Y21">
        <v>0.433</v>
      </c>
      <c r="Z21">
        <v>0.59299999999999997</v>
      </c>
      <c r="AA21">
        <v>0.84799999999999998</v>
      </c>
      <c r="AB21">
        <v>0.81299999999999994</v>
      </c>
      <c r="AC21">
        <v>0.80900000000000005</v>
      </c>
      <c r="AD21">
        <v>0.86499999999999999</v>
      </c>
      <c r="AE21">
        <v>0.76700000000000002</v>
      </c>
      <c r="AF21">
        <v>0.93899999999999995</v>
      </c>
      <c r="AG21">
        <v>-0.158</v>
      </c>
      <c r="AH21">
        <v>-0.60499999999999998</v>
      </c>
      <c r="AI21">
        <v>0.57399999999999995</v>
      </c>
      <c r="AJ21">
        <v>-0.65</v>
      </c>
      <c r="AK21">
        <v>0.29799999999999999</v>
      </c>
      <c r="AL21">
        <v>-0.49099999999999999</v>
      </c>
      <c r="AM21">
        <v>-0.30599999999999999</v>
      </c>
      <c r="AN21">
        <v>0.621</v>
      </c>
      <c r="AO21">
        <v>-0.439</v>
      </c>
      <c r="AP21">
        <v>-0.49099999999999999</v>
      </c>
      <c r="AQ21">
        <v>0.871</v>
      </c>
      <c r="AR21">
        <v>0.22500000000000001</v>
      </c>
      <c r="AS21">
        <v>-0.77200000000000002</v>
      </c>
      <c r="AT21">
        <v>0.68600000000000005</v>
      </c>
      <c r="AU21">
        <v>0.40300000000000002</v>
      </c>
      <c r="AV21">
        <v>4.3999999999999997E-2</v>
      </c>
      <c r="AW21">
        <v>0.12</v>
      </c>
      <c r="AX21">
        <v>0.11899999999999999</v>
      </c>
      <c r="AY21">
        <v>0.56299999999999994</v>
      </c>
      <c r="AZ21">
        <v>0.02</v>
      </c>
      <c r="BA21">
        <v>0.55300000000000005</v>
      </c>
      <c r="BB21">
        <v>-0.78700000000000003</v>
      </c>
      <c r="BC21">
        <v>0.34100000000000003</v>
      </c>
      <c r="BD21">
        <v>-9.0999999999999998E-2</v>
      </c>
      <c r="BE21">
        <v>0.377</v>
      </c>
      <c r="BF21">
        <v>0.60199999999999998</v>
      </c>
      <c r="BG21">
        <v>-0.32700000000000001</v>
      </c>
      <c r="BH21">
        <v>0.33500000000000002</v>
      </c>
      <c r="BI21">
        <v>0.67300000000000004</v>
      </c>
      <c r="BJ21">
        <v>-0.40300000000000002</v>
      </c>
      <c r="BK21">
        <v>-0.36</v>
      </c>
      <c r="BL21">
        <v>-0.27700000000000002</v>
      </c>
      <c r="BM21">
        <v>9.6000000000000002E-2</v>
      </c>
    </row>
    <row r="22" spans="1:65" x14ac:dyDescent="0.3">
      <c r="A22" t="s">
        <v>100</v>
      </c>
      <c r="B22">
        <v>8.0542925759942603E-3</v>
      </c>
      <c r="C22">
        <v>6.9385016912247403E-3</v>
      </c>
      <c r="M22" t="s">
        <v>167</v>
      </c>
      <c r="N22">
        <v>2.6019999999999999</v>
      </c>
      <c r="O22">
        <v>2.2559999999999998</v>
      </c>
      <c r="P22" t="s">
        <v>57</v>
      </c>
      <c r="Q22">
        <v>8.0000000000000002E-3</v>
      </c>
      <c r="R22">
        <v>8.0000000000000002E-3</v>
      </c>
      <c r="S22">
        <v>0.73880355937333297</v>
      </c>
      <c r="T22">
        <v>0.71299999999999997</v>
      </c>
      <c r="U22">
        <v>0.61099999999999999</v>
      </c>
      <c r="V22">
        <v>0.23200000000000001</v>
      </c>
      <c r="W22">
        <v>0.68300000000000005</v>
      </c>
      <c r="X22">
        <v>0.433</v>
      </c>
      <c r="Y22">
        <v>0.27500000000000002</v>
      </c>
      <c r="Z22">
        <v>-7.0000000000000001E-3</v>
      </c>
      <c r="AA22">
        <v>0.34300000000000003</v>
      </c>
      <c r="AB22">
        <v>0.23300000000000001</v>
      </c>
      <c r="AC22">
        <v>0.23599999999999999</v>
      </c>
      <c r="AD22">
        <v>0.99399999999999999</v>
      </c>
      <c r="AE22">
        <v>0.89</v>
      </c>
      <c r="AF22">
        <v>0.877</v>
      </c>
      <c r="AG22">
        <v>0.83399999999999996</v>
      </c>
      <c r="AH22">
        <v>-0.13900000000000001</v>
      </c>
      <c r="AI22">
        <v>0.11600000000000001</v>
      </c>
      <c r="AJ22">
        <v>-0.40100000000000002</v>
      </c>
      <c r="AK22">
        <v>0.13900000000000001</v>
      </c>
      <c r="AL22">
        <v>0.27800000000000002</v>
      </c>
      <c r="AM22">
        <v>0.113</v>
      </c>
      <c r="AN22">
        <v>-0.28799999999999998</v>
      </c>
      <c r="AO22">
        <v>-0.69799999999999995</v>
      </c>
      <c r="AP22">
        <v>0.72099999999999997</v>
      </c>
      <c r="AQ22">
        <v>0.29199999999999998</v>
      </c>
      <c r="AR22">
        <v>0.79100000000000004</v>
      </c>
      <c r="AS22">
        <v>7.5999999999999998E-2</v>
      </c>
      <c r="AT22">
        <v>0.81499999999999995</v>
      </c>
      <c r="AU22">
        <v>0.80400000000000005</v>
      </c>
      <c r="AV22">
        <v>0.59399999999999997</v>
      </c>
      <c r="AW22">
        <v>-0.22900000000000001</v>
      </c>
      <c r="AX22">
        <v>0.84199999999999997</v>
      </c>
      <c r="AY22">
        <v>0.182</v>
      </c>
      <c r="AZ22">
        <v>0.495</v>
      </c>
      <c r="BA22">
        <v>0.755</v>
      </c>
      <c r="BB22">
        <v>-0.27100000000000002</v>
      </c>
      <c r="BC22">
        <v>0.61799999999999999</v>
      </c>
      <c r="BD22">
        <v>8.6999999999999994E-2</v>
      </c>
      <c r="BE22">
        <v>0.41299999999999998</v>
      </c>
      <c r="BF22">
        <v>0.44400000000000001</v>
      </c>
      <c r="BG22">
        <v>-0.99399999999999999</v>
      </c>
      <c r="BH22">
        <v>-1</v>
      </c>
      <c r="BI22">
        <v>-0.44700000000000001</v>
      </c>
      <c r="BJ22">
        <v>0.16500000000000001</v>
      </c>
      <c r="BK22">
        <v>3.7999999999999999E-2</v>
      </c>
      <c r="BL22">
        <v>2.5000000000000001E-2</v>
      </c>
      <c r="BM22">
        <v>-0.151</v>
      </c>
    </row>
    <row r="23" spans="1:65" x14ac:dyDescent="0.3">
      <c r="A23" t="s">
        <v>175</v>
      </c>
      <c r="B23">
        <v>0</v>
      </c>
      <c r="C23">
        <v>0</v>
      </c>
      <c r="M23" t="s">
        <v>137</v>
      </c>
      <c r="N23">
        <v>2.593</v>
      </c>
      <c r="O23">
        <v>1.8720000000000001</v>
      </c>
      <c r="P23" t="s">
        <v>57</v>
      </c>
      <c r="Q23">
        <v>5.0000000000000001E-3</v>
      </c>
      <c r="R23">
        <v>5.0000000000000001E-3</v>
      </c>
      <c r="S23">
        <v>0.21056898030000001</v>
      </c>
      <c r="T23">
        <v>0.79900000000000004</v>
      </c>
      <c r="U23">
        <v>0.628</v>
      </c>
      <c r="V23">
        <v>0.58799999999999997</v>
      </c>
      <c r="W23">
        <v>0.72499999999999998</v>
      </c>
      <c r="X23">
        <v>0.60099999999999998</v>
      </c>
      <c r="Y23">
        <v>0.41299999999999998</v>
      </c>
      <c r="Z23">
        <v>0.161</v>
      </c>
      <c r="AA23">
        <v>0.16400000000000001</v>
      </c>
      <c r="AB23">
        <v>0.2</v>
      </c>
      <c r="AC23">
        <v>0.2</v>
      </c>
      <c r="AD23">
        <v>0.82199999999999995</v>
      </c>
      <c r="AE23">
        <v>0.58299999999999996</v>
      </c>
      <c r="AF23">
        <v>0.88800000000000001</v>
      </c>
      <c r="AG23">
        <v>0.877</v>
      </c>
      <c r="AH23">
        <v>0.45700000000000002</v>
      </c>
      <c r="AI23">
        <v>0.33700000000000002</v>
      </c>
      <c r="AJ23">
        <v>-3.4000000000000002E-2</v>
      </c>
      <c r="AK23">
        <v>1</v>
      </c>
      <c r="AL23">
        <v>1</v>
      </c>
      <c r="AM23">
        <v>0.184</v>
      </c>
      <c r="AN23">
        <v>-0.76</v>
      </c>
      <c r="AO23">
        <v>-0.52800000000000002</v>
      </c>
      <c r="AP23">
        <v>0.45700000000000002</v>
      </c>
      <c r="AQ23">
        <v>0.25</v>
      </c>
      <c r="AR23">
        <v>0.47199999999999998</v>
      </c>
      <c r="AS23">
        <v>0.47199999999999998</v>
      </c>
      <c r="AT23">
        <v>0.55900000000000005</v>
      </c>
      <c r="AU23">
        <v>3.7999999999999999E-2</v>
      </c>
      <c r="AV23">
        <v>0.45900000000000002</v>
      </c>
      <c r="AW23">
        <v>0.08</v>
      </c>
      <c r="AX23">
        <v>0.998</v>
      </c>
      <c r="AY23">
        <v>-0.629</v>
      </c>
      <c r="AZ23">
        <v>2E-3</v>
      </c>
      <c r="BA23">
        <v>0.747</v>
      </c>
      <c r="BB23">
        <v>0.52500000000000002</v>
      </c>
      <c r="BC23">
        <v>0.27300000000000002</v>
      </c>
      <c r="BD23">
        <v>-8.0000000000000002E-3</v>
      </c>
      <c r="BE23">
        <v>4.9000000000000002E-2</v>
      </c>
      <c r="BF23">
        <v>0.52600000000000002</v>
      </c>
      <c r="BG23">
        <v>-0.13500000000000001</v>
      </c>
      <c r="BH23">
        <v>0.54400000000000004</v>
      </c>
      <c r="BI23">
        <v>0.223</v>
      </c>
      <c r="BJ23">
        <v>-0.623</v>
      </c>
      <c r="BK23">
        <v>0.27300000000000002</v>
      </c>
      <c r="BL23">
        <v>-4.9000000000000002E-2</v>
      </c>
      <c r="BM23">
        <v>0.54700000000000004</v>
      </c>
    </row>
    <row r="24" spans="1:65" x14ac:dyDescent="0.3">
      <c r="A24" t="s">
        <v>193</v>
      </c>
      <c r="B24">
        <v>0</v>
      </c>
      <c r="C24">
        <v>0</v>
      </c>
      <c r="M24" t="s">
        <v>136</v>
      </c>
      <c r="N24">
        <v>2.5590000000000002</v>
      </c>
      <c r="O24">
        <v>4.95</v>
      </c>
      <c r="P24" t="s">
        <v>71</v>
      </c>
      <c r="Q24">
        <v>3.5999999999999997E-2</v>
      </c>
      <c r="R24">
        <v>-2.7E-2</v>
      </c>
      <c r="S24">
        <v>5.4235721787033304</v>
      </c>
      <c r="T24">
        <v>-0.29399999999999998</v>
      </c>
      <c r="U24">
        <v>0.28000000000000003</v>
      </c>
      <c r="V24">
        <v>-0.85299999999999998</v>
      </c>
      <c r="W24">
        <v>0.315</v>
      </c>
      <c r="X24">
        <v>-0.04</v>
      </c>
      <c r="Y24">
        <v>0.44700000000000001</v>
      </c>
      <c r="Z24">
        <v>0.53100000000000003</v>
      </c>
      <c r="AA24">
        <v>1</v>
      </c>
      <c r="AB24">
        <v>1</v>
      </c>
      <c r="AC24">
        <v>1</v>
      </c>
      <c r="AD24">
        <v>0.56100000000000005</v>
      </c>
      <c r="AE24">
        <v>0.73</v>
      </c>
      <c r="AF24">
        <v>0.88900000000000001</v>
      </c>
      <c r="AG24">
        <v>-1.7999999999999999E-2</v>
      </c>
      <c r="AH24">
        <v>-0.745</v>
      </c>
      <c r="AI24">
        <v>1</v>
      </c>
      <c r="AJ24">
        <v>-0.93500000000000005</v>
      </c>
      <c r="AK24">
        <v>-0.54400000000000004</v>
      </c>
      <c r="AL24">
        <v>-0.92200000000000004</v>
      </c>
      <c r="AM24">
        <v>0.151</v>
      </c>
      <c r="AN24">
        <v>0.432</v>
      </c>
      <c r="AO24">
        <v>-0.54200000000000004</v>
      </c>
      <c r="AP24">
        <v>-0.64700000000000002</v>
      </c>
      <c r="AQ24">
        <v>0.94399999999999995</v>
      </c>
      <c r="AR24">
        <v>1</v>
      </c>
      <c r="AS24">
        <v>-0.33500000000000002</v>
      </c>
      <c r="AT24">
        <v>0.14499999999999999</v>
      </c>
      <c r="AU24">
        <v>3.5000000000000003E-2</v>
      </c>
      <c r="AV24">
        <v>0.41199999999999998</v>
      </c>
      <c r="AW24">
        <v>0.26900000000000002</v>
      </c>
      <c r="AX24">
        <v>0.23</v>
      </c>
      <c r="AY24">
        <v>0.503</v>
      </c>
      <c r="AZ24">
        <v>-0.21199999999999999</v>
      </c>
      <c r="BA24">
        <v>0.74299999999999999</v>
      </c>
      <c r="BB24">
        <v>0.38900000000000001</v>
      </c>
      <c r="BC24">
        <v>0.39100000000000001</v>
      </c>
      <c r="BD24">
        <v>-0.151</v>
      </c>
      <c r="BE24">
        <v>-0.21299999999999999</v>
      </c>
      <c r="BF24">
        <v>0.60099999999999998</v>
      </c>
      <c r="BG24">
        <v>-0.67900000000000005</v>
      </c>
      <c r="BH24">
        <v>0.29299999999999998</v>
      </c>
      <c r="BI24">
        <v>0.39200000000000002</v>
      </c>
      <c r="BJ24">
        <v>-0.90700000000000003</v>
      </c>
      <c r="BK24">
        <v>-1</v>
      </c>
      <c r="BL24">
        <v>-0.247</v>
      </c>
      <c r="BM24">
        <v>-0.89800000000000002</v>
      </c>
    </row>
    <row r="25" spans="1:65" x14ac:dyDescent="0.3">
      <c r="A25" t="s">
        <v>259</v>
      </c>
      <c r="B25">
        <v>0</v>
      </c>
      <c r="C25">
        <v>0</v>
      </c>
      <c r="M25" t="s">
        <v>84</v>
      </c>
      <c r="N25">
        <v>2.5230000000000001</v>
      </c>
      <c r="O25">
        <v>1.9670000000000001</v>
      </c>
      <c r="P25" t="s">
        <v>57</v>
      </c>
      <c r="Q25">
        <v>0.01</v>
      </c>
      <c r="R25">
        <v>8.0000000000000002E-3</v>
      </c>
      <c r="S25">
        <v>0.57550352491333301</v>
      </c>
      <c r="T25">
        <v>0.32600000000000001</v>
      </c>
      <c r="U25">
        <v>0.39200000000000002</v>
      </c>
      <c r="V25">
        <v>0.23499999999999999</v>
      </c>
      <c r="W25">
        <v>0.47599999999999998</v>
      </c>
      <c r="X25">
        <v>0.39900000000000002</v>
      </c>
      <c r="Y25">
        <v>0.13800000000000001</v>
      </c>
      <c r="Z25">
        <v>-4.8000000000000001E-2</v>
      </c>
      <c r="AA25">
        <v>0.49299999999999999</v>
      </c>
      <c r="AB25">
        <v>0.47299999999999998</v>
      </c>
      <c r="AC25">
        <v>0.47</v>
      </c>
      <c r="AD25">
        <v>0.88400000000000001</v>
      </c>
      <c r="AE25">
        <v>0.92400000000000004</v>
      </c>
      <c r="AF25">
        <v>0.94599999999999995</v>
      </c>
      <c r="AG25">
        <v>-0.17499999999999999</v>
      </c>
      <c r="AH25">
        <v>0.65700000000000003</v>
      </c>
      <c r="AI25">
        <v>0.65500000000000003</v>
      </c>
      <c r="AJ25">
        <v>-0.40300000000000002</v>
      </c>
      <c r="AK25">
        <v>1</v>
      </c>
      <c r="AL25">
        <v>0.65300000000000002</v>
      </c>
      <c r="AM25">
        <v>-0.112</v>
      </c>
      <c r="AN25">
        <v>-7.0000000000000007E-2</v>
      </c>
      <c r="AO25">
        <v>-0.40699999999999997</v>
      </c>
      <c r="AP25">
        <v>5.8000000000000003E-2</v>
      </c>
      <c r="AQ25">
        <v>0.54300000000000004</v>
      </c>
      <c r="AR25">
        <v>0.46600000000000003</v>
      </c>
      <c r="AS25">
        <v>0.99199999999999999</v>
      </c>
      <c r="AT25">
        <v>0.51200000000000001</v>
      </c>
      <c r="AU25">
        <v>-0.16300000000000001</v>
      </c>
      <c r="AV25">
        <v>0.192</v>
      </c>
      <c r="AW25">
        <v>-0.23200000000000001</v>
      </c>
      <c r="AX25">
        <v>8.5000000000000006E-2</v>
      </c>
      <c r="AY25">
        <v>0.36399999999999999</v>
      </c>
      <c r="AZ25">
        <v>-0.14099999999999999</v>
      </c>
      <c r="BA25">
        <v>0.47599999999999998</v>
      </c>
      <c r="BB25">
        <v>0.44400000000000001</v>
      </c>
      <c r="BC25">
        <v>0.33300000000000002</v>
      </c>
      <c r="BD25">
        <v>-0.502</v>
      </c>
      <c r="BE25">
        <v>-2.3E-2</v>
      </c>
      <c r="BF25">
        <v>-0.60299999999999998</v>
      </c>
      <c r="BG25">
        <v>-0.496</v>
      </c>
      <c r="BH25">
        <v>0.188</v>
      </c>
      <c r="BI25">
        <v>-0.108</v>
      </c>
      <c r="BJ25">
        <v>-1</v>
      </c>
      <c r="BK25">
        <v>-0.20399999999999999</v>
      </c>
      <c r="BL25">
        <v>0.437</v>
      </c>
      <c r="BM25">
        <v>0.63800000000000001</v>
      </c>
    </row>
    <row r="26" spans="1:65" x14ac:dyDescent="0.3">
      <c r="A26" t="s">
        <v>127</v>
      </c>
      <c r="B26">
        <v>7.4181983674764598E-3</v>
      </c>
      <c r="C26">
        <v>7.9062649291413607E-3</v>
      </c>
      <c r="M26" t="s">
        <v>90</v>
      </c>
      <c r="N26">
        <v>2.5179999999999998</v>
      </c>
      <c r="O26">
        <v>2.9670000000000001</v>
      </c>
      <c r="P26" t="s">
        <v>68</v>
      </c>
      <c r="Q26">
        <v>0.01</v>
      </c>
      <c r="R26">
        <v>3.0000000000000001E-3</v>
      </c>
      <c r="S26">
        <v>0.63941919220666699</v>
      </c>
      <c r="T26">
        <v>0.34</v>
      </c>
      <c r="U26">
        <v>-0.216</v>
      </c>
      <c r="V26">
        <v>-7.0000000000000001E-3</v>
      </c>
      <c r="W26">
        <v>0.64300000000000002</v>
      </c>
      <c r="X26">
        <v>0.16800000000000001</v>
      </c>
      <c r="Y26">
        <v>0.67900000000000005</v>
      </c>
      <c r="Z26">
        <v>0.75700000000000001</v>
      </c>
      <c r="AA26">
        <v>0.58099999999999996</v>
      </c>
      <c r="AB26">
        <v>0.311</v>
      </c>
      <c r="AC26">
        <v>0.313</v>
      </c>
      <c r="AD26">
        <v>0.79800000000000004</v>
      </c>
      <c r="AE26">
        <v>0.77900000000000003</v>
      </c>
      <c r="AF26">
        <v>0.69299999999999995</v>
      </c>
      <c r="AG26">
        <v>1</v>
      </c>
      <c r="AH26">
        <v>0.57499999999999996</v>
      </c>
      <c r="AI26">
        <v>-0.214</v>
      </c>
      <c r="AJ26">
        <v>-0.45900000000000002</v>
      </c>
      <c r="AK26">
        <v>-0.30599999999999999</v>
      </c>
      <c r="AL26">
        <v>8.7999999999999995E-2</v>
      </c>
      <c r="AM26">
        <v>-3.5000000000000003E-2</v>
      </c>
      <c r="AN26">
        <v>0.433</v>
      </c>
      <c r="AO26">
        <v>-0.68500000000000005</v>
      </c>
      <c r="AP26">
        <v>0.42799999999999999</v>
      </c>
      <c r="AQ26">
        <v>5.7000000000000002E-2</v>
      </c>
      <c r="AR26">
        <v>0.312</v>
      </c>
      <c r="AS26">
        <v>0.59899999999999998</v>
      </c>
      <c r="AT26">
        <v>0.28299999999999997</v>
      </c>
      <c r="AU26">
        <v>-0.498</v>
      </c>
      <c r="AV26">
        <v>0.61399999999999999</v>
      </c>
      <c r="AW26">
        <v>-0.33700000000000002</v>
      </c>
      <c r="AX26">
        <v>0.63900000000000001</v>
      </c>
      <c r="AY26">
        <v>0.41399999999999998</v>
      </c>
      <c r="AZ26">
        <v>0.114</v>
      </c>
      <c r="BA26">
        <v>0.84299999999999997</v>
      </c>
      <c r="BB26">
        <v>0.56100000000000005</v>
      </c>
      <c r="BC26">
        <v>0.44800000000000001</v>
      </c>
      <c r="BD26">
        <v>-0.159</v>
      </c>
      <c r="BE26">
        <v>-0.188</v>
      </c>
      <c r="BF26">
        <v>0.3</v>
      </c>
      <c r="BG26">
        <v>-0.187</v>
      </c>
      <c r="BH26">
        <v>2.7E-2</v>
      </c>
      <c r="BI26">
        <v>0.58799999999999997</v>
      </c>
      <c r="BJ26">
        <v>-0.85399999999999998</v>
      </c>
      <c r="BK26">
        <v>0.34599999999999997</v>
      </c>
      <c r="BL26">
        <v>-0.38200000000000001</v>
      </c>
      <c r="BM26">
        <v>-0.151</v>
      </c>
    </row>
    <row r="27" spans="1:65" x14ac:dyDescent="0.3">
      <c r="A27" t="s">
        <v>173</v>
      </c>
      <c r="B27">
        <v>0</v>
      </c>
      <c r="C27">
        <v>0</v>
      </c>
      <c r="M27" t="s">
        <v>146</v>
      </c>
      <c r="N27">
        <v>2.4710000000000001</v>
      </c>
      <c r="O27">
        <v>4.3869999999999996</v>
      </c>
      <c r="P27" t="s">
        <v>71</v>
      </c>
      <c r="Q27">
        <v>3.5000000000000003E-2</v>
      </c>
      <c r="R27">
        <v>-1.2999999999999999E-2</v>
      </c>
      <c r="S27">
        <v>5.3246973420366697</v>
      </c>
      <c r="T27">
        <v>-0.308</v>
      </c>
      <c r="U27">
        <v>0.26300000000000001</v>
      </c>
      <c r="V27">
        <v>-0.84799999999999998</v>
      </c>
      <c r="W27">
        <v>0.26500000000000001</v>
      </c>
      <c r="X27">
        <v>-6.7000000000000004E-2</v>
      </c>
      <c r="Y27">
        <v>0.35799999999999998</v>
      </c>
      <c r="Z27">
        <v>0.39600000000000002</v>
      </c>
      <c r="AA27">
        <v>0.94599999999999995</v>
      </c>
      <c r="AB27">
        <v>1</v>
      </c>
      <c r="AC27">
        <v>1</v>
      </c>
      <c r="AD27">
        <v>0.59599999999999997</v>
      </c>
      <c r="AE27">
        <v>0.75600000000000001</v>
      </c>
      <c r="AF27">
        <v>0.88500000000000001</v>
      </c>
      <c r="AG27">
        <v>-8.8999999999999996E-2</v>
      </c>
      <c r="AH27">
        <v>-0.77100000000000002</v>
      </c>
      <c r="AI27">
        <v>1</v>
      </c>
      <c r="AJ27">
        <v>-0.94399999999999995</v>
      </c>
      <c r="AK27">
        <v>-0.56799999999999995</v>
      </c>
      <c r="AL27">
        <v>-0.92600000000000005</v>
      </c>
      <c r="AM27">
        <v>0.151</v>
      </c>
      <c r="AN27">
        <v>0.35699999999999998</v>
      </c>
      <c r="AO27">
        <v>-0.54200000000000004</v>
      </c>
      <c r="AP27">
        <v>-0.65800000000000003</v>
      </c>
      <c r="AQ27">
        <v>0.93500000000000005</v>
      </c>
      <c r="AR27">
        <v>1</v>
      </c>
      <c r="AS27">
        <v>-0.33500000000000002</v>
      </c>
      <c r="AT27">
        <v>0.14499999999999999</v>
      </c>
      <c r="AU27">
        <v>3.5000000000000003E-2</v>
      </c>
      <c r="AV27">
        <v>0.41199999999999998</v>
      </c>
      <c r="AW27">
        <v>0.26900000000000002</v>
      </c>
      <c r="AX27">
        <v>0.223</v>
      </c>
      <c r="AY27">
        <v>0.40899999999999997</v>
      </c>
      <c r="AZ27">
        <v>-0.21199999999999999</v>
      </c>
      <c r="BA27">
        <v>0.74299999999999999</v>
      </c>
      <c r="BB27">
        <v>0.438</v>
      </c>
      <c r="BC27">
        <v>0.498</v>
      </c>
      <c r="BD27">
        <v>-0.151</v>
      </c>
      <c r="BE27">
        <v>-0.21299999999999999</v>
      </c>
      <c r="BF27">
        <v>0.624</v>
      </c>
      <c r="BG27">
        <v>-0.70499999999999996</v>
      </c>
      <c r="BH27">
        <v>0.311</v>
      </c>
      <c r="BI27">
        <v>0.27</v>
      </c>
      <c r="BJ27">
        <v>-0.89300000000000002</v>
      </c>
      <c r="BK27">
        <v>-1</v>
      </c>
      <c r="BL27">
        <v>-8.5000000000000006E-2</v>
      </c>
      <c r="BM27">
        <v>-0.89800000000000002</v>
      </c>
    </row>
    <row r="28" spans="1:65" x14ac:dyDescent="0.3">
      <c r="A28" t="s">
        <v>241</v>
      </c>
      <c r="B28">
        <v>0</v>
      </c>
      <c r="C28">
        <v>0</v>
      </c>
      <c r="M28" t="s">
        <v>77</v>
      </c>
      <c r="N28">
        <v>2.4249999999999998</v>
      </c>
      <c r="O28">
        <v>1.851</v>
      </c>
      <c r="P28" t="s">
        <v>57</v>
      </c>
      <c r="Q28">
        <v>6.0000000000000001E-3</v>
      </c>
      <c r="R28">
        <v>6.0000000000000001E-3</v>
      </c>
      <c r="S28">
        <v>0.39684438996999999</v>
      </c>
      <c r="T28">
        <v>0.69099999999999995</v>
      </c>
      <c r="U28">
        <v>-1.4E-2</v>
      </c>
      <c r="V28">
        <v>0.99</v>
      </c>
      <c r="W28">
        <v>0.68799999999999994</v>
      </c>
      <c r="X28">
        <v>0.60299999999999998</v>
      </c>
      <c r="Y28">
        <v>0.48699999999999999</v>
      </c>
      <c r="Z28">
        <v>0.433</v>
      </c>
      <c r="AA28">
        <v>0.112</v>
      </c>
      <c r="AB28">
        <v>0.14899999999999999</v>
      </c>
      <c r="AC28">
        <v>0.14799999999999999</v>
      </c>
      <c r="AD28">
        <v>0.90500000000000003</v>
      </c>
      <c r="AE28">
        <v>0.70099999999999996</v>
      </c>
      <c r="AF28">
        <v>0.64300000000000002</v>
      </c>
      <c r="AG28">
        <v>1</v>
      </c>
      <c r="AH28">
        <v>1</v>
      </c>
      <c r="AI28">
        <v>-0.46100000000000002</v>
      </c>
      <c r="AJ28">
        <v>0.72799999999999998</v>
      </c>
      <c r="AK28">
        <v>-0.22800000000000001</v>
      </c>
      <c r="AL28">
        <v>1</v>
      </c>
      <c r="AM28">
        <v>0.63300000000000001</v>
      </c>
      <c r="AN28">
        <v>0.309</v>
      </c>
      <c r="AO28">
        <v>-0.39200000000000002</v>
      </c>
      <c r="AP28">
        <v>0.60899999999999999</v>
      </c>
      <c r="AQ28">
        <v>-0.624</v>
      </c>
      <c r="AR28">
        <v>-0.60399999999999998</v>
      </c>
      <c r="AS28">
        <v>0.73399999999999999</v>
      </c>
      <c r="AT28">
        <v>2.1000000000000001E-2</v>
      </c>
      <c r="AU28">
        <v>-0.56699999999999995</v>
      </c>
      <c r="AV28">
        <v>0.41</v>
      </c>
      <c r="AW28">
        <v>0.08</v>
      </c>
      <c r="AX28">
        <v>0.89700000000000002</v>
      </c>
      <c r="AY28">
        <v>-0.28599999999999998</v>
      </c>
      <c r="AZ28">
        <v>0.03</v>
      </c>
      <c r="BA28">
        <v>0.74399999999999999</v>
      </c>
      <c r="BB28">
        <v>0.218</v>
      </c>
      <c r="BC28">
        <v>0.45</v>
      </c>
      <c r="BD28">
        <v>9.8000000000000004E-2</v>
      </c>
      <c r="BE28">
        <v>0.17100000000000001</v>
      </c>
      <c r="BF28">
        <v>0.26800000000000002</v>
      </c>
      <c r="BG28">
        <v>1</v>
      </c>
      <c r="BH28">
        <v>1</v>
      </c>
      <c r="BI28">
        <v>5.6000000000000001E-2</v>
      </c>
      <c r="BJ28">
        <v>-0.29499999999999998</v>
      </c>
      <c r="BK28">
        <v>0.28499999999999998</v>
      </c>
      <c r="BL28">
        <v>0.73399999999999999</v>
      </c>
      <c r="BM28">
        <v>0.55700000000000005</v>
      </c>
    </row>
    <row r="29" spans="1:65" x14ac:dyDescent="0.3">
      <c r="A29" t="s">
        <v>123</v>
      </c>
      <c r="B29">
        <v>6.7490130395767602E-3</v>
      </c>
      <c r="C29">
        <v>0</v>
      </c>
      <c r="M29" t="s">
        <v>101</v>
      </c>
      <c r="N29">
        <v>2.3660000000000001</v>
      </c>
      <c r="O29">
        <v>2.5510000000000002</v>
      </c>
      <c r="P29" t="s">
        <v>71</v>
      </c>
      <c r="Q29">
        <v>1.2E-2</v>
      </c>
      <c r="R29">
        <v>1.2E-2</v>
      </c>
      <c r="S29">
        <v>3.23971833133333E-2</v>
      </c>
      <c r="T29">
        <v>0.33100000000000002</v>
      </c>
      <c r="U29">
        <v>0.40899999999999997</v>
      </c>
      <c r="V29">
        <v>-0.13100000000000001</v>
      </c>
      <c r="W29">
        <v>0.32400000000000001</v>
      </c>
      <c r="X29">
        <v>0.11899999999999999</v>
      </c>
      <c r="Y29">
        <v>0.48399999999999999</v>
      </c>
      <c r="Z29">
        <v>0.35</v>
      </c>
      <c r="AA29">
        <v>6.2E-2</v>
      </c>
      <c r="AB29">
        <v>0.72299999999999998</v>
      </c>
      <c r="AC29">
        <v>0.71799999999999997</v>
      </c>
      <c r="AD29">
        <v>0.75</v>
      </c>
      <c r="AE29">
        <v>0.86</v>
      </c>
      <c r="AF29">
        <v>0.99099999999999999</v>
      </c>
      <c r="AG29">
        <v>-0.318</v>
      </c>
      <c r="AH29">
        <v>-8.4000000000000005E-2</v>
      </c>
      <c r="AI29">
        <v>0.57399999999999995</v>
      </c>
      <c r="AJ29">
        <v>-0.499</v>
      </c>
      <c r="AK29">
        <v>1</v>
      </c>
      <c r="AL29">
        <v>0.28999999999999998</v>
      </c>
      <c r="AM29">
        <v>-0.30499999999999999</v>
      </c>
      <c r="AN29">
        <v>-0.94299999999999995</v>
      </c>
      <c r="AO29">
        <v>-0.72199999999999998</v>
      </c>
      <c r="AP29">
        <v>0.55600000000000005</v>
      </c>
      <c r="AQ29">
        <v>0.76500000000000001</v>
      </c>
      <c r="AR29">
        <v>0.74</v>
      </c>
      <c r="AS29">
        <v>0.81299999999999994</v>
      </c>
      <c r="AT29">
        <v>0.69599999999999995</v>
      </c>
      <c r="AU29">
        <v>0.12</v>
      </c>
      <c r="AV29">
        <v>0.191</v>
      </c>
      <c r="AW29">
        <v>-0.28899999999999998</v>
      </c>
      <c r="AX29">
        <v>0.54600000000000004</v>
      </c>
      <c r="AY29">
        <v>0.503</v>
      </c>
      <c r="AZ29">
        <v>-0.16300000000000001</v>
      </c>
      <c r="BA29">
        <v>0.67100000000000004</v>
      </c>
      <c r="BB29">
        <v>-0.49</v>
      </c>
      <c r="BC29">
        <v>0.96599999999999997</v>
      </c>
      <c r="BD29">
        <v>-0.371</v>
      </c>
      <c r="BE29">
        <v>-0.73</v>
      </c>
      <c r="BF29">
        <v>0.54600000000000004</v>
      </c>
      <c r="BG29">
        <v>-0.59299999999999997</v>
      </c>
      <c r="BH29">
        <v>0.24099999999999999</v>
      </c>
      <c r="BI29">
        <v>0.80900000000000005</v>
      </c>
      <c r="BJ29">
        <v>-0.61499999999999999</v>
      </c>
      <c r="BK29">
        <v>-0.83799999999999997</v>
      </c>
      <c r="BL29">
        <v>0.66</v>
      </c>
      <c r="BM29">
        <v>0.64500000000000002</v>
      </c>
    </row>
    <row r="30" spans="1:65" x14ac:dyDescent="0.3">
      <c r="A30" t="s">
        <v>102</v>
      </c>
      <c r="B30">
        <v>0</v>
      </c>
      <c r="C30">
        <v>0</v>
      </c>
      <c r="M30" t="s">
        <v>599</v>
      </c>
      <c r="N30">
        <v>2.359</v>
      </c>
      <c r="O30">
        <v>1.756</v>
      </c>
      <c r="P30" t="s">
        <v>57</v>
      </c>
      <c r="Q30">
        <v>1.0999999999999999E-2</v>
      </c>
      <c r="R30">
        <v>1.0999999999999999E-2</v>
      </c>
      <c r="S30">
        <v>1.32919339533333E-2</v>
      </c>
      <c r="T30">
        <v>0.84699999999999998</v>
      </c>
      <c r="U30">
        <v>0.872</v>
      </c>
      <c r="V30">
        <v>1</v>
      </c>
      <c r="W30">
        <v>0.53700000000000003</v>
      </c>
      <c r="X30">
        <v>0.86299999999999999</v>
      </c>
      <c r="Y30">
        <v>0.23100000000000001</v>
      </c>
      <c r="Z30">
        <v>-0.08</v>
      </c>
      <c r="AA30">
        <v>-0.224</v>
      </c>
      <c r="AB30">
        <v>0.215</v>
      </c>
      <c r="AC30">
        <v>0.214</v>
      </c>
      <c r="AD30">
        <v>0.80700000000000005</v>
      </c>
      <c r="AE30">
        <v>0.76600000000000001</v>
      </c>
      <c r="AF30">
        <v>0.79200000000000004</v>
      </c>
      <c r="AG30">
        <v>0.96399999999999997</v>
      </c>
      <c r="AH30">
        <v>1</v>
      </c>
      <c r="AI30">
        <v>0.189</v>
      </c>
      <c r="AJ30">
        <v>1</v>
      </c>
      <c r="AK30">
        <v>0.64900000000000002</v>
      </c>
      <c r="AL30">
        <v>0.61699999999999999</v>
      </c>
      <c r="AM30">
        <v>0.17599999999999999</v>
      </c>
      <c r="AN30">
        <v>-0.72299999999999998</v>
      </c>
      <c r="AO30">
        <v>0.64100000000000001</v>
      </c>
      <c r="AP30">
        <v>0.60099999999999998</v>
      </c>
      <c r="AQ30">
        <v>-0.32200000000000001</v>
      </c>
      <c r="AR30">
        <v>0.13600000000000001</v>
      </c>
      <c r="AS30">
        <v>0.47099999999999997</v>
      </c>
      <c r="AT30">
        <v>0.252</v>
      </c>
      <c r="AU30">
        <v>-0.14299999999999999</v>
      </c>
      <c r="AV30">
        <v>-4.1000000000000002E-2</v>
      </c>
      <c r="AW30">
        <v>-0.28199999999999997</v>
      </c>
      <c r="AX30">
        <v>0.46200000000000002</v>
      </c>
      <c r="AY30">
        <v>-0.19400000000000001</v>
      </c>
      <c r="AZ30">
        <v>-0.33</v>
      </c>
      <c r="BA30">
        <v>0.94299999999999995</v>
      </c>
      <c r="BB30">
        <v>-0.35899999999999999</v>
      </c>
      <c r="BC30">
        <v>0.98499999999999999</v>
      </c>
      <c r="BD30">
        <v>0.14799999999999999</v>
      </c>
      <c r="BE30">
        <v>3.5000000000000003E-2</v>
      </c>
      <c r="BF30">
        <v>0.35</v>
      </c>
      <c r="BG30">
        <v>1</v>
      </c>
      <c r="BH30">
        <v>0.46800000000000003</v>
      </c>
      <c r="BI30">
        <v>0.3</v>
      </c>
      <c r="BJ30">
        <v>0.64500000000000002</v>
      </c>
      <c r="BK30">
        <v>-0.68</v>
      </c>
      <c r="BL30">
        <v>0.81499999999999995</v>
      </c>
      <c r="BM30">
        <v>1</v>
      </c>
    </row>
    <row r="31" spans="1:65" x14ac:dyDescent="0.3">
      <c r="A31" t="s">
        <v>144</v>
      </c>
      <c r="B31">
        <v>0</v>
      </c>
      <c r="C31">
        <v>0</v>
      </c>
      <c r="M31" t="s">
        <v>85</v>
      </c>
      <c r="N31">
        <v>2.3580000000000001</v>
      </c>
      <c r="O31">
        <v>1.8440000000000001</v>
      </c>
      <c r="P31" t="s">
        <v>57</v>
      </c>
      <c r="Q31">
        <v>6.0000000000000001E-3</v>
      </c>
      <c r="R31">
        <v>6.0000000000000001E-3</v>
      </c>
      <c r="S31">
        <v>1.25585075E-2</v>
      </c>
      <c r="T31">
        <v>0.55000000000000004</v>
      </c>
      <c r="U31">
        <v>0.58799999999999997</v>
      </c>
      <c r="V31">
        <v>0.40200000000000002</v>
      </c>
      <c r="W31">
        <v>0.60199999999999998</v>
      </c>
      <c r="X31">
        <v>0.54700000000000004</v>
      </c>
      <c r="Y31">
        <v>0.17</v>
      </c>
      <c r="Z31">
        <v>0.128</v>
      </c>
      <c r="AA31">
        <v>-0.11700000000000001</v>
      </c>
      <c r="AB31">
        <v>0.56399999999999995</v>
      </c>
      <c r="AC31">
        <v>0.56499999999999995</v>
      </c>
      <c r="AD31">
        <v>0.92600000000000005</v>
      </c>
      <c r="AE31">
        <v>0.91100000000000003</v>
      </c>
      <c r="AF31">
        <v>0.88200000000000001</v>
      </c>
      <c r="AG31">
        <v>0.504</v>
      </c>
      <c r="AH31">
        <v>1</v>
      </c>
      <c r="AI31">
        <v>0.47199999999999998</v>
      </c>
      <c r="AJ31">
        <v>0.10199999999999999</v>
      </c>
      <c r="AK31">
        <v>0.19500000000000001</v>
      </c>
      <c r="AL31">
        <v>0.47899999999999998</v>
      </c>
      <c r="AM31">
        <v>-0.04</v>
      </c>
      <c r="AN31">
        <v>-0.91200000000000003</v>
      </c>
      <c r="AO31">
        <v>0.17199999999999999</v>
      </c>
      <c r="AP31">
        <v>0.36699999999999999</v>
      </c>
      <c r="AQ31">
        <v>-5.6000000000000001E-2</v>
      </c>
      <c r="AR31">
        <v>-0.22500000000000001</v>
      </c>
      <c r="AS31">
        <v>0.61699999999999999</v>
      </c>
      <c r="AT31">
        <v>1</v>
      </c>
      <c r="AU31">
        <v>0.251</v>
      </c>
      <c r="AV31">
        <v>0.432</v>
      </c>
      <c r="AW31">
        <v>0.65900000000000003</v>
      </c>
      <c r="AX31">
        <v>0.51800000000000002</v>
      </c>
      <c r="AY31">
        <v>-0.34</v>
      </c>
      <c r="AZ31">
        <v>-0.29799999999999999</v>
      </c>
      <c r="BA31">
        <v>0.58299999999999996</v>
      </c>
      <c r="BB31">
        <v>0.23799999999999999</v>
      </c>
      <c r="BC31">
        <v>0.65</v>
      </c>
      <c r="BD31">
        <v>-0.21</v>
      </c>
      <c r="BE31">
        <v>-0.64600000000000002</v>
      </c>
      <c r="BF31">
        <v>0.42399999999999999</v>
      </c>
      <c r="BG31">
        <v>-0.81299999999999994</v>
      </c>
      <c r="BH31">
        <v>0.372</v>
      </c>
      <c r="BI31">
        <v>-7.4999999999999997E-2</v>
      </c>
      <c r="BJ31">
        <v>-0.44</v>
      </c>
      <c r="BK31">
        <v>-0.157</v>
      </c>
      <c r="BL31">
        <v>0.34699999999999998</v>
      </c>
      <c r="BM31">
        <v>0.38700000000000001</v>
      </c>
    </row>
    <row r="32" spans="1:65" x14ac:dyDescent="0.3">
      <c r="A32" t="s">
        <v>153</v>
      </c>
      <c r="B32">
        <v>7.6331341876972898E-3</v>
      </c>
      <c r="C32">
        <v>1.19814608461266E-2</v>
      </c>
      <c r="M32" t="s">
        <v>109</v>
      </c>
      <c r="N32">
        <v>2.34</v>
      </c>
      <c r="O32">
        <v>3.121</v>
      </c>
      <c r="P32" t="s">
        <v>57</v>
      </c>
      <c r="Q32">
        <v>2.1999999999999999E-2</v>
      </c>
      <c r="R32">
        <v>2.1999999999999999E-2</v>
      </c>
      <c r="S32">
        <v>0.99916358414566697</v>
      </c>
      <c r="T32">
        <v>-0.02</v>
      </c>
      <c r="U32">
        <v>-0.124</v>
      </c>
      <c r="V32">
        <v>-0.47699999999999998</v>
      </c>
      <c r="W32">
        <v>0.216</v>
      </c>
      <c r="X32">
        <v>-0.156</v>
      </c>
      <c r="Y32">
        <v>0.42499999999999999</v>
      </c>
      <c r="Z32">
        <v>0.67</v>
      </c>
      <c r="AA32">
        <v>0.54</v>
      </c>
      <c r="AB32">
        <v>0.67600000000000005</v>
      </c>
      <c r="AC32">
        <v>0.67500000000000004</v>
      </c>
      <c r="AD32">
        <v>0.872</v>
      </c>
      <c r="AE32">
        <v>0.84499999999999997</v>
      </c>
      <c r="AF32">
        <v>0.86399999999999999</v>
      </c>
      <c r="AG32">
        <v>0.14699999999999999</v>
      </c>
      <c r="AH32">
        <v>-0.222</v>
      </c>
      <c r="AI32">
        <v>0.09</v>
      </c>
      <c r="AJ32">
        <v>-0.96399999999999997</v>
      </c>
      <c r="AK32">
        <v>-0.75800000000000001</v>
      </c>
      <c r="AL32">
        <v>-0.81599999999999995</v>
      </c>
      <c r="AM32">
        <v>-0.17399999999999999</v>
      </c>
      <c r="AN32">
        <v>0.21099999999999999</v>
      </c>
      <c r="AO32">
        <v>-0.67900000000000005</v>
      </c>
      <c r="AP32">
        <v>-0.20799999999999999</v>
      </c>
      <c r="AQ32">
        <v>0.498</v>
      </c>
      <c r="AR32">
        <v>-5.6000000000000001E-2</v>
      </c>
      <c r="AS32">
        <v>8.9999999999999993E-3</v>
      </c>
      <c r="AT32">
        <v>0.30599999999999999</v>
      </c>
      <c r="AU32">
        <v>0.41299999999999998</v>
      </c>
      <c r="AV32">
        <v>-1E-3</v>
      </c>
      <c r="AW32">
        <v>-2E-3</v>
      </c>
      <c r="AX32">
        <v>0.40300000000000002</v>
      </c>
      <c r="AY32">
        <v>0.499</v>
      </c>
      <c r="AZ32">
        <v>-0.40100000000000002</v>
      </c>
      <c r="BA32">
        <v>0.91</v>
      </c>
      <c r="BB32">
        <v>0.66800000000000004</v>
      </c>
      <c r="BC32">
        <v>0.96699999999999997</v>
      </c>
      <c r="BD32">
        <v>-0.20699999999999999</v>
      </c>
      <c r="BE32">
        <v>1.4E-2</v>
      </c>
      <c r="BF32">
        <v>0.55700000000000005</v>
      </c>
      <c r="BG32">
        <v>-0.215</v>
      </c>
      <c r="BH32">
        <v>-0.33900000000000002</v>
      </c>
      <c r="BI32">
        <v>0.84099999999999997</v>
      </c>
      <c r="BJ32">
        <v>-0.65600000000000003</v>
      </c>
      <c r="BK32">
        <v>-0.14599999999999999</v>
      </c>
      <c r="BL32">
        <v>0.90300000000000002</v>
      </c>
      <c r="BM32">
        <v>-0.70899999999999996</v>
      </c>
    </row>
    <row r="33" spans="1:65" x14ac:dyDescent="0.3">
      <c r="A33" t="s">
        <v>64</v>
      </c>
      <c r="B33">
        <v>8.2988155620752901E-3</v>
      </c>
      <c r="C33">
        <v>0</v>
      </c>
      <c r="M33" t="s">
        <v>97</v>
      </c>
      <c r="N33">
        <v>2.2639999999999998</v>
      </c>
      <c r="O33">
        <v>3.1720000000000002</v>
      </c>
      <c r="P33" t="s">
        <v>57</v>
      </c>
      <c r="Q33">
        <v>1.6E-2</v>
      </c>
      <c r="R33">
        <v>1.2999999999999999E-2</v>
      </c>
      <c r="S33">
        <v>1.9466666100000001</v>
      </c>
      <c r="T33">
        <v>-0.02</v>
      </c>
      <c r="U33">
        <v>0.153</v>
      </c>
      <c r="V33">
        <v>-0.27700000000000002</v>
      </c>
      <c r="W33">
        <v>-1.7000000000000001E-2</v>
      </c>
      <c r="X33">
        <v>-4.9000000000000002E-2</v>
      </c>
      <c r="Y33">
        <v>0.30599999999999999</v>
      </c>
      <c r="Z33">
        <v>0.439</v>
      </c>
      <c r="AA33">
        <v>0.38400000000000001</v>
      </c>
      <c r="AB33">
        <v>0.75700000000000001</v>
      </c>
      <c r="AC33">
        <v>0.753</v>
      </c>
      <c r="AD33">
        <v>0.84799999999999998</v>
      </c>
      <c r="AE33">
        <v>0.874</v>
      </c>
      <c r="AF33">
        <v>0.90300000000000002</v>
      </c>
      <c r="AG33">
        <v>-0.61099999999999999</v>
      </c>
      <c r="AH33">
        <v>0.41199999999999998</v>
      </c>
      <c r="AI33">
        <v>0.61799999999999999</v>
      </c>
      <c r="AJ33">
        <v>-0.28499999999999998</v>
      </c>
      <c r="AK33">
        <v>5.2999999999999999E-2</v>
      </c>
      <c r="AL33">
        <v>-0.77900000000000003</v>
      </c>
      <c r="AM33">
        <v>-0.11899999999999999</v>
      </c>
      <c r="AN33">
        <v>0.26100000000000001</v>
      </c>
      <c r="AO33">
        <v>-9.1999999999999998E-2</v>
      </c>
      <c r="AP33">
        <v>0.16900000000000001</v>
      </c>
      <c r="AQ33">
        <v>0.27700000000000002</v>
      </c>
      <c r="AR33">
        <v>-0.112</v>
      </c>
      <c r="AS33">
        <v>4.2999999999999997E-2</v>
      </c>
      <c r="AT33">
        <v>0.20799999999999999</v>
      </c>
      <c r="AU33">
        <v>-0.34</v>
      </c>
      <c r="AV33">
        <v>-0.13500000000000001</v>
      </c>
      <c r="AW33">
        <v>-0.27700000000000002</v>
      </c>
      <c r="AX33">
        <v>-0.55100000000000005</v>
      </c>
      <c r="AY33">
        <v>0.64800000000000002</v>
      </c>
      <c r="AZ33">
        <v>9.7000000000000003E-2</v>
      </c>
      <c r="BA33">
        <v>0.80700000000000005</v>
      </c>
      <c r="BB33">
        <v>0.58399999999999996</v>
      </c>
      <c r="BC33">
        <v>0.52</v>
      </c>
      <c r="BD33">
        <v>-0.33700000000000002</v>
      </c>
      <c r="BE33">
        <v>-0.107</v>
      </c>
      <c r="BF33">
        <v>0.47199999999999998</v>
      </c>
      <c r="BG33">
        <v>-0.17599999999999999</v>
      </c>
      <c r="BH33">
        <v>0.84799999999999998</v>
      </c>
      <c r="BI33">
        <v>0.92100000000000004</v>
      </c>
      <c r="BJ33">
        <v>-0.59399999999999997</v>
      </c>
      <c r="BK33">
        <v>-0.251</v>
      </c>
      <c r="BL33">
        <v>0.41899999999999998</v>
      </c>
      <c r="BM33">
        <v>0.433</v>
      </c>
    </row>
    <row r="34" spans="1:65" x14ac:dyDescent="0.3">
      <c r="A34" t="s">
        <v>56</v>
      </c>
      <c r="B34">
        <v>7.64988609337476E-3</v>
      </c>
      <c r="C34">
        <v>0</v>
      </c>
      <c r="M34" t="s">
        <v>65</v>
      </c>
      <c r="N34">
        <v>2.2480000000000002</v>
      </c>
      <c r="O34">
        <v>2.4289999999999998</v>
      </c>
      <c r="P34" t="s">
        <v>57</v>
      </c>
      <c r="Q34">
        <v>1.2999999999999999E-2</v>
      </c>
      <c r="R34">
        <v>1.2999999999999999E-2</v>
      </c>
      <c r="S34">
        <v>0.51591118760999999</v>
      </c>
      <c r="T34">
        <v>5.8999999999999997E-2</v>
      </c>
      <c r="U34">
        <v>-7.4999999999999997E-2</v>
      </c>
      <c r="V34">
        <v>0.40300000000000002</v>
      </c>
      <c r="W34">
        <v>2.9000000000000001E-2</v>
      </c>
      <c r="X34">
        <v>0.16800000000000001</v>
      </c>
      <c r="Y34">
        <v>0.28799999999999998</v>
      </c>
      <c r="Z34">
        <v>0.45600000000000002</v>
      </c>
      <c r="AA34">
        <v>0.35</v>
      </c>
      <c r="AB34">
        <v>0.56799999999999995</v>
      </c>
      <c r="AC34">
        <v>0.56599999999999995</v>
      </c>
      <c r="AD34">
        <v>0.85399999999999998</v>
      </c>
      <c r="AE34">
        <v>0.90800000000000003</v>
      </c>
      <c r="AF34">
        <v>0.77100000000000002</v>
      </c>
      <c r="AG34">
        <v>0.13700000000000001</v>
      </c>
      <c r="AH34">
        <v>0.11700000000000001</v>
      </c>
      <c r="AI34">
        <v>-0.40699999999999997</v>
      </c>
      <c r="AJ34">
        <v>0.85299999999999998</v>
      </c>
      <c r="AK34">
        <v>6.8000000000000005E-2</v>
      </c>
      <c r="AL34">
        <v>-2.1999999999999999E-2</v>
      </c>
      <c r="AM34">
        <v>-0.36099999999999999</v>
      </c>
      <c r="AN34">
        <v>0.97799999999999998</v>
      </c>
      <c r="AO34">
        <v>-3.5999999999999997E-2</v>
      </c>
      <c r="AP34">
        <v>-0.10299999999999999</v>
      </c>
      <c r="AQ34">
        <v>-0.28199999999999997</v>
      </c>
      <c r="AR34">
        <v>-0.55100000000000005</v>
      </c>
      <c r="AS34">
        <v>6.0000000000000001E-3</v>
      </c>
      <c r="AT34">
        <v>0.55400000000000005</v>
      </c>
      <c r="AU34">
        <v>0.47599999999999998</v>
      </c>
      <c r="AV34">
        <v>-0.105</v>
      </c>
      <c r="AW34">
        <v>-0.44600000000000001</v>
      </c>
      <c r="AX34">
        <v>-0.04</v>
      </c>
      <c r="AY34">
        <v>0.59099999999999997</v>
      </c>
      <c r="AZ34">
        <v>-0.29299999999999998</v>
      </c>
      <c r="BA34">
        <v>0.53400000000000003</v>
      </c>
      <c r="BB34">
        <v>0.36599999999999999</v>
      </c>
      <c r="BC34">
        <v>-3.4000000000000002E-2</v>
      </c>
      <c r="BD34">
        <v>-0.38300000000000001</v>
      </c>
      <c r="BE34">
        <v>-0.69199999999999995</v>
      </c>
      <c r="BF34">
        <v>-0.154</v>
      </c>
      <c r="BG34">
        <v>-0.43</v>
      </c>
      <c r="BH34">
        <v>-0.33600000000000002</v>
      </c>
      <c r="BI34">
        <v>0.78800000000000003</v>
      </c>
      <c r="BJ34">
        <v>-0.27800000000000002</v>
      </c>
      <c r="BK34">
        <v>0.104</v>
      </c>
      <c r="BL34">
        <v>0.73699999999999999</v>
      </c>
      <c r="BM34">
        <v>0.69299999999999995</v>
      </c>
    </row>
    <row r="35" spans="1:65" x14ac:dyDescent="0.3">
      <c r="A35" t="s">
        <v>62</v>
      </c>
      <c r="B35">
        <v>6.4811004969004497E-3</v>
      </c>
      <c r="C35">
        <v>0</v>
      </c>
      <c r="M35" t="s">
        <v>92</v>
      </c>
      <c r="N35">
        <v>2.2050000000000001</v>
      </c>
      <c r="O35">
        <v>2.1379999999999999</v>
      </c>
      <c r="P35" t="s">
        <v>57</v>
      </c>
      <c r="Q35">
        <v>1.2E-2</v>
      </c>
      <c r="R35">
        <v>1.2E-2</v>
      </c>
      <c r="S35">
        <v>1.33153724698</v>
      </c>
      <c r="T35">
        <v>0.41599999999999998</v>
      </c>
      <c r="U35">
        <v>0.14599999999999999</v>
      </c>
      <c r="V35">
        <v>0.371</v>
      </c>
      <c r="W35">
        <v>0.23599999999999999</v>
      </c>
      <c r="X35">
        <v>0.13500000000000001</v>
      </c>
      <c r="Y35">
        <v>0.38100000000000001</v>
      </c>
      <c r="Z35">
        <v>0.26</v>
      </c>
      <c r="AA35">
        <v>0.126</v>
      </c>
      <c r="AB35">
        <v>0.14399999999999999</v>
      </c>
      <c r="AC35">
        <v>0.14099999999999999</v>
      </c>
      <c r="AD35">
        <v>0.77700000000000002</v>
      </c>
      <c r="AE35">
        <v>0.93799999999999994</v>
      </c>
      <c r="AF35">
        <v>0.84399999999999997</v>
      </c>
      <c r="AG35">
        <v>0.222</v>
      </c>
      <c r="AH35">
        <v>-0.113</v>
      </c>
      <c r="AI35">
        <v>-0.27400000000000002</v>
      </c>
      <c r="AJ35">
        <v>-0.377</v>
      </c>
      <c r="AK35">
        <v>0.998</v>
      </c>
      <c r="AL35">
        <v>1</v>
      </c>
      <c r="AM35">
        <v>-0.34200000000000003</v>
      </c>
      <c r="AN35">
        <v>-0.16300000000000001</v>
      </c>
      <c r="AO35">
        <v>-0.86599999999999999</v>
      </c>
      <c r="AP35">
        <v>-7.4999999999999997E-2</v>
      </c>
      <c r="AQ35">
        <v>0.182</v>
      </c>
      <c r="AR35">
        <v>0.68300000000000005</v>
      </c>
      <c r="AS35">
        <v>0.432</v>
      </c>
      <c r="AT35">
        <v>0.36699999999999999</v>
      </c>
      <c r="AU35">
        <v>0.39100000000000001</v>
      </c>
      <c r="AV35">
        <v>0.38100000000000001</v>
      </c>
      <c r="AW35">
        <v>-0.434</v>
      </c>
      <c r="AX35">
        <v>0.66300000000000003</v>
      </c>
      <c r="AY35">
        <v>0.22</v>
      </c>
      <c r="AZ35">
        <v>0.51700000000000002</v>
      </c>
      <c r="BA35">
        <v>0.92800000000000005</v>
      </c>
      <c r="BB35">
        <v>0.55100000000000005</v>
      </c>
      <c r="BC35">
        <v>0.90200000000000002</v>
      </c>
      <c r="BD35">
        <v>-3.2000000000000001E-2</v>
      </c>
      <c r="BE35">
        <v>-5.1999999999999998E-2</v>
      </c>
      <c r="BF35">
        <v>-0.78200000000000003</v>
      </c>
      <c r="BG35">
        <v>-0.45</v>
      </c>
      <c r="BH35">
        <v>0.56799999999999995</v>
      </c>
      <c r="BI35">
        <v>0.69</v>
      </c>
      <c r="BJ35">
        <v>-0.58299999999999996</v>
      </c>
      <c r="BK35">
        <v>-9.8000000000000004E-2</v>
      </c>
      <c r="BL35">
        <v>0.30399999999999999</v>
      </c>
      <c r="BM35">
        <v>0.20799999999999999</v>
      </c>
    </row>
    <row r="36" spans="1:65" x14ac:dyDescent="0.3">
      <c r="A36" t="s">
        <v>117</v>
      </c>
      <c r="B36">
        <v>0</v>
      </c>
      <c r="C36">
        <v>0</v>
      </c>
      <c r="M36" t="s">
        <v>79</v>
      </c>
      <c r="N36">
        <v>2.1789999999999998</v>
      </c>
      <c r="O36">
        <v>2.75</v>
      </c>
      <c r="P36" t="s">
        <v>68</v>
      </c>
      <c r="Q36">
        <v>1.2999999999999999E-2</v>
      </c>
      <c r="R36">
        <v>1.0999999999999999E-2</v>
      </c>
      <c r="S36">
        <v>4.4932193805666696</v>
      </c>
      <c r="T36">
        <v>0.03</v>
      </c>
      <c r="U36">
        <v>-0.222</v>
      </c>
      <c r="V36">
        <v>-3.6999999999999998E-2</v>
      </c>
      <c r="W36">
        <v>0.252</v>
      </c>
      <c r="X36">
        <v>-2.3E-2</v>
      </c>
      <c r="Y36">
        <v>0.34</v>
      </c>
      <c r="Z36">
        <v>0.51</v>
      </c>
      <c r="AA36">
        <v>0.33300000000000002</v>
      </c>
      <c r="AB36">
        <v>0.71499999999999997</v>
      </c>
      <c r="AC36">
        <v>0.71399999999999997</v>
      </c>
      <c r="AD36">
        <v>0.83599999999999997</v>
      </c>
      <c r="AE36">
        <v>0.76500000000000001</v>
      </c>
      <c r="AF36">
        <v>0.73599999999999999</v>
      </c>
      <c r="AG36">
        <v>0.22800000000000001</v>
      </c>
      <c r="AH36">
        <v>-0.32900000000000001</v>
      </c>
      <c r="AI36">
        <v>-0.27500000000000002</v>
      </c>
      <c r="AJ36">
        <v>-0.49</v>
      </c>
      <c r="AK36">
        <v>6.3E-2</v>
      </c>
      <c r="AL36">
        <v>0.27300000000000002</v>
      </c>
      <c r="AM36">
        <v>-0.14599999999999999</v>
      </c>
      <c r="AN36">
        <v>0.28000000000000003</v>
      </c>
      <c r="AO36">
        <v>-0.88600000000000001</v>
      </c>
      <c r="AP36">
        <v>1.9E-2</v>
      </c>
      <c r="AQ36">
        <v>8.7999999999999995E-2</v>
      </c>
      <c r="AR36">
        <v>0.33100000000000002</v>
      </c>
      <c r="AS36">
        <v>0.23699999999999999</v>
      </c>
      <c r="AT36">
        <v>0.377</v>
      </c>
      <c r="AU36">
        <v>-7.6999999999999999E-2</v>
      </c>
      <c r="AV36">
        <v>0.995</v>
      </c>
      <c r="AW36">
        <v>-0.30599999999999999</v>
      </c>
      <c r="AX36">
        <v>0.54200000000000004</v>
      </c>
      <c r="AY36">
        <v>0.65400000000000003</v>
      </c>
      <c r="AZ36">
        <v>-4.8000000000000001E-2</v>
      </c>
      <c r="BA36">
        <v>0.71</v>
      </c>
      <c r="BB36">
        <v>0.69599999999999995</v>
      </c>
      <c r="BC36">
        <v>-0.58399999999999996</v>
      </c>
      <c r="BD36">
        <v>-0.23799999999999999</v>
      </c>
      <c r="BE36">
        <v>-0.55800000000000005</v>
      </c>
      <c r="BF36">
        <v>7.5999999999999998E-2</v>
      </c>
      <c r="BG36">
        <v>-0.56899999999999995</v>
      </c>
      <c r="BH36">
        <v>8.5999999999999993E-2</v>
      </c>
      <c r="BI36">
        <v>0.66400000000000003</v>
      </c>
      <c r="BJ36">
        <v>-0.47199999999999998</v>
      </c>
      <c r="BK36">
        <v>-0.04</v>
      </c>
      <c r="BL36">
        <v>0.47199999999999998</v>
      </c>
      <c r="BM36">
        <v>3.4000000000000002E-2</v>
      </c>
    </row>
    <row r="37" spans="1:65" x14ac:dyDescent="0.3">
      <c r="A37" t="s">
        <v>70</v>
      </c>
      <c r="B37">
        <v>1.1807055340331E-2</v>
      </c>
      <c r="C37">
        <v>8.5102685991561601E-3</v>
      </c>
      <c r="M37" t="s">
        <v>600</v>
      </c>
      <c r="N37">
        <v>2.1739999999999999</v>
      </c>
      <c r="O37">
        <v>2.3130000000000002</v>
      </c>
      <c r="P37" t="s">
        <v>68</v>
      </c>
      <c r="Q37">
        <v>0.01</v>
      </c>
      <c r="R37">
        <v>0.01</v>
      </c>
      <c r="S37">
        <v>0.92899547966666696</v>
      </c>
      <c r="T37">
        <v>0.28499999999999998</v>
      </c>
      <c r="U37">
        <v>9.8000000000000004E-2</v>
      </c>
      <c r="V37">
        <v>0.184</v>
      </c>
      <c r="W37">
        <v>0.26900000000000002</v>
      </c>
      <c r="X37">
        <v>0.104</v>
      </c>
      <c r="Y37">
        <v>7.3999999999999996E-2</v>
      </c>
      <c r="Z37">
        <v>-1.4E-2</v>
      </c>
      <c r="AA37">
        <v>2.3E-2</v>
      </c>
      <c r="AB37">
        <v>0.77200000000000002</v>
      </c>
      <c r="AC37">
        <v>0.76800000000000002</v>
      </c>
      <c r="AD37">
        <v>1</v>
      </c>
      <c r="AE37">
        <v>0.91200000000000003</v>
      </c>
      <c r="AF37">
        <v>0.89700000000000002</v>
      </c>
      <c r="AG37">
        <v>7.0000000000000007E-2</v>
      </c>
      <c r="AH37">
        <v>-5.1999999999999998E-2</v>
      </c>
      <c r="AI37">
        <v>-0.122</v>
      </c>
      <c r="AJ37">
        <v>-0.22800000000000001</v>
      </c>
      <c r="AK37">
        <v>-2.5999999999999999E-2</v>
      </c>
      <c r="AL37">
        <v>0.157</v>
      </c>
      <c r="AM37">
        <v>0.14399999999999999</v>
      </c>
      <c r="AN37">
        <v>-0.28000000000000003</v>
      </c>
      <c r="AO37">
        <v>-0.20100000000000001</v>
      </c>
      <c r="AP37">
        <v>-0.51100000000000001</v>
      </c>
      <c r="AQ37">
        <v>0.13900000000000001</v>
      </c>
      <c r="AR37">
        <v>3.5000000000000003E-2</v>
      </c>
      <c r="AS37">
        <v>0.33400000000000002</v>
      </c>
      <c r="AT37">
        <v>0.63600000000000001</v>
      </c>
      <c r="AU37">
        <v>0.34200000000000003</v>
      </c>
      <c r="AV37">
        <v>0.36099999999999999</v>
      </c>
      <c r="AW37">
        <v>-0.13300000000000001</v>
      </c>
      <c r="AX37">
        <v>0.34599999999999997</v>
      </c>
      <c r="AY37">
        <v>0.61</v>
      </c>
      <c r="AZ37">
        <v>0.124</v>
      </c>
      <c r="BA37">
        <v>0.76200000000000001</v>
      </c>
      <c r="BB37">
        <v>0.51100000000000001</v>
      </c>
      <c r="BC37">
        <v>0.66300000000000003</v>
      </c>
      <c r="BD37">
        <v>-0.26700000000000002</v>
      </c>
      <c r="BE37">
        <v>-0.32200000000000001</v>
      </c>
      <c r="BF37">
        <v>0.68200000000000005</v>
      </c>
      <c r="BG37">
        <v>-1</v>
      </c>
      <c r="BH37">
        <v>-2.4E-2</v>
      </c>
      <c r="BI37">
        <v>-6.9000000000000006E-2</v>
      </c>
      <c r="BJ37">
        <v>-0.69299999999999995</v>
      </c>
      <c r="BK37">
        <v>-2.5000000000000001E-2</v>
      </c>
      <c r="BL37">
        <v>0.97899999999999998</v>
      </c>
      <c r="BM37">
        <v>0.14000000000000001</v>
      </c>
    </row>
    <row r="38" spans="1:65" x14ac:dyDescent="0.3">
      <c r="A38" t="s">
        <v>82</v>
      </c>
      <c r="B38">
        <v>2.4188725130808601E-2</v>
      </c>
      <c r="C38">
        <v>2.0217903956486899E-2</v>
      </c>
      <c r="M38" t="s">
        <v>597</v>
      </c>
      <c r="N38">
        <v>2.1589999999999998</v>
      </c>
      <c r="O38">
        <v>2.2749999999999999</v>
      </c>
      <c r="P38" t="s">
        <v>57</v>
      </c>
      <c r="Q38">
        <v>1.2999999999999999E-2</v>
      </c>
      <c r="R38">
        <v>1.2999999999999999E-2</v>
      </c>
      <c r="S38">
        <v>1.457241118</v>
      </c>
      <c r="T38">
        <v>0.23</v>
      </c>
      <c r="U38">
        <v>-0.16900000000000001</v>
      </c>
      <c r="V38">
        <v>0.54100000000000004</v>
      </c>
      <c r="W38">
        <v>0.184</v>
      </c>
      <c r="X38">
        <v>0.20599999999999999</v>
      </c>
      <c r="Y38">
        <v>0.29799999999999999</v>
      </c>
      <c r="Z38">
        <v>0.46700000000000003</v>
      </c>
      <c r="AA38">
        <v>0.17</v>
      </c>
      <c r="AB38">
        <v>0.41</v>
      </c>
      <c r="AC38">
        <v>0.41099999999999998</v>
      </c>
      <c r="AD38">
        <v>0.78500000000000003</v>
      </c>
      <c r="AE38">
        <v>0.70899999999999996</v>
      </c>
      <c r="AF38">
        <v>0.752</v>
      </c>
      <c r="AG38">
        <v>0.52700000000000002</v>
      </c>
      <c r="AH38">
        <v>-0.121</v>
      </c>
      <c r="AI38">
        <v>-0.72199999999999998</v>
      </c>
      <c r="AJ38">
        <v>0.47599999999999998</v>
      </c>
      <c r="AK38">
        <v>2.8000000000000001E-2</v>
      </c>
      <c r="AL38">
        <v>1</v>
      </c>
      <c r="AM38">
        <v>-7.1999999999999995E-2</v>
      </c>
      <c r="AN38">
        <v>0.32500000000000001</v>
      </c>
      <c r="AO38">
        <v>-0.60399999999999998</v>
      </c>
      <c r="AP38">
        <v>0.36399999999999999</v>
      </c>
      <c r="AQ38">
        <v>-0.13100000000000001</v>
      </c>
      <c r="AR38">
        <v>-0.33700000000000002</v>
      </c>
      <c r="AS38">
        <v>6.0000000000000001E-3</v>
      </c>
      <c r="AT38">
        <v>9.6000000000000002E-2</v>
      </c>
      <c r="AU38">
        <v>-0.35</v>
      </c>
      <c r="AV38">
        <v>0.57199999999999995</v>
      </c>
      <c r="AW38">
        <v>2.3E-2</v>
      </c>
      <c r="AX38">
        <v>0.43</v>
      </c>
      <c r="AY38">
        <v>0.64600000000000002</v>
      </c>
      <c r="AZ38">
        <v>-7.8E-2</v>
      </c>
      <c r="BA38">
        <v>0.88900000000000001</v>
      </c>
      <c r="BB38">
        <v>0.36699999999999999</v>
      </c>
      <c r="BC38">
        <v>0.90700000000000003</v>
      </c>
      <c r="BD38">
        <v>-0.3</v>
      </c>
      <c r="BE38">
        <v>-0.32</v>
      </c>
      <c r="BF38">
        <v>-9.6000000000000002E-2</v>
      </c>
      <c r="BG38">
        <v>-0.63200000000000001</v>
      </c>
      <c r="BH38">
        <v>4.3999999999999997E-2</v>
      </c>
      <c r="BI38">
        <v>0.376</v>
      </c>
      <c r="BJ38">
        <v>-0.39400000000000002</v>
      </c>
      <c r="BK38">
        <v>-0.68</v>
      </c>
      <c r="BL38">
        <v>0.874</v>
      </c>
      <c r="BM38">
        <v>0.90300000000000002</v>
      </c>
    </row>
    <row r="39" spans="1:65" x14ac:dyDescent="0.3">
      <c r="A39" t="s">
        <v>200</v>
      </c>
      <c r="B39">
        <v>0</v>
      </c>
      <c r="C39">
        <v>0</v>
      </c>
      <c r="M39" t="s">
        <v>116</v>
      </c>
      <c r="N39">
        <v>2.105</v>
      </c>
      <c r="O39">
        <v>2.1890000000000001</v>
      </c>
      <c r="P39" t="s">
        <v>53</v>
      </c>
      <c r="Q39">
        <v>8.9999999999999993E-3</v>
      </c>
      <c r="R39">
        <v>8.9999999999999993E-3</v>
      </c>
      <c r="S39">
        <v>0.36393998025666702</v>
      </c>
      <c r="T39">
        <v>0.29699999999999999</v>
      </c>
      <c r="U39">
        <v>0.32900000000000001</v>
      </c>
      <c r="V39">
        <v>6.6000000000000003E-2</v>
      </c>
      <c r="W39">
        <v>0.16700000000000001</v>
      </c>
      <c r="X39">
        <v>8.5000000000000006E-2</v>
      </c>
      <c r="Y39">
        <v>0.188</v>
      </c>
      <c r="Z39">
        <v>0.156</v>
      </c>
      <c r="AA39">
        <v>2.1999999999999999E-2</v>
      </c>
      <c r="AB39">
        <v>0.41499999999999998</v>
      </c>
      <c r="AC39">
        <v>0.40899999999999997</v>
      </c>
      <c r="AD39">
        <v>0.85299999999999998</v>
      </c>
      <c r="AE39">
        <v>0.91300000000000003</v>
      </c>
      <c r="AF39">
        <v>0.88200000000000001</v>
      </c>
      <c r="AG39">
        <v>-0.127</v>
      </c>
      <c r="AH39">
        <v>-0.36899999999999999</v>
      </c>
      <c r="AI39">
        <v>0.111</v>
      </c>
      <c r="AJ39">
        <v>-0.34499999999999997</v>
      </c>
      <c r="AK39">
        <v>1</v>
      </c>
      <c r="AL39">
        <v>0.24199999999999999</v>
      </c>
      <c r="AM39">
        <v>-6.8000000000000005E-2</v>
      </c>
      <c r="AN39">
        <v>-0.58099999999999996</v>
      </c>
      <c r="AO39">
        <v>-0.56899999999999995</v>
      </c>
      <c r="AP39">
        <v>0.23100000000000001</v>
      </c>
      <c r="AQ39">
        <v>0.47199999999999998</v>
      </c>
      <c r="AR39">
        <v>-0.38600000000000001</v>
      </c>
      <c r="AS39">
        <v>0.245</v>
      </c>
      <c r="AT39">
        <v>0.36699999999999999</v>
      </c>
      <c r="AU39">
        <v>0.42299999999999999</v>
      </c>
      <c r="AV39">
        <v>0.436</v>
      </c>
      <c r="AW39">
        <v>-0.443</v>
      </c>
      <c r="AX39">
        <v>0.51400000000000001</v>
      </c>
      <c r="AY39">
        <v>0.33400000000000002</v>
      </c>
      <c r="AZ39">
        <v>-0.16800000000000001</v>
      </c>
      <c r="BA39">
        <v>0.997</v>
      </c>
      <c r="BB39">
        <v>0.65200000000000002</v>
      </c>
      <c r="BC39">
        <v>0.69699999999999995</v>
      </c>
      <c r="BD39">
        <v>-0.255</v>
      </c>
      <c r="BE39">
        <v>-0.24399999999999999</v>
      </c>
      <c r="BF39">
        <v>0.46300000000000002</v>
      </c>
      <c r="BG39">
        <v>0.33200000000000002</v>
      </c>
      <c r="BH39">
        <v>0.45800000000000002</v>
      </c>
      <c r="BI39">
        <v>0.55800000000000005</v>
      </c>
      <c r="BJ39">
        <v>-0.17199999999999999</v>
      </c>
      <c r="BK39">
        <v>4.3999999999999997E-2</v>
      </c>
      <c r="BL39">
        <v>0.23599999999999999</v>
      </c>
      <c r="BM39">
        <v>0.44600000000000001</v>
      </c>
    </row>
    <row r="40" spans="1:65" x14ac:dyDescent="0.3">
      <c r="A40" t="s">
        <v>601</v>
      </c>
      <c r="B40">
        <v>0</v>
      </c>
      <c r="C40">
        <v>0</v>
      </c>
      <c r="M40" t="s">
        <v>64</v>
      </c>
      <c r="N40">
        <v>2.0529999999999999</v>
      </c>
      <c r="O40">
        <v>1.712</v>
      </c>
      <c r="P40" t="s">
        <v>55</v>
      </c>
      <c r="Q40">
        <v>8.0000000000000002E-3</v>
      </c>
      <c r="R40">
        <v>8.0000000000000002E-3</v>
      </c>
      <c r="S40">
        <v>0.31028855466666699</v>
      </c>
      <c r="T40">
        <v>-2.4E-2</v>
      </c>
      <c r="U40">
        <v>-4.5999999999999999E-2</v>
      </c>
      <c r="V40">
        <v>-0.154</v>
      </c>
      <c r="W40">
        <v>0.249</v>
      </c>
      <c r="X40">
        <v>0.06</v>
      </c>
      <c r="Y40">
        <v>0.17</v>
      </c>
      <c r="Z40">
        <v>0.28699999999999998</v>
      </c>
      <c r="AA40">
        <v>0.30399999999999999</v>
      </c>
      <c r="AB40">
        <v>0.505</v>
      </c>
      <c r="AC40">
        <v>0.50800000000000001</v>
      </c>
      <c r="AD40">
        <v>0.85599999999999998</v>
      </c>
      <c r="AE40">
        <v>0.78700000000000003</v>
      </c>
      <c r="AF40">
        <v>0.78800000000000003</v>
      </c>
      <c r="AG40">
        <v>0.36299999999999999</v>
      </c>
      <c r="AH40">
        <v>-0.16</v>
      </c>
      <c r="AI40">
        <v>0.621</v>
      </c>
      <c r="AJ40">
        <v>-0.56100000000000005</v>
      </c>
      <c r="AK40">
        <v>-0.47599999999999998</v>
      </c>
      <c r="AL40">
        <v>-0.40699999999999997</v>
      </c>
      <c r="AM40">
        <v>0.40799999999999997</v>
      </c>
      <c r="AN40">
        <v>-0.32500000000000001</v>
      </c>
      <c r="AO40">
        <v>-0.34300000000000003</v>
      </c>
      <c r="AP40">
        <v>-0.32</v>
      </c>
      <c r="AQ40">
        <v>0.28999999999999998</v>
      </c>
      <c r="AR40">
        <v>-0.624</v>
      </c>
      <c r="AS40">
        <v>-1.4E-2</v>
      </c>
      <c r="AT40">
        <v>-0.52400000000000002</v>
      </c>
      <c r="AU40">
        <v>-0.79100000000000004</v>
      </c>
      <c r="AV40">
        <v>0.17199999999999999</v>
      </c>
      <c r="AW40">
        <v>0.26400000000000001</v>
      </c>
      <c r="AX40">
        <v>0.44</v>
      </c>
      <c r="AY40">
        <v>0.60899999999999999</v>
      </c>
      <c r="AZ40">
        <v>-9.5000000000000001E-2</v>
      </c>
      <c r="BA40">
        <v>-0.214</v>
      </c>
      <c r="BB40">
        <v>0.70199999999999996</v>
      </c>
      <c r="BC40">
        <v>0.76</v>
      </c>
      <c r="BD40">
        <v>1.7999999999999999E-2</v>
      </c>
      <c r="BE40">
        <v>0.47699999999999998</v>
      </c>
      <c r="BF40">
        <v>0.502</v>
      </c>
      <c r="BG40">
        <v>-0.107</v>
      </c>
      <c r="BH40">
        <v>0.72</v>
      </c>
      <c r="BI40">
        <v>9.8000000000000004E-2</v>
      </c>
      <c r="BJ40">
        <v>-0.79100000000000004</v>
      </c>
      <c r="BK40">
        <v>0.16400000000000001</v>
      </c>
      <c r="BL40">
        <v>0.98099999999999998</v>
      </c>
      <c r="BM40">
        <v>0.109</v>
      </c>
    </row>
    <row r="41" spans="1:65" x14ac:dyDescent="0.3">
      <c r="A41" t="s">
        <v>110</v>
      </c>
      <c r="B41">
        <v>2.60993926986E-2</v>
      </c>
      <c r="C41">
        <v>3.6339152515828498E-2</v>
      </c>
      <c r="M41" t="s">
        <v>118</v>
      </c>
      <c r="N41">
        <v>2.016</v>
      </c>
      <c r="O41">
        <v>1.5660000000000001</v>
      </c>
      <c r="P41" t="s">
        <v>57</v>
      </c>
      <c r="Q41">
        <v>6.0000000000000001E-3</v>
      </c>
      <c r="R41">
        <v>6.0000000000000001E-3</v>
      </c>
      <c r="S41">
        <v>2.00116862771333</v>
      </c>
      <c r="T41">
        <v>0.16900000000000001</v>
      </c>
      <c r="U41">
        <v>-0.09</v>
      </c>
      <c r="V41">
        <v>-2.7E-2</v>
      </c>
      <c r="W41">
        <v>0.28699999999999998</v>
      </c>
      <c r="X41">
        <v>0.05</v>
      </c>
      <c r="Y41">
        <v>0.20799999999999999</v>
      </c>
      <c r="Z41">
        <v>9.8000000000000004E-2</v>
      </c>
      <c r="AA41">
        <v>0.30199999999999999</v>
      </c>
      <c r="AB41">
        <v>0.182</v>
      </c>
      <c r="AC41">
        <v>0.17699999999999999</v>
      </c>
      <c r="AD41">
        <v>0.877</v>
      </c>
      <c r="AE41">
        <v>0.78100000000000003</v>
      </c>
      <c r="AF41">
        <v>0.755</v>
      </c>
      <c r="AG41">
        <v>0.35499999999999998</v>
      </c>
      <c r="AH41">
        <v>0.69499999999999995</v>
      </c>
      <c r="AI41">
        <v>-4.7E-2</v>
      </c>
      <c r="AJ41">
        <v>-0.11899999999999999</v>
      </c>
      <c r="AK41">
        <v>0.69099999999999995</v>
      </c>
      <c r="AL41">
        <v>-0.13900000000000001</v>
      </c>
      <c r="AM41">
        <v>-0.27</v>
      </c>
      <c r="AN41">
        <v>0.255</v>
      </c>
      <c r="AO41">
        <v>-0.56200000000000006</v>
      </c>
      <c r="AP41">
        <v>0.21</v>
      </c>
      <c r="AQ41">
        <v>0.114</v>
      </c>
      <c r="AR41">
        <v>8.8999999999999996E-2</v>
      </c>
      <c r="AS41">
        <v>0.48499999999999999</v>
      </c>
      <c r="AT41">
        <v>0.55700000000000005</v>
      </c>
      <c r="AU41">
        <v>0.38</v>
      </c>
      <c r="AV41">
        <v>0.14000000000000001</v>
      </c>
      <c r="AW41">
        <v>-0.23899999999999999</v>
      </c>
      <c r="AX41">
        <v>0.26</v>
      </c>
      <c r="AY41">
        <v>-0.30599999999999999</v>
      </c>
      <c r="AZ41">
        <v>4.4999999999999998E-2</v>
      </c>
      <c r="BA41">
        <v>0.80400000000000005</v>
      </c>
      <c r="BB41">
        <v>0.91800000000000004</v>
      </c>
      <c r="BC41">
        <v>-7.8E-2</v>
      </c>
      <c r="BD41">
        <v>-0.78200000000000003</v>
      </c>
      <c r="BE41">
        <v>-0.47899999999999998</v>
      </c>
      <c r="BF41">
        <v>0.123</v>
      </c>
      <c r="BG41">
        <v>0.26600000000000001</v>
      </c>
      <c r="BH41">
        <v>0.27600000000000002</v>
      </c>
      <c r="BI41">
        <v>0.27600000000000002</v>
      </c>
      <c r="BJ41">
        <v>-0.98699999999999999</v>
      </c>
      <c r="BK41">
        <v>0.90400000000000003</v>
      </c>
      <c r="BL41">
        <v>-0.56499999999999995</v>
      </c>
      <c r="BM41">
        <v>0.113</v>
      </c>
    </row>
    <row r="42" spans="1:65" x14ac:dyDescent="0.3">
      <c r="A42" t="s">
        <v>135</v>
      </c>
      <c r="B42">
        <v>0</v>
      </c>
      <c r="C42">
        <v>0</v>
      </c>
      <c r="M42" t="s">
        <v>100</v>
      </c>
      <c r="N42">
        <v>1.992</v>
      </c>
      <c r="O42">
        <v>2.39</v>
      </c>
      <c r="P42" t="s">
        <v>68</v>
      </c>
      <c r="Q42">
        <v>1.2999999999999999E-2</v>
      </c>
      <c r="R42">
        <v>1.2999999999999999E-2</v>
      </c>
      <c r="S42">
        <v>0.45066247266666698</v>
      </c>
      <c r="T42">
        <v>5.8999999999999997E-2</v>
      </c>
      <c r="U42">
        <v>4.0000000000000001E-3</v>
      </c>
      <c r="V42">
        <v>7.9000000000000001E-2</v>
      </c>
      <c r="W42">
        <v>-0.23499999999999999</v>
      </c>
      <c r="X42">
        <v>-0.13900000000000001</v>
      </c>
      <c r="Y42">
        <v>0.152</v>
      </c>
      <c r="Z42">
        <v>0.215</v>
      </c>
      <c r="AA42">
        <v>0.223</v>
      </c>
      <c r="AB42">
        <v>0.58899999999999997</v>
      </c>
      <c r="AC42">
        <v>0.58499999999999996</v>
      </c>
      <c r="AD42">
        <v>0.79200000000000004</v>
      </c>
      <c r="AE42">
        <v>0.69799999999999995</v>
      </c>
      <c r="AF42">
        <v>0.80600000000000005</v>
      </c>
      <c r="AG42">
        <v>-0.42499999999999999</v>
      </c>
      <c r="AH42">
        <v>-0.64</v>
      </c>
      <c r="AI42">
        <v>-0.22800000000000001</v>
      </c>
      <c r="AJ42">
        <v>5.1999999999999998E-2</v>
      </c>
      <c r="AK42">
        <v>0.23200000000000001</v>
      </c>
      <c r="AL42">
        <v>-0.252</v>
      </c>
      <c r="AM42">
        <v>-6.9000000000000006E-2</v>
      </c>
      <c r="AN42">
        <v>0.32900000000000001</v>
      </c>
      <c r="AO42">
        <v>-0.48699999999999999</v>
      </c>
      <c r="AP42">
        <v>0.34200000000000003</v>
      </c>
      <c r="AQ42">
        <v>0.26200000000000001</v>
      </c>
      <c r="AR42">
        <v>-0.161</v>
      </c>
      <c r="AS42">
        <v>-0.32200000000000001</v>
      </c>
      <c r="AT42">
        <v>6.4000000000000001E-2</v>
      </c>
      <c r="AU42">
        <v>-0.52400000000000002</v>
      </c>
      <c r="AV42">
        <v>0.20699999999999999</v>
      </c>
      <c r="AW42">
        <v>-0.32900000000000001</v>
      </c>
      <c r="AX42">
        <v>-0.20899999999999999</v>
      </c>
      <c r="AY42">
        <v>0.69</v>
      </c>
      <c r="AZ42">
        <v>0.51</v>
      </c>
      <c r="BA42">
        <v>0.90800000000000003</v>
      </c>
      <c r="BB42">
        <v>0.90200000000000002</v>
      </c>
      <c r="BC42">
        <v>0.61299999999999999</v>
      </c>
      <c r="BD42">
        <v>-2.5999999999999999E-2</v>
      </c>
      <c r="BE42">
        <v>-8.8999999999999996E-2</v>
      </c>
      <c r="BF42">
        <v>0.36599999999999999</v>
      </c>
      <c r="BG42">
        <v>-0.43099999999999999</v>
      </c>
      <c r="BH42">
        <v>-9.8000000000000004E-2</v>
      </c>
      <c r="BI42">
        <v>0.51500000000000001</v>
      </c>
      <c r="BJ42">
        <v>-0.28699999999999998</v>
      </c>
      <c r="BK42">
        <v>2.7E-2</v>
      </c>
      <c r="BL42">
        <v>0.88200000000000001</v>
      </c>
      <c r="BM42">
        <v>0.371</v>
      </c>
    </row>
    <row r="43" spans="1:65" x14ac:dyDescent="0.3">
      <c r="A43" t="s">
        <v>112</v>
      </c>
      <c r="B43">
        <v>0</v>
      </c>
      <c r="C43">
        <v>2.4802408635807901E-2</v>
      </c>
      <c r="M43" t="s">
        <v>106</v>
      </c>
      <c r="N43">
        <v>1.9890000000000001</v>
      </c>
      <c r="O43">
        <v>1.645</v>
      </c>
      <c r="P43" t="s">
        <v>57</v>
      </c>
      <c r="Q43">
        <v>1.0999999999999999E-2</v>
      </c>
      <c r="R43">
        <v>1.0999999999999999E-2</v>
      </c>
      <c r="S43">
        <v>0.29051820423666702</v>
      </c>
      <c r="T43">
        <v>0.35</v>
      </c>
      <c r="U43">
        <v>0.72399999999999998</v>
      </c>
      <c r="V43">
        <v>0.42399999999999999</v>
      </c>
      <c r="W43">
        <v>8.1000000000000003E-2</v>
      </c>
      <c r="X43">
        <v>0.435</v>
      </c>
      <c r="Y43">
        <v>-0.189</v>
      </c>
      <c r="Z43">
        <v>-0.51900000000000002</v>
      </c>
      <c r="AA43">
        <v>-0.14799999999999999</v>
      </c>
      <c r="AB43">
        <v>0.46600000000000003</v>
      </c>
      <c r="AC43">
        <v>0.46100000000000002</v>
      </c>
      <c r="AD43">
        <v>0.81399999999999995</v>
      </c>
      <c r="AE43">
        <v>0.89900000000000002</v>
      </c>
      <c r="AF43">
        <v>0.94</v>
      </c>
      <c r="AG43">
        <v>-0.11899999999999999</v>
      </c>
      <c r="AH43">
        <v>0.56799999999999995</v>
      </c>
      <c r="AI43">
        <v>0.60399999999999998</v>
      </c>
      <c r="AJ43">
        <v>1</v>
      </c>
      <c r="AK43">
        <v>0.56999999999999995</v>
      </c>
      <c r="AL43">
        <v>-0.42099999999999999</v>
      </c>
      <c r="AM43">
        <v>0.75</v>
      </c>
      <c r="AN43">
        <v>-0.17599999999999999</v>
      </c>
      <c r="AO43">
        <v>0.68899999999999995</v>
      </c>
      <c r="AP43">
        <v>-0.20399999999999999</v>
      </c>
      <c r="AQ43">
        <v>-0.21099999999999999</v>
      </c>
      <c r="AR43">
        <v>0.38700000000000001</v>
      </c>
      <c r="AS43">
        <v>-0.48299999999999998</v>
      </c>
      <c r="AT43">
        <v>0.27100000000000002</v>
      </c>
      <c r="AU43">
        <v>0.19900000000000001</v>
      </c>
      <c r="AV43">
        <v>6.0000000000000001E-3</v>
      </c>
      <c r="AW43">
        <v>-0.434</v>
      </c>
      <c r="AX43">
        <v>-0.26200000000000001</v>
      </c>
      <c r="AY43">
        <v>-0.13200000000000001</v>
      </c>
      <c r="AZ43">
        <v>-0.109</v>
      </c>
      <c r="BA43">
        <v>0.59599999999999997</v>
      </c>
      <c r="BB43">
        <v>-0.17699999999999999</v>
      </c>
      <c r="BC43">
        <v>0.45500000000000002</v>
      </c>
      <c r="BD43">
        <v>0.17799999999999999</v>
      </c>
      <c r="BE43">
        <v>0.504</v>
      </c>
      <c r="BF43">
        <v>0.29599999999999999</v>
      </c>
      <c r="BG43">
        <v>7.2999999999999995E-2</v>
      </c>
      <c r="BH43">
        <v>0.41799999999999998</v>
      </c>
      <c r="BI43">
        <v>-0.05</v>
      </c>
      <c r="BJ43">
        <v>0.17899999999999999</v>
      </c>
      <c r="BK43">
        <v>-7.0000000000000001E-3</v>
      </c>
      <c r="BL43">
        <v>0.21199999999999999</v>
      </c>
      <c r="BM43">
        <v>0.85099999999999998</v>
      </c>
    </row>
    <row r="44" spans="1:65" x14ac:dyDescent="0.3">
      <c r="A44" t="s">
        <v>156</v>
      </c>
      <c r="B44">
        <v>0</v>
      </c>
      <c r="C44">
        <v>0</v>
      </c>
      <c r="M44" t="s">
        <v>74</v>
      </c>
      <c r="N44">
        <v>1.97</v>
      </c>
      <c r="O44">
        <v>1.5529999999999999</v>
      </c>
      <c r="P44" t="s">
        <v>53</v>
      </c>
      <c r="Q44">
        <v>8.9999999999999993E-3</v>
      </c>
      <c r="R44">
        <v>8.9999999999999993E-3</v>
      </c>
      <c r="S44">
        <v>0.53502726880999996</v>
      </c>
      <c r="T44">
        <v>0.23499999999999999</v>
      </c>
      <c r="U44">
        <v>-9.9000000000000005E-2</v>
      </c>
      <c r="V44">
        <v>0.58599999999999997</v>
      </c>
      <c r="W44">
        <v>0.27400000000000002</v>
      </c>
      <c r="X44">
        <v>0.33300000000000002</v>
      </c>
      <c r="Y44">
        <v>0.125</v>
      </c>
      <c r="Z44">
        <v>5.0000000000000001E-3</v>
      </c>
      <c r="AA44">
        <v>1.9E-2</v>
      </c>
      <c r="AB44">
        <v>0.45300000000000001</v>
      </c>
      <c r="AC44">
        <v>0.45200000000000001</v>
      </c>
      <c r="AD44">
        <v>0.64100000000000001</v>
      </c>
      <c r="AE44">
        <v>0.754</v>
      </c>
      <c r="AF44">
        <v>0.72299999999999998</v>
      </c>
      <c r="AG44">
        <v>0.61899999999999999</v>
      </c>
      <c r="AH44">
        <v>0.497</v>
      </c>
      <c r="AI44">
        <v>-0.12</v>
      </c>
      <c r="AJ44">
        <v>1</v>
      </c>
      <c r="AK44">
        <v>2.5000000000000001E-2</v>
      </c>
      <c r="AL44">
        <v>0.158</v>
      </c>
      <c r="AM44">
        <v>0.78600000000000003</v>
      </c>
      <c r="AN44">
        <v>0.155</v>
      </c>
      <c r="AO44">
        <v>0.13600000000000001</v>
      </c>
      <c r="AP44">
        <v>0.14499999999999999</v>
      </c>
      <c r="AQ44">
        <v>-0.30599999999999999</v>
      </c>
      <c r="AR44">
        <v>-0.23799999999999999</v>
      </c>
      <c r="AS44">
        <v>0.186</v>
      </c>
      <c r="AT44">
        <v>-0.23200000000000001</v>
      </c>
      <c r="AU44">
        <v>-0.62</v>
      </c>
      <c r="AV44">
        <v>0.33</v>
      </c>
      <c r="AW44">
        <v>-0.60699999999999998</v>
      </c>
      <c r="AX44">
        <v>0.21299999999999999</v>
      </c>
      <c r="AY44">
        <v>0.23400000000000001</v>
      </c>
      <c r="AZ44">
        <v>-0.128</v>
      </c>
      <c r="BA44">
        <v>0.878</v>
      </c>
      <c r="BB44">
        <v>0.28599999999999998</v>
      </c>
      <c r="BC44">
        <v>0.16200000000000001</v>
      </c>
      <c r="BD44">
        <v>-6.7000000000000004E-2</v>
      </c>
      <c r="BE44">
        <v>4.2999999999999997E-2</v>
      </c>
      <c r="BF44">
        <v>0.16400000000000001</v>
      </c>
      <c r="BG44">
        <v>0.34200000000000003</v>
      </c>
      <c r="BH44">
        <v>-0.14199999999999999</v>
      </c>
      <c r="BI44">
        <v>0.24099999999999999</v>
      </c>
      <c r="BJ44">
        <v>-0.70199999999999996</v>
      </c>
      <c r="BK44">
        <v>-0.11600000000000001</v>
      </c>
      <c r="BL44">
        <v>0.83199999999999996</v>
      </c>
      <c r="BM44">
        <v>0.745</v>
      </c>
    </row>
    <row r="45" spans="1:65" x14ac:dyDescent="0.3">
      <c r="A45" t="s">
        <v>246</v>
      </c>
      <c r="B45">
        <v>0</v>
      </c>
      <c r="C45">
        <v>0</v>
      </c>
      <c r="M45" t="s">
        <v>120</v>
      </c>
      <c r="N45">
        <v>1.9690000000000001</v>
      </c>
      <c r="O45">
        <v>2.29</v>
      </c>
      <c r="P45" t="s">
        <v>71</v>
      </c>
      <c r="Q45">
        <v>1.6E-2</v>
      </c>
      <c r="R45">
        <v>1.4999999999999999E-2</v>
      </c>
      <c r="S45">
        <v>0.70083502088733296</v>
      </c>
      <c r="T45">
        <v>-0.27500000000000002</v>
      </c>
      <c r="U45">
        <v>0.45600000000000002</v>
      </c>
      <c r="V45">
        <v>-0.63400000000000001</v>
      </c>
      <c r="W45">
        <v>-2.1000000000000001E-2</v>
      </c>
      <c r="X45">
        <v>4.0000000000000001E-3</v>
      </c>
      <c r="Y45">
        <v>-0.05</v>
      </c>
      <c r="Z45">
        <v>-0.32600000000000001</v>
      </c>
      <c r="AA45">
        <v>0.25800000000000001</v>
      </c>
      <c r="AB45">
        <v>1</v>
      </c>
      <c r="AC45">
        <v>1</v>
      </c>
      <c r="AD45">
        <v>0.90500000000000003</v>
      </c>
      <c r="AE45">
        <v>0.97199999999999998</v>
      </c>
      <c r="AF45">
        <v>0.95699999999999996</v>
      </c>
      <c r="AG45">
        <v>-0.14399999999999999</v>
      </c>
      <c r="AH45">
        <v>-0.36399999999999999</v>
      </c>
      <c r="AI45">
        <v>1</v>
      </c>
      <c r="AJ45">
        <v>-0.45500000000000002</v>
      </c>
      <c r="AK45">
        <v>-0.218</v>
      </c>
      <c r="AL45">
        <v>-0.874</v>
      </c>
      <c r="AM45">
        <v>0.55200000000000005</v>
      </c>
      <c r="AN45">
        <v>-0.19800000000000001</v>
      </c>
      <c r="AO45">
        <v>0.55600000000000005</v>
      </c>
      <c r="AP45">
        <v>-0.623</v>
      </c>
      <c r="AQ45">
        <v>0.55000000000000004</v>
      </c>
      <c r="AR45">
        <v>0.30099999999999999</v>
      </c>
      <c r="AS45">
        <v>-0.86</v>
      </c>
      <c r="AT45">
        <v>0.48</v>
      </c>
      <c r="AU45">
        <v>0.40200000000000002</v>
      </c>
      <c r="AV45">
        <v>9.7000000000000003E-2</v>
      </c>
      <c r="AW45">
        <v>-0.53500000000000003</v>
      </c>
      <c r="AX45">
        <v>-0.152</v>
      </c>
      <c r="AY45">
        <v>0.41199999999999998</v>
      </c>
      <c r="AZ45">
        <v>-6.0999999999999999E-2</v>
      </c>
      <c r="BA45">
        <v>0.8</v>
      </c>
      <c r="BB45">
        <v>-0.158</v>
      </c>
      <c r="BC45">
        <v>-9.5000000000000001E-2</v>
      </c>
      <c r="BD45">
        <v>0.20100000000000001</v>
      </c>
      <c r="BE45">
        <v>7.2999999999999995E-2</v>
      </c>
      <c r="BF45">
        <v>0.69299999999999995</v>
      </c>
      <c r="BG45">
        <v>-1</v>
      </c>
      <c r="BH45">
        <v>-0.67</v>
      </c>
      <c r="BI45">
        <v>0.36499999999999999</v>
      </c>
      <c r="BJ45">
        <v>-0.35099999999999998</v>
      </c>
      <c r="BK45">
        <v>-0.45900000000000002</v>
      </c>
      <c r="BL45">
        <v>-0.183</v>
      </c>
      <c r="BM45">
        <v>-7.9000000000000001E-2</v>
      </c>
    </row>
    <row r="46" spans="1:65" x14ac:dyDescent="0.3">
      <c r="A46" t="s">
        <v>58</v>
      </c>
      <c r="B46">
        <v>1.53043767385926E-2</v>
      </c>
      <c r="C46">
        <v>9.2447260246992392E-3</v>
      </c>
      <c r="M46" t="s">
        <v>121</v>
      </c>
      <c r="N46">
        <v>1.9079999999999999</v>
      </c>
      <c r="O46">
        <v>4.3499999999999996</v>
      </c>
      <c r="P46" t="s">
        <v>57</v>
      </c>
      <c r="Q46">
        <v>2.5000000000000001E-2</v>
      </c>
      <c r="R46">
        <v>-1.9E-2</v>
      </c>
      <c r="S46">
        <v>0.99916353841233296</v>
      </c>
      <c r="T46">
        <v>-0.25</v>
      </c>
      <c r="U46">
        <v>-0.26600000000000001</v>
      </c>
      <c r="V46">
        <v>-0.77200000000000002</v>
      </c>
      <c r="W46">
        <v>9.1999999999999998E-2</v>
      </c>
      <c r="X46">
        <v>-0.34300000000000003</v>
      </c>
      <c r="Y46">
        <v>0.26100000000000001</v>
      </c>
      <c r="Z46">
        <v>0.53300000000000003</v>
      </c>
      <c r="AA46">
        <v>0.42899999999999999</v>
      </c>
      <c r="AB46">
        <v>0.50800000000000001</v>
      </c>
      <c r="AC46">
        <v>0.50800000000000001</v>
      </c>
      <c r="AD46">
        <v>0.77700000000000002</v>
      </c>
      <c r="AE46">
        <v>0.83099999999999996</v>
      </c>
      <c r="AF46">
        <v>0.77100000000000002</v>
      </c>
      <c r="AG46">
        <v>0.123</v>
      </c>
      <c r="AH46">
        <v>-0.218</v>
      </c>
      <c r="AI46">
        <v>6.3E-2</v>
      </c>
      <c r="AJ46">
        <v>-0.96399999999999997</v>
      </c>
      <c r="AK46">
        <v>-0.76200000000000001</v>
      </c>
      <c r="AL46">
        <v>-0.83</v>
      </c>
      <c r="AM46">
        <v>-0.17399999999999999</v>
      </c>
      <c r="AN46">
        <v>0.221</v>
      </c>
      <c r="AO46">
        <v>-0.67900000000000005</v>
      </c>
      <c r="AP46">
        <v>-0.20599999999999999</v>
      </c>
      <c r="AQ46">
        <v>0.46300000000000002</v>
      </c>
      <c r="AR46">
        <v>-4.5999999999999999E-2</v>
      </c>
      <c r="AS46">
        <v>8.9999999999999993E-3</v>
      </c>
      <c r="AT46">
        <v>0.30599999999999999</v>
      </c>
      <c r="AU46">
        <v>0.41299999999999998</v>
      </c>
      <c r="AV46">
        <v>-1E-3</v>
      </c>
      <c r="AW46">
        <v>-2E-3</v>
      </c>
      <c r="AX46">
        <v>0.379</v>
      </c>
      <c r="AY46">
        <v>0.436</v>
      </c>
      <c r="AZ46">
        <v>-0.40100000000000002</v>
      </c>
      <c r="BA46">
        <v>0.91</v>
      </c>
      <c r="BB46">
        <v>0.68799999999999994</v>
      </c>
      <c r="BC46">
        <v>0.65300000000000002</v>
      </c>
      <c r="BD46">
        <v>-0.20699999999999999</v>
      </c>
      <c r="BE46">
        <v>1.4E-2</v>
      </c>
      <c r="BF46">
        <v>0.55000000000000004</v>
      </c>
      <c r="BG46">
        <v>-0.128</v>
      </c>
      <c r="BH46">
        <v>-0.39500000000000002</v>
      </c>
      <c r="BI46">
        <v>0.82399999999999995</v>
      </c>
      <c r="BJ46">
        <v>-0.68</v>
      </c>
      <c r="BK46">
        <v>-0.08</v>
      </c>
      <c r="BL46">
        <v>-0.182</v>
      </c>
      <c r="BM46">
        <v>-0.70899999999999996</v>
      </c>
    </row>
    <row r="47" spans="1:65" x14ac:dyDescent="0.3">
      <c r="A47" t="s">
        <v>207</v>
      </c>
      <c r="B47">
        <v>0</v>
      </c>
      <c r="C47">
        <v>0</v>
      </c>
      <c r="M47" t="s">
        <v>72</v>
      </c>
      <c r="N47">
        <v>1.9039999999999999</v>
      </c>
      <c r="O47">
        <v>1.5640000000000001</v>
      </c>
      <c r="P47" t="s">
        <v>57</v>
      </c>
      <c r="Q47">
        <v>8.9999999999999993E-3</v>
      </c>
      <c r="R47">
        <v>8.9999999999999993E-3</v>
      </c>
      <c r="S47">
        <v>0.63377817559666705</v>
      </c>
      <c r="T47">
        <v>0.26600000000000001</v>
      </c>
      <c r="U47">
        <v>-0.21299999999999999</v>
      </c>
      <c r="V47">
        <v>0.12</v>
      </c>
      <c r="W47">
        <v>0.49299999999999999</v>
      </c>
      <c r="X47">
        <v>0.151</v>
      </c>
      <c r="Y47">
        <v>0.20699999999999999</v>
      </c>
      <c r="Z47">
        <v>0.20599999999999999</v>
      </c>
      <c r="AA47">
        <v>9.1999999999999998E-2</v>
      </c>
      <c r="AB47">
        <v>8.5999999999999993E-2</v>
      </c>
      <c r="AC47">
        <v>8.5000000000000006E-2</v>
      </c>
      <c r="AD47">
        <v>0.77600000000000002</v>
      </c>
      <c r="AE47">
        <v>0.75900000000000001</v>
      </c>
      <c r="AF47">
        <v>0.67200000000000004</v>
      </c>
      <c r="AG47">
        <v>0.90800000000000003</v>
      </c>
      <c r="AH47">
        <v>0.92500000000000004</v>
      </c>
      <c r="AI47">
        <v>-0.60099999999999998</v>
      </c>
      <c r="AJ47">
        <v>-0.52400000000000002</v>
      </c>
      <c r="AK47">
        <v>-0.45600000000000002</v>
      </c>
      <c r="AL47">
        <v>0.24399999999999999</v>
      </c>
      <c r="AM47">
        <v>-0.34200000000000003</v>
      </c>
      <c r="AN47">
        <v>-6.8000000000000005E-2</v>
      </c>
      <c r="AO47">
        <v>-0.79100000000000004</v>
      </c>
      <c r="AP47">
        <v>0.497</v>
      </c>
      <c r="AQ47">
        <v>1.7999999999999999E-2</v>
      </c>
      <c r="AR47">
        <v>-0.70199999999999996</v>
      </c>
      <c r="AS47">
        <v>0.82099999999999995</v>
      </c>
      <c r="AT47">
        <v>0.55200000000000005</v>
      </c>
      <c r="AU47">
        <v>0.51100000000000001</v>
      </c>
      <c r="AV47">
        <v>0.30299999999999999</v>
      </c>
      <c r="AW47">
        <v>-2.1000000000000001E-2</v>
      </c>
      <c r="AX47">
        <v>0.71399999999999997</v>
      </c>
      <c r="AY47">
        <v>-1.7000000000000001E-2</v>
      </c>
      <c r="AZ47">
        <v>7.1999999999999995E-2</v>
      </c>
      <c r="BA47">
        <v>-5.2999999999999999E-2</v>
      </c>
      <c r="BB47">
        <v>6.0999999999999999E-2</v>
      </c>
      <c r="BC47">
        <v>0.35</v>
      </c>
      <c r="BD47">
        <v>0.33800000000000002</v>
      </c>
      <c r="BE47">
        <v>-9.0999999999999998E-2</v>
      </c>
      <c r="BF47">
        <v>0.45600000000000002</v>
      </c>
      <c r="BG47">
        <v>-0.38400000000000001</v>
      </c>
      <c r="BH47">
        <v>-1.7999999999999999E-2</v>
      </c>
      <c r="BI47">
        <v>9.8000000000000004E-2</v>
      </c>
      <c r="BJ47">
        <v>-8.0000000000000002E-3</v>
      </c>
      <c r="BK47">
        <v>0.219</v>
      </c>
      <c r="BL47">
        <v>0.221</v>
      </c>
      <c r="BM47">
        <v>-0.24099999999999999</v>
      </c>
    </row>
    <row r="48" spans="1:65" x14ac:dyDescent="0.3">
      <c r="A48" t="s">
        <v>220</v>
      </c>
      <c r="B48">
        <v>0</v>
      </c>
      <c r="C48">
        <v>0</v>
      </c>
      <c r="M48" t="s">
        <v>56</v>
      </c>
      <c r="N48">
        <v>1.8919999999999999</v>
      </c>
      <c r="O48">
        <v>1.984</v>
      </c>
      <c r="P48" t="s">
        <v>55</v>
      </c>
      <c r="Q48">
        <v>1.0999999999999999E-2</v>
      </c>
      <c r="R48">
        <v>1.0999999999999999E-2</v>
      </c>
      <c r="S48">
        <v>0.34131741066666699</v>
      </c>
      <c r="T48">
        <v>-7.0999999999999994E-2</v>
      </c>
      <c r="U48">
        <v>-0.20300000000000001</v>
      </c>
      <c r="V48">
        <v>-0.26700000000000002</v>
      </c>
      <c r="W48">
        <v>0.17299999999999999</v>
      </c>
      <c r="X48">
        <v>-7.4999999999999997E-2</v>
      </c>
      <c r="Y48">
        <v>0.26600000000000001</v>
      </c>
      <c r="Z48">
        <v>0.48599999999999999</v>
      </c>
      <c r="AA48">
        <v>0.17699999999999999</v>
      </c>
      <c r="AB48">
        <v>0.436</v>
      </c>
      <c r="AC48">
        <v>0.438</v>
      </c>
      <c r="AD48">
        <v>0.88900000000000001</v>
      </c>
      <c r="AE48">
        <v>0.68200000000000005</v>
      </c>
      <c r="AF48">
        <v>0.73499999999999999</v>
      </c>
      <c r="AG48">
        <v>0.41399999999999998</v>
      </c>
      <c r="AH48">
        <v>-0.13300000000000001</v>
      </c>
      <c r="AI48">
        <v>0.26500000000000001</v>
      </c>
      <c r="AJ48">
        <v>-0.54800000000000004</v>
      </c>
      <c r="AK48">
        <v>-0.58799999999999997</v>
      </c>
      <c r="AL48">
        <v>-0.40799999999999997</v>
      </c>
      <c r="AM48">
        <v>0.40799999999999997</v>
      </c>
      <c r="AN48">
        <v>-0.20300000000000001</v>
      </c>
      <c r="AO48">
        <v>-0.34300000000000003</v>
      </c>
      <c r="AP48">
        <v>-0.254</v>
      </c>
      <c r="AQ48">
        <v>0.109</v>
      </c>
      <c r="AR48">
        <v>-0.3</v>
      </c>
      <c r="AS48">
        <v>-1.4E-2</v>
      </c>
      <c r="AT48">
        <v>-0.52400000000000002</v>
      </c>
      <c r="AU48">
        <v>-0.79100000000000004</v>
      </c>
      <c r="AV48">
        <v>0.17199999999999999</v>
      </c>
      <c r="AW48">
        <v>0.26400000000000001</v>
      </c>
      <c r="AX48">
        <v>0.44</v>
      </c>
      <c r="AY48">
        <v>0.73499999999999999</v>
      </c>
      <c r="AZ48">
        <v>-9.5000000000000001E-2</v>
      </c>
      <c r="BA48">
        <v>-0.214</v>
      </c>
      <c r="BB48">
        <v>0.42599999999999999</v>
      </c>
      <c r="BC48">
        <v>1</v>
      </c>
      <c r="BD48">
        <v>1.7999999999999999E-2</v>
      </c>
      <c r="BE48">
        <v>0.47699999999999998</v>
      </c>
      <c r="BF48">
        <v>0.39500000000000002</v>
      </c>
      <c r="BG48">
        <v>-0.25700000000000001</v>
      </c>
      <c r="BH48">
        <v>0.46100000000000002</v>
      </c>
      <c r="BI48">
        <v>0.374</v>
      </c>
      <c r="BJ48">
        <v>-0.68400000000000005</v>
      </c>
      <c r="BK48">
        <v>-0.10299999999999999</v>
      </c>
      <c r="BL48">
        <v>0.621</v>
      </c>
      <c r="BM48">
        <v>0.109</v>
      </c>
    </row>
    <row r="49" spans="1:65" x14ac:dyDescent="0.3">
      <c r="A49" t="s">
        <v>217</v>
      </c>
      <c r="B49">
        <v>0</v>
      </c>
      <c r="C49">
        <v>0</v>
      </c>
      <c r="M49" t="s">
        <v>81</v>
      </c>
      <c r="N49">
        <v>1.88</v>
      </c>
      <c r="O49">
        <v>3.573</v>
      </c>
      <c r="P49" t="s">
        <v>55</v>
      </c>
      <c r="Q49">
        <v>0.03</v>
      </c>
      <c r="R49">
        <v>3.0000000000000001E-3</v>
      </c>
      <c r="S49">
        <v>1.46064112256333</v>
      </c>
      <c r="T49">
        <v>2.5999999999999999E-2</v>
      </c>
      <c r="U49">
        <v>-0.56200000000000006</v>
      </c>
      <c r="V49">
        <v>-0.47899999999999998</v>
      </c>
      <c r="W49">
        <v>0.40400000000000003</v>
      </c>
      <c r="X49">
        <v>-0.26100000000000001</v>
      </c>
      <c r="Y49">
        <v>0.49099999999999999</v>
      </c>
      <c r="Z49">
        <v>0.74</v>
      </c>
      <c r="AA49">
        <v>0.122</v>
      </c>
      <c r="AB49">
        <v>0.45</v>
      </c>
      <c r="AC49">
        <v>0.44700000000000001</v>
      </c>
      <c r="AD49">
        <v>0.81299999999999994</v>
      </c>
      <c r="AE49">
        <v>0.78900000000000003</v>
      </c>
      <c r="AF49">
        <v>0.63300000000000001</v>
      </c>
      <c r="AG49">
        <v>0.752</v>
      </c>
      <c r="AH49">
        <v>8.7999999999999995E-2</v>
      </c>
      <c r="AI49">
        <v>-0.53400000000000003</v>
      </c>
      <c r="AJ49">
        <v>-0.90400000000000003</v>
      </c>
      <c r="AK49">
        <v>-0.86</v>
      </c>
      <c r="AL49">
        <v>-0.49199999999999999</v>
      </c>
      <c r="AM49">
        <v>0.32500000000000001</v>
      </c>
      <c r="AN49">
        <v>-2.1000000000000001E-2</v>
      </c>
      <c r="AO49">
        <v>-0.82699999999999996</v>
      </c>
      <c r="AP49">
        <v>-0.128</v>
      </c>
      <c r="AQ49">
        <v>-7.0999999999999994E-2</v>
      </c>
      <c r="AR49">
        <v>-0.251</v>
      </c>
      <c r="AS49">
        <v>0.53800000000000003</v>
      </c>
      <c r="AT49">
        <v>0.26400000000000001</v>
      </c>
      <c r="AU49">
        <v>-0.314</v>
      </c>
      <c r="AV49">
        <v>0.433</v>
      </c>
      <c r="AW49">
        <v>0.246</v>
      </c>
      <c r="AX49">
        <v>1</v>
      </c>
      <c r="AY49">
        <v>0.72699999999999998</v>
      </c>
      <c r="AZ49">
        <v>0.17299999999999999</v>
      </c>
      <c r="BA49">
        <v>0.77500000000000002</v>
      </c>
      <c r="BB49">
        <v>0.39300000000000002</v>
      </c>
      <c r="BC49">
        <v>0.89500000000000002</v>
      </c>
      <c r="BD49">
        <v>0.28399999999999997</v>
      </c>
      <c r="BE49">
        <v>0.39700000000000002</v>
      </c>
      <c r="BF49">
        <v>0.61299999999999999</v>
      </c>
      <c r="BG49">
        <v>0.27</v>
      </c>
      <c r="BH49">
        <v>0.66300000000000003</v>
      </c>
      <c r="BI49">
        <v>0.35399999999999998</v>
      </c>
      <c r="BJ49">
        <v>-0.70299999999999996</v>
      </c>
      <c r="BK49">
        <v>-0.36199999999999999</v>
      </c>
      <c r="BL49">
        <v>2.1000000000000001E-2</v>
      </c>
      <c r="BM49">
        <v>-0.53600000000000003</v>
      </c>
    </row>
    <row r="50" spans="1:65" x14ac:dyDescent="0.3">
      <c r="A50" t="s">
        <v>254</v>
      </c>
      <c r="B50">
        <v>0</v>
      </c>
      <c r="C50">
        <v>0</v>
      </c>
      <c r="M50" t="s">
        <v>95</v>
      </c>
      <c r="N50">
        <v>1.865</v>
      </c>
      <c r="O50">
        <v>4.25</v>
      </c>
      <c r="P50" t="s">
        <v>53</v>
      </c>
      <c r="Q50">
        <v>3.2000000000000001E-2</v>
      </c>
      <c r="R50">
        <v>-4.0000000000000001E-3</v>
      </c>
      <c r="S50">
        <v>3.7350504844666701</v>
      </c>
      <c r="T50">
        <v>-0.41899999999999998</v>
      </c>
      <c r="U50">
        <v>-0.45200000000000001</v>
      </c>
      <c r="V50">
        <v>-0.64400000000000002</v>
      </c>
      <c r="W50">
        <v>0.107</v>
      </c>
      <c r="X50">
        <v>-0.23699999999999999</v>
      </c>
      <c r="Y50">
        <v>0.377</v>
      </c>
      <c r="Z50">
        <v>0.89</v>
      </c>
      <c r="AA50">
        <v>0.46200000000000002</v>
      </c>
      <c r="AB50">
        <v>0.55200000000000005</v>
      </c>
      <c r="AC50">
        <v>0.55400000000000005</v>
      </c>
      <c r="AD50">
        <v>0.75700000000000001</v>
      </c>
      <c r="AE50">
        <v>0.75</v>
      </c>
      <c r="AF50">
        <v>0.61</v>
      </c>
      <c r="AG50">
        <v>8.4000000000000005E-2</v>
      </c>
      <c r="AH50">
        <v>0.68600000000000005</v>
      </c>
      <c r="AI50">
        <v>-0.183</v>
      </c>
      <c r="AJ50">
        <v>-0.82499999999999996</v>
      </c>
      <c r="AK50">
        <v>-0.84799999999999998</v>
      </c>
      <c r="AL50">
        <v>-0.64900000000000002</v>
      </c>
      <c r="AM50">
        <v>-0.27900000000000003</v>
      </c>
      <c r="AN50">
        <v>0.57599999999999996</v>
      </c>
      <c r="AO50">
        <v>-0.94199999999999995</v>
      </c>
      <c r="AP50">
        <v>0.26700000000000002</v>
      </c>
      <c r="AQ50">
        <v>0.23</v>
      </c>
      <c r="AR50">
        <v>0.34300000000000003</v>
      </c>
      <c r="AS50">
        <v>5.0999999999999997E-2</v>
      </c>
      <c r="AT50">
        <v>0.26600000000000001</v>
      </c>
      <c r="AU50">
        <v>-0.35399999999999998</v>
      </c>
      <c r="AV50">
        <v>0.71499999999999997</v>
      </c>
      <c r="AW50">
        <v>0.21</v>
      </c>
      <c r="AX50">
        <v>-0.185</v>
      </c>
      <c r="AY50">
        <v>0.95099999999999996</v>
      </c>
      <c r="AZ50">
        <v>0.71899999999999997</v>
      </c>
      <c r="BA50">
        <v>0.71599999999999997</v>
      </c>
      <c r="BB50">
        <v>-0.23699999999999999</v>
      </c>
      <c r="BC50">
        <v>-0.64900000000000002</v>
      </c>
      <c r="BD50">
        <v>-0.10299999999999999</v>
      </c>
      <c r="BE50">
        <v>0.02</v>
      </c>
      <c r="BF50">
        <v>-1</v>
      </c>
      <c r="BG50">
        <v>-0.63200000000000001</v>
      </c>
      <c r="BH50">
        <v>-7.0999999999999994E-2</v>
      </c>
      <c r="BI50">
        <v>0.92800000000000005</v>
      </c>
      <c r="BJ50">
        <v>-0.40799999999999997</v>
      </c>
      <c r="BK50">
        <v>-0.628</v>
      </c>
      <c r="BL50">
        <v>-6.7000000000000004E-2</v>
      </c>
      <c r="BM50">
        <v>-0.60299999999999998</v>
      </c>
    </row>
    <row r="51" spans="1:65" x14ac:dyDescent="0.3">
      <c r="A51" t="s">
        <v>155</v>
      </c>
      <c r="B51">
        <v>0</v>
      </c>
      <c r="C51">
        <v>0</v>
      </c>
      <c r="M51" t="s">
        <v>119</v>
      </c>
      <c r="N51">
        <v>1.851</v>
      </c>
      <c r="O51">
        <v>1.853</v>
      </c>
      <c r="P51" t="s">
        <v>57</v>
      </c>
      <c r="Q51">
        <v>8.9999999999999993E-3</v>
      </c>
      <c r="R51">
        <v>6.0000000000000001E-3</v>
      </c>
      <c r="S51">
        <v>0.86827604551000004</v>
      </c>
      <c r="T51">
        <v>0.29699999999999999</v>
      </c>
      <c r="U51">
        <v>9.5000000000000001E-2</v>
      </c>
      <c r="V51">
        <v>0.105</v>
      </c>
      <c r="W51">
        <v>0.20100000000000001</v>
      </c>
      <c r="X51">
        <v>5.5E-2</v>
      </c>
      <c r="Y51">
        <v>0.22900000000000001</v>
      </c>
      <c r="Z51">
        <v>0.28100000000000003</v>
      </c>
      <c r="AA51">
        <v>-0.13900000000000001</v>
      </c>
      <c r="AB51">
        <v>0.20799999999999999</v>
      </c>
      <c r="AC51">
        <v>0.20599999999999999</v>
      </c>
      <c r="AD51">
        <v>0.82199999999999995</v>
      </c>
      <c r="AE51">
        <v>0.88100000000000001</v>
      </c>
      <c r="AF51">
        <v>0.69699999999999995</v>
      </c>
      <c r="AG51">
        <v>0.40799999999999997</v>
      </c>
      <c r="AH51">
        <v>0.46700000000000003</v>
      </c>
      <c r="AI51">
        <v>-0.23499999999999999</v>
      </c>
      <c r="AJ51">
        <v>-0.19400000000000001</v>
      </c>
      <c r="AK51">
        <v>-0.09</v>
      </c>
      <c r="AL51">
        <v>-2.1000000000000001E-2</v>
      </c>
      <c r="AM51">
        <v>-0.10199999999999999</v>
      </c>
      <c r="AN51">
        <v>-0.21299999999999999</v>
      </c>
      <c r="AO51">
        <v>-0.186</v>
      </c>
      <c r="AP51">
        <v>0.74299999999999999</v>
      </c>
      <c r="AQ51">
        <v>-0.309</v>
      </c>
      <c r="AR51">
        <v>-1.7000000000000001E-2</v>
      </c>
      <c r="AS51">
        <v>0.47899999999999998</v>
      </c>
      <c r="AT51">
        <v>0.39200000000000002</v>
      </c>
      <c r="AU51">
        <v>0.35299999999999998</v>
      </c>
      <c r="AV51">
        <v>-5.3999999999999999E-2</v>
      </c>
      <c r="AW51">
        <v>0.432</v>
      </c>
      <c r="AX51">
        <v>0.34499999999999997</v>
      </c>
      <c r="AY51">
        <v>-0.111</v>
      </c>
      <c r="AZ51">
        <v>0.186</v>
      </c>
      <c r="BA51">
        <v>0.442</v>
      </c>
      <c r="BB51">
        <v>0.63100000000000001</v>
      </c>
      <c r="BC51">
        <v>0</v>
      </c>
      <c r="BD51">
        <v>-4.9000000000000002E-2</v>
      </c>
      <c r="BE51">
        <v>-8.5000000000000006E-2</v>
      </c>
      <c r="BF51">
        <v>0.24399999999999999</v>
      </c>
      <c r="BG51">
        <v>0.33500000000000002</v>
      </c>
      <c r="BH51">
        <v>-0.154</v>
      </c>
      <c r="BI51">
        <v>0.20300000000000001</v>
      </c>
      <c r="BJ51">
        <v>-0.156</v>
      </c>
      <c r="BK51">
        <v>0.45700000000000002</v>
      </c>
      <c r="BL51">
        <v>-1.2E-2</v>
      </c>
      <c r="BM51">
        <v>0.03</v>
      </c>
    </row>
    <row r="52" spans="1:65" x14ac:dyDescent="0.3">
      <c r="A52" t="s">
        <v>213</v>
      </c>
      <c r="B52">
        <v>0</v>
      </c>
      <c r="C52">
        <v>0</v>
      </c>
      <c r="M52" t="s">
        <v>94</v>
      </c>
      <c r="N52">
        <v>1.8089999999999999</v>
      </c>
      <c r="O52">
        <v>2.379</v>
      </c>
      <c r="P52" t="s">
        <v>55</v>
      </c>
      <c r="Q52">
        <v>1.2E-2</v>
      </c>
      <c r="R52">
        <v>1.0999999999999999E-2</v>
      </c>
      <c r="S52">
        <v>0.56191836801999995</v>
      </c>
      <c r="T52">
        <v>0.253</v>
      </c>
      <c r="U52">
        <v>4.2000000000000003E-2</v>
      </c>
      <c r="V52">
        <v>-0.32400000000000001</v>
      </c>
      <c r="W52">
        <v>0.22500000000000001</v>
      </c>
      <c r="X52">
        <v>-0.19500000000000001</v>
      </c>
      <c r="Y52">
        <v>0.498</v>
      </c>
      <c r="Z52">
        <v>0.81599999999999995</v>
      </c>
      <c r="AA52">
        <v>-0.22</v>
      </c>
      <c r="AB52">
        <v>0.249</v>
      </c>
      <c r="AC52">
        <v>0.247</v>
      </c>
      <c r="AD52">
        <v>0.81100000000000005</v>
      </c>
      <c r="AE52">
        <v>0.78</v>
      </c>
      <c r="AF52">
        <v>0.63</v>
      </c>
      <c r="AG52">
        <v>7.6999999999999999E-2</v>
      </c>
      <c r="AH52">
        <v>-5.1999999999999998E-2</v>
      </c>
      <c r="AI52">
        <v>-0.32100000000000001</v>
      </c>
      <c r="AJ52">
        <v>-0.79100000000000004</v>
      </c>
      <c r="AK52">
        <v>-0.16200000000000001</v>
      </c>
      <c r="AL52">
        <v>2.8000000000000001E-2</v>
      </c>
      <c r="AM52">
        <v>-0.31</v>
      </c>
      <c r="AN52">
        <v>-0.69599999999999995</v>
      </c>
      <c r="AO52">
        <v>-0.67900000000000005</v>
      </c>
      <c r="AP52">
        <v>-0.20899999999999999</v>
      </c>
      <c r="AQ52">
        <v>6.2E-2</v>
      </c>
      <c r="AR52">
        <v>0.36299999999999999</v>
      </c>
      <c r="AS52">
        <v>0.80300000000000005</v>
      </c>
      <c r="AT52">
        <v>0.71599999999999997</v>
      </c>
      <c r="AU52">
        <v>0.37</v>
      </c>
      <c r="AV52">
        <v>0.20399999999999999</v>
      </c>
      <c r="AW52">
        <v>0.92800000000000005</v>
      </c>
      <c r="AX52">
        <v>0.81100000000000005</v>
      </c>
      <c r="AY52">
        <v>0.224</v>
      </c>
      <c r="AZ52">
        <v>-0.16300000000000001</v>
      </c>
      <c r="BA52">
        <v>0.48399999999999999</v>
      </c>
      <c r="BB52">
        <v>0.54900000000000004</v>
      </c>
      <c r="BC52">
        <v>0.51200000000000001</v>
      </c>
      <c r="BD52">
        <v>0.40600000000000003</v>
      </c>
      <c r="BE52">
        <v>9.0999999999999998E-2</v>
      </c>
      <c r="BF52">
        <v>0.52200000000000002</v>
      </c>
      <c r="BG52">
        <v>-0.29599999999999999</v>
      </c>
      <c r="BH52">
        <v>-0.23300000000000001</v>
      </c>
      <c r="BI52">
        <v>0.55300000000000005</v>
      </c>
      <c r="BJ52">
        <v>-0.4</v>
      </c>
      <c r="BK52">
        <v>0.46500000000000002</v>
      </c>
      <c r="BL52">
        <v>-0.23799999999999999</v>
      </c>
      <c r="BM52">
        <v>-0.17899999999999999</v>
      </c>
    </row>
    <row r="53" spans="1:65" x14ac:dyDescent="0.3">
      <c r="A53" t="s">
        <v>218</v>
      </c>
      <c r="B53">
        <v>0</v>
      </c>
      <c r="C53">
        <v>0</v>
      </c>
      <c r="M53" t="s">
        <v>127</v>
      </c>
      <c r="N53">
        <v>1.7310000000000001</v>
      </c>
      <c r="O53">
        <v>2.0209999999999999</v>
      </c>
      <c r="P53" t="s">
        <v>53</v>
      </c>
      <c r="Q53">
        <v>1.2999999999999999E-2</v>
      </c>
      <c r="R53">
        <v>1.2E-2</v>
      </c>
      <c r="S53">
        <v>2.3115818062</v>
      </c>
      <c r="T53">
        <v>-6.3E-2</v>
      </c>
      <c r="U53">
        <v>-0.33200000000000002</v>
      </c>
      <c r="V53">
        <v>-0.53900000000000003</v>
      </c>
      <c r="W53">
        <v>0.13600000000000001</v>
      </c>
      <c r="X53">
        <v>-0.34200000000000003</v>
      </c>
      <c r="Y53">
        <v>0.36099999999999999</v>
      </c>
      <c r="Z53">
        <v>0.59399999999999997</v>
      </c>
      <c r="AA53">
        <v>2.5000000000000001E-2</v>
      </c>
      <c r="AB53">
        <v>0.45700000000000002</v>
      </c>
      <c r="AC53">
        <v>0.45600000000000002</v>
      </c>
      <c r="AD53">
        <v>0.76900000000000002</v>
      </c>
      <c r="AE53">
        <v>0.80100000000000005</v>
      </c>
      <c r="AF53">
        <v>0.68200000000000005</v>
      </c>
      <c r="AG53">
        <v>-2.4E-2</v>
      </c>
      <c r="AH53">
        <v>0.21299999999999999</v>
      </c>
      <c r="AI53">
        <v>-0.29199999999999998</v>
      </c>
      <c r="AJ53">
        <v>-0.874</v>
      </c>
      <c r="AK53">
        <v>-0.77400000000000002</v>
      </c>
      <c r="AL53">
        <v>-0.38400000000000001</v>
      </c>
      <c r="AM53">
        <v>-5.1999999999999998E-2</v>
      </c>
      <c r="AN53">
        <v>-0.26200000000000001</v>
      </c>
      <c r="AO53">
        <v>-0.73699999999999999</v>
      </c>
      <c r="AP53">
        <v>0.19400000000000001</v>
      </c>
      <c r="AQ53">
        <v>0.16</v>
      </c>
      <c r="AR53">
        <v>0.222</v>
      </c>
      <c r="AS53">
        <v>0.49099999999999999</v>
      </c>
      <c r="AT53">
        <v>0.36099999999999999</v>
      </c>
      <c r="AU53">
        <v>0.12</v>
      </c>
      <c r="AV53">
        <v>0.37</v>
      </c>
      <c r="AW53">
        <v>0.13600000000000001</v>
      </c>
      <c r="AX53">
        <v>0.35399999999999998</v>
      </c>
      <c r="AY53">
        <v>0.78600000000000003</v>
      </c>
      <c r="AZ53">
        <v>0.23799999999999999</v>
      </c>
      <c r="BA53">
        <v>0.90800000000000003</v>
      </c>
      <c r="BB53">
        <v>1</v>
      </c>
      <c r="BC53">
        <v>0.46700000000000003</v>
      </c>
      <c r="BD53">
        <v>-0.13</v>
      </c>
      <c r="BE53">
        <v>9.6000000000000002E-2</v>
      </c>
      <c r="BF53">
        <v>-0.185</v>
      </c>
      <c r="BG53">
        <v>-0.39</v>
      </c>
      <c r="BH53">
        <v>0.441</v>
      </c>
      <c r="BI53">
        <v>0.58499999999999996</v>
      </c>
      <c r="BJ53">
        <v>-0.73399999999999999</v>
      </c>
      <c r="BK53">
        <v>-0.39200000000000002</v>
      </c>
      <c r="BL53">
        <v>7.9000000000000001E-2</v>
      </c>
      <c r="BM53">
        <v>-0.26200000000000001</v>
      </c>
    </row>
    <row r="54" spans="1:65" x14ac:dyDescent="0.3">
      <c r="A54" t="s">
        <v>80</v>
      </c>
      <c r="B54">
        <v>0</v>
      </c>
      <c r="C54">
        <v>0</v>
      </c>
      <c r="M54" t="s">
        <v>145</v>
      </c>
      <c r="N54">
        <v>1.71</v>
      </c>
      <c r="O54">
        <v>1.2729999999999999</v>
      </c>
      <c r="P54" t="s">
        <v>57</v>
      </c>
      <c r="Q54">
        <v>7.0000000000000001E-3</v>
      </c>
      <c r="R54">
        <v>7.0000000000000001E-3</v>
      </c>
      <c r="S54">
        <v>1.817121795</v>
      </c>
      <c r="T54">
        <v>6.0000000000000001E-3</v>
      </c>
      <c r="U54">
        <v>-9.4E-2</v>
      </c>
      <c r="V54">
        <v>-0.16</v>
      </c>
      <c r="W54">
        <v>-3.4000000000000002E-2</v>
      </c>
      <c r="X54">
        <v>-0.221</v>
      </c>
      <c r="Y54">
        <v>-1.2999999999999999E-2</v>
      </c>
      <c r="Z54">
        <v>-9.8000000000000004E-2</v>
      </c>
      <c r="AA54">
        <v>-5.0999999999999997E-2</v>
      </c>
      <c r="AB54">
        <v>0.50700000000000001</v>
      </c>
      <c r="AC54">
        <v>0.505</v>
      </c>
      <c r="AD54">
        <v>0.90200000000000002</v>
      </c>
      <c r="AE54">
        <v>0.85699999999999998</v>
      </c>
      <c r="AF54">
        <v>0.85199999999999998</v>
      </c>
      <c r="AG54">
        <v>-0.41</v>
      </c>
      <c r="AH54">
        <v>-0.11700000000000001</v>
      </c>
      <c r="AI54">
        <v>6.0999999999999999E-2</v>
      </c>
      <c r="AJ54">
        <v>-0.72399999999999998</v>
      </c>
      <c r="AK54">
        <v>0.127</v>
      </c>
      <c r="AL54">
        <v>-0.04</v>
      </c>
      <c r="AM54">
        <v>-0.216</v>
      </c>
      <c r="AN54">
        <v>-0.40200000000000002</v>
      </c>
      <c r="AO54">
        <v>-0.58799999999999997</v>
      </c>
      <c r="AP54">
        <v>-0.48099999999999998</v>
      </c>
      <c r="AQ54">
        <v>0.26300000000000001</v>
      </c>
      <c r="AR54">
        <v>0.69199999999999995</v>
      </c>
      <c r="AS54">
        <v>0.432</v>
      </c>
      <c r="AT54">
        <v>0.57999999999999996</v>
      </c>
      <c r="AU54">
        <v>0.41599999999999998</v>
      </c>
      <c r="AV54">
        <v>0.28999999999999998</v>
      </c>
      <c r="AW54">
        <v>-0.11</v>
      </c>
      <c r="AX54">
        <v>0.16600000000000001</v>
      </c>
      <c r="AY54">
        <v>0.34599999999999997</v>
      </c>
      <c r="AZ54">
        <v>0.185</v>
      </c>
      <c r="BA54">
        <v>0.66800000000000004</v>
      </c>
      <c r="BB54">
        <v>1</v>
      </c>
      <c r="BC54">
        <v>0.48499999999999999</v>
      </c>
      <c r="BD54">
        <v>-0.68200000000000005</v>
      </c>
      <c r="BE54">
        <v>-0.14699999999999999</v>
      </c>
      <c r="BF54">
        <v>-0.60399999999999998</v>
      </c>
      <c r="BG54">
        <v>0.25900000000000001</v>
      </c>
      <c r="BH54">
        <v>-0.67100000000000004</v>
      </c>
      <c r="BI54">
        <v>0.221</v>
      </c>
      <c r="BJ54">
        <v>-1</v>
      </c>
      <c r="BK54">
        <v>0.27400000000000002</v>
      </c>
      <c r="BL54">
        <v>0.92300000000000004</v>
      </c>
      <c r="BM54">
        <v>0.38800000000000001</v>
      </c>
    </row>
    <row r="55" spans="1:65" x14ac:dyDescent="0.3">
      <c r="A55" t="s">
        <v>191</v>
      </c>
      <c r="B55">
        <v>0</v>
      </c>
      <c r="C55">
        <v>0</v>
      </c>
      <c r="M55" t="s">
        <v>105</v>
      </c>
      <c r="N55">
        <v>1.71</v>
      </c>
      <c r="O55">
        <v>1.264</v>
      </c>
      <c r="P55" t="s">
        <v>57</v>
      </c>
      <c r="Q55">
        <v>4.0000000000000001E-3</v>
      </c>
      <c r="R55">
        <v>4.0000000000000001E-3</v>
      </c>
      <c r="S55">
        <v>0.98859144966666701</v>
      </c>
      <c r="T55">
        <v>-0.153</v>
      </c>
      <c r="U55">
        <v>0.29399999999999998</v>
      </c>
      <c r="V55">
        <v>7.2999999999999995E-2</v>
      </c>
      <c r="W55">
        <v>-0.18</v>
      </c>
      <c r="X55">
        <v>0.22500000000000001</v>
      </c>
      <c r="Y55">
        <v>-0.40799999999999997</v>
      </c>
      <c r="Z55">
        <v>-0.51600000000000001</v>
      </c>
      <c r="AA55">
        <v>0.44500000000000001</v>
      </c>
      <c r="AB55">
        <v>7.0999999999999994E-2</v>
      </c>
      <c r="AC55">
        <v>7.0000000000000007E-2</v>
      </c>
      <c r="AD55">
        <v>0.58699999999999997</v>
      </c>
      <c r="AE55">
        <v>0.79800000000000004</v>
      </c>
      <c r="AF55">
        <v>0.78600000000000003</v>
      </c>
      <c r="AG55">
        <v>-0.443</v>
      </c>
      <c r="AH55">
        <v>-7.4999999999999997E-2</v>
      </c>
      <c r="AI55">
        <v>1</v>
      </c>
      <c r="AJ55">
        <v>0.95299999999999996</v>
      </c>
      <c r="AK55">
        <v>0.97299999999999998</v>
      </c>
      <c r="AL55">
        <v>-0.73299999999999998</v>
      </c>
      <c r="AM55">
        <v>0.70499999999999996</v>
      </c>
      <c r="AN55">
        <v>0.54100000000000004</v>
      </c>
      <c r="AO55">
        <v>-0.29899999999999999</v>
      </c>
      <c r="AP55">
        <v>8.6999999999999994E-2</v>
      </c>
      <c r="AQ55">
        <v>0.52700000000000002</v>
      </c>
      <c r="AR55">
        <v>8.1000000000000003E-2</v>
      </c>
      <c r="AS55">
        <v>-0.33</v>
      </c>
      <c r="AT55">
        <v>-1</v>
      </c>
      <c r="AU55">
        <v>-1</v>
      </c>
      <c r="AV55">
        <v>-9.8000000000000004E-2</v>
      </c>
      <c r="AW55">
        <v>-0.42199999999999999</v>
      </c>
      <c r="AX55">
        <v>-0.60499999999999998</v>
      </c>
      <c r="AY55">
        <v>-0.56799999999999995</v>
      </c>
      <c r="AZ55">
        <v>-0.59299999999999997</v>
      </c>
      <c r="BA55">
        <v>0.109</v>
      </c>
      <c r="BB55">
        <v>-0.23499999999999999</v>
      </c>
      <c r="BC55">
        <v>4.4999999999999998E-2</v>
      </c>
      <c r="BD55">
        <v>0.27700000000000002</v>
      </c>
      <c r="BE55">
        <v>0.41199999999999998</v>
      </c>
      <c r="BF55">
        <v>0.46899999999999997</v>
      </c>
      <c r="BG55">
        <v>0.56699999999999995</v>
      </c>
      <c r="BH55">
        <v>0.38600000000000001</v>
      </c>
      <c r="BI55">
        <v>3.6999999999999998E-2</v>
      </c>
      <c r="BJ55">
        <v>-0.27</v>
      </c>
      <c r="BK55">
        <v>1</v>
      </c>
      <c r="BL55">
        <v>0.40500000000000003</v>
      </c>
      <c r="BM55">
        <v>0.626</v>
      </c>
    </row>
    <row r="56" spans="1:65" x14ac:dyDescent="0.3">
      <c r="A56" t="s">
        <v>597</v>
      </c>
      <c r="B56">
        <v>8.7285207223807594E-3</v>
      </c>
      <c r="C56">
        <v>6.5454486381811899E-3</v>
      </c>
      <c r="M56" t="s">
        <v>62</v>
      </c>
      <c r="N56">
        <v>1.603</v>
      </c>
      <c r="O56">
        <v>1.675</v>
      </c>
      <c r="P56" t="s">
        <v>55</v>
      </c>
      <c r="Q56">
        <v>1.0999999999999999E-2</v>
      </c>
      <c r="R56">
        <v>1.0999999999999999E-2</v>
      </c>
      <c r="S56">
        <v>1.675558197</v>
      </c>
      <c r="T56">
        <v>-0.30199999999999999</v>
      </c>
      <c r="U56">
        <v>-0.313</v>
      </c>
      <c r="V56">
        <v>-0.52800000000000002</v>
      </c>
      <c r="W56">
        <v>9.5000000000000001E-2</v>
      </c>
      <c r="X56">
        <v>-0.189</v>
      </c>
      <c r="Y56">
        <v>9.2999999999999999E-2</v>
      </c>
      <c r="Z56">
        <v>0.35199999999999998</v>
      </c>
      <c r="AA56">
        <v>0.125</v>
      </c>
      <c r="AB56">
        <v>0.42099999999999999</v>
      </c>
      <c r="AC56">
        <v>0.42299999999999999</v>
      </c>
      <c r="AD56">
        <v>0.84099999999999997</v>
      </c>
      <c r="AE56">
        <v>0.78800000000000003</v>
      </c>
      <c r="AF56">
        <v>0.68</v>
      </c>
      <c r="AG56">
        <v>0.39800000000000002</v>
      </c>
      <c r="AH56">
        <v>-0.14000000000000001</v>
      </c>
      <c r="AI56">
        <v>0.35499999999999998</v>
      </c>
      <c r="AJ56">
        <v>-0.55200000000000005</v>
      </c>
      <c r="AK56">
        <v>-0.55400000000000005</v>
      </c>
      <c r="AL56">
        <v>-0.41099999999999998</v>
      </c>
      <c r="AM56">
        <v>0.40799999999999997</v>
      </c>
      <c r="AN56">
        <v>-0.222</v>
      </c>
      <c r="AO56">
        <v>-0.34300000000000003</v>
      </c>
      <c r="AP56">
        <v>-0.26900000000000002</v>
      </c>
      <c r="AQ56">
        <v>0.13800000000000001</v>
      </c>
      <c r="AR56">
        <v>-0.39800000000000002</v>
      </c>
      <c r="AS56">
        <v>-1.4E-2</v>
      </c>
      <c r="AT56">
        <v>-0.52400000000000002</v>
      </c>
      <c r="AU56">
        <v>-0.79100000000000004</v>
      </c>
      <c r="AV56">
        <v>0.17199999999999999</v>
      </c>
      <c r="AW56">
        <v>0.26400000000000001</v>
      </c>
      <c r="AX56">
        <v>0.438</v>
      </c>
      <c r="AY56">
        <v>0.71</v>
      </c>
      <c r="AZ56">
        <v>-9.5000000000000001E-2</v>
      </c>
      <c r="BA56">
        <v>-0.214</v>
      </c>
      <c r="BB56">
        <v>0.36299999999999999</v>
      </c>
      <c r="BC56">
        <v>0.21</v>
      </c>
      <c r="BD56">
        <v>1.7999999999999999E-2</v>
      </c>
      <c r="BE56">
        <v>0.47699999999999998</v>
      </c>
      <c r="BF56">
        <v>0.41099999999999998</v>
      </c>
      <c r="BG56">
        <v>-0.21</v>
      </c>
      <c r="BH56">
        <v>0.59099999999999997</v>
      </c>
      <c r="BI56">
        <v>0.379</v>
      </c>
      <c r="BJ56">
        <v>-0.76700000000000002</v>
      </c>
      <c r="BK56">
        <v>-2E-3</v>
      </c>
      <c r="BL56">
        <v>-7.0000000000000007E-2</v>
      </c>
      <c r="BM56">
        <v>0.109</v>
      </c>
    </row>
    <row r="57" spans="1:65" x14ac:dyDescent="0.3">
      <c r="A57" t="s">
        <v>181</v>
      </c>
      <c r="B57">
        <v>0</v>
      </c>
      <c r="C57">
        <v>0</v>
      </c>
      <c r="M57" t="s">
        <v>96</v>
      </c>
      <c r="N57">
        <v>1.573</v>
      </c>
      <c r="O57">
        <v>1.8959999999999999</v>
      </c>
      <c r="P57" t="s">
        <v>57</v>
      </c>
      <c r="Q57">
        <v>8.0000000000000002E-3</v>
      </c>
      <c r="R57">
        <v>0</v>
      </c>
      <c r="S57">
        <v>2.7694951890800001</v>
      </c>
      <c r="T57">
        <v>-7.0999999999999994E-2</v>
      </c>
      <c r="U57">
        <v>-0.74199999999999999</v>
      </c>
      <c r="V57">
        <v>-0.29099999999999998</v>
      </c>
      <c r="W57">
        <v>0.33</v>
      </c>
      <c r="X57">
        <v>-0.255</v>
      </c>
      <c r="Y57">
        <v>0.19700000000000001</v>
      </c>
      <c r="Z57">
        <v>0.27800000000000002</v>
      </c>
      <c r="AA57">
        <v>0.13600000000000001</v>
      </c>
      <c r="AB57">
        <v>0.29599999999999999</v>
      </c>
      <c r="AC57">
        <v>0.29599999999999999</v>
      </c>
      <c r="AD57">
        <v>0.76100000000000001</v>
      </c>
      <c r="AE57">
        <v>0.56399999999999995</v>
      </c>
      <c r="AF57">
        <v>0.54600000000000004</v>
      </c>
      <c r="AG57">
        <v>1</v>
      </c>
      <c r="AH57">
        <v>0.29799999999999999</v>
      </c>
      <c r="AI57">
        <v>-0.85799999999999998</v>
      </c>
      <c r="AJ57">
        <v>-0.61699999999999999</v>
      </c>
      <c r="AK57">
        <v>-0.755</v>
      </c>
      <c r="AL57">
        <v>-3.0000000000000001E-3</v>
      </c>
      <c r="AM57">
        <v>-7.3999999999999996E-2</v>
      </c>
      <c r="AN57">
        <v>0.39100000000000001</v>
      </c>
      <c r="AO57">
        <v>-0.874</v>
      </c>
      <c r="AP57">
        <v>0.27</v>
      </c>
      <c r="AQ57">
        <v>-0.32900000000000001</v>
      </c>
      <c r="AR57">
        <v>-0.57299999999999995</v>
      </c>
      <c r="AS57">
        <v>0.38800000000000001</v>
      </c>
      <c r="AT57">
        <v>0.33400000000000002</v>
      </c>
      <c r="AU57">
        <v>4.2999999999999997E-2</v>
      </c>
      <c r="AV57">
        <v>1</v>
      </c>
      <c r="AW57">
        <v>-5.2999999999999999E-2</v>
      </c>
      <c r="AX57">
        <v>0.85599999999999998</v>
      </c>
      <c r="AY57">
        <v>0.111</v>
      </c>
      <c r="AZ57">
        <v>0.34</v>
      </c>
      <c r="BA57">
        <v>0.76900000000000002</v>
      </c>
      <c r="BB57">
        <v>0.98499999999999999</v>
      </c>
      <c r="BC57">
        <v>0.35499999999999998</v>
      </c>
      <c r="BD57">
        <v>-0.81399999999999995</v>
      </c>
      <c r="BE57">
        <v>-0.158</v>
      </c>
      <c r="BF57">
        <v>0.20200000000000001</v>
      </c>
      <c r="BG57">
        <v>0.13300000000000001</v>
      </c>
      <c r="BH57">
        <v>-0.20699999999999999</v>
      </c>
      <c r="BI57">
        <v>1E-3</v>
      </c>
      <c r="BJ57">
        <v>-0.94399999999999995</v>
      </c>
      <c r="BK57">
        <v>0.30399999999999999</v>
      </c>
      <c r="BL57">
        <v>-0.53100000000000003</v>
      </c>
      <c r="BM57">
        <v>-0.35799999999999998</v>
      </c>
    </row>
    <row r="58" spans="1:65" x14ac:dyDescent="0.3">
      <c r="A58" t="s">
        <v>598</v>
      </c>
      <c r="B58">
        <v>7.4725344719211604E-3</v>
      </c>
      <c r="C58">
        <v>1.2379192461683701E-2</v>
      </c>
      <c r="M58" t="s">
        <v>188</v>
      </c>
      <c r="N58">
        <v>1.4990000000000001</v>
      </c>
      <c r="O58">
        <v>3.133</v>
      </c>
      <c r="P58" t="s">
        <v>55</v>
      </c>
      <c r="Q58">
        <v>1.9E-2</v>
      </c>
      <c r="R58">
        <v>-8.9999999999999993E-3</v>
      </c>
      <c r="S58">
        <v>2.31135312122333</v>
      </c>
      <c r="T58">
        <v>-0.214</v>
      </c>
      <c r="U58">
        <v>-0.21</v>
      </c>
      <c r="V58">
        <v>-0.80400000000000005</v>
      </c>
      <c r="W58">
        <v>-0.109</v>
      </c>
      <c r="X58">
        <v>-0.51500000000000001</v>
      </c>
      <c r="Y58">
        <v>0.17399999999999999</v>
      </c>
      <c r="Z58">
        <v>0.36199999999999999</v>
      </c>
      <c r="AA58">
        <v>-2.9000000000000001E-2</v>
      </c>
      <c r="AB58">
        <v>0.40500000000000003</v>
      </c>
      <c r="AC58">
        <v>0.40699999999999997</v>
      </c>
      <c r="AD58">
        <v>0.80400000000000005</v>
      </c>
      <c r="AE58">
        <v>0.81799999999999995</v>
      </c>
      <c r="AF58">
        <v>0.72799999999999998</v>
      </c>
      <c r="AG58">
        <v>-0.42899999999999999</v>
      </c>
      <c r="AH58">
        <v>-0.252</v>
      </c>
      <c r="AI58">
        <v>0.14899999999999999</v>
      </c>
      <c r="AJ58">
        <v>-1</v>
      </c>
      <c r="AK58">
        <v>-0.65</v>
      </c>
      <c r="AL58">
        <v>-0.84599999999999997</v>
      </c>
      <c r="AM58">
        <v>-0.378</v>
      </c>
      <c r="AN58">
        <v>-0.33600000000000002</v>
      </c>
      <c r="AO58">
        <v>-0.55300000000000005</v>
      </c>
      <c r="AP58">
        <v>-0.317</v>
      </c>
      <c r="AQ58">
        <v>0.41299999999999998</v>
      </c>
      <c r="AR58">
        <v>0.52900000000000003</v>
      </c>
      <c r="AS58">
        <v>0.46899999999999997</v>
      </c>
      <c r="AT58">
        <v>1</v>
      </c>
      <c r="AU58">
        <v>0.65</v>
      </c>
      <c r="AV58">
        <v>-0.216</v>
      </c>
      <c r="AW58">
        <v>2E-3</v>
      </c>
      <c r="AX58">
        <v>0.17899999999999999</v>
      </c>
      <c r="AY58">
        <v>0.33</v>
      </c>
      <c r="AZ58">
        <v>-0.58199999999999996</v>
      </c>
      <c r="BA58">
        <v>0.63900000000000001</v>
      </c>
      <c r="BB58">
        <v>0.43</v>
      </c>
      <c r="BC58">
        <v>0.80500000000000005</v>
      </c>
      <c r="BD58">
        <v>-7.3999999999999996E-2</v>
      </c>
      <c r="BE58">
        <v>-0.29499999999999998</v>
      </c>
      <c r="BF58">
        <v>0.70899999999999996</v>
      </c>
      <c r="BG58">
        <v>0.24199999999999999</v>
      </c>
      <c r="BH58">
        <v>0.61399999999999999</v>
      </c>
      <c r="BI58">
        <v>0.753</v>
      </c>
      <c r="BJ58">
        <v>-0.71899999999999997</v>
      </c>
      <c r="BK58">
        <v>9.7000000000000003E-2</v>
      </c>
      <c r="BL58">
        <v>0.21299999999999999</v>
      </c>
      <c r="BM58">
        <v>-1</v>
      </c>
    </row>
    <row r="59" spans="1:65" x14ac:dyDescent="0.3">
      <c r="A59" t="s">
        <v>108</v>
      </c>
      <c r="B59">
        <v>0</v>
      </c>
      <c r="C59">
        <v>0</v>
      </c>
      <c r="M59" t="s">
        <v>93</v>
      </c>
      <c r="N59">
        <v>1.488</v>
      </c>
      <c r="O59">
        <v>3.2280000000000002</v>
      </c>
      <c r="P59" t="s">
        <v>55</v>
      </c>
      <c r="Q59">
        <v>1.4E-2</v>
      </c>
      <c r="R59">
        <v>-8.9999999999999993E-3</v>
      </c>
      <c r="S59">
        <v>1.42725782166667</v>
      </c>
      <c r="T59">
        <v>-0.26300000000000001</v>
      </c>
      <c r="U59">
        <v>-0.16400000000000001</v>
      </c>
      <c r="V59">
        <v>-0.69699999999999995</v>
      </c>
      <c r="W59">
        <v>-0.217</v>
      </c>
      <c r="X59">
        <v>-0.44500000000000001</v>
      </c>
      <c r="Y59">
        <v>0.25700000000000001</v>
      </c>
      <c r="Z59">
        <v>0.68600000000000005</v>
      </c>
      <c r="AA59">
        <v>-1.2999999999999999E-2</v>
      </c>
      <c r="AB59">
        <v>0.314</v>
      </c>
      <c r="AC59">
        <v>0.313</v>
      </c>
      <c r="AD59">
        <v>0.77</v>
      </c>
      <c r="AE59">
        <v>0.76400000000000001</v>
      </c>
      <c r="AF59">
        <v>0.624</v>
      </c>
      <c r="AG59">
        <v>-8.5000000000000006E-2</v>
      </c>
      <c r="AH59">
        <v>-0.38500000000000001</v>
      </c>
      <c r="AI59">
        <v>-3.6999999999999998E-2</v>
      </c>
      <c r="AJ59">
        <v>-0.76800000000000002</v>
      </c>
      <c r="AK59">
        <v>-0.25</v>
      </c>
      <c r="AL59">
        <v>-0.53100000000000003</v>
      </c>
      <c r="AM59">
        <v>-0.11700000000000001</v>
      </c>
      <c r="AN59">
        <v>-0.122</v>
      </c>
      <c r="AO59">
        <v>-0.53400000000000003</v>
      </c>
      <c r="AP59">
        <v>0.129</v>
      </c>
      <c r="AQ59">
        <v>0.129</v>
      </c>
      <c r="AR59">
        <v>0.32900000000000001</v>
      </c>
      <c r="AS59">
        <v>-0.251</v>
      </c>
      <c r="AT59">
        <v>0.27800000000000002</v>
      </c>
      <c r="AU59">
        <v>-0.41399999999999998</v>
      </c>
      <c r="AV59">
        <v>-0.10299999999999999</v>
      </c>
      <c r="AW59">
        <v>0.81200000000000006</v>
      </c>
      <c r="AX59">
        <v>0.20599999999999999</v>
      </c>
      <c r="AY59">
        <v>0.316</v>
      </c>
      <c r="AZ59">
        <v>0.29399999999999998</v>
      </c>
      <c r="BA59">
        <v>0.51</v>
      </c>
      <c r="BB59">
        <v>0.45300000000000001</v>
      </c>
      <c r="BC59">
        <v>-0.314</v>
      </c>
      <c r="BD59">
        <v>0.216</v>
      </c>
      <c r="BE59">
        <v>0.216</v>
      </c>
      <c r="BF59">
        <v>0.503</v>
      </c>
      <c r="BG59">
        <v>-0.108</v>
      </c>
      <c r="BH59">
        <v>-0.22600000000000001</v>
      </c>
      <c r="BI59">
        <v>0.76100000000000001</v>
      </c>
      <c r="BJ59">
        <v>-0.45700000000000002</v>
      </c>
      <c r="BK59">
        <v>0.38200000000000001</v>
      </c>
      <c r="BL59">
        <v>-0.60699999999999998</v>
      </c>
      <c r="BM59">
        <v>-0.40400000000000003</v>
      </c>
    </row>
    <row r="60" spans="1:65" x14ac:dyDescent="0.3">
      <c r="A60" t="s">
        <v>104</v>
      </c>
      <c r="B60">
        <v>0</v>
      </c>
      <c r="C60">
        <v>0</v>
      </c>
      <c r="M60" t="s">
        <v>131</v>
      </c>
      <c r="N60">
        <v>1.4590000000000001</v>
      </c>
      <c r="O60">
        <v>1.728</v>
      </c>
      <c r="P60" t="s">
        <v>71</v>
      </c>
      <c r="Q60">
        <v>1.6E-2</v>
      </c>
      <c r="R60">
        <v>1.0999999999999999E-2</v>
      </c>
      <c r="S60">
        <v>1.74042270432333</v>
      </c>
      <c r="T60">
        <v>-0.62</v>
      </c>
      <c r="U60">
        <v>0.30199999999999999</v>
      </c>
      <c r="V60">
        <v>-0.76900000000000002</v>
      </c>
      <c r="W60">
        <v>-0.52400000000000002</v>
      </c>
      <c r="X60">
        <v>-0.27400000000000002</v>
      </c>
      <c r="Y60">
        <v>-0.13800000000000001</v>
      </c>
      <c r="Z60">
        <v>-0.11700000000000001</v>
      </c>
      <c r="AA60">
        <v>0.36699999999999999</v>
      </c>
      <c r="AB60">
        <v>0.54200000000000004</v>
      </c>
      <c r="AC60">
        <v>0.54200000000000004</v>
      </c>
      <c r="AD60">
        <v>0.503</v>
      </c>
      <c r="AE60">
        <v>0.63200000000000001</v>
      </c>
      <c r="AF60">
        <v>0.76700000000000002</v>
      </c>
      <c r="AG60">
        <v>-0.84599999999999997</v>
      </c>
      <c r="AH60">
        <v>-0.82899999999999996</v>
      </c>
      <c r="AI60">
        <v>1</v>
      </c>
      <c r="AJ60">
        <v>-0.27500000000000002</v>
      </c>
      <c r="AK60">
        <v>0.75</v>
      </c>
      <c r="AL60">
        <v>-0.72099999999999997</v>
      </c>
      <c r="AM60">
        <v>-0.316</v>
      </c>
      <c r="AN60">
        <v>0.35799999999999998</v>
      </c>
      <c r="AO60">
        <v>-0.127</v>
      </c>
      <c r="AP60">
        <v>0.03</v>
      </c>
      <c r="AQ60">
        <v>0.496</v>
      </c>
      <c r="AR60">
        <v>0.98299999999999998</v>
      </c>
      <c r="AS60">
        <v>-0.51100000000000001</v>
      </c>
      <c r="AT60">
        <v>-0.16</v>
      </c>
      <c r="AU60">
        <v>-0.52100000000000002</v>
      </c>
      <c r="AV60">
        <v>2E-3</v>
      </c>
      <c r="AW60">
        <v>8.7999999999999995E-2</v>
      </c>
      <c r="AX60">
        <v>-0.79800000000000004</v>
      </c>
      <c r="AY60">
        <v>0.33800000000000002</v>
      </c>
      <c r="AZ60">
        <v>0.156</v>
      </c>
      <c r="BA60">
        <v>0.80400000000000005</v>
      </c>
      <c r="BB60">
        <v>0.28100000000000003</v>
      </c>
      <c r="BC60">
        <v>-0.17499999999999999</v>
      </c>
      <c r="BD60">
        <v>-8.1000000000000003E-2</v>
      </c>
      <c r="BE60">
        <v>-0.47399999999999998</v>
      </c>
      <c r="BF60">
        <v>-0.24199999999999999</v>
      </c>
      <c r="BG60">
        <v>-0.22900000000000001</v>
      </c>
      <c r="BH60">
        <v>2.8000000000000001E-2</v>
      </c>
      <c r="BI60">
        <v>0.48299999999999998</v>
      </c>
      <c r="BJ60">
        <v>-0.13600000000000001</v>
      </c>
      <c r="BK60">
        <v>-0.95699999999999996</v>
      </c>
      <c r="BL60">
        <v>-0.49</v>
      </c>
      <c r="BM60">
        <v>0.46500000000000002</v>
      </c>
    </row>
    <row r="61" spans="1:65" x14ac:dyDescent="0.3">
      <c r="A61" t="s">
        <v>124</v>
      </c>
      <c r="B61">
        <v>0</v>
      </c>
      <c r="C61">
        <v>0</v>
      </c>
      <c r="M61" t="s">
        <v>201</v>
      </c>
      <c r="N61">
        <v>1.44</v>
      </c>
      <c r="O61">
        <v>1.1160000000000001</v>
      </c>
      <c r="P61" t="s">
        <v>71</v>
      </c>
      <c r="Q61">
        <v>1.2999999999999999E-2</v>
      </c>
      <c r="R61">
        <v>1.2999999999999999E-2</v>
      </c>
      <c r="S61">
        <v>0.170100529986667</v>
      </c>
      <c r="T61">
        <v>2E-3</v>
      </c>
      <c r="U61">
        <v>0.64300000000000002</v>
      </c>
      <c r="V61">
        <v>0.04</v>
      </c>
      <c r="W61">
        <v>-0.309</v>
      </c>
      <c r="X61">
        <v>0.13300000000000001</v>
      </c>
      <c r="Y61">
        <v>-0.26200000000000001</v>
      </c>
      <c r="Z61">
        <v>-0.55800000000000005</v>
      </c>
      <c r="AA61">
        <v>-0.47699999999999998</v>
      </c>
      <c r="AB61">
        <v>0.34100000000000003</v>
      </c>
      <c r="AC61">
        <v>0.34200000000000003</v>
      </c>
      <c r="AD61">
        <v>0.96299999999999997</v>
      </c>
      <c r="AE61">
        <v>1</v>
      </c>
      <c r="AF61">
        <v>0.90600000000000003</v>
      </c>
      <c r="AG61">
        <v>-0.151</v>
      </c>
      <c r="AH61">
        <v>-0.185</v>
      </c>
      <c r="AI61">
        <v>0.86899999999999999</v>
      </c>
      <c r="AJ61">
        <v>0.80900000000000005</v>
      </c>
      <c r="AK61">
        <v>0.67</v>
      </c>
      <c r="AL61">
        <v>-0.65700000000000003</v>
      </c>
      <c r="AM61">
        <v>0.33100000000000002</v>
      </c>
      <c r="AN61">
        <v>-0.86399999999999999</v>
      </c>
      <c r="AO61">
        <v>0.44900000000000001</v>
      </c>
      <c r="AP61">
        <v>-0.16700000000000001</v>
      </c>
      <c r="AQ61">
        <v>-2.9000000000000001E-2</v>
      </c>
      <c r="AR61">
        <v>0.52200000000000002</v>
      </c>
      <c r="AS61">
        <v>-1</v>
      </c>
      <c r="AT61">
        <v>0.91700000000000004</v>
      </c>
      <c r="AU61">
        <v>7.0000000000000007E-2</v>
      </c>
      <c r="AV61">
        <v>-0.21199999999999999</v>
      </c>
      <c r="AW61">
        <v>-0.39800000000000002</v>
      </c>
      <c r="AX61">
        <v>-0.26200000000000001</v>
      </c>
      <c r="AY61">
        <v>0.22600000000000001</v>
      </c>
      <c r="AZ61">
        <v>-0.13200000000000001</v>
      </c>
      <c r="BA61">
        <v>-3.9E-2</v>
      </c>
      <c r="BB61">
        <v>-0.92500000000000004</v>
      </c>
      <c r="BC61">
        <v>0.72</v>
      </c>
      <c r="BD61">
        <v>3.4000000000000002E-2</v>
      </c>
      <c r="BE61">
        <v>6.4000000000000001E-2</v>
      </c>
      <c r="BF61">
        <v>2.3E-2</v>
      </c>
      <c r="BG61">
        <v>1.7000000000000001E-2</v>
      </c>
      <c r="BH61">
        <v>0.33900000000000002</v>
      </c>
      <c r="BI61">
        <v>0.39700000000000002</v>
      </c>
      <c r="BJ61">
        <v>0.44400000000000001</v>
      </c>
      <c r="BK61">
        <v>-0.56799999999999995</v>
      </c>
      <c r="BL61">
        <v>0.627</v>
      </c>
      <c r="BM61">
        <v>0.82799999999999996</v>
      </c>
    </row>
    <row r="62" spans="1:65" x14ac:dyDescent="0.3">
      <c r="A62" t="s">
        <v>142</v>
      </c>
      <c r="B62">
        <v>0</v>
      </c>
      <c r="C62">
        <v>0</v>
      </c>
      <c r="M62" t="s">
        <v>184</v>
      </c>
      <c r="N62">
        <v>1.4330000000000001</v>
      </c>
      <c r="O62">
        <v>2.3490000000000002</v>
      </c>
      <c r="P62" t="s">
        <v>57</v>
      </c>
      <c r="Q62">
        <v>1.2E-2</v>
      </c>
      <c r="R62">
        <v>1E-3</v>
      </c>
      <c r="S62">
        <v>0.451822583616667</v>
      </c>
      <c r="T62">
        <v>-0.18099999999999999</v>
      </c>
      <c r="U62">
        <v>-0.20100000000000001</v>
      </c>
      <c r="V62">
        <v>-0.82499999999999996</v>
      </c>
      <c r="W62">
        <v>-3.6999999999999998E-2</v>
      </c>
      <c r="X62">
        <v>-0.53400000000000003</v>
      </c>
      <c r="Y62">
        <v>0.22600000000000001</v>
      </c>
      <c r="Z62">
        <v>0.749</v>
      </c>
      <c r="AA62">
        <v>-0.17499999999999999</v>
      </c>
      <c r="AB62">
        <v>0.39500000000000002</v>
      </c>
      <c r="AC62">
        <v>0.39600000000000002</v>
      </c>
      <c r="AD62">
        <v>0.70099999999999996</v>
      </c>
      <c r="AE62">
        <v>0.72399999999999998</v>
      </c>
      <c r="AF62">
        <v>0.626</v>
      </c>
      <c r="AG62">
        <v>-3.1E-2</v>
      </c>
      <c r="AH62">
        <v>-0.59599999999999997</v>
      </c>
      <c r="AI62">
        <v>-0.32</v>
      </c>
      <c r="AJ62">
        <v>-0.999</v>
      </c>
      <c r="AK62">
        <v>-0.751</v>
      </c>
      <c r="AL62">
        <v>-0.73599999999999999</v>
      </c>
      <c r="AM62">
        <v>-0.38</v>
      </c>
      <c r="AN62">
        <v>-0.52900000000000003</v>
      </c>
      <c r="AO62">
        <v>-0.998</v>
      </c>
      <c r="AP62">
        <v>-0.20499999999999999</v>
      </c>
      <c r="AQ62">
        <v>0.314</v>
      </c>
      <c r="AR62">
        <v>0.40799999999999997</v>
      </c>
      <c r="AS62">
        <v>0.22500000000000001</v>
      </c>
      <c r="AT62">
        <v>0.435</v>
      </c>
      <c r="AU62">
        <v>0.78</v>
      </c>
      <c r="AV62">
        <v>0.45200000000000001</v>
      </c>
      <c r="AW62">
        <v>1</v>
      </c>
      <c r="AX62">
        <v>0.74</v>
      </c>
      <c r="AY62">
        <v>-2.1000000000000001E-2</v>
      </c>
      <c r="AZ62">
        <v>0.161</v>
      </c>
      <c r="BA62">
        <v>0.17699999999999999</v>
      </c>
      <c r="BB62">
        <v>-6.9000000000000006E-2</v>
      </c>
      <c r="BC62">
        <v>0.44600000000000001</v>
      </c>
      <c r="BD62">
        <v>0.23699999999999999</v>
      </c>
      <c r="BE62">
        <v>0.28000000000000003</v>
      </c>
      <c r="BF62">
        <v>0.41099999999999998</v>
      </c>
      <c r="BG62">
        <v>3.9E-2</v>
      </c>
      <c r="BH62">
        <v>0.23300000000000001</v>
      </c>
      <c r="BI62">
        <v>0.90600000000000003</v>
      </c>
      <c r="BJ62">
        <v>-0.35799999999999998</v>
      </c>
      <c r="BK62">
        <v>0.315</v>
      </c>
      <c r="BL62">
        <v>-0.504</v>
      </c>
      <c r="BM62">
        <v>-0.78900000000000003</v>
      </c>
    </row>
    <row r="63" spans="1:65" x14ac:dyDescent="0.3">
      <c r="A63" t="s">
        <v>74</v>
      </c>
      <c r="B63">
        <v>7.9656721290346996E-3</v>
      </c>
      <c r="C63">
        <v>6.2761460300744002E-3</v>
      </c>
      <c r="M63" t="s">
        <v>205</v>
      </c>
      <c r="N63">
        <v>1.381</v>
      </c>
      <c r="O63">
        <v>2.8460000000000001</v>
      </c>
      <c r="P63" t="s">
        <v>57</v>
      </c>
      <c r="Q63">
        <v>2.1000000000000001E-2</v>
      </c>
      <c r="R63">
        <v>-0.01</v>
      </c>
      <c r="S63">
        <v>1.4213532014966701</v>
      </c>
      <c r="T63">
        <v>-0.39900000000000002</v>
      </c>
      <c r="U63">
        <v>-0.157</v>
      </c>
      <c r="V63">
        <v>-0.88600000000000001</v>
      </c>
      <c r="W63">
        <v>-8.7999999999999995E-2</v>
      </c>
      <c r="X63">
        <v>-0.48199999999999998</v>
      </c>
      <c r="Y63">
        <v>-0.26500000000000001</v>
      </c>
      <c r="Z63">
        <v>-0.34799999999999998</v>
      </c>
      <c r="AA63">
        <v>0.10299999999999999</v>
      </c>
      <c r="AB63">
        <v>0.64300000000000002</v>
      </c>
      <c r="AC63">
        <v>0.64500000000000002</v>
      </c>
      <c r="AD63">
        <v>0.72599999999999998</v>
      </c>
      <c r="AE63">
        <v>0.8</v>
      </c>
      <c r="AF63">
        <v>0.81</v>
      </c>
      <c r="AG63">
        <v>-0.46899999999999997</v>
      </c>
      <c r="AH63">
        <v>-0.34799999999999998</v>
      </c>
      <c r="AI63">
        <v>0.52900000000000003</v>
      </c>
      <c r="AJ63">
        <v>-0.92200000000000004</v>
      </c>
      <c r="AK63">
        <v>-0.39800000000000002</v>
      </c>
      <c r="AL63">
        <v>-0.97</v>
      </c>
      <c r="AM63">
        <v>-4.8000000000000001E-2</v>
      </c>
      <c r="AN63">
        <v>-0.378</v>
      </c>
      <c r="AO63">
        <v>-0.65100000000000002</v>
      </c>
      <c r="AP63">
        <v>-0.28000000000000003</v>
      </c>
      <c r="AQ63">
        <v>0.70699999999999996</v>
      </c>
      <c r="AR63">
        <v>0.44400000000000001</v>
      </c>
      <c r="AS63">
        <v>0.27800000000000002</v>
      </c>
      <c r="AT63">
        <v>0.88500000000000001</v>
      </c>
      <c r="AU63">
        <v>0.39700000000000002</v>
      </c>
      <c r="AV63">
        <v>0.52900000000000003</v>
      </c>
      <c r="AW63">
        <v>-0.61599999999999999</v>
      </c>
      <c r="AX63">
        <v>-7.0000000000000001E-3</v>
      </c>
      <c r="AY63">
        <v>0.184</v>
      </c>
      <c r="AZ63">
        <v>-0.36699999999999999</v>
      </c>
      <c r="BA63">
        <v>0.53200000000000003</v>
      </c>
      <c r="BB63">
        <v>0.57799999999999996</v>
      </c>
      <c r="BC63">
        <v>-4.2999999999999997E-2</v>
      </c>
      <c r="BD63">
        <v>-0.11700000000000001</v>
      </c>
      <c r="BE63">
        <v>0.11899999999999999</v>
      </c>
      <c r="BF63">
        <v>0.78100000000000003</v>
      </c>
      <c r="BG63">
        <v>-0.87</v>
      </c>
      <c r="BH63">
        <v>-0.64600000000000002</v>
      </c>
      <c r="BI63">
        <v>0.41699999999999998</v>
      </c>
      <c r="BJ63">
        <v>-0.70099999999999996</v>
      </c>
      <c r="BK63">
        <v>-0.314</v>
      </c>
      <c r="BL63">
        <v>-0.41099999999999998</v>
      </c>
      <c r="BM63">
        <v>-0.57699999999999996</v>
      </c>
    </row>
    <row r="64" spans="1:65" x14ac:dyDescent="0.3">
      <c r="A64" t="s">
        <v>106</v>
      </c>
      <c r="B64">
        <v>8.0406375480739697E-3</v>
      </c>
      <c r="C64">
        <v>0</v>
      </c>
      <c r="M64" t="s">
        <v>153</v>
      </c>
      <c r="N64">
        <v>1.349</v>
      </c>
      <c r="O64">
        <v>1.6579999999999999</v>
      </c>
      <c r="P64" t="s">
        <v>57</v>
      </c>
      <c r="Q64">
        <v>1.7999999999999999E-2</v>
      </c>
      <c r="R64">
        <v>1.2999999999999999E-2</v>
      </c>
      <c r="S64">
        <v>0.88338808666666702</v>
      </c>
      <c r="T64">
        <v>-0.41199999999999998</v>
      </c>
      <c r="U64">
        <v>-8.7999999999999995E-2</v>
      </c>
      <c r="V64">
        <v>-0.88500000000000001</v>
      </c>
      <c r="W64">
        <v>-0.13400000000000001</v>
      </c>
      <c r="X64">
        <v>-0.45200000000000001</v>
      </c>
      <c r="Y64">
        <v>-0.253</v>
      </c>
      <c r="Z64">
        <v>-0.24299999999999999</v>
      </c>
      <c r="AA64">
        <v>1.6E-2</v>
      </c>
      <c r="AB64">
        <v>0.66700000000000004</v>
      </c>
      <c r="AC64">
        <v>0.66900000000000004</v>
      </c>
      <c r="AD64">
        <v>0.54100000000000004</v>
      </c>
      <c r="AE64">
        <v>0.83399999999999996</v>
      </c>
      <c r="AF64">
        <v>0.82899999999999996</v>
      </c>
      <c r="AG64">
        <v>-0.63800000000000001</v>
      </c>
      <c r="AH64">
        <v>-0.309</v>
      </c>
      <c r="AI64">
        <v>0.70699999999999996</v>
      </c>
      <c r="AJ64">
        <v>-0.91300000000000003</v>
      </c>
      <c r="AK64">
        <v>-0.27600000000000002</v>
      </c>
      <c r="AL64">
        <v>-0.93300000000000005</v>
      </c>
      <c r="AM64">
        <v>-9.5000000000000001E-2</v>
      </c>
      <c r="AN64">
        <v>-0.46300000000000002</v>
      </c>
      <c r="AO64">
        <v>-0.64400000000000002</v>
      </c>
      <c r="AP64">
        <v>0.10199999999999999</v>
      </c>
      <c r="AQ64">
        <v>0.70599999999999996</v>
      </c>
      <c r="AR64">
        <v>0.65</v>
      </c>
      <c r="AS64">
        <v>0.315</v>
      </c>
      <c r="AT64">
        <v>0.71699999999999997</v>
      </c>
      <c r="AU64">
        <v>0.41799999999999998</v>
      </c>
      <c r="AV64">
        <v>0.54700000000000004</v>
      </c>
      <c r="AW64">
        <v>-0.61899999999999999</v>
      </c>
      <c r="AX64">
        <v>-0.122</v>
      </c>
      <c r="AY64">
        <v>9.7000000000000003E-2</v>
      </c>
      <c r="AZ64">
        <v>-0.154</v>
      </c>
      <c r="BA64">
        <v>0.89800000000000002</v>
      </c>
      <c r="BB64">
        <v>-0.25800000000000001</v>
      </c>
      <c r="BC64">
        <v>0.57999999999999996</v>
      </c>
      <c r="BD64">
        <v>-0.51400000000000001</v>
      </c>
      <c r="BE64">
        <v>-0.501</v>
      </c>
      <c r="BF64">
        <v>0.52900000000000003</v>
      </c>
      <c r="BG64">
        <v>-0.70099999999999996</v>
      </c>
      <c r="BH64">
        <v>-0.16500000000000001</v>
      </c>
      <c r="BI64">
        <v>0.68600000000000005</v>
      </c>
      <c r="BJ64">
        <v>-0.52900000000000003</v>
      </c>
      <c r="BK64">
        <v>-0.57899999999999996</v>
      </c>
      <c r="BL64">
        <v>-0.17799999999999999</v>
      </c>
      <c r="BM64">
        <v>-0.502</v>
      </c>
    </row>
    <row r="65" spans="1:65" x14ac:dyDescent="0.3">
      <c r="A65" t="s">
        <v>229</v>
      </c>
      <c r="B65">
        <v>0</v>
      </c>
      <c r="C65">
        <v>7.6273833042149897E-3</v>
      </c>
      <c r="M65" t="s">
        <v>152</v>
      </c>
      <c r="N65">
        <v>1.3220000000000001</v>
      </c>
      <c r="O65">
        <v>1.0089999999999999</v>
      </c>
      <c r="P65" t="s">
        <v>57</v>
      </c>
      <c r="Q65">
        <v>8.0000000000000002E-3</v>
      </c>
      <c r="R65">
        <v>8.0000000000000002E-3</v>
      </c>
      <c r="S65">
        <v>0.46791070033333299</v>
      </c>
      <c r="T65">
        <v>0.19</v>
      </c>
      <c r="U65">
        <v>-6.0999999999999999E-2</v>
      </c>
      <c r="V65">
        <v>-0.24199999999999999</v>
      </c>
      <c r="W65">
        <v>0.26500000000000001</v>
      </c>
      <c r="X65">
        <v>-9.6000000000000002E-2</v>
      </c>
      <c r="Y65">
        <v>-0.20399999999999999</v>
      </c>
      <c r="Z65">
        <v>-0.51</v>
      </c>
      <c r="AA65">
        <v>-0.221</v>
      </c>
      <c r="AB65">
        <v>2.7E-2</v>
      </c>
      <c r="AC65">
        <v>2.4E-2</v>
      </c>
      <c r="AD65">
        <v>0.82799999999999996</v>
      </c>
      <c r="AE65">
        <v>0.76500000000000001</v>
      </c>
      <c r="AF65">
        <v>0.57699999999999996</v>
      </c>
      <c r="AG65">
        <v>0.14399999999999999</v>
      </c>
      <c r="AH65">
        <v>0.40400000000000003</v>
      </c>
      <c r="AI65">
        <v>-3.4000000000000002E-2</v>
      </c>
      <c r="AJ65">
        <v>-0.53</v>
      </c>
      <c r="AK65">
        <v>0.40400000000000003</v>
      </c>
      <c r="AL65">
        <v>0.371</v>
      </c>
      <c r="AM65">
        <v>-0.112</v>
      </c>
      <c r="AN65">
        <v>-0.752</v>
      </c>
      <c r="AO65">
        <v>-0.73699999999999999</v>
      </c>
      <c r="AP65">
        <v>0.377</v>
      </c>
      <c r="AQ65">
        <v>0.26700000000000002</v>
      </c>
      <c r="AR65">
        <v>0.214</v>
      </c>
      <c r="AS65">
        <v>1</v>
      </c>
      <c r="AT65">
        <v>0.58499999999999996</v>
      </c>
      <c r="AU65">
        <v>0.29299999999999998</v>
      </c>
      <c r="AV65">
        <v>0.47199999999999998</v>
      </c>
      <c r="AW65">
        <v>-0.23499999999999999</v>
      </c>
      <c r="AX65">
        <v>0.70199999999999996</v>
      </c>
      <c r="AY65">
        <v>-0.30399999999999999</v>
      </c>
      <c r="AZ65">
        <v>1.9E-2</v>
      </c>
      <c r="BA65">
        <v>-0.47599999999999998</v>
      </c>
      <c r="BB65">
        <v>0.85199999999999998</v>
      </c>
      <c r="BC65">
        <v>0.51900000000000002</v>
      </c>
      <c r="BD65">
        <v>-0.496</v>
      </c>
      <c r="BE65">
        <v>-0.14199999999999999</v>
      </c>
      <c r="BF65">
        <v>0.47699999999999998</v>
      </c>
      <c r="BG65">
        <v>0.11</v>
      </c>
      <c r="BH65">
        <v>-0.52200000000000002</v>
      </c>
      <c r="BI65">
        <v>-0.433</v>
      </c>
      <c r="BJ65">
        <v>-0.67</v>
      </c>
      <c r="BK65">
        <v>0.41799999999999998</v>
      </c>
      <c r="BL65">
        <v>-0.72899999999999998</v>
      </c>
      <c r="BM65">
        <v>2.5000000000000001E-2</v>
      </c>
    </row>
    <row r="66" spans="1:65" x14ac:dyDescent="0.3">
      <c r="A66" t="s">
        <v>99</v>
      </c>
      <c r="B66">
        <v>0</v>
      </c>
      <c r="C66">
        <v>0</v>
      </c>
      <c r="M66" t="s">
        <v>107</v>
      </c>
      <c r="N66">
        <v>1.3080000000000001</v>
      </c>
      <c r="O66">
        <v>2.573</v>
      </c>
      <c r="P66" t="s">
        <v>53</v>
      </c>
      <c r="Q66">
        <v>2.4E-2</v>
      </c>
      <c r="R66">
        <v>6.0000000000000001E-3</v>
      </c>
      <c r="S66">
        <v>1.1747798110000001</v>
      </c>
      <c r="T66">
        <v>-0.64300000000000002</v>
      </c>
      <c r="U66">
        <v>-0.5</v>
      </c>
      <c r="V66">
        <v>-0.81799999999999995</v>
      </c>
      <c r="W66">
        <v>-0.16900000000000001</v>
      </c>
      <c r="X66">
        <v>-0.45900000000000002</v>
      </c>
      <c r="Y66">
        <v>-7.4999999999999997E-2</v>
      </c>
      <c r="Z66">
        <v>0.45</v>
      </c>
      <c r="AA66">
        <v>0.16500000000000001</v>
      </c>
      <c r="AB66">
        <v>0.39</v>
      </c>
      <c r="AC66">
        <v>0.39400000000000002</v>
      </c>
      <c r="AD66">
        <v>0.755</v>
      </c>
      <c r="AE66">
        <v>0.77500000000000002</v>
      </c>
      <c r="AF66">
        <v>0.66100000000000003</v>
      </c>
      <c r="AG66">
        <v>-0.246</v>
      </c>
      <c r="AH66">
        <v>-0.112</v>
      </c>
      <c r="AI66">
        <v>0.11600000000000001</v>
      </c>
      <c r="AJ66">
        <v>-0.91600000000000004</v>
      </c>
      <c r="AK66">
        <v>-0.57499999999999996</v>
      </c>
      <c r="AL66">
        <v>-0.57999999999999996</v>
      </c>
      <c r="AM66">
        <v>-0.23100000000000001</v>
      </c>
      <c r="AN66">
        <v>9.4E-2</v>
      </c>
      <c r="AO66">
        <v>-0.9</v>
      </c>
      <c r="AP66">
        <v>-0.16500000000000001</v>
      </c>
      <c r="AQ66">
        <v>0.49</v>
      </c>
      <c r="AR66">
        <v>0.34300000000000003</v>
      </c>
      <c r="AS66">
        <v>5.1999999999999998E-2</v>
      </c>
      <c r="AT66">
        <v>0.30499999999999999</v>
      </c>
      <c r="AU66">
        <v>9.9000000000000005E-2</v>
      </c>
      <c r="AV66">
        <v>0.21199999999999999</v>
      </c>
      <c r="AW66">
        <v>0.156</v>
      </c>
      <c r="AX66">
        <v>5.0999999999999997E-2</v>
      </c>
      <c r="AY66">
        <v>0.81699999999999995</v>
      </c>
      <c r="AZ66">
        <v>-0.15</v>
      </c>
      <c r="BA66">
        <v>0.85699999999999998</v>
      </c>
      <c r="BB66">
        <v>-0.66600000000000004</v>
      </c>
      <c r="BC66">
        <v>-0.157</v>
      </c>
      <c r="BD66">
        <v>-0.17799999999999999</v>
      </c>
      <c r="BE66">
        <v>-0.03</v>
      </c>
      <c r="BF66">
        <v>-0.89400000000000002</v>
      </c>
      <c r="BG66">
        <v>-0.27200000000000002</v>
      </c>
      <c r="BH66">
        <v>0.72599999999999998</v>
      </c>
      <c r="BI66">
        <v>0.84899999999999998</v>
      </c>
      <c r="BJ66">
        <v>-0.63</v>
      </c>
      <c r="BK66">
        <v>-0.379</v>
      </c>
      <c r="BL66">
        <v>0.22700000000000001</v>
      </c>
      <c r="BM66">
        <v>-0.496</v>
      </c>
    </row>
    <row r="67" spans="1:65" x14ac:dyDescent="0.3">
      <c r="A67" t="s">
        <v>161</v>
      </c>
      <c r="B67">
        <v>0</v>
      </c>
      <c r="C67">
        <v>0</v>
      </c>
      <c r="M67" t="s">
        <v>123</v>
      </c>
      <c r="N67">
        <v>1.306</v>
      </c>
      <c r="O67">
        <v>1.76</v>
      </c>
      <c r="P67" t="s">
        <v>55</v>
      </c>
      <c r="Q67">
        <v>1.9E-2</v>
      </c>
      <c r="R67">
        <v>1.6E-2</v>
      </c>
      <c r="S67">
        <v>1.7751518455299999</v>
      </c>
      <c r="T67">
        <v>-0.36099999999999999</v>
      </c>
      <c r="U67">
        <v>-0.57299999999999995</v>
      </c>
      <c r="V67">
        <v>-0.79</v>
      </c>
      <c r="W67">
        <v>-5.5E-2</v>
      </c>
      <c r="X67">
        <v>-0.57699999999999996</v>
      </c>
      <c r="Y67">
        <v>0.112</v>
      </c>
      <c r="Z67">
        <v>0.38</v>
      </c>
      <c r="AA67">
        <v>-0.19400000000000001</v>
      </c>
      <c r="AB67">
        <v>0.60099999999999998</v>
      </c>
      <c r="AC67">
        <v>0.59699999999999998</v>
      </c>
      <c r="AD67">
        <v>0.77</v>
      </c>
      <c r="AE67">
        <v>0.83499999999999996</v>
      </c>
      <c r="AF67">
        <v>0.68700000000000006</v>
      </c>
      <c r="AG67">
        <v>6.0999999999999999E-2</v>
      </c>
      <c r="AH67">
        <v>-0.311</v>
      </c>
      <c r="AI67">
        <v>-0.376</v>
      </c>
      <c r="AJ67">
        <v>-0.996</v>
      </c>
      <c r="AK67">
        <v>-0.84199999999999997</v>
      </c>
      <c r="AL67">
        <v>-0.74399999999999999</v>
      </c>
      <c r="AM67">
        <v>-0.20799999999999999</v>
      </c>
      <c r="AN67">
        <v>-0.38400000000000001</v>
      </c>
      <c r="AO67">
        <v>-0.52500000000000002</v>
      </c>
      <c r="AP67">
        <v>-0.54</v>
      </c>
      <c r="AQ67">
        <v>0.13400000000000001</v>
      </c>
      <c r="AR67">
        <v>-0.14699999999999999</v>
      </c>
      <c r="AS67">
        <v>0.32900000000000001</v>
      </c>
      <c r="AT67">
        <v>0.34899999999999998</v>
      </c>
      <c r="AU67">
        <v>0.379</v>
      </c>
      <c r="AV67">
        <v>0.13500000000000001</v>
      </c>
      <c r="AW67">
        <v>0.03</v>
      </c>
      <c r="AX67">
        <v>0.77100000000000002</v>
      </c>
      <c r="AY67">
        <v>0.83699999999999997</v>
      </c>
      <c r="AZ67">
        <v>-0.11</v>
      </c>
      <c r="BA67">
        <v>0.99399999999999999</v>
      </c>
      <c r="BB67">
        <v>0.40600000000000003</v>
      </c>
      <c r="BC67">
        <v>0.72399999999999998</v>
      </c>
      <c r="BD67">
        <v>4.2000000000000003E-2</v>
      </c>
      <c r="BE67">
        <v>-3.5999999999999997E-2</v>
      </c>
      <c r="BF67">
        <v>0.54400000000000004</v>
      </c>
      <c r="BG67">
        <v>-3.5999999999999997E-2</v>
      </c>
      <c r="BH67">
        <v>0.59299999999999997</v>
      </c>
      <c r="BI67">
        <v>0.64300000000000002</v>
      </c>
      <c r="BJ67">
        <v>-0.63800000000000001</v>
      </c>
      <c r="BK67">
        <v>-0.375</v>
      </c>
      <c r="BL67">
        <v>6.9000000000000006E-2</v>
      </c>
      <c r="BM67">
        <v>-0.79800000000000004</v>
      </c>
    </row>
    <row r="68" spans="1:65" x14ac:dyDescent="0.3">
      <c r="A68" t="s">
        <v>162</v>
      </c>
      <c r="B68">
        <v>0</v>
      </c>
      <c r="C68">
        <v>0</v>
      </c>
      <c r="M68" t="s">
        <v>63</v>
      </c>
      <c r="N68">
        <v>1.2529999999999999</v>
      </c>
      <c r="O68">
        <v>1.589</v>
      </c>
      <c r="P68" t="s">
        <v>57</v>
      </c>
      <c r="Q68">
        <v>1.2999999999999999E-2</v>
      </c>
      <c r="R68">
        <v>0.01</v>
      </c>
      <c r="S68">
        <v>3.15143</v>
      </c>
      <c r="T68">
        <v>-0.44600000000000001</v>
      </c>
      <c r="U68">
        <v>-0.81699999999999995</v>
      </c>
      <c r="V68">
        <v>-0.20100000000000001</v>
      </c>
      <c r="W68">
        <v>-0.23</v>
      </c>
      <c r="X68">
        <v>-0.438</v>
      </c>
      <c r="Y68">
        <v>0.19800000000000001</v>
      </c>
      <c r="Z68">
        <v>0.624</v>
      </c>
      <c r="AA68">
        <v>0.05</v>
      </c>
      <c r="AB68">
        <v>0.30499999999999999</v>
      </c>
      <c r="AC68">
        <v>0.308</v>
      </c>
      <c r="AD68">
        <v>0.63700000000000001</v>
      </c>
      <c r="AE68">
        <v>0.505</v>
      </c>
      <c r="AF68">
        <v>0.44</v>
      </c>
      <c r="AG68">
        <v>0.26800000000000002</v>
      </c>
      <c r="AH68">
        <v>7.0000000000000001E-3</v>
      </c>
      <c r="AI68">
        <v>-0.93300000000000005</v>
      </c>
      <c r="AJ68">
        <v>-0.23100000000000001</v>
      </c>
      <c r="AK68">
        <v>-0.76600000000000001</v>
      </c>
      <c r="AL68">
        <v>0.24299999999999999</v>
      </c>
      <c r="AM68">
        <v>-0.251</v>
      </c>
      <c r="AN68">
        <v>1</v>
      </c>
      <c r="AO68">
        <v>-0.74399999999999999</v>
      </c>
      <c r="AP68">
        <v>0.52700000000000002</v>
      </c>
      <c r="AQ68">
        <v>-0.71099999999999997</v>
      </c>
      <c r="AR68">
        <v>-0.317</v>
      </c>
      <c r="AS68">
        <v>0.151</v>
      </c>
      <c r="AT68">
        <v>-5.6000000000000001E-2</v>
      </c>
      <c r="AU68">
        <v>-0.5</v>
      </c>
      <c r="AV68">
        <v>0.67</v>
      </c>
      <c r="AW68">
        <v>0.114</v>
      </c>
      <c r="AX68">
        <v>-1.0999999999999999E-2</v>
      </c>
      <c r="AY68">
        <v>0.42199999999999999</v>
      </c>
      <c r="AZ68">
        <v>3.1E-2</v>
      </c>
      <c r="BA68">
        <v>0.58299999999999996</v>
      </c>
      <c r="BB68">
        <v>1</v>
      </c>
      <c r="BC68">
        <v>-0.193</v>
      </c>
      <c r="BD68">
        <v>-0.79900000000000004</v>
      </c>
      <c r="BE68">
        <v>-0.77700000000000002</v>
      </c>
      <c r="BF68">
        <v>-0.51900000000000002</v>
      </c>
      <c r="BG68">
        <v>6.4000000000000001E-2</v>
      </c>
      <c r="BH68">
        <v>0.23899999999999999</v>
      </c>
      <c r="BI68">
        <v>0.752</v>
      </c>
      <c r="BJ68">
        <v>-0.60299999999999998</v>
      </c>
      <c r="BK68">
        <v>-0.17100000000000001</v>
      </c>
      <c r="BL68">
        <v>0.20899999999999999</v>
      </c>
      <c r="BM68">
        <v>0.115</v>
      </c>
    </row>
    <row r="69" spans="1:65" x14ac:dyDescent="0.3">
      <c r="A69" t="s">
        <v>171</v>
      </c>
      <c r="B69">
        <v>0</v>
      </c>
      <c r="C69">
        <v>0</v>
      </c>
      <c r="M69" t="s">
        <v>76</v>
      </c>
      <c r="N69">
        <v>1.2310000000000001</v>
      </c>
      <c r="O69">
        <v>0.90200000000000002</v>
      </c>
      <c r="P69" t="s">
        <v>57</v>
      </c>
      <c r="Q69">
        <v>5.0000000000000001E-3</v>
      </c>
      <c r="R69">
        <v>5.0000000000000001E-3</v>
      </c>
      <c r="S69">
        <v>0.45159591726033299</v>
      </c>
      <c r="T69">
        <v>5.5E-2</v>
      </c>
      <c r="U69">
        <v>-0.45700000000000002</v>
      </c>
      <c r="V69">
        <v>0.45700000000000002</v>
      </c>
      <c r="W69">
        <v>-0.217</v>
      </c>
      <c r="X69">
        <v>-6.5000000000000002E-2</v>
      </c>
      <c r="Y69">
        <v>-6.4000000000000001E-2</v>
      </c>
      <c r="Z69">
        <v>-3.1E-2</v>
      </c>
      <c r="AA69">
        <v>-0.34899999999999998</v>
      </c>
      <c r="AB69">
        <v>4.2999999999999997E-2</v>
      </c>
      <c r="AC69">
        <v>4.1000000000000002E-2</v>
      </c>
      <c r="AD69">
        <v>0.79600000000000004</v>
      </c>
      <c r="AE69">
        <v>0.58199999999999996</v>
      </c>
      <c r="AF69">
        <v>0.52400000000000002</v>
      </c>
      <c r="AG69">
        <v>-9.2999999999999999E-2</v>
      </c>
      <c r="AH69">
        <v>0.84799999999999998</v>
      </c>
      <c r="AI69">
        <v>-0.68799999999999994</v>
      </c>
      <c r="AJ69">
        <v>0.66100000000000003</v>
      </c>
      <c r="AK69">
        <v>-0.27200000000000002</v>
      </c>
      <c r="AL69">
        <v>0.29799999999999999</v>
      </c>
      <c r="AM69">
        <v>-2.8000000000000001E-2</v>
      </c>
      <c r="AN69">
        <v>0.30199999999999999</v>
      </c>
      <c r="AO69">
        <v>-0.20599999999999999</v>
      </c>
      <c r="AP69">
        <v>0.70399999999999996</v>
      </c>
      <c r="AQ69">
        <v>-0.47099999999999997</v>
      </c>
      <c r="AR69">
        <v>-1</v>
      </c>
      <c r="AS69">
        <v>0.42799999999999999</v>
      </c>
      <c r="AT69">
        <v>-1.7000000000000001E-2</v>
      </c>
      <c r="AU69">
        <v>-0.37</v>
      </c>
      <c r="AV69">
        <v>-1.2E-2</v>
      </c>
      <c r="AW69">
        <v>-9.8000000000000004E-2</v>
      </c>
      <c r="AX69">
        <v>-0.28199999999999997</v>
      </c>
      <c r="AY69">
        <v>-0.32500000000000001</v>
      </c>
      <c r="AZ69">
        <v>5.2999999999999999E-2</v>
      </c>
      <c r="BA69">
        <v>0.63</v>
      </c>
      <c r="BB69">
        <v>0.254</v>
      </c>
      <c r="BC69">
        <v>0.66600000000000004</v>
      </c>
      <c r="BD69">
        <v>4.7E-2</v>
      </c>
      <c r="BE69">
        <v>-0.106</v>
      </c>
      <c r="BF69">
        <v>0.245</v>
      </c>
      <c r="BG69">
        <v>1</v>
      </c>
      <c r="BH69">
        <v>0.47299999999999998</v>
      </c>
      <c r="BI69">
        <v>0.32300000000000001</v>
      </c>
      <c r="BJ69">
        <v>-0.38200000000000001</v>
      </c>
      <c r="BK69">
        <v>0.71399999999999997</v>
      </c>
      <c r="BL69">
        <v>0.79700000000000004</v>
      </c>
      <c r="BM69">
        <v>0.52500000000000002</v>
      </c>
    </row>
    <row r="70" spans="1:65" x14ac:dyDescent="0.3">
      <c r="A70" t="s">
        <v>84</v>
      </c>
      <c r="B70">
        <v>1.1126459762578001E-2</v>
      </c>
      <c r="C70">
        <v>1.3077741533778799E-2</v>
      </c>
      <c r="M70" t="s">
        <v>166</v>
      </c>
      <c r="N70">
        <v>1.228</v>
      </c>
      <c r="O70">
        <v>1.2729999999999999</v>
      </c>
      <c r="P70" t="s">
        <v>55</v>
      </c>
      <c r="Q70">
        <v>2.5000000000000001E-2</v>
      </c>
      <c r="R70">
        <v>2.5000000000000001E-2</v>
      </c>
      <c r="S70">
        <v>1.3939499076599999</v>
      </c>
      <c r="T70">
        <v>-0.68600000000000005</v>
      </c>
      <c r="U70">
        <v>-0.32100000000000001</v>
      </c>
      <c r="V70">
        <v>-0.82399999999999995</v>
      </c>
      <c r="W70">
        <v>-0.503</v>
      </c>
      <c r="X70">
        <v>-0.56200000000000006</v>
      </c>
      <c r="Y70">
        <v>-0.26100000000000001</v>
      </c>
      <c r="Z70">
        <v>-0.107</v>
      </c>
      <c r="AA70">
        <v>0.217</v>
      </c>
      <c r="AB70">
        <v>0.61</v>
      </c>
      <c r="AC70">
        <v>0.61399999999999999</v>
      </c>
      <c r="AD70">
        <v>0.65300000000000002</v>
      </c>
      <c r="AE70">
        <v>0.748</v>
      </c>
      <c r="AF70">
        <v>0.72099999999999997</v>
      </c>
      <c r="AG70">
        <v>-0.83</v>
      </c>
      <c r="AH70">
        <v>-0.77</v>
      </c>
      <c r="AI70">
        <v>0.54100000000000004</v>
      </c>
      <c r="AJ70">
        <v>-0.91100000000000003</v>
      </c>
      <c r="AK70">
        <v>-0.38500000000000001</v>
      </c>
      <c r="AL70">
        <v>-0.96199999999999997</v>
      </c>
      <c r="AM70">
        <v>-0.32400000000000001</v>
      </c>
      <c r="AN70">
        <v>0.185</v>
      </c>
      <c r="AO70">
        <v>-0.52200000000000002</v>
      </c>
      <c r="AP70">
        <v>-0.58899999999999997</v>
      </c>
      <c r="AQ70">
        <v>0.52400000000000002</v>
      </c>
      <c r="AR70">
        <v>0.99199999999999999</v>
      </c>
      <c r="AS70">
        <v>-0.23799999999999999</v>
      </c>
      <c r="AT70">
        <v>0.187</v>
      </c>
      <c r="AU70">
        <v>-0.246</v>
      </c>
      <c r="AV70">
        <v>0.2</v>
      </c>
      <c r="AW70">
        <v>-0.33100000000000002</v>
      </c>
      <c r="AX70">
        <v>-0.54600000000000004</v>
      </c>
      <c r="AY70">
        <v>0.58799999999999997</v>
      </c>
      <c r="AZ70">
        <v>-0.59699999999999998</v>
      </c>
      <c r="BA70">
        <v>0.85299999999999998</v>
      </c>
      <c r="BB70">
        <v>0.56599999999999995</v>
      </c>
      <c r="BC70">
        <v>0.10299999999999999</v>
      </c>
      <c r="BD70">
        <v>-0.432</v>
      </c>
      <c r="BE70">
        <v>-0.66500000000000004</v>
      </c>
      <c r="BF70">
        <v>0.23499999999999999</v>
      </c>
      <c r="BG70">
        <v>3.1E-2</v>
      </c>
      <c r="BH70">
        <v>-0.13400000000000001</v>
      </c>
      <c r="BI70">
        <v>0.54</v>
      </c>
      <c r="BJ70">
        <v>-0.53200000000000003</v>
      </c>
      <c r="BK70">
        <v>-0.40899999999999997</v>
      </c>
      <c r="BL70">
        <v>0.95199999999999996</v>
      </c>
      <c r="BM70">
        <v>-0.378</v>
      </c>
    </row>
    <row r="71" spans="1:65" x14ac:dyDescent="0.3">
      <c r="A71" t="s">
        <v>91</v>
      </c>
      <c r="B71">
        <v>2.08611030042384E-2</v>
      </c>
      <c r="C71">
        <v>1.7126081943555801E-2</v>
      </c>
      <c r="M71" t="s">
        <v>110</v>
      </c>
      <c r="N71">
        <v>1.1910000000000001</v>
      </c>
      <c r="O71">
        <v>2.7160000000000002</v>
      </c>
      <c r="P71" t="s">
        <v>57</v>
      </c>
      <c r="Q71">
        <v>2.5000000000000001E-2</v>
      </c>
      <c r="R71">
        <v>-4.0000000000000001E-3</v>
      </c>
      <c r="S71">
        <v>2.7218372938033299</v>
      </c>
      <c r="T71">
        <v>-0.748</v>
      </c>
      <c r="U71">
        <v>-0.55700000000000005</v>
      </c>
      <c r="V71">
        <v>-0.86899999999999999</v>
      </c>
      <c r="W71">
        <v>-0.34499999999999997</v>
      </c>
      <c r="X71">
        <v>-0.56499999999999995</v>
      </c>
      <c r="Y71">
        <v>-0.28499999999999998</v>
      </c>
      <c r="Z71">
        <v>-3.1E-2</v>
      </c>
      <c r="AA71">
        <v>0.20699999999999999</v>
      </c>
      <c r="AB71">
        <v>0.61599999999999999</v>
      </c>
      <c r="AC71">
        <v>0.61499999999999999</v>
      </c>
      <c r="AD71">
        <v>0.76300000000000001</v>
      </c>
      <c r="AE71">
        <v>0.78100000000000003</v>
      </c>
      <c r="AF71">
        <v>0.69499999999999995</v>
      </c>
      <c r="AG71">
        <v>-0.58399999999999996</v>
      </c>
      <c r="AH71">
        <v>9.6000000000000002E-2</v>
      </c>
      <c r="AI71">
        <v>0.36</v>
      </c>
      <c r="AJ71">
        <v>-0.94799999999999995</v>
      </c>
      <c r="AK71">
        <v>-0.74399999999999999</v>
      </c>
      <c r="AL71">
        <v>-0.96099999999999997</v>
      </c>
      <c r="AM71">
        <v>-0.247</v>
      </c>
      <c r="AN71">
        <v>0.13500000000000001</v>
      </c>
      <c r="AO71">
        <v>-0.55700000000000005</v>
      </c>
      <c r="AP71">
        <v>-0.193</v>
      </c>
      <c r="AQ71">
        <v>0.56699999999999995</v>
      </c>
      <c r="AR71">
        <v>7.3999999999999996E-2</v>
      </c>
      <c r="AS71">
        <v>0.23400000000000001</v>
      </c>
      <c r="AT71">
        <v>0.26900000000000002</v>
      </c>
      <c r="AU71">
        <v>-0.112</v>
      </c>
      <c r="AV71">
        <v>-8.1000000000000003E-2</v>
      </c>
      <c r="AW71">
        <v>-0.222</v>
      </c>
      <c r="AX71">
        <v>-0.20899999999999999</v>
      </c>
      <c r="AY71">
        <v>0.47399999999999998</v>
      </c>
      <c r="AZ71">
        <v>-0.45300000000000001</v>
      </c>
      <c r="BA71">
        <v>0.16200000000000001</v>
      </c>
      <c r="BB71">
        <v>0.61199999999999999</v>
      </c>
      <c r="BC71">
        <v>-0.46200000000000002</v>
      </c>
      <c r="BD71">
        <v>-0.34100000000000003</v>
      </c>
      <c r="BE71">
        <v>-0.317</v>
      </c>
      <c r="BF71">
        <v>-0.82699999999999996</v>
      </c>
      <c r="BG71">
        <v>-9.1999999999999998E-2</v>
      </c>
      <c r="BH71">
        <v>-3.5999999999999997E-2</v>
      </c>
      <c r="BI71">
        <v>0.82</v>
      </c>
      <c r="BJ71">
        <v>-0.82899999999999996</v>
      </c>
      <c r="BK71">
        <v>-0.22900000000000001</v>
      </c>
      <c r="BL71">
        <v>0.34300000000000003</v>
      </c>
      <c r="BM71">
        <v>-0.93899999999999995</v>
      </c>
    </row>
    <row r="72" spans="1:65" x14ac:dyDescent="0.3">
      <c r="A72" t="s">
        <v>158</v>
      </c>
      <c r="B72">
        <v>0</v>
      </c>
      <c r="C72">
        <v>0</v>
      </c>
      <c r="M72" t="s">
        <v>598</v>
      </c>
      <c r="N72">
        <v>1.1519999999999999</v>
      </c>
      <c r="O72">
        <v>1.2050000000000001</v>
      </c>
      <c r="P72" t="s">
        <v>53</v>
      </c>
      <c r="Q72">
        <v>1.2999999999999999E-2</v>
      </c>
      <c r="R72">
        <v>7.0000000000000001E-3</v>
      </c>
      <c r="S72">
        <v>1.08459122133333</v>
      </c>
      <c r="T72">
        <v>-0.45</v>
      </c>
      <c r="U72">
        <v>-0.51100000000000001</v>
      </c>
      <c r="V72">
        <v>-0.71599999999999997</v>
      </c>
      <c r="W72">
        <v>-0.20599999999999999</v>
      </c>
      <c r="X72">
        <v>-0.52700000000000002</v>
      </c>
      <c r="Y72">
        <v>-0.13600000000000001</v>
      </c>
      <c r="Z72">
        <v>6.5000000000000002E-2</v>
      </c>
      <c r="AA72">
        <v>3.7999999999999999E-2</v>
      </c>
      <c r="AB72">
        <v>0.29699999999999999</v>
      </c>
      <c r="AC72">
        <v>0.29799999999999999</v>
      </c>
      <c r="AD72">
        <v>0.59099999999999997</v>
      </c>
      <c r="AE72">
        <v>0.66100000000000003</v>
      </c>
      <c r="AF72">
        <v>0.626</v>
      </c>
      <c r="AG72">
        <v>-3.3000000000000002E-2</v>
      </c>
      <c r="AH72">
        <v>-0.84499999999999997</v>
      </c>
      <c r="AI72">
        <v>-0.31900000000000001</v>
      </c>
      <c r="AJ72">
        <v>-0.98699999999999999</v>
      </c>
      <c r="AK72">
        <v>-0.49099999999999999</v>
      </c>
      <c r="AL72">
        <v>-0.441</v>
      </c>
      <c r="AM72">
        <v>-0.50700000000000001</v>
      </c>
      <c r="AN72">
        <v>-0.122</v>
      </c>
      <c r="AO72">
        <v>-0.94599999999999995</v>
      </c>
      <c r="AP72">
        <v>-0.94799999999999995</v>
      </c>
      <c r="AQ72">
        <v>0.35499999999999998</v>
      </c>
      <c r="AR72">
        <v>0.98599999999999999</v>
      </c>
      <c r="AS72">
        <v>-9.6000000000000002E-2</v>
      </c>
      <c r="AT72">
        <v>0.187</v>
      </c>
      <c r="AU72">
        <v>-0.7</v>
      </c>
      <c r="AV72">
        <v>0.96</v>
      </c>
      <c r="AW72">
        <v>-3.9E-2</v>
      </c>
      <c r="AX72">
        <v>0.90800000000000003</v>
      </c>
      <c r="AY72">
        <v>0.73199999999999998</v>
      </c>
      <c r="AZ72">
        <v>0.66600000000000004</v>
      </c>
      <c r="BA72">
        <v>0.64700000000000002</v>
      </c>
      <c r="BB72">
        <v>0.41399999999999998</v>
      </c>
      <c r="BC72">
        <v>0.999</v>
      </c>
      <c r="BD72">
        <v>0.224</v>
      </c>
      <c r="BE72">
        <v>9.4E-2</v>
      </c>
      <c r="BF72">
        <v>-0.876</v>
      </c>
      <c r="BG72">
        <v>-4.7E-2</v>
      </c>
      <c r="BH72">
        <v>-0.38600000000000001</v>
      </c>
      <c r="BI72">
        <v>0.19400000000000001</v>
      </c>
      <c r="BJ72">
        <v>-0.47499999999999998</v>
      </c>
      <c r="BK72">
        <v>-0.19900000000000001</v>
      </c>
      <c r="BL72">
        <v>0.114</v>
      </c>
      <c r="BM72">
        <v>-0.73699999999999999</v>
      </c>
    </row>
    <row r="73" spans="1:65" x14ac:dyDescent="0.3">
      <c r="A73" t="s">
        <v>119</v>
      </c>
      <c r="B73">
        <v>8.8297540599564898E-3</v>
      </c>
      <c r="C73">
        <v>0</v>
      </c>
      <c r="M73" t="s">
        <v>160</v>
      </c>
      <c r="N73">
        <v>1.151</v>
      </c>
      <c r="O73">
        <v>0.86499999999999999</v>
      </c>
      <c r="P73" t="s">
        <v>57</v>
      </c>
      <c r="Q73">
        <v>8.0000000000000002E-3</v>
      </c>
      <c r="R73">
        <v>8.0000000000000002E-3</v>
      </c>
      <c r="S73">
        <v>0.26430478833333299</v>
      </c>
      <c r="T73">
        <v>-0.11700000000000001</v>
      </c>
      <c r="U73">
        <v>-0.14199999999999999</v>
      </c>
      <c r="V73">
        <v>-0.17599999999999999</v>
      </c>
      <c r="W73">
        <v>-0.16500000000000001</v>
      </c>
      <c r="X73">
        <v>-0.17799999999999999</v>
      </c>
      <c r="Y73">
        <v>-0.34399999999999997</v>
      </c>
      <c r="Z73">
        <v>-0.32</v>
      </c>
      <c r="AA73">
        <v>-0.502</v>
      </c>
      <c r="AB73">
        <v>0.45300000000000001</v>
      </c>
      <c r="AC73">
        <v>0.45</v>
      </c>
      <c r="AD73">
        <v>0.81599999999999995</v>
      </c>
      <c r="AE73">
        <v>1</v>
      </c>
      <c r="AF73">
        <v>0.67200000000000004</v>
      </c>
      <c r="AG73">
        <v>-0.156</v>
      </c>
      <c r="AH73">
        <v>0.70199999999999996</v>
      </c>
      <c r="AI73">
        <v>-0.19900000000000001</v>
      </c>
      <c r="AJ73">
        <v>-0.47799999999999998</v>
      </c>
      <c r="AK73">
        <v>-0.82599999999999996</v>
      </c>
      <c r="AL73">
        <v>-0.55000000000000004</v>
      </c>
      <c r="AM73">
        <v>0.42899999999999999</v>
      </c>
      <c r="AN73">
        <v>-0.48399999999999999</v>
      </c>
      <c r="AO73">
        <v>-3.4000000000000002E-2</v>
      </c>
      <c r="AP73">
        <v>0.95299999999999996</v>
      </c>
      <c r="AQ73">
        <v>-0.218</v>
      </c>
      <c r="AR73">
        <v>-6.3E-2</v>
      </c>
      <c r="AS73">
        <v>5.6000000000000001E-2</v>
      </c>
      <c r="AT73">
        <v>0.26300000000000001</v>
      </c>
      <c r="AU73">
        <v>-7.2999999999999995E-2</v>
      </c>
      <c r="AV73">
        <v>0.17799999999999999</v>
      </c>
      <c r="AW73">
        <v>0.40799999999999997</v>
      </c>
      <c r="AX73">
        <v>-0.39200000000000002</v>
      </c>
      <c r="AY73">
        <v>4.2000000000000003E-2</v>
      </c>
      <c r="AZ73">
        <v>-0.16500000000000001</v>
      </c>
      <c r="BA73">
        <v>8.8999999999999996E-2</v>
      </c>
      <c r="BB73">
        <v>-1.4E-2</v>
      </c>
      <c r="BC73">
        <v>-0.02</v>
      </c>
      <c r="BD73">
        <v>-5.3999999999999999E-2</v>
      </c>
      <c r="BE73">
        <v>0.24399999999999999</v>
      </c>
      <c r="BF73">
        <v>0.33600000000000002</v>
      </c>
      <c r="BG73">
        <v>8.9999999999999993E-3</v>
      </c>
      <c r="BH73">
        <v>0.437</v>
      </c>
      <c r="BI73">
        <v>-0.24</v>
      </c>
      <c r="BJ73">
        <v>0.27400000000000002</v>
      </c>
      <c r="BK73">
        <v>-0.16500000000000001</v>
      </c>
      <c r="BL73">
        <v>0.99199999999999999</v>
      </c>
      <c r="BM73">
        <v>-0.11899999999999999</v>
      </c>
    </row>
    <row r="74" spans="1:65" x14ac:dyDescent="0.3">
      <c r="A74" t="s">
        <v>140</v>
      </c>
      <c r="B74">
        <v>0</v>
      </c>
      <c r="C74">
        <v>0</v>
      </c>
      <c r="M74" t="s">
        <v>150</v>
      </c>
      <c r="N74">
        <v>1.143</v>
      </c>
      <c r="O74">
        <v>0.97499999999999998</v>
      </c>
      <c r="P74" t="s">
        <v>53</v>
      </c>
      <c r="Q74">
        <v>0</v>
      </c>
      <c r="R74">
        <v>0</v>
      </c>
      <c r="S74">
        <v>0.49114031245233303</v>
      </c>
      <c r="T74">
        <v>-0.18099999999999999</v>
      </c>
      <c r="U74">
        <v>-3.6999999999999998E-2</v>
      </c>
      <c r="V74">
        <v>-0.18</v>
      </c>
      <c r="W74">
        <v>-0.503</v>
      </c>
      <c r="X74">
        <v>-0.35399999999999998</v>
      </c>
      <c r="Y74">
        <v>-0.182</v>
      </c>
      <c r="Z74">
        <v>-0.112</v>
      </c>
      <c r="AA74">
        <v>-0.28299999999999997</v>
      </c>
      <c r="AB74">
        <v>0.14499999999999999</v>
      </c>
      <c r="AC74">
        <v>0.14299999999999999</v>
      </c>
      <c r="AD74">
        <v>0.69799999999999995</v>
      </c>
      <c r="AE74">
        <v>0.59599999999999997</v>
      </c>
      <c r="AF74">
        <v>0.70099999999999996</v>
      </c>
      <c r="AG74">
        <v>-0.39900000000000002</v>
      </c>
      <c r="AH74">
        <v>-0.86699999999999999</v>
      </c>
      <c r="AI74">
        <v>-0.25700000000000001</v>
      </c>
      <c r="AJ74">
        <v>-0.32700000000000001</v>
      </c>
      <c r="AK74">
        <v>0.317</v>
      </c>
      <c r="AL74">
        <v>-0.17499999999999999</v>
      </c>
      <c r="AM74">
        <v>-0.218</v>
      </c>
      <c r="AN74">
        <v>-0.33</v>
      </c>
      <c r="AO74">
        <v>-0.46899999999999997</v>
      </c>
      <c r="AP74">
        <v>0.254</v>
      </c>
      <c r="AQ74">
        <v>0.185</v>
      </c>
      <c r="AR74">
        <v>0.32900000000000001</v>
      </c>
      <c r="AS74">
        <v>-0.26500000000000001</v>
      </c>
      <c r="AT74">
        <v>-0.32800000000000001</v>
      </c>
      <c r="AU74">
        <v>-0.30199999999999999</v>
      </c>
      <c r="AV74">
        <v>6.0999999999999999E-2</v>
      </c>
      <c r="AW74">
        <v>-0.14299999999999999</v>
      </c>
      <c r="AX74">
        <v>3.5000000000000003E-2</v>
      </c>
      <c r="AY74">
        <v>0.28799999999999998</v>
      </c>
      <c r="AZ74">
        <v>0.254</v>
      </c>
      <c r="BA74">
        <v>0.81699999999999995</v>
      </c>
      <c r="BB74">
        <v>0.78</v>
      </c>
      <c r="BC74">
        <v>0.60299999999999998</v>
      </c>
      <c r="BD74">
        <v>-7.3999999999999996E-2</v>
      </c>
      <c r="BE74">
        <v>-0.17100000000000001</v>
      </c>
      <c r="BF74">
        <v>0.21299999999999999</v>
      </c>
      <c r="BG74">
        <v>-0.33300000000000002</v>
      </c>
      <c r="BH74">
        <v>0.5</v>
      </c>
      <c r="BI74">
        <v>0.48599999999999999</v>
      </c>
      <c r="BJ74">
        <v>0.26600000000000001</v>
      </c>
      <c r="BK74">
        <v>-0.153</v>
      </c>
      <c r="BL74">
        <v>0.70699999999999996</v>
      </c>
      <c r="BM74">
        <v>0.35</v>
      </c>
    </row>
    <row r="75" spans="1:65" x14ac:dyDescent="0.3">
      <c r="A75" t="s">
        <v>78</v>
      </c>
      <c r="B75">
        <v>0</v>
      </c>
      <c r="C75">
        <v>0</v>
      </c>
      <c r="M75" t="s">
        <v>165</v>
      </c>
      <c r="N75">
        <v>1.1279999999999999</v>
      </c>
      <c r="O75">
        <v>0.85599999999999998</v>
      </c>
      <c r="P75" t="s">
        <v>71</v>
      </c>
      <c r="Q75">
        <v>0</v>
      </c>
      <c r="R75">
        <v>0</v>
      </c>
      <c r="S75">
        <v>0.171550138763333</v>
      </c>
      <c r="T75">
        <v>-0.36399999999999999</v>
      </c>
      <c r="U75">
        <v>0.245</v>
      </c>
      <c r="V75">
        <v>-0.63600000000000001</v>
      </c>
      <c r="W75">
        <v>-0.31</v>
      </c>
      <c r="X75">
        <v>-0.18099999999999999</v>
      </c>
      <c r="Y75">
        <v>-0.64400000000000002</v>
      </c>
      <c r="Z75">
        <v>-0.82399999999999995</v>
      </c>
      <c r="AA75">
        <v>-0.13800000000000001</v>
      </c>
      <c r="AB75">
        <v>0.48299999999999998</v>
      </c>
      <c r="AC75">
        <v>0.48399999999999999</v>
      </c>
      <c r="AD75">
        <v>0.61099999999999999</v>
      </c>
      <c r="AE75">
        <v>0.57199999999999995</v>
      </c>
      <c r="AF75">
        <v>0.879</v>
      </c>
      <c r="AG75">
        <v>-0.20499999999999999</v>
      </c>
      <c r="AH75">
        <v>-0.49099999999999999</v>
      </c>
      <c r="AI75">
        <v>0.98</v>
      </c>
      <c r="AJ75">
        <v>-0.73099999999999998</v>
      </c>
      <c r="AK75">
        <v>-0.23</v>
      </c>
      <c r="AL75">
        <v>-0.92100000000000004</v>
      </c>
      <c r="AM75">
        <v>-0.254</v>
      </c>
      <c r="AN75">
        <v>-0.67500000000000004</v>
      </c>
      <c r="AO75">
        <v>0.224</v>
      </c>
      <c r="AP75">
        <v>-0.46</v>
      </c>
      <c r="AQ75">
        <v>0.66800000000000004</v>
      </c>
      <c r="AR75">
        <v>0.626</v>
      </c>
      <c r="AS75">
        <v>-0.53500000000000003</v>
      </c>
      <c r="AT75">
        <v>1</v>
      </c>
      <c r="AU75">
        <v>0.155</v>
      </c>
      <c r="AV75">
        <v>-0.11799999999999999</v>
      </c>
      <c r="AW75">
        <v>-0.8</v>
      </c>
      <c r="AX75">
        <v>6.7000000000000004E-2</v>
      </c>
      <c r="AY75">
        <v>-0.13400000000000001</v>
      </c>
      <c r="AZ75">
        <v>0.124</v>
      </c>
      <c r="BA75">
        <v>0.622</v>
      </c>
      <c r="BB75">
        <v>-1</v>
      </c>
      <c r="BC75">
        <v>0.74299999999999999</v>
      </c>
      <c r="BD75">
        <v>0.50600000000000001</v>
      </c>
      <c r="BE75">
        <v>0.26600000000000001</v>
      </c>
      <c r="BF75">
        <v>0.77300000000000002</v>
      </c>
      <c r="BG75">
        <v>-1</v>
      </c>
      <c r="BH75">
        <v>0.62</v>
      </c>
      <c r="BI75">
        <v>-0.42599999999999999</v>
      </c>
      <c r="BJ75">
        <v>3.0000000000000001E-3</v>
      </c>
      <c r="BK75">
        <v>-0.32400000000000001</v>
      </c>
      <c r="BL75">
        <v>0.83499999999999996</v>
      </c>
      <c r="BM75">
        <v>-8.9999999999999993E-3</v>
      </c>
    </row>
    <row r="76" spans="1:65" x14ac:dyDescent="0.3">
      <c r="A76" t="s">
        <v>129</v>
      </c>
      <c r="B76">
        <v>0</v>
      </c>
      <c r="C76">
        <v>0</v>
      </c>
      <c r="M76" t="s">
        <v>99</v>
      </c>
      <c r="N76">
        <v>1.111</v>
      </c>
      <c r="O76">
        <v>1.1879999999999999</v>
      </c>
      <c r="P76" t="s">
        <v>57</v>
      </c>
      <c r="Q76">
        <v>0</v>
      </c>
      <c r="R76">
        <v>-2E-3</v>
      </c>
      <c r="S76">
        <v>0.72387009666666702</v>
      </c>
      <c r="T76">
        <v>-0.17100000000000001</v>
      </c>
      <c r="U76">
        <v>-0.58899999999999997</v>
      </c>
      <c r="V76">
        <v>0.26900000000000002</v>
      </c>
      <c r="W76">
        <v>-0.23899999999999999</v>
      </c>
      <c r="X76">
        <v>-0.151</v>
      </c>
      <c r="Y76">
        <v>-3.1E-2</v>
      </c>
      <c r="Z76">
        <v>7.1999999999999995E-2</v>
      </c>
      <c r="AA76">
        <v>-0.36799999999999999</v>
      </c>
      <c r="AB76">
        <v>0.17799999999999999</v>
      </c>
      <c r="AC76">
        <v>0.17699999999999999</v>
      </c>
      <c r="AD76">
        <v>0.53100000000000003</v>
      </c>
      <c r="AE76">
        <v>0.61699999999999999</v>
      </c>
      <c r="AF76">
        <v>0.55100000000000005</v>
      </c>
      <c r="AG76">
        <v>0.32600000000000001</v>
      </c>
      <c r="AH76">
        <v>0.53</v>
      </c>
      <c r="AI76">
        <v>-0.65800000000000003</v>
      </c>
      <c r="AJ76">
        <v>0.60399999999999998</v>
      </c>
      <c r="AK76">
        <v>-0.376</v>
      </c>
      <c r="AL76">
        <v>0.159</v>
      </c>
      <c r="AM76">
        <v>-0.223</v>
      </c>
      <c r="AN76">
        <v>0.378</v>
      </c>
      <c r="AO76">
        <v>9.0999999999999998E-2</v>
      </c>
      <c r="AP76">
        <v>0.157</v>
      </c>
      <c r="AQ76">
        <v>-0.753</v>
      </c>
      <c r="AR76">
        <v>-0.84499999999999997</v>
      </c>
      <c r="AS76">
        <v>0.38700000000000001</v>
      </c>
      <c r="AT76">
        <v>-6.3E-2</v>
      </c>
      <c r="AU76">
        <v>-0.158</v>
      </c>
      <c r="AV76">
        <v>-0.14399999999999999</v>
      </c>
      <c r="AW76">
        <v>-0.45800000000000002</v>
      </c>
      <c r="AX76">
        <v>5.6000000000000001E-2</v>
      </c>
      <c r="AY76">
        <v>6.6000000000000003E-2</v>
      </c>
      <c r="AZ76">
        <v>-2E-3</v>
      </c>
      <c r="BA76">
        <v>0.64</v>
      </c>
      <c r="BB76">
        <v>0.32500000000000001</v>
      </c>
      <c r="BC76">
        <v>0.1</v>
      </c>
      <c r="BD76">
        <v>-9.9000000000000005E-2</v>
      </c>
      <c r="BE76">
        <v>-0.442</v>
      </c>
      <c r="BF76">
        <v>7.2999999999999995E-2</v>
      </c>
      <c r="BG76">
        <v>0.60599999999999998</v>
      </c>
      <c r="BH76">
        <v>0.3</v>
      </c>
      <c r="BI76">
        <v>0.86099999999999999</v>
      </c>
      <c r="BJ76">
        <v>-0.26700000000000002</v>
      </c>
      <c r="BK76">
        <v>0.187</v>
      </c>
      <c r="BL76">
        <v>0.53400000000000003</v>
      </c>
      <c r="BM76">
        <v>0.49299999999999999</v>
      </c>
    </row>
    <row r="77" spans="1:65" x14ac:dyDescent="0.3">
      <c r="A77" t="s">
        <v>248</v>
      </c>
      <c r="B77">
        <v>0</v>
      </c>
      <c r="C77">
        <v>0</v>
      </c>
      <c r="M77" t="s">
        <v>237</v>
      </c>
      <c r="N77">
        <v>1.097</v>
      </c>
      <c r="O77">
        <v>0.77300000000000002</v>
      </c>
      <c r="P77" t="s">
        <v>53</v>
      </c>
      <c r="Q77">
        <v>0</v>
      </c>
      <c r="R77">
        <v>0</v>
      </c>
      <c r="S77">
        <v>4.5507478033333298E-2</v>
      </c>
      <c r="T77">
        <v>0.38700000000000001</v>
      </c>
      <c r="U77">
        <v>0.82799999999999996</v>
      </c>
      <c r="V77">
        <v>0.56000000000000005</v>
      </c>
      <c r="W77">
        <v>9.0999999999999998E-2</v>
      </c>
      <c r="X77">
        <v>0.56499999999999995</v>
      </c>
      <c r="Y77">
        <v>-0.57099999999999995</v>
      </c>
      <c r="Z77">
        <v>-0.79</v>
      </c>
      <c r="AA77">
        <v>-0.503</v>
      </c>
      <c r="AB77">
        <v>-0.14899999999999999</v>
      </c>
      <c r="AC77">
        <v>-0.14799999999999999</v>
      </c>
      <c r="AD77">
        <v>0.32400000000000001</v>
      </c>
      <c r="AE77">
        <v>0.42499999999999999</v>
      </c>
      <c r="AF77">
        <v>0.312</v>
      </c>
      <c r="AG77">
        <v>0.437</v>
      </c>
      <c r="AH77">
        <v>0.64</v>
      </c>
      <c r="AI77">
        <v>0.76400000000000001</v>
      </c>
      <c r="AJ77">
        <v>1</v>
      </c>
      <c r="AK77">
        <v>0.65800000000000003</v>
      </c>
      <c r="AL77">
        <v>-0.52400000000000002</v>
      </c>
      <c r="AM77">
        <v>0.67400000000000004</v>
      </c>
      <c r="AN77">
        <v>-0.89100000000000001</v>
      </c>
      <c r="AO77">
        <v>0.80200000000000005</v>
      </c>
      <c r="AP77">
        <v>0.217</v>
      </c>
      <c r="AQ77">
        <v>-0.22800000000000001</v>
      </c>
      <c r="AR77">
        <v>0.249</v>
      </c>
      <c r="AS77">
        <v>-0.30399999999999999</v>
      </c>
      <c r="AT77">
        <v>0.26500000000000001</v>
      </c>
      <c r="AU77">
        <v>5.1999999999999998E-2</v>
      </c>
      <c r="AV77">
        <v>7.0000000000000001E-3</v>
      </c>
      <c r="AW77">
        <v>-0.62</v>
      </c>
      <c r="AX77">
        <v>-0.01</v>
      </c>
      <c r="AY77">
        <v>-0.55800000000000005</v>
      </c>
      <c r="AZ77">
        <v>-0.61199999999999999</v>
      </c>
      <c r="BA77">
        <v>-0.33600000000000002</v>
      </c>
      <c r="BB77">
        <v>-0.51300000000000001</v>
      </c>
      <c r="BC77">
        <v>0.98399999999999999</v>
      </c>
      <c r="BD77">
        <v>0.104</v>
      </c>
      <c r="BE77">
        <v>-3.0000000000000001E-3</v>
      </c>
      <c r="BF77">
        <v>0.32300000000000001</v>
      </c>
      <c r="BG77">
        <v>0.54700000000000004</v>
      </c>
      <c r="BH77">
        <v>0.51500000000000001</v>
      </c>
      <c r="BI77">
        <v>-0.63900000000000001</v>
      </c>
      <c r="BJ77">
        <v>1</v>
      </c>
      <c r="BK77">
        <v>0.38600000000000001</v>
      </c>
      <c r="BL77">
        <v>0.59499999999999997</v>
      </c>
      <c r="BM77">
        <v>0.99399999999999999</v>
      </c>
    </row>
    <row r="78" spans="1:65" x14ac:dyDescent="0.3">
      <c r="A78" t="s">
        <v>225</v>
      </c>
      <c r="B78">
        <v>0</v>
      </c>
      <c r="C78">
        <v>0</v>
      </c>
      <c r="M78" t="s">
        <v>164</v>
      </c>
      <c r="N78">
        <v>1.093</v>
      </c>
      <c r="O78">
        <v>1.1599999999999999</v>
      </c>
      <c r="P78" t="s">
        <v>68</v>
      </c>
      <c r="Q78">
        <v>0</v>
      </c>
      <c r="R78">
        <v>0</v>
      </c>
      <c r="S78">
        <v>0.36880113333333298</v>
      </c>
      <c r="T78">
        <v>-7.0999999999999994E-2</v>
      </c>
      <c r="U78">
        <v>-2E-3</v>
      </c>
      <c r="V78">
        <v>-5.6000000000000001E-2</v>
      </c>
      <c r="W78">
        <v>-0.33</v>
      </c>
      <c r="X78">
        <v>-0.218</v>
      </c>
      <c r="Y78">
        <v>-0.25900000000000001</v>
      </c>
      <c r="Z78">
        <v>-0.40699999999999997</v>
      </c>
      <c r="AA78">
        <v>-0.60499999999999998</v>
      </c>
      <c r="AB78">
        <v>0.53200000000000003</v>
      </c>
      <c r="AC78">
        <v>0.52900000000000003</v>
      </c>
      <c r="AD78">
        <v>0.62</v>
      </c>
      <c r="AE78">
        <v>0.70899999999999996</v>
      </c>
      <c r="AF78">
        <v>0.70599999999999996</v>
      </c>
      <c r="AG78">
        <v>-0.22800000000000001</v>
      </c>
      <c r="AH78">
        <v>4.0000000000000001E-3</v>
      </c>
      <c r="AI78">
        <v>-0.16</v>
      </c>
      <c r="AJ78">
        <v>0.54800000000000004</v>
      </c>
      <c r="AK78">
        <v>-0.37</v>
      </c>
      <c r="AL78">
        <v>-0.53100000000000003</v>
      </c>
      <c r="AM78">
        <v>0.314</v>
      </c>
      <c r="AN78">
        <v>-0.46500000000000002</v>
      </c>
      <c r="AO78">
        <v>0.71699999999999997</v>
      </c>
      <c r="AP78">
        <v>-0.25700000000000001</v>
      </c>
      <c r="AQ78">
        <v>-0.433</v>
      </c>
      <c r="AR78">
        <v>-0.17499999999999999</v>
      </c>
      <c r="AS78">
        <v>5.8000000000000003E-2</v>
      </c>
      <c r="AT78">
        <v>0.314</v>
      </c>
      <c r="AU78">
        <v>6.9000000000000006E-2</v>
      </c>
      <c r="AV78">
        <v>8.9999999999999993E-3</v>
      </c>
      <c r="AW78">
        <v>-0.54300000000000004</v>
      </c>
      <c r="AX78">
        <v>-0.217</v>
      </c>
      <c r="AY78">
        <v>0.54</v>
      </c>
      <c r="AZ78">
        <v>-0.21099999999999999</v>
      </c>
      <c r="BA78">
        <v>0.92800000000000005</v>
      </c>
      <c r="BB78">
        <v>1</v>
      </c>
      <c r="BC78">
        <v>4.8000000000000001E-2</v>
      </c>
      <c r="BD78">
        <v>0.224</v>
      </c>
      <c r="BE78">
        <v>0.13800000000000001</v>
      </c>
      <c r="BF78">
        <v>0.29499999999999998</v>
      </c>
      <c r="BG78">
        <v>-0.28799999999999998</v>
      </c>
      <c r="BH78">
        <v>-0.224</v>
      </c>
      <c r="BI78">
        <v>0.38300000000000001</v>
      </c>
      <c r="BJ78">
        <v>-4.2999999999999997E-2</v>
      </c>
      <c r="BK78">
        <v>0.24</v>
      </c>
      <c r="BL78">
        <v>6.0999999999999999E-2</v>
      </c>
      <c r="BM78">
        <v>0.45400000000000001</v>
      </c>
    </row>
    <row r="79" spans="1:65" x14ac:dyDescent="0.3">
      <c r="A79" t="s">
        <v>97</v>
      </c>
      <c r="B79">
        <v>1.11469109691242E-2</v>
      </c>
      <c r="C79">
        <v>6.2380569290023504E-3</v>
      </c>
      <c r="M79" t="s">
        <v>143</v>
      </c>
      <c r="N79">
        <v>1.08</v>
      </c>
      <c r="O79">
        <v>1.6739999999999999</v>
      </c>
      <c r="P79" t="s">
        <v>53</v>
      </c>
      <c r="Q79">
        <v>0</v>
      </c>
      <c r="R79">
        <v>-1.2E-2</v>
      </c>
      <c r="S79">
        <v>0.93633607016333298</v>
      </c>
      <c r="T79">
        <v>-0.39500000000000002</v>
      </c>
      <c r="U79">
        <v>-0.47</v>
      </c>
      <c r="V79">
        <v>-0.7</v>
      </c>
      <c r="W79">
        <v>-0.315</v>
      </c>
      <c r="X79">
        <v>-0.57499999999999996</v>
      </c>
      <c r="Y79">
        <v>-8.5999999999999993E-2</v>
      </c>
      <c r="Z79">
        <v>0.13200000000000001</v>
      </c>
      <c r="AA79">
        <v>-0.22</v>
      </c>
      <c r="AB79">
        <v>0.32700000000000001</v>
      </c>
      <c r="AC79">
        <v>0.32500000000000001</v>
      </c>
      <c r="AD79">
        <v>0.81699999999999995</v>
      </c>
      <c r="AE79">
        <v>0.82499999999999996</v>
      </c>
      <c r="AF79">
        <v>0.622</v>
      </c>
      <c r="AG79">
        <v>-0.26400000000000001</v>
      </c>
      <c r="AH79">
        <v>-0.39200000000000002</v>
      </c>
      <c r="AI79">
        <v>-0.313</v>
      </c>
      <c r="AJ79">
        <v>-0.65200000000000002</v>
      </c>
      <c r="AK79">
        <v>-0.32800000000000001</v>
      </c>
      <c r="AL79">
        <v>-0.78800000000000003</v>
      </c>
      <c r="AM79">
        <v>1.6E-2</v>
      </c>
      <c r="AN79">
        <v>-8.4000000000000005E-2</v>
      </c>
      <c r="AO79">
        <v>-0.64</v>
      </c>
      <c r="AP79">
        <v>0.221</v>
      </c>
      <c r="AQ79">
        <v>6.4000000000000001E-2</v>
      </c>
      <c r="AR79">
        <v>-0.10199999999999999</v>
      </c>
      <c r="AS79">
        <v>5.8000000000000003E-2</v>
      </c>
      <c r="AT79">
        <v>0.33200000000000002</v>
      </c>
      <c r="AU79">
        <v>0.11899999999999999</v>
      </c>
      <c r="AV79">
        <v>0.217</v>
      </c>
      <c r="AW79">
        <v>-0.29199999999999998</v>
      </c>
      <c r="AX79">
        <v>7.0999999999999994E-2</v>
      </c>
      <c r="AY79">
        <v>0.45700000000000002</v>
      </c>
      <c r="AZ79">
        <v>-0.158</v>
      </c>
      <c r="BA79">
        <v>0.92600000000000005</v>
      </c>
      <c r="BB79">
        <v>0.50800000000000001</v>
      </c>
      <c r="BC79">
        <v>-8.9999999999999993E-3</v>
      </c>
      <c r="BD79">
        <v>-0.11799999999999999</v>
      </c>
      <c r="BE79">
        <v>-2.5999999999999999E-2</v>
      </c>
      <c r="BF79">
        <v>0.48799999999999999</v>
      </c>
      <c r="BG79">
        <v>-0.183</v>
      </c>
      <c r="BH79">
        <v>9.6000000000000002E-2</v>
      </c>
      <c r="BI79">
        <v>0.71</v>
      </c>
      <c r="BJ79">
        <v>-0.123</v>
      </c>
      <c r="BK79">
        <v>-0.183</v>
      </c>
      <c r="BL79">
        <v>4.5999999999999999E-2</v>
      </c>
      <c r="BM79">
        <v>-0.14499999999999999</v>
      </c>
    </row>
    <row r="80" spans="1:65" x14ac:dyDescent="0.3">
      <c r="A80" t="s">
        <v>125</v>
      </c>
      <c r="B80">
        <v>0</v>
      </c>
      <c r="C80">
        <v>0</v>
      </c>
      <c r="M80" t="s">
        <v>132</v>
      </c>
      <c r="N80">
        <v>1.08</v>
      </c>
      <c r="O80">
        <v>0.91300000000000003</v>
      </c>
      <c r="P80" t="s">
        <v>53</v>
      </c>
      <c r="Q80">
        <v>0</v>
      </c>
      <c r="R80">
        <v>-2E-3</v>
      </c>
      <c r="S80">
        <v>0.26910933176666701</v>
      </c>
      <c r="T80">
        <v>-0.27500000000000002</v>
      </c>
      <c r="U80">
        <v>-0.47799999999999998</v>
      </c>
      <c r="V80">
        <v>-0.47399999999999998</v>
      </c>
      <c r="W80">
        <v>-0.25900000000000001</v>
      </c>
      <c r="X80">
        <v>-0.46500000000000002</v>
      </c>
      <c r="Y80">
        <v>-0.13400000000000001</v>
      </c>
      <c r="Z80">
        <v>-0.01</v>
      </c>
      <c r="AA80">
        <v>-0.29899999999999999</v>
      </c>
      <c r="AB80">
        <v>0.30399999999999999</v>
      </c>
      <c r="AC80">
        <v>0.29799999999999999</v>
      </c>
      <c r="AD80">
        <v>0.748</v>
      </c>
      <c r="AE80">
        <v>0.77600000000000002</v>
      </c>
      <c r="AF80">
        <v>0.63400000000000001</v>
      </c>
      <c r="AG80">
        <v>-0.14799999999999999</v>
      </c>
      <c r="AH80">
        <v>-0.20699999999999999</v>
      </c>
      <c r="AI80">
        <v>-0.45800000000000002</v>
      </c>
      <c r="AJ80">
        <v>-0.51900000000000002</v>
      </c>
      <c r="AK80">
        <v>4.5999999999999999E-2</v>
      </c>
      <c r="AL80">
        <v>-0.39700000000000002</v>
      </c>
      <c r="AM80">
        <v>-0.187</v>
      </c>
      <c r="AN80">
        <v>-5.7000000000000002E-2</v>
      </c>
      <c r="AO80">
        <v>-0.41899999999999998</v>
      </c>
      <c r="AP80">
        <v>-0.113</v>
      </c>
      <c r="AQ80">
        <v>-1.6E-2</v>
      </c>
      <c r="AR80">
        <v>-0.99099999999999999</v>
      </c>
      <c r="AS80">
        <v>0.23899999999999999</v>
      </c>
      <c r="AT80">
        <v>1</v>
      </c>
      <c r="AU80">
        <v>0.38400000000000001</v>
      </c>
      <c r="AV80">
        <v>0.30399999999999999</v>
      </c>
      <c r="AW80">
        <v>-0.46</v>
      </c>
      <c r="AX80">
        <v>0.36399999999999999</v>
      </c>
      <c r="AY80">
        <v>-0.14000000000000001</v>
      </c>
      <c r="AZ80">
        <v>-0.15</v>
      </c>
      <c r="BA80">
        <v>0.88</v>
      </c>
      <c r="BB80">
        <v>0.442</v>
      </c>
      <c r="BC80">
        <v>0.73899999999999999</v>
      </c>
      <c r="BD80">
        <v>-0.38800000000000001</v>
      </c>
      <c r="BE80">
        <v>-0.435</v>
      </c>
      <c r="BF80">
        <v>0.50700000000000001</v>
      </c>
      <c r="BG80">
        <v>0.36699999999999999</v>
      </c>
      <c r="BH80">
        <v>0.19800000000000001</v>
      </c>
      <c r="BI80">
        <v>0.71699999999999997</v>
      </c>
      <c r="BJ80">
        <v>-0.33400000000000002</v>
      </c>
      <c r="BK80">
        <v>0.14199999999999999</v>
      </c>
      <c r="BL80">
        <v>-0.105</v>
      </c>
      <c r="BM80">
        <v>0.20599999999999999</v>
      </c>
    </row>
    <row r="81" spans="1:65" x14ac:dyDescent="0.3">
      <c r="A81" t="s">
        <v>244</v>
      </c>
      <c r="B81">
        <v>0</v>
      </c>
      <c r="C81">
        <v>0</v>
      </c>
      <c r="M81" t="s">
        <v>228</v>
      </c>
      <c r="N81">
        <v>1.0720000000000001</v>
      </c>
      <c r="O81">
        <v>0.81599999999999995</v>
      </c>
      <c r="P81" t="s">
        <v>57</v>
      </c>
      <c r="Q81">
        <v>0</v>
      </c>
      <c r="R81">
        <v>0</v>
      </c>
      <c r="S81">
        <v>3.027700405E-2</v>
      </c>
      <c r="T81">
        <v>3.2000000000000001E-2</v>
      </c>
      <c r="U81">
        <v>0.45</v>
      </c>
      <c r="V81">
        <v>-4.1000000000000002E-2</v>
      </c>
      <c r="W81">
        <v>-0.27</v>
      </c>
      <c r="X81">
        <v>-4.8000000000000001E-2</v>
      </c>
      <c r="Y81">
        <v>-0.40300000000000002</v>
      </c>
      <c r="Z81">
        <v>-0.60199999999999998</v>
      </c>
      <c r="AA81">
        <v>-0.501</v>
      </c>
      <c r="AB81">
        <v>-0.10299999999999999</v>
      </c>
      <c r="AC81">
        <v>-0.10199999999999999</v>
      </c>
      <c r="AD81">
        <v>0.73099999999999998</v>
      </c>
      <c r="AE81">
        <v>0.81</v>
      </c>
      <c r="AF81">
        <v>0.69899999999999995</v>
      </c>
      <c r="AG81">
        <v>-0.93100000000000005</v>
      </c>
      <c r="AH81">
        <v>0.2</v>
      </c>
      <c r="AI81">
        <v>0.84199999999999997</v>
      </c>
      <c r="AJ81">
        <v>-0.48099999999999998</v>
      </c>
      <c r="AK81">
        <v>1</v>
      </c>
      <c r="AL81">
        <v>0.38900000000000001</v>
      </c>
      <c r="AM81">
        <v>-0.17499999999999999</v>
      </c>
      <c r="AN81">
        <v>-0.85099999999999998</v>
      </c>
      <c r="AO81">
        <v>-0.46500000000000002</v>
      </c>
      <c r="AP81">
        <v>0.20100000000000001</v>
      </c>
      <c r="AQ81">
        <v>-5.0000000000000001E-3</v>
      </c>
      <c r="AR81">
        <v>0.93200000000000005</v>
      </c>
      <c r="AS81">
        <v>0.32600000000000001</v>
      </c>
      <c r="AT81">
        <v>0.44800000000000001</v>
      </c>
      <c r="AU81">
        <v>0.28599999999999998</v>
      </c>
      <c r="AV81">
        <v>0.27500000000000002</v>
      </c>
      <c r="AW81">
        <v>-0.308</v>
      </c>
      <c r="AX81">
        <v>-0.157</v>
      </c>
      <c r="AY81">
        <v>-0.39900000000000002</v>
      </c>
      <c r="AZ81">
        <v>0.21</v>
      </c>
      <c r="BA81">
        <v>-0.34399999999999997</v>
      </c>
      <c r="BB81">
        <v>4.4999999999999998E-2</v>
      </c>
      <c r="BC81">
        <v>-2.8000000000000001E-2</v>
      </c>
      <c r="BD81">
        <v>0.17100000000000001</v>
      </c>
      <c r="BE81">
        <v>0.51800000000000002</v>
      </c>
      <c r="BF81">
        <v>-0.88300000000000001</v>
      </c>
      <c r="BG81">
        <v>-0.246</v>
      </c>
      <c r="BH81">
        <v>0.29299999999999998</v>
      </c>
      <c r="BI81">
        <v>0.29299999999999998</v>
      </c>
      <c r="BJ81">
        <v>0.28799999999999998</v>
      </c>
      <c r="BK81">
        <v>-2.5000000000000001E-2</v>
      </c>
      <c r="BL81">
        <v>0.25</v>
      </c>
      <c r="BM81">
        <v>-5.3999999999999999E-2</v>
      </c>
    </row>
    <row r="82" spans="1:65" x14ac:dyDescent="0.3">
      <c r="A82" t="s">
        <v>141</v>
      </c>
      <c r="B82">
        <v>0</v>
      </c>
      <c r="C82">
        <v>0</v>
      </c>
      <c r="M82" t="s">
        <v>125</v>
      </c>
      <c r="N82">
        <v>1.052</v>
      </c>
      <c r="O82">
        <v>1.4430000000000001</v>
      </c>
      <c r="P82" t="s">
        <v>55</v>
      </c>
      <c r="Q82">
        <v>0</v>
      </c>
      <c r="R82">
        <v>-1E-3</v>
      </c>
      <c r="S82">
        <v>1.1477801859300001</v>
      </c>
      <c r="T82">
        <v>-0.34599999999999997</v>
      </c>
      <c r="U82">
        <v>-0.48499999999999999</v>
      </c>
      <c r="V82">
        <v>-0.77400000000000002</v>
      </c>
      <c r="W82">
        <v>-0.29499999999999998</v>
      </c>
      <c r="X82">
        <v>-0.65600000000000003</v>
      </c>
      <c r="Y82">
        <v>0.13300000000000001</v>
      </c>
      <c r="Z82">
        <v>0.67600000000000005</v>
      </c>
      <c r="AA82">
        <v>-0.38800000000000001</v>
      </c>
      <c r="AB82">
        <v>0.29799999999999999</v>
      </c>
      <c r="AC82">
        <v>0.29899999999999999</v>
      </c>
      <c r="AD82">
        <v>0.7</v>
      </c>
      <c r="AE82">
        <v>0.72199999999999998</v>
      </c>
      <c r="AF82">
        <v>0.55100000000000005</v>
      </c>
      <c r="AG82">
        <v>-0.24099999999999999</v>
      </c>
      <c r="AH82">
        <v>-0.55900000000000005</v>
      </c>
      <c r="AI82">
        <v>-0.52300000000000002</v>
      </c>
      <c r="AJ82">
        <v>-0.86299999999999999</v>
      </c>
      <c r="AK82">
        <v>-0.56399999999999995</v>
      </c>
      <c r="AL82">
        <v>-0.58499999999999996</v>
      </c>
      <c r="AM82">
        <v>-0.28899999999999998</v>
      </c>
      <c r="AN82">
        <v>-0.39300000000000002</v>
      </c>
      <c r="AO82">
        <v>-0.77100000000000002</v>
      </c>
      <c r="AP82">
        <v>0.21299999999999999</v>
      </c>
      <c r="AQ82">
        <v>-8.9999999999999993E-3</v>
      </c>
      <c r="AR82">
        <v>0.10100000000000001</v>
      </c>
      <c r="AS82">
        <v>4.7E-2</v>
      </c>
      <c r="AT82">
        <v>0.39300000000000002</v>
      </c>
      <c r="AU82">
        <v>0.33300000000000002</v>
      </c>
      <c r="AV82">
        <v>0.43099999999999999</v>
      </c>
      <c r="AW82">
        <v>0.90100000000000002</v>
      </c>
      <c r="AX82">
        <v>0.35099999999999998</v>
      </c>
      <c r="AY82">
        <v>0.30399999999999999</v>
      </c>
      <c r="AZ82">
        <v>-0.58399999999999996</v>
      </c>
      <c r="BA82">
        <v>0.80700000000000005</v>
      </c>
      <c r="BB82">
        <v>0.29699999999999999</v>
      </c>
      <c r="BC82">
        <v>-9.9000000000000005E-2</v>
      </c>
      <c r="BD82">
        <v>-0.42</v>
      </c>
      <c r="BE82">
        <v>0.41</v>
      </c>
      <c r="BF82">
        <v>0.35199999999999998</v>
      </c>
      <c r="BG82">
        <v>-2.8000000000000001E-2</v>
      </c>
      <c r="BH82">
        <v>-3.1E-2</v>
      </c>
      <c r="BI82">
        <v>0.70399999999999996</v>
      </c>
      <c r="BJ82">
        <v>-0.36</v>
      </c>
      <c r="BK82">
        <v>0.54700000000000004</v>
      </c>
      <c r="BL82">
        <v>-0.26600000000000001</v>
      </c>
      <c r="BM82">
        <v>-0.42</v>
      </c>
    </row>
    <row r="83" spans="1:65" x14ac:dyDescent="0.3">
      <c r="A83" t="s">
        <v>66</v>
      </c>
      <c r="B83">
        <v>1.1904097361985701E-2</v>
      </c>
      <c r="C83">
        <v>5.7265430133990897E-3</v>
      </c>
      <c r="M83" t="s">
        <v>196</v>
      </c>
      <c r="N83">
        <v>1.046</v>
      </c>
      <c r="O83">
        <v>0.76700000000000002</v>
      </c>
      <c r="P83" t="s">
        <v>57</v>
      </c>
      <c r="Q83">
        <v>0</v>
      </c>
      <c r="R83">
        <v>0</v>
      </c>
      <c r="S83">
        <v>0.20086468759666701</v>
      </c>
      <c r="T83">
        <v>8.3000000000000004E-2</v>
      </c>
      <c r="U83">
        <v>0.16200000000000001</v>
      </c>
      <c r="V83">
        <v>0.125</v>
      </c>
      <c r="W83">
        <v>2.5000000000000001E-2</v>
      </c>
      <c r="X83">
        <v>0.14499999999999999</v>
      </c>
      <c r="Y83">
        <v>-0.27200000000000002</v>
      </c>
      <c r="Z83">
        <v>-0.39</v>
      </c>
      <c r="AA83">
        <v>-0.55800000000000005</v>
      </c>
      <c r="AB83">
        <v>-5.3999999999999999E-2</v>
      </c>
      <c r="AC83">
        <v>-5.2999999999999999E-2</v>
      </c>
      <c r="AD83">
        <v>0.56899999999999995</v>
      </c>
      <c r="AE83">
        <v>0.55600000000000005</v>
      </c>
      <c r="AF83">
        <v>0.53900000000000003</v>
      </c>
      <c r="AG83">
        <v>0.183</v>
      </c>
      <c r="AH83">
        <v>0.93899999999999995</v>
      </c>
      <c r="AI83">
        <v>0.125</v>
      </c>
      <c r="AJ83">
        <v>0.38900000000000001</v>
      </c>
      <c r="AK83">
        <v>-0.113</v>
      </c>
      <c r="AL83">
        <v>0.67100000000000004</v>
      </c>
      <c r="AM83">
        <v>0.14299999999999999</v>
      </c>
      <c r="AN83">
        <v>-0.753</v>
      </c>
      <c r="AO83">
        <v>0.249</v>
      </c>
      <c r="AP83">
        <v>0.14699999999999999</v>
      </c>
      <c r="AQ83">
        <v>-0.19800000000000001</v>
      </c>
      <c r="AR83">
        <v>-0.436</v>
      </c>
      <c r="AS83">
        <v>0.56399999999999995</v>
      </c>
      <c r="AT83">
        <v>0.23100000000000001</v>
      </c>
      <c r="AU83">
        <v>0.188</v>
      </c>
      <c r="AV83">
        <v>7.8E-2</v>
      </c>
      <c r="AW83">
        <v>0.126</v>
      </c>
      <c r="AX83">
        <v>0.23400000000000001</v>
      </c>
      <c r="AY83">
        <v>-0.88500000000000001</v>
      </c>
      <c r="AZ83">
        <v>-0.47399999999999998</v>
      </c>
      <c r="BA83">
        <v>0.64300000000000002</v>
      </c>
      <c r="BB83">
        <v>0.17299999999999999</v>
      </c>
      <c r="BC83">
        <v>0.53300000000000003</v>
      </c>
      <c r="BD83">
        <v>0.159</v>
      </c>
      <c r="BE83">
        <v>-0.219</v>
      </c>
      <c r="BF83">
        <v>0.20399999999999999</v>
      </c>
      <c r="BG83">
        <v>0.46899999999999997</v>
      </c>
      <c r="BH83">
        <v>0.315</v>
      </c>
      <c r="BI83">
        <v>0.27600000000000002</v>
      </c>
      <c r="BJ83">
        <v>-0.153</v>
      </c>
      <c r="BK83">
        <v>0.50700000000000001</v>
      </c>
      <c r="BL83">
        <v>-0.59399999999999997</v>
      </c>
      <c r="BM83">
        <v>0.65300000000000002</v>
      </c>
    </row>
    <row r="84" spans="1:65" x14ac:dyDescent="0.3">
      <c r="A84" t="s">
        <v>118</v>
      </c>
      <c r="B84">
        <v>8.1504880480818501E-3</v>
      </c>
      <c r="C84">
        <v>7.93748364068338E-3</v>
      </c>
      <c r="M84" t="s">
        <v>104</v>
      </c>
      <c r="N84">
        <v>1.0429999999999999</v>
      </c>
      <c r="O84">
        <v>1.383</v>
      </c>
      <c r="P84" t="s">
        <v>55</v>
      </c>
      <c r="Q84">
        <v>0</v>
      </c>
      <c r="R84">
        <v>0</v>
      </c>
      <c r="S84">
        <v>1.0827808024066701</v>
      </c>
      <c r="T84">
        <v>-0.55000000000000004</v>
      </c>
      <c r="U84">
        <v>-0.73899999999999999</v>
      </c>
      <c r="V84">
        <v>-0.71599999999999997</v>
      </c>
      <c r="W84">
        <v>-0.42099999999999999</v>
      </c>
      <c r="X84">
        <v>-0.69199999999999995</v>
      </c>
      <c r="Y84">
        <v>9.1999999999999998E-2</v>
      </c>
      <c r="Z84">
        <v>0.71899999999999997</v>
      </c>
      <c r="AA84">
        <v>-0.28799999999999998</v>
      </c>
      <c r="AB84">
        <v>0.48399999999999999</v>
      </c>
      <c r="AC84">
        <v>0.48199999999999998</v>
      </c>
      <c r="AD84">
        <v>0.63400000000000001</v>
      </c>
      <c r="AE84">
        <v>0.72099999999999997</v>
      </c>
      <c r="AF84">
        <v>0.59199999999999997</v>
      </c>
      <c r="AG84">
        <v>-0.27</v>
      </c>
      <c r="AH84">
        <v>-0.53200000000000003</v>
      </c>
      <c r="AI84">
        <v>-0.66800000000000004</v>
      </c>
      <c r="AJ84">
        <v>-0.76300000000000001</v>
      </c>
      <c r="AK84">
        <v>-0.67600000000000005</v>
      </c>
      <c r="AL84">
        <v>-0.88100000000000001</v>
      </c>
      <c r="AM84">
        <v>-0.182</v>
      </c>
      <c r="AN84">
        <v>0.187</v>
      </c>
      <c r="AO84">
        <v>-0.59899999999999998</v>
      </c>
      <c r="AP84">
        <v>-0.217</v>
      </c>
      <c r="AQ84">
        <v>-0.27</v>
      </c>
      <c r="AR84">
        <v>6.0000000000000001E-3</v>
      </c>
      <c r="AS84">
        <v>-0.13600000000000001</v>
      </c>
      <c r="AT84">
        <v>0.17599999999999999</v>
      </c>
      <c r="AU84">
        <v>0.124</v>
      </c>
      <c r="AV84">
        <v>0.113</v>
      </c>
      <c r="AW84">
        <v>0.53700000000000003</v>
      </c>
      <c r="AX84">
        <v>2.1999999999999999E-2</v>
      </c>
      <c r="AY84">
        <v>0.89300000000000002</v>
      </c>
      <c r="AZ84">
        <v>-0.84499999999999997</v>
      </c>
      <c r="BA84">
        <v>0.438</v>
      </c>
      <c r="BB84">
        <v>-6.5000000000000002E-2</v>
      </c>
      <c r="BC84">
        <v>0.88500000000000001</v>
      </c>
      <c r="BD84">
        <v>-0.16400000000000001</v>
      </c>
      <c r="BE84">
        <v>-0.36799999999999999</v>
      </c>
      <c r="BF84">
        <v>0.36399999999999999</v>
      </c>
      <c r="BG84">
        <v>-0.16600000000000001</v>
      </c>
      <c r="BH84">
        <v>0.11600000000000001</v>
      </c>
      <c r="BI84">
        <v>0.83899999999999997</v>
      </c>
      <c r="BJ84">
        <v>-0.379</v>
      </c>
      <c r="BK84">
        <v>-0.30099999999999999</v>
      </c>
      <c r="BL84">
        <v>0.93100000000000005</v>
      </c>
      <c r="BM84">
        <v>5.3999999999999999E-2</v>
      </c>
    </row>
    <row r="85" spans="1:65" x14ac:dyDescent="0.3">
      <c r="A85" t="s">
        <v>236</v>
      </c>
      <c r="B85">
        <v>0</v>
      </c>
      <c r="C85">
        <v>0</v>
      </c>
      <c r="M85" t="s">
        <v>78</v>
      </c>
      <c r="N85">
        <v>1.0409999999999999</v>
      </c>
      <c r="O85">
        <v>1.1870000000000001</v>
      </c>
      <c r="P85" t="s">
        <v>57</v>
      </c>
      <c r="Q85">
        <v>0</v>
      </c>
      <c r="R85">
        <v>-2E-3</v>
      </c>
      <c r="S85">
        <v>2.75</v>
      </c>
      <c r="T85">
        <v>-0.23899999999999999</v>
      </c>
      <c r="U85">
        <v>-0.78700000000000003</v>
      </c>
      <c r="V85">
        <v>-3.0000000000000001E-3</v>
      </c>
      <c r="W85">
        <v>-0.308</v>
      </c>
      <c r="X85">
        <v>-0.46400000000000002</v>
      </c>
      <c r="Y85">
        <v>3.1E-2</v>
      </c>
      <c r="Z85">
        <v>0.3</v>
      </c>
      <c r="AA85">
        <v>-0.35399999999999998</v>
      </c>
      <c r="AB85">
        <v>0.214</v>
      </c>
      <c r="AC85">
        <v>0.218</v>
      </c>
      <c r="AD85">
        <v>0.58199999999999996</v>
      </c>
      <c r="AE85">
        <v>0.54300000000000004</v>
      </c>
      <c r="AF85">
        <v>0.53400000000000003</v>
      </c>
      <c r="AG85">
        <v>2.9000000000000001E-2</v>
      </c>
      <c r="AH85">
        <v>-0.27800000000000002</v>
      </c>
      <c r="AI85">
        <v>-1</v>
      </c>
      <c r="AJ85">
        <v>-0.113</v>
      </c>
      <c r="AK85">
        <v>-0.51700000000000002</v>
      </c>
      <c r="AL85">
        <v>0.81599999999999995</v>
      </c>
      <c r="AM85">
        <v>-0.219</v>
      </c>
      <c r="AN85">
        <v>0.35099999999999998</v>
      </c>
      <c r="AO85">
        <v>-0.86199999999999999</v>
      </c>
      <c r="AP85">
        <v>0.24099999999999999</v>
      </c>
      <c r="AQ85">
        <v>-0.55100000000000005</v>
      </c>
      <c r="AR85">
        <v>-0.67700000000000005</v>
      </c>
      <c r="AS85">
        <v>0.104</v>
      </c>
      <c r="AT85">
        <v>0.19400000000000001</v>
      </c>
      <c r="AU85">
        <v>-0.318</v>
      </c>
      <c r="AV85">
        <v>0.81699999999999995</v>
      </c>
      <c r="AW85">
        <v>-0.28000000000000003</v>
      </c>
      <c r="AX85">
        <v>0.17599999999999999</v>
      </c>
      <c r="AY85">
        <v>0.378</v>
      </c>
      <c r="AZ85">
        <v>0.214</v>
      </c>
      <c r="BA85">
        <v>0.85099999999999998</v>
      </c>
      <c r="BB85">
        <v>0.318</v>
      </c>
      <c r="BC85">
        <v>0.42099999999999999</v>
      </c>
      <c r="BD85">
        <v>-0.13100000000000001</v>
      </c>
      <c r="BE85">
        <v>-0.36199999999999999</v>
      </c>
      <c r="BF85">
        <v>0.34699999999999998</v>
      </c>
      <c r="BG85">
        <v>-0.23899999999999999</v>
      </c>
      <c r="BH85">
        <v>-0.27400000000000002</v>
      </c>
      <c r="BI85">
        <v>0.75</v>
      </c>
      <c r="BJ85">
        <v>-0.59599999999999997</v>
      </c>
      <c r="BK85">
        <v>0.24299999999999999</v>
      </c>
      <c r="BL85">
        <v>0.36799999999999999</v>
      </c>
      <c r="BM85">
        <v>0.58799999999999997</v>
      </c>
    </row>
    <row r="86" spans="1:65" x14ac:dyDescent="0.3">
      <c r="A86" t="s">
        <v>76</v>
      </c>
      <c r="B86">
        <v>4.97810531090488E-3</v>
      </c>
      <c r="C86">
        <v>0</v>
      </c>
      <c r="M86" t="s">
        <v>142</v>
      </c>
      <c r="N86">
        <v>1</v>
      </c>
      <c r="O86">
        <v>0.81899999999999995</v>
      </c>
      <c r="P86" t="s">
        <v>53</v>
      </c>
      <c r="Q86">
        <v>0</v>
      </c>
      <c r="R86">
        <v>0</v>
      </c>
      <c r="S86">
        <v>0.79897617743000005</v>
      </c>
      <c r="T86">
        <v>3.1E-2</v>
      </c>
      <c r="U86">
        <v>-0.48399999999999999</v>
      </c>
      <c r="V86">
        <v>-9.6000000000000002E-2</v>
      </c>
      <c r="W86">
        <v>-0.123</v>
      </c>
      <c r="X86">
        <v>-0.38400000000000001</v>
      </c>
      <c r="Y86">
        <v>-4.5999999999999999E-2</v>
      </c>
      <c r="Z86">
        <v>-0.115</v>
      </c>
      <c r="AA86">
        <v>-0.61699999999999999</v>
      </c>
      <c r="AB86">
        <v>0.20499999999999999</v>
      </c>
      <c r="AC86">
        <v>0.20300000000000001</v>
      </c>
      <c r="AD86">
        <v>0.65200000000000002</v>
      </c>
      <c r="AE86">
        <v>0.56100000000000005</v>
      </c>
      <c r="AF86">
        <v>0.59099999999999997</v>
      </c>
      <c r="AG86">
        <v>0.33100000000000002</v>
      </c>
      <c r="AH86">
        <v>0.04</v>
      </c>
      <c r="AI86">
        <v>-0.85499999999999998</v>
      </c>
      <c r="AJ86">
        <v>-0.58399999999999996</v>
      </c>
      <c r="AK86">
        <v>-0.80300000000000005</v>
      </c>
      <c r="AL86">
        <v>0.03</v>
      </c>
      <c r="AM86">
        <v>-5.8000000000000003E-2</v>
      </c>
      <c r="AN86">
        <v>-0.50800000000000001</v>
      </c>
      <c r="AO86">
        <v>-0.123</v>
      </c>
      <c r="AP86">
        <v>0.42</v>
      </c>
      <c r="AQ86">
        <v>-0.53800000000000003</v>
      </c>
      <c r="AR86">
        <v>-0.3</v>
      </c>
      <c r="AS86">
        <v>0.38500000000000001</v>
      </c>
      <c r="AT86">
        <v>0.51900000000000002</v>
      </c>
      <c r="AU86">
        <v>0.18099999999999999</v>
      </c>
      <c r="AV86">
        <v>0.13200000000000001</v>
      </c>
      <c r="AW86">
        <v>-0.35699999999999998</v>
      </c>
      <c r="AX86">
        <v>0.55700000000000005</v>
      </c>
      <c r="AY86">
        <v>0.54400000000000004</v>
      </c>
      <c r="AZ86">
        <v>0.26200000000000001</v>
      </c>
      <c r="BA86">
        <v>0.877</v>
      </c>
      <c r="BB86">
        <v>1</v>
      </c>
      <c r="BC86">
        <v>0.64400000000000002</v>
      </c>
      <c r="BD86">
        <v>9.0999999999999998E-2</v>
      </c>
      <c r="BE86">
        <v>-6.0000000000000001E-3</v>
      </c>
      <c r="BF86">
        <v>0.51500000000000001</v>
      </c>
      <c r="BG86">
        <v>7.9000000000000001E-2</v>
      </c>
      <c r="BH86">
        <v>1</v>
      </c>
      <c r="BI86">
        <v>0.111</v>
      </c>
      <c r="BJ86">
        <v>-3.2000000000000001E-2</v>
      </c>
      <c r="BK86">
        <v>-0.247</v>
      </c>
      <c r="BL86">
        <v>0.52600000000000002</v>
      </c>
      <c r="BM86">
        <v>7.2999999999999995E-2</v>
      </c>
    </row>
    <row r="87" spans="1:65" x14ac:dyDescent="0.3">
      <c r="A87" t="s">
        <v>152</v>
      </c>
      <c r="B87">
        <v>5.34310225568016E-3</v>
      </c>
      <c r="C87">
        <v>1.0576239965865E-2</v>
      </c>
      <c r="M87" t="s">
        <v>108</v>
      </c>
      <c r="N87">
        <v>0.98599999999999999</v>
      </c>
      <c r="O87">
        <v>1.29</v>
      </c>
      <c r="P87" t="s">
        <v>55</v>
      </c>
      <c r="Q87">
        <v>0</v>
      </c>
      <c r="R87">
        <v>0</v>
      </c>
      <c r="S87">
        <v>1.08146631923333</v>
      </c>
      <c r="T87">
        <v>-0.621</v>
      </c>
      <c r="U87">
        <v>-0.76400000000000001</v>
      </c>
      <c r="V87">
        <v>-0.72499999999999998</v>
      </c>
      <c r="W87">
        <v>-0.45300000000000001</v>
      </c>
      <c r="X87">
        <v>-0.70699999999999996</v>
      </c>
      <c r="Y87">
        <v>0.04</v>
      </c>
      <c r="Z87">
        <v>0.67300000000000004</v>
      </c>
      <c r="AA87">
        <v>-0.308</v>
      </c>
      <c r="AB87">
        <v>0.57099999999999995</v>
      </c>
      <c r="AC87">
        <v>0.56899999999999995</v>
      </c>
      <c r="AD87">
        <v>0.61499999999999999</v>
      </c>
      <c r="AE87">
        <v>0.72</v>
      </c>
      <c r="AF87">
        <v>0.57899999999999996</v>
      </c>
      <c r="AG87">
        <v>-0.26500000000000001</v>
      </c>
      <c r="AH87">
        <v>-0.52800000000000002</v>
      </c>
      <c r="AI87">
        <v>-0.70599999999999996</v>
      </c>
      <c r="AJ87">
        <v>-0.76100000000000001</v>
      </c>
      <c r="AK87">
        <v>-0.70899999999999996</v>
      </c>
      <c r="AL87">
        <v>-0.88100000000000001</v>
      </c>
      <c r="AM87">
        <v>-0.182</v>
      </c>
      <c r="AN87">
        <v>0.19400000000000001</v>
      </c>
      <c r="AO87">
        <v>-0.59899999999999998</v>
      </c>
      <c r="AP87">
        <v>-0.21299999999999999</v>
      </c>
      <c r="AQ87">
        <v>-0.28999999999999998</v>
      </c>
      <c r="AR87">
        <v>1.4E-2</v>
      </c>
      <c r="AS87">
        <v>-0.13600000000000001</v>
      </c>
      <c r="AT87">
        <v>0.17599999999999999</v>
      </c>
      <c r="AU87">
        <v>0.124</v>
      </c>
      <c r="AV87">
        <v>0.113</v>
      </c>
      <c r="AW87">
        <v>0.53700000000000003</v>
      </c>
      <c r="AX87">
        <v>2.1999999999999999E-2</v>
      </c>
      <c r="AY87">
        <v>0.9</v>
      </c>
      <c r="AZ87">
        <v>-0.84499999999999997</v>
      </c>
      <c r="BA87">
        <v>0.438</v>
      </c>
      <c r="BB87">
        <v>3.7999999999999999E-2</v>
      </c>
      <c r="BC87">
        <v>0.22900000000000001</v>
      </c>
      <c r="BD87">
        <v>-0.16400000000000001</v>
      </c>
      <c r="BE87">
        <v>-0.36799999999999999</v>
      </c>
      <c r="BF87">
        <v>0.35899999999999999</v>
      </c>
      <c r="BG87">
        <v>-0.192</v>
      </c>
      <c r="BH87">
        <v>4.1000000000000002E-2</v>
      </c>
      <c r="BI87">
        <v>0.86599999999999999</v>
      </c>
      <c r="BJ87">
        <v>-0.36399999999999999</v>
      </c>
      <c r="BK87">
        <v>-0.34599999999999997</v>
      </c>
      <c r="BL87">
        <v>1</v>
      </c>
      <c r="BM87">
        <v>5.3999999999999999E-2</v>
      </c>
    </row>
    <row r="88" spans="1:65" x14ac:dyDescent="0.3">
      <c r="A88" t="s">
        <v>226</v>
      </c>
      <c r="B88">
        <v>0</v>
      </c>
      <c r="C88">
        <v>0</v>
      </c>
      <c r="M88" t="s">
        <v>185</v>
      </c>
      <c r="N88">
        <v>0.97299999999999998</v>
      </c>
      <c r="O88">
        <v>1.544</v>
      </c>
      <c r="P88" t="s">
        <v>55</v>
      </c>
      <c r="Q88">
        <v>0</v>
      </c>
      <c r="R88">
        <v>-6.0000000000000001E-3</v>
      </c>
      <c r="S88">
        <v>0.71701094132999998</v>
      </c>
      <c r="T88">
        <v>-0.60599999999999998</v>
      </c>
      <c r="U88">
        <v>-0.51500000000000001</v>
      </c>
      <c r="V88">
        <v>-0.92200000000000004</v>
      </c>
      <c r="W88">
        <v>-0.45100000000000001</v>
      </c>
      <c r="X88">
        <v>-0.75900000000000001</v>
      </c>
      <c r="Y88">
        <v>-7.0999999999999994E-2</v>
      </c>
      <c r="Z88">
        <v>8.8999999999999996E-2</v>
      </c>
      <c r="AA88">
        <v>-0.13800000000000001</v>
      </c>
      <c r="AB88">
        <v>0.33500000000000002</v>
      </c>
      <c r="AC88">
        <v>0.33700000000000002</v>
      </c>
      <c r="AD88">
        <v>0.74099999999999999</v>
      </c>
      <c r="AE88">
        <v>0.79600000000000004</v>
      </c>
      <c r="AF88">
        <v>0.67200000000000004</v>
      </c>
      <c r="AG88">
        <v>-0.76600000000000001</v>
      </c>
      <c r="AH88">
        <v>-0.47</v>
      </c>
      <c r="AI88">
        <v>6.5000000000000002E-2</v>
      </c>
      <c r="AJ88">
        <v>-0.94599999999999995</v>
      </c>
      <c r="AK88">
        <v>-0.435</v>
      </c>
      <c r="AL88">
        <v>-0.93899999999999995</v>
      </c>
      <c r="AM88">
        <v>-0.34499999999999997</v>
      </c>
      <c r="AN88">
        <v>-0.23</v>
      </c>
      <c r="AO88">
        <v>-0.65900000000000003</v>
      </c>
      <c r="AP88">
        <v>-0.55400000000000005</v>
      </c>
      <c r="AQ88">
        <v>0.40300000000000002</v>
      </c>
      <c r="AR88">
        <v>0.82399999999999995</v>
      </c>
      <c r="AS88">
        <v>0.254</v>
      </c>
      <c r="AT88">
        <v>0.30099999999999999</v>
      </c>
      <c r="AU88">
        <v>0.45400000000000001</v>
      </c>
      <c r="AV88">
        <v>4.0000000000000001E-3</v>
      </c>
      <c r="AW88">
        <v>-0.29399999999999998</v>
      </c>
      <c r="AX88">
        <v>-0.27900000000000003</v>
      </c>
      <c r="AY88">
        <v>0.66200000000000003</v>
      </c>
      <c r="AZ88">
        <v>-0.53800000000000003</v>
      </c>
      <c r="BA88">
        <v>0.94599999999999995</v>
      </c>
      <c r="BB88">
        <v>1</v>
      </c>
      <c r="BC88">
        <v>0.56499999999999995</v>
      </c>
      <c r="BD88">
        <v>0.152</v>
      </c>
      <c r="BE88">
        <v>-0.38</v>
      </c>
      <c r="BF88">
        <v>0.38300000000000001</v>
      </c>
      <c r="BG88">
        <v>-0.23499999999999999</v>
      </c>
      <c r="BH88">
        <v>-0.18099999999999999</v>
      </c>
      <c r="BI88">
        <v>0.8</v>
      </c>
      <c r="BJ88">
        <v>-0.89</v>
      </c>
      <c r="BK88">
        <v>-0.11700000000000001</v>
      </c>
      <c r="BL88">
        <v>-0.37</v>
      </c>
      <c r="BM88">
        <v>-0.45100000000000001</v>
      </c>
    </row>
    <row r="89" spans="1:65" x14ac:dyDescent="0.3">
      <c r="A89" t="s">
        <v>151</v>
      </c>
      <c r="B89">
        <v>0</v>
      </c>
      <c r="C89">
        <v>0</v>
      </c>
      <c r="M89" t="s">
        <v>154</v>
      </c>
      <c r="N89">
        <v>0.97</v>
      </c>
      <c r="O89">
        <v>2.1819999999999999</v>
      </c>
      <c r="P89" t="s">
        <v>55</v>
      </c>
      <c r="Q89">
        <v>0</v>
      </c>
      <c r="R89">
        <v>-3.5999999999999997E-2</v>
      </c>
      <c r="S89">
        <v>1.36641615795333</v>
      </c>
      <c r="T89">
        <v>-0.82</v>
      </c>
      <c r="U89">
        <v>-0.67300000000000004</v>
      </c>
      <c r="V89">
        <v>-0.93</v>
      </c>
      <c r="W89">
        <v>-0.627</v>
      </c>
      <c r="X89">
        <v>-0.75</v>
      </c>
      <c r="Y89">
        <v>-0.24</v>
      </c>
      <c r="Z89">
        <v>0.124</v>
      </c>
      <c r="AA89">
        <v>0.13200000000000001</v>
      </c>
      <c r="AB89">
        <v>0.54900000000000004</v>
      </c>
      <c r="AC89">
        <v>0.55200000000000005</v>
      </c>
      <c r="AD89">
        <v>0.64900000000000002</v>
      </c>
      <c r="AE89">
        <v>0.65500000000000003</v>
      </c>
      <c r="AF89">
        <v>0.58599999999999997</v>
      </c>
      <c r="AG89">
        <v>-0.77500000000000002</v>
      </c>
      <c r="AH89">
        <v>-0.68899999999999995</v>
      </c>
      <c r="AI89">
        <v>0.20200000000000001</v>
      </c>
      <c r="AJ89">
        <v>-0.878</v>
      </c>
      <c r="AK89">
        <v>-0.496</v>
      </c>
      <c r="AL89">
        <v>-0.96599999999999997</v>
      </c>
      <c r="AM89">
        <v>-0.32400000000000001</v>
      </c>
      <c r="AN89">
        <v>0.56499999999999995</v>
      </c>
      <c r="AO89">
        <v>-0.52200000000000002</v>
      </c>
      <c r="AP89">
        <v>-0.55000000000000004</v>
      </c>
      <c r="AQ89">
        <v>0.27700000000000002</v>
      </c>
      <c r="AR89">
        <v>0.55900000000000005</v>
      </c>
      <c r="AS89">
        <v>-0.23799999999999999</v>
      </c>
      <c r="AT89">
        <v>0.187</v>
      </c>
      <c r="AU89">
        <v>-0.246</v>
      </c>
      <c r="AV89">
        <v>0.2</v>
      </c>
      <c r="AW89">
        <v>-0.33100000000000002</v>
      </c>
      <c r="AX89">
        <v>-0.55800000000000005</v>
      </c>
      <c r="AY89">
        <v>0.55300000000000005</v>
      </c>
      <c r="AZ89">
        <v>-0.59699999999999998</v>
      </c>
      <c r="BA89">
        <v>0.85299999999999998</v>
      </c>
      <c r="BB89">
        <v>0.41</v>
      </c>
      <c r="BC89">
        <v>-0.40600000000000003</v>
      </c>
      <c r="BD89">
        <v>-0.432</v>
      </c>
      <c r="BE89">
        <v>-0.66500000000000004</v>
      </c>
      <c r="BF89">
        <v>0.222</v>
      </c>
      <c r="BG89">
        <v>8.5999999999999993E-2</v>
      </c>
      <c r="BH89">
        <v>0.25</v>
      </c>
      <c r="BI89">
        <v>0.98299999999999998</v>
      </c>
      <c r="BJ89">
        <v>-0.65400000000000003</v>
      </c>
      <c r="BK89">
        <v>-0.29299999999999998</v>
      </c>
      <c r="BL89">
        <v>-0.114</v>
      </c>
      <c r="BM89">
        <v>-0.378</v>
      </c>
    </row>
    <row r="90" spans="1:65" x14ac:dyDescent="0.3">
      <c r="A90" t="s">
        <v>203</v>
      </c>
      <c r="B90">
        <v>0</v>
      </c>
      <c r="C90">
        <v>0</v>
      </c>
      <c r="M90" t="s">
        <v>61</v>
      </c>
      <c r="N90">
        <v>0.92800000000000005</v>
      </c>
      <c r="O90">
        <v>1.087</v>
      </c>
      <c r="P90" t="s">
        <v>57</v>
      </c>
      <c r="Q90">
        <v>0</v>
      </c>
      <c r="R90">
        <v>-1E-3</v>
      </c>
      <c r="S90">
        <v>1.41808382127667</v>
      </c>
      <c r="T90">
        <v>-0.434</v>
      </c>
      <c r="U90">
        <v>-0.75600000000000001</v>
      </c>
      <c r="V90">
        <v>-0.13900000000000001</v>
      </c>
      <c r="W90">
        <v>-0.52200000000000002</v>
      </c>
      <c r="X90">
        <v>-0.51700000000000002</v>
      </c>
      <c r="Y90">
        <v>-0.113</v>
      </c>
      <c r="Z90">
        <v>0.14799999999999999</v>
      </c>
      <c r="AA90">
        <v>-0.216</v>
      </c>
      <c r="AB90">
        <v>0.121</v>
      </c>
      <c r="AC90">
        <v>0.11799999999999999</v>
      </c>
      <c r="AD90">
        <v>0.434</v>
      </c>
      <c r="AE90">
        <v>0.66600000000000004</v>
      </c>
      <c r="AF90">
        <v>0.56100000000000005</v>
      </c>
      <c r="AG90">
        <v>-0.46</v>
      </c>
      <c r="AH90">
        <v>0.246</v>
      </c>
      <c r="AI90">
        <v>-0.54</v>
      </c>
      <c r="AJ90">
        <v>8.9999999999999993E-3</v>
      </c>
      <c r="AK90">
        <v>0.20200000000000001</v>
      </c>
      <c r="AL90">
        <v>-0.224</v>
      </c>
      <c r="AM90">
        <v>-0.246</v>
      </c>
      <c r="AN90">
        <v>0.64600000000000002</v>
      </c>
      <c r="AO90">
        <v>-0.56100000000000005</v>
      </c>
      <c r="AP90">
        <v>0.29499999999999998</v>
      </c>
      <c r="AQ90">
        <v>-0.46500000000000002</v>
      </c>
      <c r="AR90">
        <v>-0.90600000000000003</v>
      </c>
      <c r="AS90">
        <v>0.25600000000000001</v>
      </c>
      <c r="AT90">
        <v>9.7000000000000003E-2</v>
      </c>
      <c r="AU90">
        <v>-0.48199999999999998</v>
      </c>
      <c r="AV90">
        <v>8.8999999999999996E-2</v>
      </c>
      <c r="AW90">
        <v>-0.15</v>
      </c>
      <c r="AX90">
        <v>-0.54100000000000004</v>
      </c>
      <c r="AY90">
        <v>0.16700000000000001</v>
      </c>
      <c r="AZ90">
        <v>0.188</v>
      </c>
      <c r="BA90">
        <v>0.434</v>
      </c>
      <c r="BB90">
        <v>0.63900000000000001</v>
      </c>
      <c r="BC90">
        <v>0.41299999999999998</v>
      </c>
      <c r="BD90">
        <v>-0.42099999999999999</v>
      </c>
      <c r="BE90">
        <v>-0.34</v>
      </c>
      <c r="BF90">
        <v>-0.53100000000000003</v>
      </c>
      <c r="BG90">
        <v>0.76500000000000001</v>
      </c>
      <c r="BH90">
        <v>0.25900000000000001</v>
      </c>
      <c r="BI90">
        <v>0.73299999999999998</v>
      </c>
      <c r="BJ90">
        <v>-0.81699999999999995</v>
      </c>
      <c r="BK90">
        <v>0.54400000000000004</v>
      </c>
      <c r="BL90">
        <v>0.436</v>
      </c>
      <c r="BM90">
        <v>0.20799999999999999</v>
      </c>
    </row>
    <row r="91" spans="1:65" x14ac:dyDescent="0.3">
      <c r="A91" t="s">
        <v>114</v>
      </c>
      <c r="B91">
        <v>0</v>
      </c>
      <c r="C91">
        <v>0</v>
      </c>
      <c r="M91" t="s">
        <v>203</v>
      </c>
      <c r="N91">
        <v>0.90800000000000003</v>
      </c>
      <c r="O91">
        <v>0.97899999999999998</v>
      </c>
      <c r="P91" t="s">
        <v>53</v>
      </c>
      <c r="Q91">
        <v>0</v>
      </c>
      <c r="R91">
        <v>-1E-3</v>
      </c>
      <c r="S91">
        <v>1.17479</v>
      </c>
      <c r="T91">
        <v>-0.221</v>
      </c>
      <c r="U91">
        <v>-0.45300000000000001</v>
      </c>
      <c r="V91">
        <v>-0.72099999999999997</v>
      </c>
      <c r="W91">
        <v>-0.25</v>
      </c>
      <c r="X91">
        <v>-0.63500000000000001</v>
      </c>
      <c r="Y91">
        <v>2E-3</v>
      </c>
      <c r="Z91">
        <v>0.29899999999999999</v>
      </c>
      <c r="AA91">
        <v>-0.52200000000000002</v>
      </c>
      <c r="AB91">
        <v>0.13700000000000001</v>
      </c>
      <c r="AC91">
        <v>0.13800000000000001</v>
      </c>
      <c r="AD91">
        <v>0.626</v>
      </c>
      <c r="AE91">
        <v>0.72199999999999998</v>
      </c>
      <c r="AF91">
        <v>0.56399999999999995</v>
      </c>
      <c r="AG91">
        <v>2.3E-2</v>
      </c>
      <c r="AH91">
        <v>-0.38100000000000001</v>
      </c>
      <c r="AI91">
        <v>-0.64900000000000002</v>
      </c>
      <c r="AJ91">
        <v>-0.83</v>
      </c>
      <c r="AK91">
        <v>-0.77</v>
      </c>
      <c r="AL91">
        <v>-0.78400000000000003</v>
      </c>
      <c r="AM91">
        <v>-0.17699999999999999</v>
      </c>
      <c r="AN91">
        <v>-0.35099999999999998</v>
      </c>
      <c r="AO91">
        <v>-0.51400000000000001</v>
      </c>
      <c r="AP91">
        <v>0.28000000000000003</v>
      </c>
      <c r="AQ91">
        <v>-0.379</v>
      </c>
      <c r="AR91">
        <v>0.23899999999999999</v>
      </c>
      <c r="AS91">
        <v>-1E-3</v>
      </c>
      <c r="AT91">
        <v>1</v>
      </c>
      <c r="AU91">
        <v>0.755</v>
      </c>
      <c r="AV91">
        <v>9.5000000000000001E-2</v>
      </c>
      <c r="AW91">
        <v>0.26</v>
      </c>
      <c r="AX91">
        <v>0.46</v>
      </c>
      <c r="AY91">
        <v>0.441</v>
      </c>
      <c r="AZ91">
        <v>-0.36699999999999999</v>
      </c>
      <c r="BA91">
        <v>0.81499999999999995</v>
      </c>
      <c r="BB91">
        <v>0.53600000000000003</v>
      </c>
      <c r="BC91">
        <v>0.92500000000000004</v>
      </c>
      <c r="BD91">
        <v>-0.127</v>
      </c>
      <c r="BE91">
        <v>-0.29899999999999999</v>
      </c>
      <c r="BF91">
        <v>0.39700000000000002</v>
      </c>
      <c r="BG91">
        <v>-0.76100000000000001</v>
      </c>
      <c r="BH91">
        <v>-0.16700000000000001</v>
      </c>
      <c r="BI91">
        <v>0.45900000000000002</v>
      </c>
      <c r="BJ91">
        <v>0.109</v>
      </c>
      <c r="BK91">
        <v>-0.377</v>
      </c>
      <c r="BL91">
        <v>8.0000000000000002E-3</v>
      </c>
      <c r="BM91">
        <v>-0.39</v>
      </c>
    </row>
    <row r="92" spans="1:65" x14ac:dyDescent="0.3">
      <c r="A92" t="s">
        <v>184</v>
      </c>
      <c r="B92">
        <v>1.46989511041034E-2</v>
      </c>
      <c r="C92">
        <v>1.3656397767387E-2</v>
      </c>
      <c r="M92" t="s">
        <v>210</v>
      </c>
      <c r="N92">
        <v>0.89200000000000002</v>
      </c>
      <c r="O92">
        <v>1.593</v>
      </c>
      <c r="P92" t="s">
        <v>55</v>
      </c>
      <c r="Q92">
        <v>0</v>
      </c>
      <c r="R92">
        <v>-1.4E-2</v>
      </c>
      <c r="S92">
        <v>1.6833631119066701</v>
      </c>
      <c r="T92">
        <v>-0.52300000000000002</v>
      </c>
      <c r="U92">
        <v>-0.47499999999999998</v>
      </c>
      <c r="V92">
        <v>-0.90600000000000003</v>
      </c>
      <c r="W92">
        <v>-0.34200000000000003</v>
      </c>
      <c r="X92">
        <v>-0.72199999999999998</v>
      </c>
      <c r="Y92">
        <v>-0.11899999999999999</v>
      </c>
      <c r="Z92">
        <v>0.109</v>
      </c>
      <c r="AA92">
        <v>-0.38100000000000001</v>
      </c>
      <c r="AB92">
        <v>0.33100000000000002</v>
      </c>
      <c r="AC92">
        <v>0.33300000000000002</v>
      </c>
      <c r="AD92">
        <v>0.78</v>
      </c>
      <c r="AE92">
        <v>0.92900000000000005</v>
      </c>
      <c r="AF92">
        <v>0.63600000000000001</v>
      </c>
      <c r="AG92">
        <v>-0.46</v>
      </c>
      <c r="AH92">
        <v>-0.252</v>
      </c>
      <c r="AI92">
        <v>1.4E-2</v>
      </c>
      <c r="AJ92">
        <v>-1</v>
      </c>
      <c r="AK92">
        <v>-0.69199999999999995</v>
      </c>
      <c r="AL92">
        <v>-0.86499999999999999</v>
      </c>
      <c r="AM92">
        <v>-0.378</v>
      </c>
      <c r="AN92">
        <v>-0.59699999999999998</v>
      </c>
      <c r="AO92">
        <v>-0.55300000000000005</v>
      </c>
      <c r="AP92">
        <v>-0.23400000000000001</v>
      </c>
      <c r="AQ92">
        <v>0.28799999999999998</v>
      </c>
      <c r="AR92">
        <v>0.378</v>
      </c>
      <c r="AS92">
        <v>0.46899999999999997</v>
      </c>
      <c r="AT92">
        <v>1</v>
      </c>
      <c r="AU92">
        <v>0.65</v>
      </c>
      <c r="AV92">
        <v>-0.216</v>
      </c>
      <c r="AW92">
        <v>2E-3</v>
      </c>
      <c r="AX92">
        <v>0.14499999999999999</v>
      </c>
      <c r="AY92">
        <v>0.252</v>
      </c>
      <c r="AZ92">
        <v>-0.58199999999999996</v>
      </c>
      <c r="BA92">
        <v>0.63900000000000001</v>
      </c>
      <c r="BB92">
        <v>0.32900000000000001</v>
      </c>
      <c r="BC92">
        <v>8.0000000000000002E-3</v>
      </c>
      <c r="BD92">
        <v>-7.3999999999999996E-2</v>
      </c>
      <c r="BE92">
        <v>-0.29499999999999998</v>
      </c>
      <c r="BF92">
        <v>0.71299999999999997</v>
      </c>
      <c r="BG92">
        <v>0.27300000000000002</v>
      </c>
      <c r="BH92">
        <v>0.71399999999999997</v>
      </c>
      <c r="BI92">
        <v>0.83499999999999996</v>
      </c>
      <c r="BJ92">
        <v>-0.66600000000000004</v>
      </c>
      <c r="BK92">
        <v>7.0999999999999994E-2</v>
      </c>
      <c r="BL92">
        <v>-0.26</v>
      </c>
      <c r="BM92">
        <v>-1</v>
      </c>
    </row>
    <row r="93" spans="1:65" x14ac:dyDescent="0.3">
      <c r="A93" t="s">
        <v>143</v>
      </c>
      <c r="B93">
        <v>0</v>
      </c>
      <c r="C93">
        <v>0</v>
      </c>
      <c r="M93" t="s">
        <v>111</v>
      </c>
      <c r="N93">
        <v>0.88500000000000001</v>
      </c>
      <c r="O93">
        <v>0.8</v>
      </c>
      <c r="P93" t="s">
        <v>53</v>
      </c>
      <c r="Q93">
        <v>0</v>
      </c>
      <c r="R93">
        <v>0</v>
      </c>
      <c r="S93">
        <v>0.27955455352000003</v>
      </c>
      <c r="T93">
        <v>-0.41699999999999998</v>
      </c>
      <c r="U93">
        <v>-0.189</v>
      </c>
      <c r="V93">
        <v>-0.32700000000000001</v>
      </c>
      <c r="W93">
        <v>-0.58799999999999997</v>
      </c>
      <c r="X93">
        <v>-0.41099999999999998</v>
      </c>
      <c r="Y93">
        <v>-0.49199999999999999</v>
      </c>
      <c r="Z93">
        <v>-0.371</v>
      </c>
      <c r="AA93">
        <v>-0.49299999999999999</v>
      </c>
      <c r="AB93">
        <v>0.379</v>
      </c>
      <c r="AC93">
        <v>0.375</v>
      </c>
      <c r="AD93">
        <v>0.88200000000000001</v>
      </c>
      <c r="AE93">
        <v>0.78300000000000003</v>
      </c>
      <c r="AF93">
        <v>0.72699999999999998</v>
      </c>
      <c r="AG93">
        <v>-0.56499999999999995</v>
      </c>
      <c r="AH93">
        <v>-0.53100000000000003</v>
      </c>
      <c r="AI93">
        <v>6.5000000000000002E-2</v>
      </c>
      <c r="AJ93">
        <v>-0.188</v>
      </c>
      <c r="AK93">
        <v>0.60199999999999998</v>
      </c>
      <c r="AL93">
        <v>-0.60299999999999998</v>
      </c>
      <c r="AM93">
        <v>-0.14399999999999999</v>
      </c>
      <c r="AN93">
        <v>-0.35899999999999999</v>
      </c>
      <c r="AO93">
        <v>0.13600000000000001</v>
      </c>
      <c r="AP93">
        <v>-0.16900000000000001</v>
      </c>
      <c r="AQ93">
        <v>2.3E-2</v>
      </c>
      <c r="AR93">
        <v>0.193</v>
      </c>
      <c r="AS93">
        <v>-0.14699999999999999</v>
      </c>
      <c r="AT93">
        <v>-0.12</v>
      </c>
      <c r="AU93">
        <v>-0.45400000000000001</v>
      </c>
      <c r="AV93">
        <v>8.9999999999999993E-3</v>
      </c>
      <c r="AW93">
        <v>-0.26300000000000001</v>
      </c>
      <c r="AX93">
        <v>-0.22600000000000001</v>
      </c>
      <c r="AY93">
        <v>0.31</v>
      </c>
      <c r="AZ93">
        <v>-0.20699999999999999</v>
      </c>
      <c r="BA93">
        <v>0.55700000000000005</v>
      </c>
      <c r="BB93">
        <v>-0.122</v>
      </c>
      <c r="BC93">
        <v>-0.24099999999999999</v>
      </c>
      <c r="BD93">
        <v>0.20499999999999999</v>
      </c>
      <c r="BE93">
        <v>7.5999999999999998E-2</v>
      </c>
      <c r="BF93">
        <v>0.437</v>
      </c>
      <c r="BG93">
        <v>0.372</v>
      </c>
      <c r="BH93">
        <v>0.79500000000000004</v>
      </c>
      <c r="BI93">
        <v>0.439</v>
      </c>
      <c r="BJ93">
        <v>-8.4000000000000005E-2</v>
      </c>
      <c r="BK93">
        <v>0.38200000000000001</v>
      </c>
      <c r="BL93">
        <v>0.55900000000000005</v>
      </c>
      <c r="BM93">
        <v>0.53300000000000003</v>
      </c>
    </row>
    <row r="94" spans="1:65" x14ac:dyDescent="0.3">
      <c r="A94" t="s">
        <v>163</v>
      </c>
      <c r="B94">
        <v>1.0672618951240199E-2</v>
      </c>
      <c r="C94">
        <v>7.1128496258462803E-3</v>
      </c>
      <c r="M94" t="s">
        <v>113</v>
      </c>
      <c r="N94">
        <v>0.88</v>
      </c>
      <c r="O94">
        <v>2.0049999999999999</v>
      </c>
      <c r="P94" t="s">
        <v>57</v>
      </c>
      <c r="Q94">
        <v>0</v>
      </c>
      <c r="R94">
        <v>-3.1E-2</v>
      </c>
      <c r="S94">
        <v>1.20038977633333</v>
      </c>
      <c r="T94">
        <v>-0.60199999999999998</v>
      </c>
      <c r="U94">
        <v>-0.623</v>
      </c>
      <c r="V94">
        <v>-0.81899999999999995</v>
      </c>
      <c r="W94">
        <v>-0.55600000000000005</v>
      </c>
      <c r="X94">
        <v>-0.71599999999999997</v>
      </c>
      <c r="Y94">
        <v>-0.20699999999999999</v>
      </c>
      <c r="Z94">
        <v>2E-3</v>
      </c>
      <c r="AA94">
        <v>-0.29399999999999998</v>
      </c>
      <c r="AB94">
        <v>0.49199999999999999</v>
      </c>
      <c r="AC94">
        <v>0.49099999999999999</v>
      </c>
      <c r="AD94">
        <v>0.69699999999999995</v>
      </c>
      <c r="AE94">
        <v>0.79</v>
      </c>
      <c r="AF94">
        <v>0.66600000000000004</v>
      </c>
      <c r="AG94">
        <v>-0.61599999999999999</v>
      </c>
      <c r="AH94">
        <v>-0.24299999999999999</v>
      </c>
      <c r="AI94">
        <v>-8.3000000000000004E-2</v>
      </c>
      <c r="AJ94">
        <v>-0.91</v>
      </c>
      <c r="AK94">
        <v>-0.90900000000000003</v>
      </c>
      <c r="AL94">
        <v>-1</v>
      </c>
      <c r="AM94">
        <v>-0.19</v>
      </c>
      <c r="AN94">
        <v>0.19400000000000001</v>
      </c>
      <c r="AO94">
        <v>-4.1000000000000002E-2</v>
      </c>
      <c r="AP94">
        <v>0.115</v>
      </c>
      <c r="AQ94">
        <v>-0.152</v>
      </c>
      <c r="AR94">
        <v>-0.20300000000000001</v>
      </c>
      <c r="AS94">
        <v>3.9E-2</v>
      </c>
      <c r="AT94">
        <v>0.13500000000000001</v>
      </c>
      <c r="AU94">
        <v>0.41699999999999998</v>
      </c>
      <c r="AV94">
        <v>-0.156</v>
      </c>
      <c r="AW94">
        <v>-0.53</v>
      </c>
      <c r="AX94">
        <v>-0.39500000000000002</v>
      </c>
      <c r="AY94">
        <v>0.36699999999999999</v>
      </c>
      <c r="AZ94">
        <v>-0.26600000000000001</v>
      </c>
      <c r="BA94">
        <v>5.8999999999999997E-2</v>
      </c>
      <c r="BB94">
        <v>0.23599999999999999</v>
      </c>
      <c r="BC94">
        <v>0.73799999999999999</v>
      </c>
      <c r="BD94">
        <v>-0.28000000000000003</v>
      </c>
      <c r="BE94">
        <v>-0.154</v>
      </c>
      <c r="BF94">
        <v>0.42199999999999999</v>
      </c>
      <c r="BG94">
        <v>7.0000000000000001E-3</v>
      </c>
      <c r="BH94">
        <v>0.152</v>
      </c>
      <c r="BI94">
        <v>0.98399999999999999</v>
      </c>
      <c r="BJ94">
        <v>-0.36499999999999999</v>
      </c>
      <c r="BK94">
        <v>-0.10199999999999999</v>
      </c>
      <c r="BL94">
        <v>0.20599999999999999</v>
      </c>
      <c r="BM94">
        <v>-0.76500000000000001</v>
      </c>
    </row>
    <row r="95" spans="1:65" x14ac:dyDescent="0.3">
      <c r="A95" t="s">
        <v>105</v>
      </c>
      <c r="B95">
        <v>6.9135825447134399E-3</v>
      </c>
      <c r="C95">
        <v>6.7950064385200798E-3</v>
      </c>
      <c r="M95" t="s">
        <v>199</v>
      </c>
      <c r="N95">
        <v>0.85699999999999998</v>
      </c>
      <c r="O95">
        <v>1.022</v>
      </c>
      <c r="P95" t="s">
        <v>55</v>
      </c>
      <c r="Q95">
        <v>0</v>
      </c>
      <c r="R95">
        <v>0</v>
      </c>
      <c r="S95">
        <v>0</v>
      </c>
      <c r="T95">
        <v>-0.32500000000000001</v>
      </c>
      <c r="U95">
        <v>-0.30199999999999999</v>
      </c>
      <c r="V95">
        <v>-0.8</v>
      </c>
      <c r="W95">
        <v>-0.252</v>
      </c>
      <c r="X95">
        <v>-0.63600000000000001</v>
      </c>
      <c r="Y95">
        <v>-0.20499999999999999</v>
      </c>
      <c r="Z95">
        <v>-9.6000000000000002E-2</v>
      </c>
      <c r="AA95">
        <v>-0.45300000000000001</v>
      </c>
      <c r="AB95">
        <v>0.38700000000000001</v>
      </c>
      <c r="AC95">
        <v>0.38100000000000001</v>
      </c>
      <c r="AD95">
        <v>0.52300000000000002</v>
      </c>
      <c r="AE95">
        <v>0.63200000000000001</v>
      </c>
      <c r="AF95">
        <v>0.55800000000000005</v>
      </c>
      <c r="AG95">
        <v>-0.51100000000000001</v>
      </c>
      <c r="AH95">
        <v>-0.35799999999999998</v>
      </c>
      <c r="AI95">
        <v>-0.14799999999999999</v>
      </c>
      <c r="AJ95">
        <v>-0.86299999999999999</v>
      </c>
      <c r="AK95">
        <v>0.39600000000000002</v>
      </c>
      <c r="AL95">
        <v>-0.55500000000000005</v>
      </c>
      <c r="AM95">
        <v>-0.48</v>
      </c>
      <c r="AN95">
        <v>-1</v>
      </c>
      <c r="AO95">
        <v>-0.88400000000000001</v>
      </c>
      <c r="AP95">
        <v>0.13300000000000001</v>
      </c>
      <c r="AQ95">
        <v>0.56599999999999995</v>
      </c>
      <c r="AR95">
        <v>0.749</v>
      </c>
      <c r="AS95">
        <v>0.64800000000000002</v>
      </c>
      <c r="AT95">
        <v>1</v>
      </c>
      <c r="AU95">
        <v>0.66300000000000003</v>
      </c>
      <c r="AV95">
        <v>-0.16600000000000001</v>
      </c>
      <c r="AW95">
        <v>5.8999999999999997E-2</v>
      </c>
      <c r="AX95">
        <v>0.41499999999999998</v>
      </c>
      <c r="AY95">
        <v>0.51100000000000001</v>
      </c>
      <c r="AZ95">
        <v>-8.8999999999999996E-2</v>
      </c>
      <c r="BA95">
        <v>0.52</v>
      </c>
      <c r="BB95">
        <v>0.17799999999999999</v>
      </c>
      <c r="BC95">
        <v>-0.23899999999999999</v>
      </c>
      <c r="BD95">
        <v>-0.71199999999999997</v>
      </c>
      <c r="BE95">
        <v>-0.83699999999999997</v>
      </c>
      <c r="BF95">
        <v>0.38700000000000001</v>
      </c>
      <c r="BG95">
        <v>-0.48</v>
      </c>
      <c r="BH95">
        <v>-0.51700000000000002</v>
      </c>
      <c r="BI95">
        <v>0.375</v>
      </c>
      <c r="BJ95">
        <v>-0.70199999999999996</v>
      </c>
      <c r="BK95">
        <v>0.26300000000000001</v>
      </c>
      <c r="BL95">
        <v>-9.1999999999999998E-2</v>
      </c>
      <c r="BM95">
        <v>0.29499999999999998</v>
      </c>
    </row>
    <row r="96" spans="1:65" x14ac:dyDescent="0.3">
      <c r="A96" t="s">
        <v>240</v>
      </c>
      <c r="B96">
        <v>0</v>
      </c>
      <c r="C96">
        <v>8.9711797722338699E-3</v>
      </c>
      <c r="M96" t="s">
        <v>244</v>
      </c>
      <c r="N96">
        <v>0.85</v>
      </c>
      <c r="O96">
        <v>0.60699999999999998</v>
      </c>
      <c r="P96" t="s">
        <v>57</v>
      </c>
      <c r="Q96">
        <v>0</v>
      </c>
      <c r="R96">
        <v>0</v>
      </c>
      <c r="S96">
        <v>0</v>
      </c>
      <c r="T96">
        <v>-0.13600000000000001</v>
      </c>
      <c r="U96">
        <v>0.76300000000000001</v>
      </c>
      <c r="V96">
        <v>-0.14599999999999999</v>
      </c>
      <c r="W96">
        <v>-0.59399999999999997</v>
      </c>
      <c r="X96">
        <v>-1.6E-2</v>
      </c>
      <c r="Y96">
        <v>-0.749</v>
      </c>
      <c r="Z96">
        <v>-0.83499999999999996</v>
      </c>
      <c r="AA96">
        <v>-0.74199999999999999</v>
      </c>
      <c r="AB96">
        <v>0.161</v>
      </c>
      <c r="AC96">
        <v>0.159</v>
      </c>
      <c r="AD96">
        <v>0.29899999999999999</v>
      </c>
      <c r="AE96">
        <v>1</v>
      </c>
      <c r="AF96">
        <v>0.79300000000000004</v>
      </c>
      <c r="AG96">
        <v>-0.69299999999999995</v>
      </c>
      <c r="AH96">
        <v>-9.4E-2</v>
      </c>
      <c r="AI96">
        <v>0.90600000000000003</v>
      </c>
      <c r="AJ96">
        <v>0.48599999999999999</v>
      </c>
      <c r="AK96">
        <v>1</v>
      </c>
      <c r="AL96">
        <v>-0.66900000000000004</v>
      </c>
      <c r="AM96">
        <v>0.13800000000000001</v>
      </c>
      <c r="AN96">
        <v>-1</v>
      </c>
      <c r="AO96">
        <v>0.997</v>
      </c>
      <c r="AP96">
        <v>-7.0999999999999994E-2</v>
      </c>
      <c r="AQ96">
        <v>-2.4E-2</v>
      </c>
      <c r="AR96">
        <v>0.63400000000000001</v>
      </c>
      <c r="AS96">
        <v>-0.3</v>
      </c>
      <c r="AT96">
        <v>0.48699999999999999</v>
      </c>
      <c r="AU96">
        <v>0.27300000000000002</v>
      </c>
      <c r="AV96">
        <v>-0.26100000000000001</v>
      </c>
      <c r="AW96">
        <v>-0.65500000000000003</v>
      </c>
      <c r="AX96">
        <v>-0.63100000000000001</v>
      </c>
      <c r="AY96">
        <v>-0.56999999999999995</v>
      </c>
      <c r="AZ96">
        <v>-0.20799999999999999</v>
      </c>
      <c r="BA96">
        <v>-0.93899999999999995</v>
      </c>
      <c r="BB96">
        <v>-1</v>
      </c>
      <c r="BC96">
        <v>2.1999999999999999E-2</v>
      </c>
      <c r="BD96">
        <v>0.318</v>
      </c>
      <c r="BE96">
        <v>0.30199999999999999</v>
      </c>
      <c r="BF96">
        <v>0.40100000000000002</v>
      </c>
      <c r="BG96">
        <v>1</v>
      </c>
      <c r="BH96">
        <v>0.436</v>
      </c>
      <c r="BI96">
        <v>0.156</v>
      </c>
      <c r="BJ96">
        <v>1</v>
      </c>
      <c r="BK96">
        <v>0.248</v>
      </c>
      <c r="BL96">
        <v>-0.19900000000000001</v>
      </c>
      <c r="BM96">
        <v>0.5</v>
      </c>
    </row>
    <row r="97" spans="1:65" x14ac:dyDescent="0.3">
      <c r="A97" t="s">
        <v>232</v>
      </c>
      <c r="B97">
        <v>0</v>
      </c>
      <c r="C97">
        <v>0</v>
      </c>
      <c r="M97" t="s">
        <v>151</v>
      </c>
      <c r="N97">
        <v>0.84799999999999998</v>
      </c>
      <c r="O97">
        <v>1.01</v>
      </c>
      <c r="P97" t="s">
        <v>57</v>
      </c>
      <c r="Q97">
        <v>0</v>
      </c>
      <c r="R97">
        <v>-7.0000000000000001E-3</v>
      </c>
      <c r="S97">
        <v>2.0055555555333302</v>
      </c>
      <c r="T97">
        <v>-0.39</v>
      </c>
      <c r="U97">
        <v>-0.84599999999999997</v>
      </c>
      <c r="V97">
        <v>-0.59099999999999997</v>
      </c>
      <c r="W97">
        <v>-0.152</v>
      </c>
      <c r="X97">
        <v>-0.628</v>
      </c>
      <c r="Y97">
        <v>-7.0999999999999994E-2</v>
      </c>
      <c r="Z97">
        <v>8.8999999999999996E-2</v>
      </c>
      <c r="AA97">
        <v>-0.183</v>
      </c>
      <c r="AB97">
        <v>-2.1999999999999999E-2</v>
      </c>
      <c r="AC97">
        <v>-2.3E-2</v>
      </c>
      <c r="AD97">
        <v>0.62</v>
      </c>
      <c r="AE97">
        <v>0.51400000000000001</v>
      </c>
      <c r="AF97">
        <v>0.434</v>
      </c>
      <c r="AG97">
        <v>0.32300000000000001</v>
      </c>
      <c r="AH97">
        <v>0.46300000000000002</v>
      </c>
      <c r="AI97">
        <v>-0.84799999999999998</v>
      </c>
      <c r="AJ97">
        <v>-0.44900000000000001</v>
      </c>
      <c r="AK97">
        <v>-0.65500000000000003</v>
      </c>
      <c r="AL97">
        <v>-0.50900000000000001</v>
      </c>
      <c r="AM97">
        <v>-0.1</v>
      </c>
      <c r="AN97">
        <v>0.58099999999999996</v>
      </c>
      <c r="AO97">
        <v>-0.73299999999999998</v>
      </c>
      <c r="AP97">
        <v>0.496</v>
      </c>
      <c r="AQ97">
        <v>-0.59399999999999997</v>
      </c>
      <c r="AR97">
        <v>-0.39300000000000002</v>
      </c>
      <c r="AS97">
        <v>0.42099999999999999</v>
      </c>
      <c r="AT97">
        <v>0.36</v>
      </c>
      <c r="AU97">
        <v>-6.0000000000000001E-3</v>
      </c>
      <c r="AV97">
        <v>0.26500000000000001</v>
      </c>
      <c r="AW97">
        <v>0</v>
      </c>
      <c r="AX97">
        <v>0.23699999999999999</v>
      </c>
      <c r="AY97">
        <v>6.0000000000000001E-3</v>
      </c>
      <c r="AZ97">
        <v>-2.9000000000000001E-2</v>
      </c>
      <c r="BA97">
        <v>0.64700000000000002</v>
      </c>
      <c r="BB97">
        <v>1</v>
      </c>
      <c r="BC97">
        <v>8.8999999999999996E-2</v>
      </c>
      <c r="BD97">
        <v>-0.38700000000000001</v>
      </c>
      <c r="BE97">
        <v>-0.10299999999999999</v>
      </c>
      <c r="BF97">
        <v>7.3999999999999996E-2</v>
      </c>
      <c r="BG97">
        <v>-0.183</v>
      </c>
      <c r="BH97">
        <v>-0.36699999999999999</v>
      </c>
      <c r="BI97">
        <v>0.108</v>
      </c>
      <c r="BJ97">
        <v>-0.95499999999999996</v>
      </c>
      <c r="BK97">
        <v>0.66400000000000003</v>
      </c>
      <c r="BL97">
        <v>-0.72699999999999998</v>
      </c>
      <c r="BM97">
        <v>-0.22900000000000001</v>
      </c>
    </row>
    <row r="98" spans="1:65" x14ac:dyDescent="0.3">
      <c r="A98" t="s">
        <v>93</v>
      </c>
      <c r="B98">
        <v>2.7098416348317202E-2</v>
      </c>
      <c r="C98">
        <v>0</v>
      </c>
      <c r="M98" t="s">
        <v>138</v>
      </c>
      <c r="N98">
        <v>0.84499999999999997</v>
      </c>
      <c r="O98">
        <v>0.86099999999999999</v>
      </c>
      <c r="P98" t="s">
        <v>71</v>
      </c>
      <c r="Q98">
        <v>0</v>
      </c>
      <c r="R98">
        <v>-1E-3</v>
      </c>
      <c r="S98">
        <v>0.64699784929166704</v>
      </c>
      <c r="T98">
        <v>-0.54</v>
      </c>
      <c r="U98">
        <v>-0.4</v>
      </c>
      <c r="V98">
        <v>-0.36099999999999999</v>
      </c>
      <c r="W98">
        <v>-0.71299999999999997</v>
      </c>
      <c r="X98">
        <v>-0.55000000000000004</v>
      </c>
      <c r="Y98">
        <v>-0.34899999999999998</v>
      </c>
      <c r="Z98">
        <v>-0.501</v>
      </c>
      <c r="AA98">
        <v>-0.312</v>
      </c>
      <c r="AB98">
        <v>0.45200000000000001</v>
      </c>
      <c r="AC98">
        <v>0.44400000000000001</v>
      </c>
      <c r="AD98">
        <v>0.50800000000000001</v>
      </c>
      <c r="AE98">
        <v>0.66700000000000004</v>
      </c>
      <c r="AF98">
        <v>0.71599999999999997</v>
      </c>
      <c r="AG98">
        <v>-0.48699999999999999</v>
      </c>
      <c r="AH98">
        <v>-0.96</v>
      </c>
      <c r="AI98">
        <v>-0.45</v>
      </c>
      <c r="AJ98">
        <v>-0.11</v>
      </c>
      <c r="AK98">
        <v>7.3999999999999996E-2</v>
      </c>
      <c r="AL98">
        <v>-0.36499999999999999</v>
      </c>
      <c r="AM98">
        <v>-0.17100000000000001</v>
      </c>
      <c r="AN98">
        <v>0.25900000000000001</v>
      </c>
      <c r="AO98">
        <v>-8.5999999999999993E-2</v>
      </c>
      <c r="AP98">
        <v>-0.106</v>
      </c>
      <c r="AQ98">
        <v>4.0000000000000001E-3</v>
      </c>
      <c r="AR98">
        <v>4.9000000000000002E-2</v>
      </c>
      <c r="AS98">
        <v>-0.91300000000000003</v>
      </c>
      <c r="AT98">
        <v>-0.23100000000000001</v>
      </c>
      <c r="AU98">
        <v>-0.16400000000000001</v>
      </c>
      <c r="AV98">
        <v>-8.3000000000000004E-2</v>
      </c>
      <c r="AW98">
        <v>-0.501</v>
      </c>
      <c r="AX98">
        <v>-0.224</v>
      </c>
      <c r="AY98">
        <v>0.39300000000000002</v>
      </c>
      <c r="AZ98">
        <v>0.498</v>
      </c>
      <c r="BA98">
        <v>0.82099999999999995</v>
      </c>
      <c r="BB98">
        <v>-1.9E-2</v>
      </c>
      <c r="BC98">
        <v>0.83</v>
      </c>
      <c r="BD98">
        <v>0.186</v>
      </c>
      <c r="BE98">
        <v>0.17199999999999999</v>
      </c>
      <c r="BF98">
        <v>0.36199999999999999</v>
      </c>
      <c r="BG98">
        <v>0.48599999999999999</v>
      </c>
      <c r="BH98">
        <v>1</v>
      </c>
      <c r="BI98">
        <v>0.29799999999999999</v>
      </c>
      <c r="BJ98">
        <v>-3.5000000000000003E-2</v>
      </c>
      <c r="BK98">
        <v>-0.69399999999999995</v>
      </c>
      <c r="BL98">
        <v>0.65</v>
      </c>
      <c r="BM98">
        <v>0.63700000000000001</v>
      </c>
    </row>
    <row r="99" spans="1:65" x14ac:dyDescent="0.3">
      <c r="A99" t="s">
        <v>157</v>
      </c>
      <c r="B99">
        <v>0</v>
      </c>
      <c r="C99">
        <v>0</v>
      </c>
      <c r="M99" t="s">
        <v>117</v>
      </c>
      <c r="N99">
        <v>0.84299999999999997</v>
      </c>
      <c r="O99">
        <v>1.5269999999999999</v>
      </c>
      <c r="P99" t="s">
        <v>55</v>
      </c>
      <c r="Q99">
        <v>0</v>
      </c>
      <c r="R99">
        <v>-1.4E-2</v>
      </c>
      <c r="S99">
        <v>3.3543492129999999</v>
      </c>
      <c r="T99">
        <v>-0.73899999999999999</v>
      </c>
      <c r="U99">
        <v>-0.73399999999999999</v>
      </c>
      <c r="V99">
        <v>-0.90100000000000002</v>
      </c>
      <c r="W99">
        <v>-0.495</v>
      </c>
      <c r="X99">
        <v>-0.75700000000000001</v>
      </c>
      <c r="Y99">
        <v>-0.29199999999999998</v>
      </c>
      <c r="Z99">
        <v>7.0999999999999994E-2</v>
      </c>
      <c r="AA99">
        <v>-0.18</v>
      </c>
      <c r="AB99">
        <v>0.50700000000000001</v>
      </c>
      <c r="AC99">
        <v>0.50800000000000001</v>
      </c>
      <c r="AD99">
        <v>0.70799999999999996</v>
      </c>
      <c r="AE99">
        <v>0.747</v>
      </c>
      <c r="AF99">
        <v>0.59699999999999998</v>
      </c>
      <c r="AG99">
        <v>-0.54100000000000004</v>
      </c>
      <c r="AH99">
        <v>-0.63400000000000001</v>
      </c>
      <c r="AI99">
        <v>-0.17899999999999999</v>
      </c>
      <c r="AJ99">
        <v>-0.92500000000000004</v>
      </c>
      <c r="AK99">
        <v>-0.68700000000000006</v>
      </c>
      <c r="AL99">
        <v>-0.95199999999999996</v>
      </c>
      <c r="AM99">
        <v>-0.26200000000000001</v>
      </c>
      <c r="AN99">
        <v>0.11899999999999999</v>
      </c>
      <c r="AO99">
        <v>-0.66700000000000004</v>
      </c>
      <c r="AP99">
        <v>-0.498</v>
      </c>
      <c r="AQ99">
        <v>0.16</v>
      </c>
      <c r="AR99">
        <v>0.29399999999999998</v>
      </c>
      <c r="AS99">
        <v>-0.128</v>
      </c>
      <c r="AT99">
        <v>0.315</v>
      </c>
      <c r="AU99">
        <v>0.28000000000000003</v>
      </c>
      <c r="AV99">
        <v>0.371</v>
      </c>
      <c r="AW99">
        <v>-0.113</v>
      </c>
      <c r="AX99">
        <v>-0.109</v>
      </c>
      <c r="AY99">
        <v>0.73199999999999998</v>
      </c>
      <c r="AZ99">
        <v>-0.54500000000000004</v>
      </c>
      <c r="BA99">
        <v>0.94199999999999995</v>
      </c>
      <c r="BB99">
        <v>-0.13700000000000001</v>
      </c>
      <c r="BC99">
        <v>0.126</v>
      </c>
      <c r="BD99">
        <v>-0.28399999999999997</v>
      </c>
      <c r="BE99">
        <v>-0.33900000000000002</v>
      </c>
      <c r="BF99">
        <v>0.376</v>
      </c>
      <c r="BG99">
        <v>-2.3E-2</v>
      </c>
      <c r="BH99">
        <v>-0.57599999999999996</v>
      </c>
      <c r="BI99">
        <v>0.54400000000000004</v>
      </c>
      <c r="BJ99">
        <v>-0.624</v>
      </c>
      <c r="BK99">
        <v>3.0000000000000001E-3</v>
      </c>
      <c r="BL99">
        <v>0.14599999999999999</v>
      </c>
      <c r="BM99">
        <v>-0.51300000000000001</v>
      </c>
    </row>
    <row r="100" spans="1:65" x14ac:dyDescent="0.3">
      <c r="A100" t="s">
        <v>149</v>
      </c>
      <c r="B100">
        <v>0</v>
      </c>
      <c r="C100">
        <v>0</v>
      </c>
      <c r="M100" t="s">
        <v>135</v>
      </c>
      <c r="N100">
        <v>0.84099999999999997</v>
      </c>
      <c r="O100">
        <v>1.917</v>
      </c>
      <c r="P100" t="s">
        <v>57</v>
      </c>
      <c r="Q100">
        <v>2.5000000000000001E-2</v>
      </c>
      <c r="R100">
        <v>-2.8000000000000001E-2</v>
      </c>
      <c r="S100">
        <v>2.7220146271366699</v>
      </c>
      <c r="T100">
        <v>-0.70299999999999996</v>
      </c>
      <c r="U100">
        <v>-0.749</v>
      </c>
      <c r="V100">
        <v>-0.9</v>
      </c>
      <c r="W100">
        <v>-0.48699999999999999</v>
      </c>
      <c r="X100">
        <v>-0.75800000000000001</v>
      </c>
      <c r="Y100">
        <v>-0.23400000000000001</v>
      </c>
      <c r="Z100">
        <v>8.2000000000000003E-2</v>
      </c>
      <c r="AA100">
        <v>-0.20200000000000001</v>
      </c>
      <c r="AB100">
        <v>0.38600000000000001</v>
      </c>
      <c r="AC100">
        <v>0.38400000000000001</v>
      </c>
      <c r="AD100">
        <v>0.73499999999999999</v>
      </c>
      <c r="AE100">
        <v>0.78200000000000003</v>
      </c>
      <c r="AF100">
        <v>0.61799999999999999</v>
      </c>
      <c r="AG100">
        <v>-0.60699999999999998</v>
      </c>
      <c r="AH100">
        <v>0.106</v>
      </c>
      <c r="AI100">
        <v>-0.156</v>
      </c>
      <c r="AJ100">
        <v>-0.94699999999999995</v>
      </c>
      <c r="AK100">
        <v>-0.872</v>
      </c>
      <c r="AL100">
        <v>-0.97299999999999998</v>
      </c>
      <c r="AM100">
        <v>-0.23100000000000001</v>
      </c>
      <c r="AN100">
        <v>7.3999999999999996E-2</v>
      </c>
      <c r="AO100">
        <v>-0.52700000000000002</v>
      </c>
      <c r="AP100">
        <v>-7.2999999999999995E-2</v>
      </c>
      <c r="AQ100">
        <v>0.14799999999999999</v>
      </c>
      <c r="AR100">
        <v>-0.34399999999999997</v>
      </c>
      <c r="AS100">
        <v>0.26</v>
      </c>
      <c r="AT100">
        <v>0.26900000000000002</v>
      </c>
      <c r="AU100">
        <v>-0.112</v>
      </c>
      <c r="AV100">
        <v>-7.3999999999999996E-2</v>
      </c>
      <c r="AW100">
        <v>-0.20399999999999999</v>
      </c>
      <c r="AX100">
        <v>-0.23599999999999999</v>
      </c>
      <c r="AY100">
        <v>0.44400000000000001</v>
      </c>
      <c r="AZ100">
        <v>-0.437</v>
      </c>
      <c r="BA100">
        <v>0.83399999999999996</v>
      </c>
      <c r="BB100">
        <v>0.44500000000000001</v>
      </c>
      <c r="BC100">
        <v>0.64800000000000002</v>
      </c>
      <c r="BD100">
        <v>-0.36799999999999999</v>
      </c>
      <c r="BE100">
        <v>-0.192</v>
      </c>
      <c r="BF100">
        <v>0.30299999999999999</v>
      </c>
      <c r="BG100">
        <v>5.0000000000000001E-3</v>
      </c>
      <c r="BH100">
        <v>-4.1000000000000002E-2</v>
      </c>
      <c r="BI100">
        <v>0.90900000000000003</v>
      </c>
      <c r="BJ100">
        <v>-0.71199999999999997</v>
      </c>
      <c r="BK100">
        <v>-0.153</v>
      </c>
      <c r="BL100">
        <v>-0.184</v>
      </c>
      <c r="BM100">
        <v>-0.93899999999999995</v>
      </c>
    </row>
    <row r="101" spans="1:65" x14ac:dyDescent="0.3">
      <c r="A101" t="s">
        <v>132</v>
      </c>
      <c r="B101">
        <v>0</v>
      </c>
      <c r="C101">
        <v>0</v>
      </c>
      <c r="M101" t="s">
        <v>182</v>
      </c>
      <c r="N101">
        <v>0.83599999999999997</v>
      </c>
      <c r="O101">
        <v>1.718</v>
      </c>
      <c r="P101" t="s">
        <v>71</v>
      </c>
      <c r="Q101">
        <v>2.8000000000000001E-2</v>
      </c>
      <c r="R101">
        <v>-4.1000000000000002E-2</v>
      </c>
      <c r="S101">
        <v>5.7406721923333297</v>
      </c>
      <c r="T101">
        <v>-0.85599999999999998</v>
      </c>
      <c r="U101">
        <v>-0.55900000000000005</v>
      </c>
      <c r="V101">
        <v>-0.98399999999999999</v>
      </c>
      <c r="W101">
        <v>-0.65300000000000002</v>
      </c>
      <c r="X101">
        <v>-0.76100000000000001</v>
      </c>
      <c r="Y101">
        <v>-0.56699999999999995</v>
      </c>
      <c r="Z101">
        <v>-0.42899999999999999</v>
      </c>
      <c r="AA101">
        <v>-8.0000000000000002E-3</v>
      </c>
      <c r="AB101">
        <v>0.64400000000000002</v>
      </c>
      <c r="AC101">
        <v>0.64200000000000002</v>
      </c>
      <c r="AD101">
        <v>0.73799999999999999</v>
      </c>
      <c r="AE101">
        <v>0.72499999999999998</v>
      </c>
      <c r="AF101">
        <v>0.69299999999999995</v>
      </c>
      <c r="AG101">
        <v>-0.70199999999999996</v>
      </c>
      <c r="AH101">
        <v>-0.92900000000000005</v>
      </c>
      <c r="AI101">
        <v>0.157</v>
      </c>
      <c r="AJ101">
        <v>-1</v>
      </c>
      <c r="AK101">
        <v>-0.69599999999999995</v>
      </c>
      <c r="AL101">
        <v>-1</v>
      </c>
      <c r="AM101">
        <v>-0.26500000000000001</v>
      </c>
      <c r="AN101">
        <v>0.104</v>
      </c>
      <c r="AO101">
        <v>-0.6</v>
      </c>
      <c r="AP101">
        <v>-0.68500000000000005</v>
      </c>
      <c r="AQ101">
        <v>0.81899999999999995</v>
      </c>
      <c r="AR101">
        <v>0.11700000000000001</v>
      </c>
      <c r="AS101">
        <v>-0.83699999999999997</v>
      </c>
      <c r="AT101">
        <v>0.433</v>
      </c>
      <c r="AU101">
        <v>0.34899999999999998</v>
      </c>
      <c r="AV101">
        <v>9.0999999999999998E-2</v>
      </c>
      <c r="AW101">
        <v>-0.17499999999999999</v>
      </c>
      <c r="AX101">
        <v>-0.221</v>
      </c>
      <c r="AY101">
        <v>0.58299999999999996</v>
      </c>
      <c r="AZ101">
        <v>-0.185</v>
      </c>
      <c r="BA101">
        <v>0.54400000000000004</v>
      </c>
      <c r="BB101">
        <v>-0.95399999999999996</v>
      </c>
      <c r="BC101">
        <v>-0.17199999999999999</v>
      </c>
      <c r="BD101">
        <v>0.17100000000000001</v>
      </c>
      <c r="BE101">
        <v>0.123</v>
      </c>
      <c r="BF101">
        <v>0.59899999999999998</v>
      </c>
      <c r="BG101">
        <v>-0.57699999999999996</v>
      </c>
      <c r="BH101">
        <v>0.436</v>
      </c>
      <c r="BI101">
        <v>0.39</v>
      </c>
      <c r="BJ101">
        <v>-0.36499999999999999</v>
      </c>
      <c r="BK101">
        <v>-0.46400000000000002</v>
      </c>
      <c r="BL101">
        <v>-0.38600000000000001</v>
      </c>
      <c r="BM101">
        <v>-1</v>
      </c>
    </row>
    <row r="102" spans="1:65" x14ac:dyDescent="0.3">
      <c r="A102" t="s">
        <v>211</v>
      </c>
      <c r="B102">
        <v>0</v>
      </c>
      <c r="C102">
        <v>0</v>
      </c>
      <c r="M102" t="s">
        <v>122</v>
      </c>
      <c r="N102">
        <v>0.83399999999999996</v>
      </c>
      <c r="O102">
        <v>0.79900000000000004</v>
      </c>
      <c r="P102" t="s">
        <v>57</v>
      </c>
      <c r="Q102">
        <v>0</v>
      </c>
      <c r="R102">
        <v>-1E-3</v>
      </c>
      <c r="S102">
        <v>1.61</v>
      </c>
      <c r="T102">
        <v>-0.34799999999999998</v>
      </c>
      <c r="U102">
        <v>-0.48799999999999999</v>
      </c>
      <c r="V102">
        <v>-0.10199999999999999</v>
      </c>
      <c r="W102">
        <v>-0.69499999999999995</v>
      </c>
      <c r="X102">
        <v>-0.6</v>
      </c>
      <c r="Y102">
        <v>-0.253</v>
      </c>
      <c r="Z102">
        <v>-0.126</v>
      </c>
      <c r="AA102">
        <v>-0.31</v>
      </c>
      <c r="AB102">
        <v>-7.0000000000000001E-3</v>
      </c>
      <c r="AC102">
        <v>-7.0000000000000001E-3</v>
      </c>
      <c r="AD102">
        <v>0.50600000000000001</v>
      </c>
      <c r="AE102">
        <v>0.44800000000000001</v>
      </c>
      <c r="AF102">
        <v>0.60199999999999998</v>
      </c>
      <c r="AG102">
        <v>-0.51200000000000001</v>
      </c>
      <c r="AH102">
        <v>-0.83</v>
      </c>
      <c r="AI102">
        <v>-0.755</v>
      </c>
      <c r="AJ102">
        <v>-0.39800000000000002</v>
      </c>
      <c r="AK102">
        <v>0.28999999999999998</v>
      </c>
      <c r="AL102">
        <v>0.63700000000000001</v>
      </c>
      <c r="AM102">
        <v>-0.72799999999999998</v>
      </c>
      <c r="AN102">
        <v>0.25700000000000001</v>
      </c>
      <c r="AO102">
        <v>-0.65600000000000003</v>
      </c>
      <c r="AP102">
        <v>-0.19400000000000001</v>
      </c>
      <c r="AQ102">
        <v>-0.219</v>
      </c>
      <c r="AR102">
        <v>0.29399999999999998</v>
      </c>
      <c r="AS102">
        <v>-0.29599999999999999</v>
      </c>
      <c r="AT102">
        <v>0.122</v>
      </c>
      <c r="AU102">
        <v>-0.156</v>
      </c>
      <c r="AV102">
        <v>-0.33500000000000002</v>
      </c>
      <c r="AW102">
        <v>0.188</v>
      </c>
      <c r="AX102">
        <v>-0.27300000000000002</v>
      </c>
      <c r="AY102">
        <v>0.53400000000000003</v>
      </c>
      <c r="AZ102">
        <v>1</v>
      </c>
      <c r="BA102">
        <v>-0.14199999999999999</v>
      </c>
      <c r="BB102">
        <v>1</v>
      </c>
      <c r="BC102">
        <v>0.501</v>
      </c>
      <c r="BD102">
        <v>-0.32</v>
      </c>
      <c r="BE102">
        <v>0.34200000000000003</v>
      </c>
      <c r="BF102">
        <v>-0.436</v>
      </c>
      <c r="BG102">
        <v>-3.3000000000000002E-2</v>
      </c>
      <c r="BH102">
        <v>-0.55000000000000004</v>
      </c>
      <c r="BI102">
        <v>0.372</v>
      </c>
      <c r="BJ102">
        <v>-0.57399999999999995</v>
      </c>
      <c r="BK102">
        <v>-0.54600000000000004</v>
      </c>
      <c r="BL102">
        <v>0.63200000000000001</v>
      </c>
      <c r="BM102">
        <v>0.76800000000000002</v>
      </c>
    </row>
    <row r="103" spans="1:65" x14ac:dyDescent="0.3">
      <c r="A103" t="s">
        <v>202</v>
      </c>
      <c r="B103">
        <v>0</v>
      </c>
      <c r="C103">
        <v>0</v>
      </c>
      <c r="M103" t="s">
        <v>179</v>
      </c>
      <c r="N103">
        <v>0.80600000000000005</v>
      </c>
      <c r="O103">
        <v>0.626</v>
      </c>
      <c r="P103" t="s">
        <v>71</v>
      </c>
      <c r="Q103">
        <v>0</v>
      </c>
      <c r="R103">
        <v>-1E-3</v>
      </c>
      <c r="S103">
        <v>0.18870531930333301</v>
      </c>
      <c r="T103">
        <v>-0.622</v>
      </c>
      <c r="U103">
        <v>0.11799999999999999</v>
      </c>
      <c r="V103">
        <v>-0.86799999999999999</v>
      </c>
      <c r="W103">
        <v>-0.41199999999999998</v>
      </c>
      <c r="X103">
        <v>-0.35899999999999999</v>
      </c>
      <c r="Y103">
        <v>-0.751</v>
      </c>
      <c r="Z103">
        <v>-0.871</v>
      </c>
      <c r="AA103">
        <v>-0.21</v>
      </c>
      <c r="AB103">
        <v>0.33400000000000002</v>
      </c>
      <c r="AC103">
        <v>0.33600000000000002</v>
      </c>
      <c r="AD103">
        <v>0.45900000000000002</v>
      </c>
      <c r="AE103">
        <v>0.66700000000000004</v>
      </c>
      <c r="AF103">
        <v>0.78300000000000003</v>
      </c>
      <c r="AG103">
        <v>-0.21</v>
      </c>
      <c r="AH103">
        <v>-0.49099999999999999</v>
      </c>
      <c r="AI103">
        <v>1</v>
      </c>
      <c r="AJ103">
        <v>-0.73099999999999998</v>
      </c>
      <c r="AK103">
        <v>-0.19600000000000001</v>
      </c>
      <c r="AL103">
        <v>-0.92600000000000005</v>
      </c>
      <c r="AM103">
        <v>-0.254</v>
      </c>
      <c r="AN103">
        <v>-0.64500000000000002</v>
      </c>
      <c r="AO103">
        <v>0.224</v>
      </c>
      <c r="AP103">
        <v>-0.46100000000000002</v>
      </c>
      <c r="AQ103">
        <v>0.67300000000000004</v>
      </c>
      <c r="AR103">
        <v>0.70299999999999996</v>
      </c>
      <c r="AS103">
        <v>-0.53500000000000003</v>
      </c>
      <c r="AT103">
        <v>1</v>
      </c>
      <c r="AU103">
        <v>0.155</v>
      </c>
      <c r="AV103">
        <v>-0.11799999999999999</v>
      </c>
      <c r="AW103">
        <v>-0.8</v>
      </c>
      <c r="AX103">
        <v>0.05</v>
      </c>
      <c r="AY103">
        <v>-0.114</v>
      </c>
      <c r="AZ103">
        <v>0.124</v>
      </c>
      <c r="BA103">
        <v>0.622</v>
      </c>
      <c r="BB103">
        <v>-1</v>
      </c>
      <c r="BC103">
        <v>0.13700000000000001</v>
      </c>
      <c r="BD103">
        <v>0.50600000000000001</v>
      </c>
      <c r="BE103">
        <v>0.26600000000000001</v>
      </c>
      <c r="BF103">
        <v>0.81599999999999995</v>
      </c>
      <c r="BG103">
        <v>-1</v>
      </c>
      <c r="BH103">
        <v>0.29599999999999999</v>
      </c>
      <c r="BI103">
        <v>-0.58199999999999996</v>
      </c>
      <c r="BJ103">
        <v>-1.0999999999999999E-2</v>
      </c>
      <c r="BK103">
        <v>-0.28899999999999998</v>
      </c>
      <c r="BL103">
        <v>-0.41699999999999998</v>
      </c>
      <c r="BM103">
        <v>-8.9999999999999993E-3</v>
      </c>
    </row>
    <row r="104" spans="1:65" x14ac:dyDescent="0.3">
      <c r="A104" t="s">
        <v>95</v>
      </c>
      <c r="B104">
        <v>4.1559888139735497E-2</v>
      </c>
      <c r="C104">
        <v>4.4568496863611903E-2</v>
      </c>
      <c r="M104" t="s">
        <v>88</v>
      </c>
      <c r="N104">
        <v>0.80300000000000005</v>
      </c>
      <c r="O104">
        <v>0.96499999999999997</v>
      </c>
      <c r="P104" t="s">
        <v>53</v>
      </c>
      <c r="Q104">
        <v>0</v>
      </c>
      <c r="R104">
        <v>-1E-3</v>
      </c>
      <c r="S104">
        <v>0.62641918340000002</v>
      </c>
      <c r="T104">
        <v>-0.623</v>
      </c>
      <c r="U104">
        <v>-0.63400000000000001</v>
      </c>
      <c r="V104">
        <v>-0.54100000000000004</v>
      </c>
      <c r="W104">
        <v>-0.62</v>
      </c>
      <c r="X104">
        <v>-0.63600000000000001</v>
      </c>
      <c r="Y104">
        <v>-0.35</v>
      </c>
      <c r="Z104">
        <v>3.1E-2</v>
      </c>
      <c r="AA104">
        <v>-0.39300000000000002</v>
      </c>
      <c r="AB104">
        <v>0.36399999999999999</v>
      </c>
      <c r="AC104">
        <v>0.36</v>
      </c>
      <c r="AD104">
        <v>0.70699999999999996</v>
      </c>
      <c r="AE104">
        <v>0.69599999999999995</v>
      </c>
      <c r="AF104">
        <v>0.65500000000000003</v>
      </c>
      <c r="AG104">
        <v>-0.38300000000000001</v>
      </c>
      <c r="AH104">
        <v>-0.85799999999999998</v>
      </c>
      <c r="AI104">
        <v>-0.40500000000000003</v>
      </c>
      <c r="AJ104">
        <v>-0.17299999999999999</v>
      </c>
      <c r="AK104">
        <v>0.31</v>
      </c>
      <c r="AL104">
        <v>-0.58699999999999997</v>
      </c>
      <c r="AM104">
        <v>-0.08</v>
      </c>
      <c r="AN104">
        <v>3.1E-2</v>
      </c>
      <c r="AO104">
        <v>-0.48899999999999999</v>
      </c>
      <c r="AP104">
        <v>-0.10299999999999999</v>
      </c>
      <c r="AQ104">
        <v>-9.6000000000000002E-2</v>
      </c>
      <c r="AR104">
        <v>-5.1999999999999998E-2</v>
      </c>
      <c r="AS104">
        <v>-0.32900000000000001</v>
      </c>
      <c r="AT104">
        <v>-0.44</v>
      </c>
      <c r="AU104">
        <v>-0.374</v>
      </c>
      <c r="AV104">
        <v>7.8E-2</v>
      </c>
      <c r="AW104">
        <v>-7.6999999999999999E-2</v>
      </c>
      <c r="AX104">
        <v>-4.2000000000000003E-2</v>
      </c>
      <c r="AY104">
        <v>0.66600000000000004</v>
      </c>
      <c r="AZ104">
        <v>0</v>
      </c>
      <c r="BA104">
        <v>0.49299999999999999</v>
      </c>
      <c r="BB104">
        <v>-7.8E-2</v>
      </c>
      <c r="BC104">
        <v>6.7000000000000004E-2</v>
      </c>
      <c r="BD104">
        <v>-0.09</v>
      </c>
      <c r="BE104">
        <v>-0.158</v>
      </c>
      <c r="BF104">
        <v>0.379</v>
      </c>
      <c r="BG104">
        <v>8.6999999999999994E-2</v>
      </c>
      <c r="BH104">
        <v>0.26800000000000002</v>
      </c>
      <c r="BI104">
        <v>0.72899999999999998</v>
      </c>
      <c r="BJ104">
        <v>-0.3</v>
      </c>
      <c r="BK104">
        <v>-0.41899999999999998</v>
      </c>
      <c r="BL104">
        <v>0.54500000000000004</v>
      </c>
      <c r="BM104">
        <v>0.56799999999999995</v>
      </c>
    </row>
    <row r="105" spans="1:65" x14ac:dyDescent="0.3">
      <c r="A105" t="s">
        <v>137</v>
      </c>
      <c r="B105">
        <v>1.04829629466361E-2</v>
      </c>
      <c r="C105">
        <v>9.5432289465041606E-3</v>
      </c>
      <c r="M105" t="s">
        <v>102</v>
      </c>
      <c r="N105">
        <v>0.8</v>
      </c>
      <c r="O105">
        <v>0.64</v>
      </c>
      <c r="P105" t="s">
        <v>57</v>
      </c>
      <c r="Q105">
        <v>0</v>
      </c>
      <c r="R105">
        <v>-1E-3</v>
      </c>
      <c r="S105">
        <v>6.17737954326667E-2</v>
      </c>
      <c r="T105">
        <v>-0.20699999999999999</v>
      </c>
      <c r="U105">
        <v>-0.34200000000000003</v>
      </c>
      <c r="V105">
        <v>-0.38300000000000001</v>
      </c>
      <c r="W105">
        <v>-8.6999999999999994E-2</v>
      </c>
      <c r="X105">
        <v>-0.22900000000000001</v>
      </c>
      <c r="Y105">
        <v>-0.29199999999999998</v>
      </c>
      <c r="Z105">
        <v>-0.20399999999999999</v>
      </c>
      <c r="AA105">
        <v>-0.69799999999999995</v>
      </c>
      <c r="AB105">
        <v>0.14099999999999999</v>
      </c>
      <c r="AC105">
        <v>0.14000000000000001</v>
      </c>
      <c r="AD105">
        <v>0.69799999999999995</v>
      </c>
      <c r="AE105">
        <v>0.55000000000000004</v>
      </c>
      <c r="AF105">
        <v>0.55000000000000004</v>
      </c>
      <c r="AG105">
        <v>0.48499999999999999</v>
      </c>
      <c r="AH105">
        <v>1</v>
      </c>
      <c r="AI105">
        <v>-0.26400000000000001</v>
      </c>
      <c r="AJ105">
        <v>-0.252</v>
      </c>
      <c r="AK105">
        <v>-0.621</v>
      </c>
      <c r="AL105">
        <v>4.8000000000000001E-2</v>
      </c>
      <c r="AM105">
        <v>-2.8000000000000001E-2</v>
      </c>
      <c r="AN105">
        <v>-0.72599999999999998</v>
      </c>
      <c r="AO105">
        <v>0.47</v>
      </c>
      <c r="AP105">
        <v>0.52300000000000002</v>
      </c>
      <c r="AQ105">
        <v>-0.41699999999999998</v>
      </c>
      <c r="AR105">
        <v>-0.46100000000000002</v>
      </c>
      <c r="AS105">
        <v>0.57699999999999996</v>
      </c>
      <c r="AT105">
        <v>0.51500000000000001</v>
      </c>
      <c r="AU105">
        <v>0.125</v>
      </c>
      <c r="AV105">
        <v>-6.5000000000000002E-2</v>
      </c>
      <c r="AW105">
        <v>5.8000000000000003E-2</v>
      </c>
      <c r="AX105">
        <v>0.29299999999999998</v>
      </c>
      <c r="AY105">
        <v>-0.38500000000000001</v>
      </c>
      <c r="AZ105">
        <v>-0.48799999999999999</v>
      </c>
      <c r="BA105">
        <v>0.77500000000000002</v>
      </c>
      <c r="BB105">
        <v>-0.48599999999999999</v>
      </c>
      <c r="BC105">
        <v>0.46700000000000003</v>
      </c>
      <c r="BD105">
        <v>7.6999999999999999E-2</v>
      </c>
      <c r="BE105">
        <v>-0.13900000000000001</v>
      </c>
      <c r="BF105">
        <v>0.38200000000000001</v>
      </c>
      <c r="BG105">
        <v>0.52800000000000002</v>
      </c>
      <c r="BH105">
        <v>0.56100000000000005</v>
      </c>
      <c r="BI105">
        <v>0.53900000000000003</v>
      </c>
      <c r="BJ105">
        <v>-0.20899999999999999</v>
      </c>
      <c r="BK105">
        <v>5.0999999999999997E-2</v>
      </c>
      <c r="BL105">
        <v>-0.79100000000000004</v>
      </c>
      <c r="BM105">
        <v>-0.4</v>
      </c>
    </row>
    <row r="106" spans="1:65" x14ac:dyDescent="0.3">
      <c r="A106" t="s">
        <v>196</v>
      </c>
      <c r="B106">
        <v>0</v>
      </c>
      <c r="C106">
        <v>7.0393661377187999E-3</v>
      </c>
      <c r="M106" t="s">
        <v>112</v>
      </c>
      <c r="N106">
        <v>0.78600000000000003</v>
      </c>
      <c r="O106">
        <v>1.272</v>
      </c>
      <c r="P106" t="s">
        <v>55</v>
      </c>
      <c r="Q106">
        <v>0</v>
      </c>
      <c r="R106">
        <v>-1.7000000000000001E-2</v>
      </c>
      <c r="S106">
        <v>2.4749152128333298</v>
      </c>
      <c r="T106">
        <v>-0.89500000000000002</v>
      </c>
      <c r="U106">
        <v>-0.75800000000000001</v>
      </c>
      <c r="V106">
        <v>-0.98899999999999999</v>
      </c>
      <c r="W106">
        <v>-0.67300000000000004</v>
      </c>
      <c r="X106">
        <v>-0.81399999999999995</v>
      </c>
      <c r="Y106">
        <v>-0.55000000000000004</v>
      </c>
      <c r="Z106">
        <v>-7.2999999999999995E-2</v>
      </c>
      <c r="AA106">
        <v>-7.5999999999999998E-2</v>
      </c>
      <c r="AB106">
        <v>0.63500000000000001</v>
      </c>
      <c r="AC106">
        <v>0.63600000000000001</v>
      </c>
      <c r="AD106">
        <v>0.755</v>
      </c>
      <c r="AE106">
        <v>0.65500000000000003</v>
      </c>
      <c r="AF106">
        <v>0.60099999999999998</v>
      </c>
      <c r="AG106">
        <v>-0.85399999999999998</v>
      </c>
      <c r="AH106">
        <v>-0.74299999999999999</v>
      </c>
      <c r="AI106">
        <v>0.25</v>
      </c>
      <c r="AJ106">
        <v>-0.91500000000000004</v>
      </c>
      <c r="AK106">
        <v>-0.218</v>
      </c>
      <c r="AL106">
        <v>-0.90300000000000002</v>
      </c>
      <c r="AM106">
        <v>-0.37</v>
      </c>
      <c r="AN106">
        <v>-0.03</v>
      </c>
      <c r="AO106">
        <v>-0.72099999999999997</v>
      </c>
      <c r="AP106">
        <v>-0.78</v>
      </c>
      <c r="AQ106">
        <v>0.69299999999999995</v>
      </c>
      <c r="AR106">
        <v>0.11799999999999999</v>
      </c>
      <c r="AS106">
        <v>7.5999999999999998E-2</v>
      </c>
      <c r="AT106">
        <v>5.0999999999999997E-2</v>
      </c>
      <c r="AU106">
        <v>-0.67600000000000005</v>
      </c>
      <c r="AV106">
        <v>0.21099999999999999</v>
      </c>
      <c r="AW106">
        <v>5.5E-2</v>
      </c>
      <c r="AX106">
        <v>-0.317</v>
      </c>
      <c r="AY106">
        <v>0.59099999999999997</v>
      </c>
      <c r="AZ106">
        <v>-0.47699999999999998</v>
      </c>
      <c r="BA106">
        <v>1</v>
      </c>
      <c r="BB106">
        <v>-8.1000000000000003E-2</v>
      </c>
      <c r="BC106">
        <v>-0.75700000000000001</v>
      </c>
      <c r="BD106">
        <v>-0.33800000000000002</v>
      </c>
      <c r="BE106">
        <v>-0.621</v>
      </c>
      <c r="BF106">
        <v>0.40400000000000003</v>
      </c>
      <c r="BG106">
        <v>-0.26900000000000002</v>
      </c>
      <c r="BH106">
        <v>0.3</v>
      </c>
      <c r="BI106">
        <v>0.85599999999999998</v>
      </c>
      <c r="BJ106">
        <v>-1</v>
      </c>
      <c r="BK106">
        <v>-0.28899999999999998</v>
      </c>
      <c r="BL106">
        <v>-0.39600000000000002</v>
      </c>
      <c r="BM106">
        <v>-0.111</v>
      </c>
    </row>
    <row r="107" spans="1:65" x14ac:dyDescent="0.3">
      <c r="A107" t="s">
        <v>83</v>
      </c>
      <c r="B107">
        <v>0</v>
      </c>
      <c r="C107">
        <v>1.2211113033477E-2</v>
      </c>
      <c r="M107" t="s">
        <v>83</v>
      </c>
      <c r="N107">
        <v>0.77900000000000003</v>
      </c>
      <c r="O107">
        <v>1.145</v>
      </c>
      <c r="P107" t="s">
        <v>53</v>
      </c>
      <c r="Q107">
        <v>0</v>
      </c>
      <c r="R107">
        <v>-8.9999999999999993E-3</v>
      </c>
      <c r="S107">
        <v>0.83730000000000004</v>
      </c>
      <c r="T107">
        <v>-0.63200000000000001</v>
      </c>
      <c r="U107">
        <v>-0.69099999999999995</v>
      </c>
      <c r="V107">
        <v>-0.85299999999999998</v>
      </c>
      <c r="W107">
        <v>-0.14199999999999999</v>
      </c>
      <c r="X107">
        <v>-0.60499999999999998</v>
      </c>
      <c r="Y107">
        <v>-0.57499999999999996</v>
      </c>
      <c r="Z107">
        <v>-0.38300000000000001</v>
      </c>
      <c r="AA107">
        <v>-0.157</v>
      </c>
      <c r="AB107">
        <v>0.28699999999999998</v>
      </c>
      <c r="AC107">
        <v>0.28699999999999998</v>
      </c>
      <c r="AD107">
        <v>0.69299999999999995</v>
      </c>
      <c r="AE107">
        <v>0.7</v>
      </c>
      <c r="AF107">
        <v>0.54900000000000004</v>
      </c>
      <c r="AG107">
        <v>0.26100000000000001</v>
      </c>
      <c r="AH107">
        <v>-0.61899999999999999</v>
      </c>
      <c r="AI107">
        <v>-0.42299999999999999</v>
      </c>
      <c r="AJ107">
        <v>-1</v>
      </c>
      <c r="AK107">
        <v>-0.93300000000000005</v>
      </c>
      <c r="AL107">
        <v>-0.64100000000000001</v>
      </c>
      <c r="AM107">
        <v>-0.28899999999999998</v>
      </c>
      <c r="AN107">
        <v>-0.19800000000000001</v>
      </c>
      <c r="AO107">
        <v>-0.94199999999999995</v>
      </c>
      <c r="AP107">
        <v>-0.16300000000000001</v>
      </c>
      <c r="AQ107">
        <v>0.31900000000000001</v>
      </c>
      <c r="AR107">
        <v>4.2999999999999997E-2</v>
      </c>
      <c r="AS107">
        <v>0.18099999999999999</v>
      </c>
      <c r="AT107">
        <v>0.29499999999999998</v>
      </c>
      <c r="AU107">
        <v>-3.6999999999999998E-2</v>
      </c>
      <c r="AV107">
        <v>0.435</v>
      </c>
      <c r="AW107">
        <v>0.09</v>
      </c>
      <c r="AX107">
        <v>0.90800000000000003</v>
      </c>
      <c r="AY107">
        <v>0.71399999999999997</v>
      </c>
      <c r="AZ107">
        <v>0.53100000000000003</v>
      </c>
      <c r="BA107">
        <v>0.65100000000000002</v>
      </c>
      <c r="BB107">
        <v>-0.55300000000000005</v>
      </c>
      <c r="BC107">
        <v>-0.26500000000000001</v>
      </c>
      <c r="BD107">
        <v>0.19</v>
      </c>
      <c r="BE107">
        <v>0.13900000000000001</v>
      </c>
      <c r="BF107">
        <v>0.51</v>
      </c>
      <c r="BG107">
        <v>-0.82299999999999995</v>
      </c>
      <c r="BH107">
        <v>-1</v>
      </c>
      <c r="BI107">
        <v>-0.54100000000000004</v>
      </c>
      <c r="BJ107">
        <v>-0.21299999999999999</v>
      </c>
      <c r="BK107">
        <v>-0.21099999999999999</v>
      </c>
      <c r="BL107">
        <v>-0.11899999999999999</v>
      </c>
      <c r="BM107">
        <v>-1</v>
      </c>
    </row>
    <row r="108" spans="1:65" x14ac:dyDescent="0.3">
      <c r="A108" t="s">
        <v>87</v>
      </c>
      <c r="B108">
        <v>1.6604720631632999E-2</v>
      </c>
      <c r="C108">
        <v>1.11829190801871E-2</v>
      </c>
      <c r="M108" t="s">
        <v>147</v>
      </c>
      <c r="N108">
        <v>0.76900000000000002</v>
      </c>
      <c r="O108">
        <v>0.76800000000000002</v>
      </c>
      <c r="P108" t="s">
        <v>57</v>
      </c>
      <c r="Q108">
        <v>0</v>
      </c>
      <c r="R108">
        <v>-2E-3</v>
      </c>
      <c r="S108">
        <v>0.78340575868266704</v>
      </c>
      <c r="T108">
        <v>-0.30099999999999999</v>
      </c>
      <c r="U108">
        <v>-0.60699999999999998</v>
      </c>
      <c r="V108">
        <v>-0.65500000000000003</v>
      </c>
      <c r="W108">
        <v>-9.5000000000000001E-2</v>
      </c>
      <c r="X108">
        <v>-0.496</v>
      </c>
      <c r="Y108">
        <v>-0.27400000000000002</v>
      </c>
      <c r="Z108">
        <v>-0.24399999999999999</v>
      </c>
      <c r="AA108">
        <v>-0.45300000000000001</v>
      </c>
      <c r="AB108">
        <v>3.5000000000000003E-2</v>
      </c>
      <c r="AC108">
        <v>3.3000000000000002E-2</v>
      </c>
      <c r="AD108">
        <v>0.64300000000000002</v>
      </c>
      <c r="AE108">
        <v>0.60199999999999998</v>
      </c>
      <c r="AF108">
        <v>0.497</v>
      </c>
      <c r="AG108">
        <v>0.67600000000000005</v>
      </c>
      <c r="AH108">
        <v>-8.2000000000000003E-2</v>
      </c>
      <c r="AI108">
        <v>-0.72399999999999998</v>
      </c>
      <c r="AJ108">
        <v>-0.76500000000000001</v>
      </c>
      <c r="AK108">
        <v>-0.83</v>
      </c>
      <c r="AL108">
        <v>-0.121</v>
      </c>
      <c r="AM108">
        <v>0.10100000000000001</v>
      </c>
      <c r="AN108">
        <v>-0.222</v>
      </c>
      <c r="AO108">
        <v>-0.56899999999999995</v>
      </c>
      <c r="AP108">
        <v>0.54800000000000004</v>
      </c>
      <c r="AQ108">
        <v>-0.32700000000000001</v>
      </c>
      <c r="AR108">
        <v>7.1999999999999995E-2</v>
      </c>
      <c r="AS108">
        <v>0.219</v>
      </c>
      <c r="AT108">
        <v>0.34200000000000003</v>
      </c>
      <c r="AU108">
        <v>0.104</v>
      </c>
      <c r="AV108">
        <v>0.34100000000000003</v>
      </c>
      <c r="AW108">
        <v>-2.8000000000000001E-2</v>
      </c>
      <c r="AX108">
        <v>0.90800000000000003</v>
      </c>
      <c r="AY108">
        <v>-0.217</v>
      </c>
      <c r="AZ108">
        <v>0.46500000000000002</v>
      </c>
      <c r="BA108">
        <v>0.88100000000000001</v>
      </c>
      <c r="BB108">
        <v>6.2E-2</v>
      </c>
      <c r="BC108">
        <v>1.7000000000000001E-2</v>
      </c>
      <c r="BD108">
        <v>0.127</v>
      </c>
      <c r="BE108">
        <v>0.12</v>
      </c>
      <c r="BF108">
        <v>0.40799999999999997</v>
      </c>
      <c r="BG108">
        <v>-6.8000000000000005E-2</v>
      </c>
      <c r="BH108">
        <v>-0.24</v>
      </c>
      <c r="BI108">
        <v>8.5999999999999993E-2</v>
      </c>
      <c r="BJ108">
        <v>0.04</v>
      </c>
      <c r="BK108">
        <v>-9.9000000000000005E-2</v>
      </c>
      <c r="BL108">
        <v>-0.94799999999999995</v>
      </c>
      <c r="BM108">
        <v>-0.56699999999999995</v>
      </c>
    </row>
    <row r="109" spans="1:65" x14ac:dyDescent="0.3">
      <c r="A109" t="s">
        <v>198</v>
      </c>
      <c r="B109">
        <v>0</v>
      </c>
      <c r="C109">
        <v>0</v>
      </c>
      <c r="M109" t="s">
        <v>186</v>
      </c>
      <c r="N109">
        <v>0.749</v>
      </c>
      <c r="O109">
        <v>0.95599999999999996</v>
      </c>
      <c r="P109" t="s">
        <v>71</v>
      </c>
      <c r="Q109">
        <v>0</v>
      </c>
      <c r="R109">
        <v>-4.0000000000000001E-3</v>
      </c>
      <c r="S109">
        <v>0.8111111111</v>
      </c>
      <c r="T109">
        <v>-0.754</v>
      </c>
      <c r="U109">
        <v>-0.32100000000000001</v>
      </c>
      <c r="V109">
        <v>-0.94199999999999995</v>
      </c>
      <c r="W109">
        <v>-0.63900000000000001</v>
      </c>
      <c r="X109">
        <v>-0.71899999999999997</v>
      </c>
      <c r="Y109">
        <v>-0.55000000000000004</v>
      </c>
      <c r="Z109">
        <v>-0.61899999999999999</v>
      </c>
      <c r="AA109">
        <v>-0.29399999999999998</v>
      </c>
      <c r="AB109">
        <v>0.51200000000000001</v>
      </c>
      <c r="AC109">
        <v>0.51200000000000001</v>
      </c>
      <c r="AD109">
        <v>0.628</v>
      </c>
      <c r="AE109">
        <v>0.78200000000000003</v>
      </c>
      <c r="AF109">
        <v>0.745</v>
      </c>
      <c r="AG109">
        <v>-0.65500000000000003</v>
      </c>
      <c r="AH109">
        <v>-0.89300000000000002</v>
      </c>
      <c r="AI109">
        <v>0.44800000000000001</v>
      </c>
      <c r="AJ109">
        <v>-0.93600000000000005</v>
      </c>
      <c r="AK109">
        <v>-0.57499999999999996</v>
      </c>
      <c r="AL109">
        <v>-0.96</v>
      </c>
      <c r="AM109">
        <v>-0.15</v>
      </c>
      <c r="AN109">
        <v>-0.437</v>
      </c>
      <c r="AO109">
        <v>-0.26</v>
      </c>
      <c r="AP109">
        <v>-0.64400000000000002</v>
      </c>
      <c r="AQ109">
        <v>0.52900000000000003</v>
      </c>
      <c r="AR109">
        <v>0.41599999999999998</v>
      </c>
      <c r="AS109">
        <v>-0.86699999999999999</v>
      </c>
      <c r="AT109">
        <v>0.47899999999999998</v>
      </c>
      <c r="AU109">
        <v>0.40300000000000002</v>
      </c>
      <c r="AV109">
        <v>9.7000000000000003E-2</v>
      </c>
      <c r="AW109">
        <v>-0.53400000000000003</v>
      </c>
      <c r="AX109">
        <v>-0.15</v>
      </c>
      <c r="AY109">
        <v>0.46200000000000002</v>
      </c>
      <c r="AZ109">
        <v>-6.2E-2</v>
      </c>
      <c r="BA109">
        <v>0.81399999999999995</v>
      </c>
      <c r="BB109">
        <v>-0.376</v>
      </c>
      <c r="BC109">
        <v>0.56799999999999995</v>
      </c>
      <c r="BD109">
        <v>0.19400000000000001</v>
      </c>
      <c r="BE109">
        <v>7.2999999999999995E-2</v>
      </c>
      <c r="BF109">
        <v>0.64600000000000002</v>
      </c>
      <c r="BG109">
        <v>-1</v>
      </c>
      <c r="BH109">
        <v>-0.83399999999999996</v>
      </c>
      <c r="BI109">
        <v>0.34399999999999997</v>
      </c>
      <c r="BJ109">
        <v>-0.25700000000000001</v>
      </c>
      <c r="BK109">
        <v>-0.504</v>
      </c>
      <c r="BL109">
        <v>-0.28100000000000003</v>
      </c>
      <c r="BM109">
        <v>-0.57899999999999996</v>
      </c>
    </row>
    <row r="110" spans="1:65" x14ac:dyDescent="0.3">
      <c r="A110" t="s">
        <v>52</v>
      </c>
      <c r="B110">
        <v>1.46039180329693E-2</v>
      </c>
      <c r="C110">
        <v>1.19891981204824E-2</v>
      </c>
      <c r="M110" t="s">
        <v>155</v>
      </c>
      <c r="N110">
        <v>0.74199999999999999</v>
      </c>
      <c r="O110">
        <v>0.54100000000000004</v>
      </c>
      <c r="P110" t="s">
        <v>55</v>
      </c>
      <c r="Q110">
        <v>0</v>
      </c>
      <c r="R110">
        <v>0</v>
      </c>
      <c r="S110">
        <v>0</v>
      </c>
      <c r="T110">
        <v>-0.28199999999999997</v>
      </c>
      <c r="U110">
        <v>-0.125</v>
      </c>
      <c r="V110">
        <v>-0.10299999999999999</v>
      </c>
      <c r="W110">
        <v>-0.52700000000000002</v>
      </c>
      <c r="X110">
        <v>-0.28799999999999998</v>
      </c>
      <c r="Y110">
        <v>-0.55400000000000005</v>
      </c>
      <c r="Z110">
        <v>-0.66900000000000004</v>
      </c>
      <c r="AA110">
        <v>-0.86599999999999999</v>
      </c>
      <c r="AB110">
        <v>0.59899999999999998</v>
      </c>
      <c r="AC110">
        <v>0.59599999999999997</v>
      </c>
      <c r="AD110">
        <v>0.47099999999999997</v>
      </c>
      <c r="AE110">
        <v>0.68</v>
      </c>
      <c r="AF110">
        <v>0.65</v>
      </c>
      <c r="AG110">
        <v>-0.46100000000000002</v>
      </c>
      <c r="AH110">
        <v>0.72299999999999998</v>
      </c>
      <c r="AI110">
        <v>-0.22900000000000001</v>
      </c>
      <c r="AJ110">
        <v>0.65300000000000002</v>
      </c>
      <c r="AK110">
        <v>-0.18099999999999999</v>
      </c>
      <c r="AL110">
        <v>-0.59</v>
      </c>
      <c r="AM110">
        <v>0.31900000000000001</v>
      </c>
      <c r="AN110">
        <v>-1</v>
      </c>
      <c r="AO110">
        <v>0.92800000000000005</v>
      </c>
      <c r="AP110">
        <v>-0.32700000000000001</v>
      </c>
      <c r="AQ110">
        <v>-0.58399999999999996</v>
      </c>
      <c r="AR110">
        <v>0.16500000000000001</v>
      </c>
      <c r="AS110">
        <v>0.13700000000000001</v>
      </c>
      <c r="AT110">
        <v>1</v>
      </c>
      <c r="AU110">
        <v>0.44400000000000001</v>
      </c>
      <c r="AV110">
        <v>0.38700000000000001</v>
      </c>
      <c r="AW110">
        <v>-0.48799999999999999</v>
      </c>
      <c r="AX110">
        <v>-0.63700000000000001</v>
      </c>
      <c r="AY110">
        <v>-0.28699999999999998</v>
      </c>
      <c r="AZ110">
        <v>-0.83799999999999997</v>
      </c>
      <c r="BA110">
        <v>-0.126</v>
      </c>
      <c r="BB110">
        <v>0.16600000000000001</v>
      </c>
      <c r="BC110">
        <v>3.3000000000000002E-2</v>
      </c>
      <c r="BD110">
        <v>-0.376</v>
      </c>
      <c r="BE110">
        <v>-0.60399999999999998</v>
      </c>
      <c r="BF110">
        <v>0.24099999999999999</v>
      </c>
      <c r="BG110">
        <v>0.999</v>
      </c>
      <c r="BH110">
        <v>0.26800000000000002</v>
      </c>
      <c r="BI110">
        <v>0.436</v>
      </c>
      <c r="BJ110">
        <v>6.6000000000000003E-2</v>
      </c>
      <c r="BK110">
        <v>-0.29099999999999998</v>
      </c>
      <c r="BL110">
        <v>0.52500000000000002</v>
      </c>
      <c r="BM110">
        <v>0.80900000000000005</v>
      </c>
    </row>
    <row r="111" spans="1:65" x14ac:dyDescent="0.3">
      <c r="A111" t="s">
        <v>107</v>
      </c>
      <c r="B111">
        <v>1.90566792672269E-2</v>
      </c>
      <c r="C111">
        <v>3.1582017333827303E-2</v>
      </c>
      <c r="M111" t="s">
        <v>98</v>
      </c>
      <c r="N111">
        <v>0.72399999999999998</v>
      </c>
      <c r="O111">
        <v>0.76700000000000002</v>
      </c>
      <c r="P111" t="s">
        <v>68</v>
      </c>
      <c r="Q111">
        <v>0</v>
      </c>
      <c r="R111">
        <v>-5.0000000000000001E-3</v>
      </c>
      <c r="S111">
        <v>5.9948431111833296</v>
      </c>
      <c r="T111">
        <v>-0.86199999999999999</v>
      </c>
      <c r="U111">
        <v>-0.79500000000000004</v>
      </c>
      <c r="V111">
        <v>-0.83399999999999996</v>
      </c>
      <c r="W111">
        <v>-0.76800000000000002</v>
      </c>
      <c r="X111">
        <v>-0.78600000000000003</v>
      </c>
      <c r="Y111">
        <v>-0.63500000000000001</v>
      </c>
      <c r="Z111">
        <v>-0.378</v>
      </c>
      <c r="AA111">
        <v>-0.09</v>
      </c>
      <c r="AB111">
        <v>0.58799999999999997</v>
      </c>
      <c r="AC111">
        <v>0.58199999999999996</v>
      </c>
      <c r="AD111">
        <v>0.60499999999999998</v>
      </c>
      <c r="AE111">
        <v>0.54600000000000004</v>
      </c>
      <c r="AF111">
        <v>0.57299999999999995</v>
      </c>
      <c r="AG111">
        <v>-0.66700000000000004</v>
      </c>
      <c r="AH111">
        <v>-0.88400000000000001</v>
      </c>
      <c r="AI111">
        <v>-0.54700000000000004</v>
      </c>
      <c r="AJ111">
        <v>-0.50700000000000001</v>
      </c>
      <c r="AK111">
        <v>-0.32700000000000001</v>
      </c>
      <c r="AL111">
        <v>-0.872</v>
      </c>
      <c r="AM111">
        <v>-6.6000000000000003E-2</v>
      </c>
      <c r="AN111">
        <v>0.68200000000000005</v>
      </c>
      <c r="AO111">
        <v>-0.60799999999999998</v>
      </c>
      <c r="AP111">
        <v>-0.23799999999999999</v>
      </c>
      <c r="AQ111">
        <v>0.191</v>
      </c>
      <c r="AR111">
        <v>-5.0000000000000001E-3</v>
      </c>
      <c r="AS111">
        <v>-0.73599999999999999</v>
      </c>
      <c r="AT111">
        <v>-0.48699999999999999</v>
      </c>
      <c r="AU111">
        <v>-0.36799999999999999</v>
      </c>
      <c r="AV111">
        <v>0.17</v>
      </c>
      <c r="AW111">
        <v>-0.23100000000000001</v>
      </c>
      <c r="AX111">
        <v>-0.51</v>
      </c>
      <c r="AY111">
        <v>0.47899999999999998</v>
      </c>
      <c r="AZ111">
        <v>-0.186</v>
      </c>
      <c r="BA111">
        <v>0.64600000000000002</v>
      </c>
      <c r="BB111">
        <v>0.70399999999999996</v>
      </c>
      <c r="BC111">
        <v>-1</v>
      </c>
      <c r="BD111">
        <v>3.9E-2</v>
      </c>
      <c r="BE111">
        <v>-0.36399999999999999</v>
      </c>
      <c r="BF111">
        <v>0.14899999999999999</v>
      </c>
      <c r="BG111">
        <v>-0.64300000000000002</v>
      </c>
      <c r="BH111">
        <v>-1.4E-2</v>
      </c>
      <c r="BI111">
        <v>0.53300000000000003</v>
      </c>
      <c r="BJ111">
        <v>-0.35499999999999998</v>
      </c>
      <c r="BK111">
        <v>-0.32800000000000001</v>
      </c>
      <c r="BL111">
        <v>0.36099999999999999</v>
      </c>
      <c r="BM111">
        <v>2.5000000000000001E-2</v>
      </c>
    </row>
    <row r="112" spans="1:65" x14ac:dyDescent="0.3">
      <c r="A112" t="s">
        <v>208</v>
      </c>
      <c r="B112">
        <v>0</v>
      </c>
      <c r="C112">
        <v>0</v>
      </c>
      <c r="M112" t="s">
        <v>226</v>
      </c>
      <c r="N112">
        <v>0.71499999999999997</v>
      </c>
      <c r="O112">
        <v>0.84399999999999997</v>
      </c>
      <c r="P112" t="s">
        <v>55</v>
      </c>
      <c r="Q112">
        <v>0</v>
      </c>
      <c r="R112">
        <v>-7.0000000000000001E-3</v>
      </c>
      <c r="S112">
        <v>0</v>
      </c>
      <c r="T112">
        <v>-0.58399999999999996</v>
      </c>
      <c r="U112">
        <v>-0.46899999999999997</v>
      </c>
      <c r="V112">
        <v>-0.93100000000000005</v>
      </c>
      <c r="W112">
        <v>-0.53400000000000003</v>
      </c>
      <c r="X112">
        <v>-0.79</v>
      </c>
      <c r="Y112">
        <v>-0.2</v>
      </c>
      <c r="Z112">
        <v>-9.6000000000000002E-2</v>
      </c>
      <c r="AA112">
        <v>-0.498</v>
      </c>
      <c r="AB112">
        <v>0.11</v>
      </c>
      <c r="AC112">
        <v>0.111</v>
      </c>
      <c r="AD112">
        <v>0.67500000000000004</v>
      </c>
      <c r="AE112">
        <v>0.67400000000000004</v>
      </c>
      <c r="AF112">
        <v>0.63400000000000001</v>
      </c>
      <c r="AG112">
        <v>-0.56999999999999995</v>
      </c>
      <c r="AH112">
        <v>-0.65900000000000003</v>
      </c>
      <c r="AI112">
        <v>5.1999999999999998E-2</v>
      </c>
      <c r="AJ112">
        <v>-0.996</v>
      </c>
      <c r="AK112">
        <v>-0.43099999999999999</v>
      </c>
      <c r="AL112">
        <v>-0.85099999999999998</v>
      </c>
      <c r="AM112">
        <v>-0.36</v>
      </c>
      <c r="AN112">
        <v>-1</v>
      </c>
      <c r="AO112">
        <v>-0.72099999999999997</v>
      </c>
      <c r="AP112">
        <v>-0.20399999999999999</v>
      </c>
      <c r="AQ112">
        <v>0.52100000000000002</v>
      </c>
      <c r="AR112">
        <v>1</v>
      </c>
      <c r="AS112">
        <v>0.38600000000000001</v>
      </c>
      <c r="AT112">
        <v>-0.315</v>
      </c>
      <c r="AU112">
        <v>-1.0999999999999999E-2</v>
      </c>
      <c r="AV112">
        <v>-0.1</v>
      </c>
      <c r="AW112">
        <v>-0.153</v>
      </c>
      <c r="AX112">
        <v>0.23300000000000001</v>
      </c>
      <c r="AY112">
        <v>0.26300000000000001</v>
      </c>
      <c r="AZ112">
        <v>-0.33600000000000002</v>
      </c>
      <c r="BA112">
        <v>0.69699999999999995</v>
      </c>
      <c r="BB112">
        <v>1</v>
      </c>
      <c r="BC112">
        <v>0.78400000000000003</v>
      </c>
      <c r="BD112">
        <v>-0.11799999999999999</v>
      </c>
      <c r="BE112">
        <v>-0.47599999999999998</v>
      </c>
      <c r="BF112">
        <v>0.72599999999999998</v>
      </c>
      <c r="BG112">
        <v>-0.441</v>
      </c>
      <c r="BH112">
        <v>0.32600000000000001</v>
      </c>
      <c r="BI112">
        <v>0.871</v>
      </c>
      <c r="BJ112">
        <v>-0.56999999999999995</v>
      </c>
      <c r="BK112">
        <v>5.8999999999999997E-2</v>
      </c>
      <c r="BL112">
        <v>-0.46800000000000003</v>
      </c>
      <c r="BM112">
        <v>-0.49</v>
      </c>
    </row>
    <row r="113" spans="1:65" x14ac:dyDescent="0.3">
      <c r="A113" t="s">
        <v>214</v>
      </c>
      <c r="B113">
        <v>0</v>
      </c>
      <c r="C113">
        <v>0</v>
      </c>
      <c r="M113" t="s">
        <v>134</v>
      </c>
      <c r="N113">
        <v>0.70799999999999996</v>
      </c>
      <c r="O113">
        <v>1.613</v>
      </c>
      <c r="P113" t="s">
        <v>57</v>
      </c>
      <c r="Q113">
        <v>0</v>
      </c>
      <c r="R113">
        <v>-3.7999999999999999E-2</v>
      </c>
      <c r="S113">
        <v>1.3204287593333299</v>
      </c>
      <c r="T113">
        <v>-0.746</v>
      </c>
      <c r="U113">
        <v>-0.71599999999999997</v>
      </c>
      <c r="V113">
        <v>-0.9</v>
      </c>
      <c r="W113">
        <v>-0.65700000000000003</v>
      </c>
      <c r="X113">
        <v>-0.79200000000000004</v>
      </c>
      <c r="Y113">
        <v>-0.40400000000000003</v>
      </c>
      <c r="Z113">
        <v>-9.5000000000000001E-2</v>
      </c>
      <c r="AA113">
        <v>-0.44800000000000001</v>
      </c>
      <c r="AB113">
        <v>0.45300000000000001</v>
      </c>
      <c r="AC113">
        <v>0.45200000000000001</v>
      </c>
      <c r="AD113">
        <v>0.74199999999999999</v>
      </c>
      <c r="AE113">
        <v>0.81200000000000006</v>
      </c>
      <c r="AF113">
        <v>0.59499999999999997</v>
      </c>
      <c r="AG113">
        <v>-0.63900000000000001</v>
      </c>
      <c r="AH113">
        <v>-0.26500000000000001</v>
      </c>
      <c r="AI113">
        <v>-0.189</v>
      </c>
      <c r="AJ113">
        <v>-0.91500000000000004</v>
      </c>
      <c r="AK113">
        <v>-0.93799999999999994</v>
      </c>
      <c r="AL113">
        <v>-1</v>
      </c>
      <c r="AM113">
        <v>-0.219</v>
      </c>
      <c r="AN113">
        <v>0.13700000000000001</v>
      </c>
      <c r="AO113">
        <v>-3.3000000000000002E-2</v>
      </c>
      <c r="AP113">
        <v>0.10299999999999999</v>
      </c>
      <c r="AQ113">
        <v>-0.19800000000000001</v>
      </c>
      <c r="AR113">
        <v>-0.18099999999999999</v>
      </c>
      <c r="AS113">
        <v>-1E-3</v>
      </c>
      <c r="AT113">
        <v>0.13500000000000001</v>
      </c>
      <c r="AU113">
        <v>0.41699999999999998</v>
      </c>
      <c r="AV113">
        <v>-0.16400000000000001</v>
      </c>
      <c r="AW113">
        <v>-0.254</v>
      </c>
      <c r="AX113">
        <v>-0.41799999999999998</v>
      </c>
      <c r="AY113">
        <v>0.30299999999999999</v>
      </c>
      <c r="AZ113">
        <v>-0.36199999999999999</v>
      </c>
      <c r="BA113">
        <v>7.6999999999999999E-2</v>
      </c>
      <c r="BB113">
        <v>0.10299999999999999</v>
      </c>
      <c r="BC113">
        <v>0.11799999999999999</v>
      </c>
      <c r="BD113">
        <v>-0.17</v>
      </c>
      <c r="BE113">
        <v>-0.157</v>
      </c>
      <c r="BF113">
        <v>0.4</v>
      </c>
      <c r="BG113">
        <v>1.4999999999999999E-2</v>
      </c>
      <c r="BH113">
        <v>0.193</v>
      </c>
      <c r="BI113">
        <v>0.89600000000000002</v>
      </c>
      <c r="BJ113">
        <v>-0.36499999999999999</v>
      </c>
      <c r="BK113">
        <v>-4.1000000000000002E-2</v>
      </c>
      <c r="BL113">
        <v>-0.23799999999999999</v>
      </c>
      <c r="BM113">
        <v>-0.76500000000000001</v>
      </c>
    </row>
    <row r="114" spans="1:65" x14ac:dyDescent="0.3">
      <c r="A114" t="s">
        <v>111</v>
      </c>
      <c r="B114">
        <v>0</v>
      </c>
      <c r="C114">
        <v>0</v>
      </c>
      <c r="M114" t="s">
        <v>114</v>
      </c>
      <c r="N114">
        <v>0.69899999999999995</v>
      </c>
      <c r="O114">
        <v>0.93300000000000005</v>
      </c>
      <c r="P114" t="s">
        <v>55</v>
      </c>
      <c r="Q114">
        <v>0</v>
      </c>
      <c r="R114">
        <v>0</v>
      </c>
      <c r="S114">
        <v>1.0357692307433299</v>
      </c>
      <c r="T114">
        <v>-0.72099999999999997</v>
      </c>
      <c r="U114">
        <v>-0.65900000000000003</v>
      </c>
      <c r="V114">
        <v>-0.85399999999999998</v>
      </c>
      <c r="W114">
        <v>-0.70399999999999996</v>
      </c>
      <c r="X114">
        <v>-0.80500000000000005</v>
      </c>
      <c r="Y114">
        <v>-0.24299999999999999</v>
      </c>
      <c r="Z114">
        <v>0.33500000000000002</v>
      </c>
      <c r="AA114">
        <v>-0.64200000000000002</v>
      </c>
      <c r="AB114">
        <v>0.45400000000000001</v>
      </c>
      <c r="AC114">
        <v>0.45400000000000001</v>
      </c>
      <c r="AD114">
        <v>0.66800000000000004</v>
      </c>
      <c r="AE114">
        <v>0.67700000000000005</v>
      </c>
      <c r="AF114">
        <v>0.58499999999999996</v>
      </c>
      <c r="AG114">
        <v>-0.71</v>
      </c>
      <c r="AH114">
        <v>-0.72299999999999998</v>
      </c>
      <c r="AI114">
        <v>-0.40300000000000002</v>
      </c>
      <c r="AJ114">
        <v>-0.752</v>
      </c>
      <c r="AK114">
        <v>-0.628</v>
      </c>
      <c r="AL114">
        <v>-0.82099999999999995</v>
      </c>
      <c r="AM114">
        <v>-0.223</v>
      </c>
      <c r="AN114">
        <v>-0.45300000000000001</v>
      </c>
      <c r="AO114">
        <v>-0.28899999999999998</v>
      </c>
      <c r="AP114">
        <v>-0.36399999999999999</v>
      </c>
      <c r="AQ114">
        <v>-0.13500000000000001</v>
      </c>
      <c r="AR114">
        <v>-0.124</v>
      </c>
      <c r="AS114">
        <v>-0.13300000000000001</v>
      </c>
      <c r="AT114">
        <v>-1.6E-2</v>
      </c>
      <c r="AU114">
        <v>-4.0000000000000001E-3</v>
      </c>
      <c r="AV114">
        <v>-0.111</v>
      </c>
      <c r="AW114">
        <v>0.76300000000000001</v>
      </c>
      <c r="AX114">
        <v>-0.28899999999999998</v>
      </c>
      <c r="AY114">
        <v>0.77300000000000002</v>
      </c>
      <c r="AZ114">
        <v>-0.39400000000000002</v>
      </c>
      <c r="BA114">
        <v>0.72599999999999998</v>
      </c>
      <c r="BB114">
        <v>0.34499999999999997</v>
      </c>
      <c r="BC114">
        <v>0.44</v>
      </c>
      <c r="BD114">
        <v>-0.17100000000000001</v>
      </c>
      <c r="BE114">
        <v>-0.20100000000000001</v>
      </c>
      <c r="BF114">
        <v>0.31900000000000001</v>
      </c>
      <c r="BG114">
        <v>-0.14399999999999999</v>
      </c>
      <c r="BH114">
        <v>0.38</v>
      </c>
      <c r="BI114">
        <v>0.85099999999999998</v>
      </c>
      <c r="BJ114">
        <v>-0.39400000000000002</v>
      </c>
      <c r="BK114">
        <v>-0.28100000000000003</v>
      </c>
      <c r="BL114">
        <v>0.31900000000000001</v>
      </c>
      <c r="BM114">
        <v>0.13500000000000001</v>
      </c>
    </row>
    <row r="115" spans="1:65" x14ac:dyDescent="0.3">
      <c r="A115" t="s">
        <v>223</v>
      </c>
      <c r="B115">
        <v>0</v>
      </c>
      <c r="C115">
        <v>0</v>
      </c>
      <c r="M115" t="s">
        <v>211</v>
      </c>
      <c r="N115">
        <v>0.69799999999999995</v>
      </c>
      <c r="O115">
        <v>1.0920000000000001</v>
      </c>
      <c r="P115" t="s">
        <v>57</v>
      </c>
      <c r="Q115">
        <v>0</v>
      </c>
      <c r="R115">
        <v>-8.9999999999999993E-3</v>
      </c>
      <c r="S115">
        <v>0.96210772099999997</v>
      </c>
      <c r="T115">
        <v>-0.48899999999999999</v>
      </c>
      <c r="U115">
        <v>-0.7</v>
      </c>
      <c r="V115">
        <v>-0.85799999999999998</v>
      </c>
      <c r="W115">
        <v>-0.43</v>
      </c>
      <c r="X115">
        <v>-0.78400000000000003</v>
      </c>
      <c r="Y115">
        <v>-0.17599999999999999</v>
      </c>
      <c r="Z115">
        <v>7.5999999999999998E-2</v>
      </c>
      <c r="AA115">
        <v>-0.58799999999999997</v>
      </c>
      <c r="AB115">
        <v>0.16200000000000001</v>
      </c>
      <c r="AC115">
        <v>0.16200000000000001</v>
      </c>
      <c r="AD115">
        <v>0.74099999999999999</v>
      </c>
      <c r="AE115">
        <v>0.74099999999999999</v>
      </c>
      <c r="AF115">
        <v>0.45100000000000001</v>
      </c>
      <c r="AG115">
        <v>-0.432</v>
      </c>
      <c r="AH115">
        <v>-0.14099999999999999</v>
      </c>
      <c r="AI115">
        <v>-0.39200000000000002</v>
      </c>
      <c r="AJ115">
        <v>-1</v>
      </c>
      <c r="AK115">
        <v>-0.877</v>
      </c>
      <c r="AL115">
        <v>-0.69799999999999995</v>
      </c>
      <c r="AM115">
        <v>-0.27700000000000002</v>
      </c>
      <c r="AN115">
        <v>-0.68</v>
      </c>
      <c r="AO115">
        <v>-0.77</v>
      </c>
      <c r="AP115">
        <v>9.1999999999999998E-2</v>
      </c>
      <c r="AQ115">
        <v>2.7E-2</v>
      </c>
      <c r="AR115">
        <v>0.156</v>
      </c>
      <c r="AS115">
        <v>0.55400000000000005</v>
      </c>
      <c r="AT115">
        <v>0.254</v>
      </c>
      <c r="AU115">
        <v>0.251</v>
      </c>
      <c r="AV115">
        <v>-1.4E-2</v>
      </c>
      <c r="AW115">
        <v>0.26</v>
      </c>
      <c r="AX115">
        <v>0.25600000000000001</v>
      </c>
      <c r="AY115">
        <v>2.5999999999999999E-2</v>
      </c>
      <c r="AZ115">
        <v>-0.46899999999999997</v>
      </c>
      <c r="BA115">
        <v>-6.9000000000000006E-2</v>
      </c>
      <c r="BB115">
        <v>1</v>
      </c>
      <c r="BC115">
        <v>0.38500000000000001</v>
      </c>
      <c r="BD115">
        <v>-0.61799999999999999</v>
      </c>
      <c r="BE115">
        <v>2.7E-2</v>
      </c>
      <c r="BF115">
        <v>0.55200000000000005</v>
      </c>
      <c r="BG115">
        <v>-4.8000000000000001E-2</v>
      </c>
      <c r="BH115">
        <v>8.5999999999999993E-2</v>
      </c>
      <c r="BI115">
        <v>0.77900000000000003</v>
      </c>
      <c r="BJ115">
        <v>-0.72099999999999997</v>
      </c>
      <c r="BK115">
        <v>0.30399999999999999</v>
      </c>
      <c r="BL115">
        <v>-0.122</v>
      </c>
      <c r="BM115">
        <v>-0.82899999999999996</v>
      </c>
    </row>
    <row r="116" spans="1:65" x14ac:dyDescent="0.3">
      <c r="A116" t="s">
        <v>221</v>
      </c>
      <c r="B116">
        <v>0</v>
      </c>
      <c r="C116">
        <v>0</v>
      </c>
      <c r="M116" t="s">
        <v>216</v>
      </c>
      <c r="N116">
        <v>0.69699999999999995</v>
      </c>
      <c r="O116">
        <v>0.51500000000000001</v>
      </c>
      <c r="P116" t="s">
        <v>71</v>
      </c>
      <c r="Q116">
        <v>0</v>
      </c>
      <c r="R116">
        <v>0</v>
      </c>
      <c r="S116">
        <v>2.94355267333333E-2</v>
      </c>
      <c r="T116">
        <v>-0.753</v>
      </c>
      <c r="U116">
        <v>-0.224</v>
      </c>
      <c r="V116">
        <v>-0.92900000000000005</v>
      </c>
      <c r="W116">
        <v>-0.70499999999999996</v>
      </c>
      <c r="X116">
        <v>-0.70899999999999996</v>
      </c>
      <c r="Y116">
        <v>-0.58699999999999997</v>
      </c>
      <c r="Z116">
        <v>-0.63600000000000001</v>
      </c>
      <c r="AA116">
        <v>-0.47199999999999998</v>
      </c>
      <c r="AB116">
        <v>0.497</v>
      </c>
      <c r="AC116">
        <v>0.49199999999999999</v>
      </c>
      <c r="AD116">
        <v>0.34699999999999998</v>
      </c>
      <c r="AE116">
        <v>0.60099999999999998</v>
      </c>
      <c r="AF116">
        <v>0.84399999999999997</v>
      </c>
      <c r="AG116">
        <v>-0.81200000000000006</v>
      </c>
      <c r="AH116">
        <v>-0.82099999999999995</v>
      </c>
      <c r="AI116">
        <v>0.51100000000000001</v>
      </c>
      <c r="AJ116">
        <v>-0.77300000000000002</v>
      </c>
      <c r="AK116">
        <v>0.83699999999999997</v>
      </c>
      <c r="AL116">
        <v>-0.89400000000000002</v>
      </c>
      <c r="AM116">
        <v>-0.214</v>
      </c>
      <c r="AN116">
        <v>-0.95099999999999996</v>
      </c>
      <c r="AO116">
        <v>-0.48699999999999999</v>
      </c>
      <c r="AP116">
        <v>-0.16600000000000001</v>
      </c>
      <c r="AQ116">
        <v>1</v>
      </c>
      <c r="AR116">
        <v>0.55100000000000005</v>
      </c>
      <c r="AS116">
        <v>-0.27</v>
      </c>
      <c r="AT116">
        <v>0.22700000000000001</v>
      </c>
      <c r="AU116">
        <v>-3.3000000000000002E-2</v>
      </c>
      <c r="AV116">
        <v>7.9000000000000001E-2</v>
      </c>
      <c r="AW116">
        <v>-0.57599999999999996</v>
      </c>
      <c r="AX116">
        <v>-0.38800000000000001</v>
      </c>
      <c r="AY116">
        <v>-0.2</v>
      </c>
      <c r="AZ116">
        <v>-0.222</v>
      </c>
      <c r="BA116">
        <v>0.49099999999999999</v>
      </c>
      <c r="BB116">
        <v>-0.93100000000000005</v>
      </c>
      <c r="BC116">
        <v>0.61099999999999999</v>
      </c>
      <c r="BD116">
        <v>-8.7999999999999995E-2</v>
      </c>
      <c r="BE116">
        <v>-0.23300000000000001</v>
      </c>
      <c r="BF116">
        <v>0.67400000000000004</v>
      </c>
      <c r="BG116">
        <v>-0.90600000000000003</v>
      </c>
      <c r="BH116">
        <v>-0.29199999999999998</v>
      </c>
      <c r="BI116">
        <v>1</v>
      </c>
      <c r="BJ116">
        <v>-0.41499999999999998</v>
      </c>
      <c r="BK116">
        <v>-0.99099999999999999</v>
      </c>
      <c r="BL116">
        <v>-0.17</v>
      </c>
      <c r="BM116">
        <v>0.187</v>
      </c>
    </row>
    <row r="117" spans="1:65" x14ac:dyDescent="0.3">
      <c r="A117" t="s">
        <v>205</v>
      </c>
      <c r="B117">
        <v>3.0789720473047399E-2</v>
      </c>
      <c r="C117">
        <v>5.6044724107550799E-2</v>
      </c>
      <c r="M117" t="s">
        <v>215</v>
      </c>
      <c r="N117">
        <v>0.69599999999999995</v>
      </c>
      <c r="O117">
        <v>0.496</v>
      </c>
      <c r="P117" t="s">
        <v>55</v>
      </c>
      <c r="Q117">
        <v>0</v>
      </c>
      <c r="R117">
        <v>0</v>
      </c>
      <c r="S117">
        <v>7.50879574733333E-2</v>
      </c>
      <c r="T117">
        <v>-0.52500000000000002</v>
      </c>
      <c r="U117">
        <v>-0.26100000000000001</v>
      </c>
      <c r="V117">
        <v>-0.68799999999999994</v>
      </c>
      <c r="W117">
        <v>-0.69499999999999995</v>
      </c>
      <c r="X117">
        <v>-0.65800000000000003</v>
      </c>
      <c r="Y117">
        <v>-0.39600000000000002</v>
      </c>
      <c r="Z117">
        <v>-0.23300000000000001</v>
      </c>
      <c r="AA117">
        <v>-0.69699999999999995</v>
      </c>
      <c r="AB117">
        <v>0.27</v>
      </c>
      <c r="AC117">
        <v>0.26</v>
      </c>
      <c r="AD117">
        <v>0.61199999999999999</v>
      </c>
      <c r="AE117">
        <v>0.51200000000000001</v>
      </c>
      <c r="AF117">
        <v>0.71299999999999997</v>
      </c>
      <c r="AG117">
        <v>-0.71899999999999997</v>
      </c>
      <c r="AH117">
        <v>-0.504</v>
      </c>
      <c r="AI117">
        <v>-0.17399999999999999</v>
      </c>
      <c r="AJ117">
        <v>-0.47599999999999998</v>
      </c>
      <c r="AK117">
        <v>0.96899999999999997</v>
      </c>
      <c r="AL117">
        <v>-0.39300000000000002</v>
      </c>
      <c r="AM117">
        <v>-0.19900000000000001</v>
      </c>
      <c r="AN117">
        <v>-0.92900000000000005</v>
      </c>
      <c r="AO117">
        <v>-0.29599999999999999</v>
      </c>
      <c r="AP117">
        <v>4.3999999999999997E-2</v>
      </c>
      <c r="AQ117">
        <v>0.36499999999999999</v>
      </c>
      <c r="AR117">
        <v>0.60799999999999998</v>
      </c>
      <c r="AS117">
        <v>6.3E-2</v>
      </c>
      <c r="AT117">
        <v>-0.14000000000000001</v>
      </c>
      <c r="AU117">
        <v>-0.42799999999999999</v>
      </c>
      <c r="AV117">
        <v>-0.129</v>
      </c>
      <c r="AW117">
        <v>0.189</v>
      </c>
      <c r="AX117">
        <v>-6.8000000000000005E-2</v>
      </c>
      <c r="AY117">
        <v>-0.43</v>
      </c>
      <c r="AZ117">
        <v>-0.224</v>
      </c>
      <c r="BA117">
        <v>0.71699999999999997</v>
      </c>
      <c r="BB117">
        <v>5.1999999999999998E-2</v>
      </c>
      <c r="BC117">
        <v>0.54100000000000004</v>
      </c>
      <c r="BD117">
        <v>-0.13</v>
      </c>
      <c r="BE117">
        <v>-0.495</v>
      </c>
      <c r="BF117">
        <v>0.56899999999999995</v>
      </c>
      <c r="BG117">
        <v>-0.64500000000000002</v>
      </c>
      <c r="BH117">
        <v>0.90600000000000003</v>
      </c>
      <c r="BI117">
        <v>1</v>
      </c>
      <c r="BJ117">
        <v>-0.32800000000000001</v>
      </c>
      <c r="BK117">
        <v>-0.311</v>
      </c>
      <c r="BL117">
        <v>-6.4000000000000001E-2</v>
      </c>
      <c r="BM117">
        <v>0.56999999999999995</v>
      </c>
    </row>
    <row r="118" spans="1:65" x14ac:dyDescent="0.3">
      <c r="A118" t="s">
        <v>88</v>
      </c>
      <c r="B118">
        <v>0</v>
      </c>
      <c r="C118">
        <v>0</v>
      </c>
      <c r="M118" t="s">
        <v>124</v>
      </c>
      <c r="N118">
        <v>0.68400000000000005</v>
      </c>
      <c r="O118">
        <v>1.3029999999999999</v>
      </c>
      <c r="P118" t="s">
        <v>55</v>
      </c>
      <c r="Q118">
        <v>0</v>
      </c>
      <c r="R118">
        <v>-1.4E-2</v>
      </c>
      <c r="S118">
        <v>3.2483424072166698</v>
      </c>
      <c r="T118">
        <v>-0.79600000000000004</v>
      </c>
      <c r="U118">
        <v>-0.81499999999999995</v>
      </c>
      <c r="V118">
        <v>-0.90200000000000002</v>
      </c>
      <c r="W118">
        <v>-0.55400000000000005</v>
      </c>
      <c r="X118">
        <v>-0.78700000000000003</v>
      </c>
      <c r="Y118">
        <v>-0.42599999999999999</v>
      </c>
      <c r="Z118">
        <v>0.112</v>
      </c>
      <c r="AA118">
        <v>-0.38900000000000001</v>
      </c>
      <c r="AB118">
        <v>0.35</v>
      </c>
      <c r="AC118">
        <v>0.34899999999999998</v>
      </c>
      <c r="AD118">
        <v>0.623</v>
      </c>
      <c r="AE118">
        <v>0.69899999999999995</v>
      </c>
      <c r="AF118">
        <v>0.47499999999999998</v>
      </c>
      <c r="AG118">
        <v>-0.26500000000000001</v>
      </c>
      <c r="AH118">
        <v>-0.52900000000000003</v>
      </c>
      <c r="AI118">
        <v>-0.57099999999999995</v>
      </c>
      <c r="AJ118">
        <v>-0.76100000000000001</v>
      </c>
      <c r="AK118">
        <v>-0.60699999999999998</v>
      </c>
      <c r="AL118">
        <v>-0.88100000000000001</v>
      </c>
      <c r="AM118">
        <v>-0.182</v>
      </c>
      <c r="AN118">
        <v>0.19400000000000001</v>
      </c>
      <c r="AO118">
        <v>-0.59899999999999998</v>
      </c>
      <c r="AP118">
        <v>-0.21299999999999999</v>
      </c>
      <c r="AQ118">
        <v>-0.246</v>
      </c>
      <c r="AR118">
        <v>0.154</v>
      </c>
      <c r="AS118">
        <v>-0.13600000000000001</v>
      </c>
      <c r="AT118">
        <v>0.17599999999999999</v>
      </c>
      <c r="AU118">
        <v>0.124</v>
      </c>
      <c r="AV118">
        <v>0.113</v>
      </c>
      <c r="AW118">
        <v>0.53700000000000003</v>
      </c>
      <c r="AX118">
        <v>2.1999999999999999E-2</v>
      </c>
      <c r="AY118">
        <v>0.83299999999999996</v>
      </c>
      <c r="AZ118">
        <v>-0.84499999999999997</v>
      </c>
      <c r="BA118">
        <v>0.438</v>
      </c>
      <c r="BB118">
        <v>-8.5000000000000006E-2</v>
      </c>
      <c r="BC118">
        <v>-0.437</v>
      </c>
      <c r="BD118">
        <v>-0.16400000000000001</v>
      </c>
      <c r="BE118">
        <v>-0.36799999999999999</v>
      </c>
      <c r="BF118">
        <v>0.38400000000000001</v>
      </c>
      <c r="BG118">
        <v>-0.38400000000000001</v>
      </c>
      <c r="BH118">
        <v>-1</v>
      </c>
      <c r="BI118">
        <v>0.19900000000000001</v>
      </c>
      <c r="BJ118">
        <v>-0.373</v>
      </c>
      <c r="BK118">
        <v>-0.22700000000000001</v>
      </c>
      <c r="BL118">
        <v>-0.12</v>
      </c>
      <c r="BM118">
        <v>5.3999999999999999E-2</v>
      </c>
    </row>
    <row r="119" spans="1:65" x14ac:dyDescent="0.3">
      <c r="A119" t="s">
        <v>243</v>
      </c>
      <c r="B119">
        <v>0</v>
      </c>
      <c r="C119">
        <v>0</v>
      </c>
      <c r="M119" t="s">
        <v>250</v>
      </c>
      <c r="N119">
        <v>0.67600000000000005</v>
      </c>
      <c r="O119">
        <v>0.52700000000000002</v>
      </c>
      <c r="P119" t="s">
        <v>57</v>
      </c>
      <c r="Q119">
        <v>0</v>
      </c>
      <c r="R119">
        <v>0</v>
      </c>
      <c r="S119">
        <v>0.126097141066667</v>
      </c>
      <c r="T119">
        <v>-0.06</v>
      </c>
      <c r="U119">
        <v>-0.16900000000000001</v>
      </c>
      <c r="V119">
        <v>-1.7000000000000001E-2</v>
      </c>
      <c r="W119">
        <v>-0.52500000000000002</v>
      </c>
      <c r="X119">
        <v>-0.36499999999999999</v>
      </c>
      <c r="Y119">
        <v>-0.47499999999999998</v>
      </c>
      <c r="Z119">
        <v>-0.64500000000000002</v>
      </c>
      <c r="AA119">
        <v>-0.627</v>
      </c>
      <c r="AB119">
        <v>-0.34</v>
      </c>
      <c r="AC119">
        <v>-0.34399999999999997</v>
      </c>
      <c r="AD119">
        <v>0.63500000000000001</v>
      </c>
      <c r="AE119">
        <v>0.61299999999999999</v>
      </c>
      <c r="AF119">
        <v>0.28899999999999998</v>
      </c>
      <c r="AG119">
        <v>-3.9E-2</v>
      </c>
      <c r="AH119">
        <v>-0.25</v>
      </c>
      <c r="AI119">
        <v>-0.61299999999999999</v>
      </c>
      <c r="AJ119">
        <v>-0.31900000000000001</v>
      </c>
      <c r="AK119">
        <v>0.246</v>
      </c>
      <c r="AL119">
        <v>0.46700000000000003</v>
      </c>
      <c r="AM119">
        <v>-0.379</v>
      </c>
      <c r="AN119">
        <v>-0.42299999999999999</v>
      </c>
      <c r="AO119">
        <v>-0.36799999999999999</v>
      </c>
      <c r="AP119">
        <v>0.42</v>
      </c>
      <c r="AQ119">
        <v>-0.22600000000000001</v>
      </c>
      <c r="AR119">
        <v>0.40799999999999997</v>
      </c>
      <c r="AS119">
        <v>-0.23</v>
      </c>
      <c r="AT119">
        <v>0.59</v>
      </c>
      <c r="AU119">
        <v>-0.14299999999999999</v>
      </c>
      <c r="AV119">
        <v>-0.314</v>
      </c>
      <c r="AW119">
        <v>-0.41699999999999998</v>
      </c>
      <c r="AX119">
        <v>0.435</v>
      </c>
      <c r="AY119">
        <v>-0.35899999999999999</v>
      </c>
      <c r="AZ119">
        <v>0.16300000000000001</v>
      </c>
      <c r="BA119">
        <v>0.64700000000000002</v>
      </c>
      <c r="BB119">
        <v>0.63600000000000001</v>
      </c>
      <c r="BC119">
        <v>0.29899999999999999</v>
      </c>
      <c r="BD119">
        <v>0.48</v>
      </c>
      <c r="BE119">
        <v>0.26</v>
      </c>
      <c r="BF119">
        <v>0.47</v>
      </c>
      <c r="BG119">
        <v>-0.59799999999999998</v>
      </c>
      <c r="BH119">
        <v>0.44700000000000001</v>
      </c>
      <c r="BI119">
        <v>6.7000000000000004E-2</v>
      </c>
      <c r="BJ119">
        <v>0.503</v>
      </c>
      <c r="BK119">
        <v>0.253</v>
      </c>
      <c r="BL119">
        <v>4.4999999999999998E-2</v>
      </c>
      <c r="BM119">
        <v>0.22600000000000001</v>
      </c>
    </row>
    <row r="120" spans="1:65" x14ac:dyDescent="0.3">
      <c r="A120" t="s">
        <v>210</v>
      </c>
      <c r="B120">
        <v>0</v>
      </c>
      <c r="C120">
        <v>1.63747434111341E-2</v>
      </c>
      <c r="M120" t="s">
        <v>144</v>
      </c>
      <c r="N120">
        <v>0.67400000000000004</v>
      </c>
      <c r="O120">
        <v>1.413</v>
      </c>
      <c r="P120" t="s">
        <v>55</v>
      </c>
      <c r="Q120">
        <v>0</v>
      </c>
      <c r="R120">
        <v>-0.02</v>
      </c>
      <c r="S120">
        <v>2.1385023333333302</v>
      </c>
      <c r="T120">
        <v>-0.875</v>
      </c>
      <c r="U120">
        <v>-0.73499999999999999</v>
      </c>
      <c r="V120">
        <v>-0.95199999999999996</v>
      </c>
      <c r="W120">
        <v>-0.74399999999999999</v>
      </c>
      <c r="X120">
        <v>-0.80600000000000005</v>
      </c>
      <c r="Y120">
        <v>-0.63800000000000001</v>
      </c>
      <c r="Z120">
        <v>-0.216</v>
      </c>
      <c r="AA120">
        <v>-0.30599999999999999</v>
      </c>
      <c r="AB120">
        <v>0.36399999999999999</v>
      </c>
      <c r="AC120">
        <v>0.36699999999999999</v>
      </c>
      <c r="AD120">
        <v>0.67800000000000005</v>
      </c>
      <c r="AE120">
        <v>0.73799999999999999</v>
      </c>
      <c r="AF120">
        <v>0.58899999999999997</v>
      </c>
      <c r="AG120">
        <v>-0.745</v>
      </c>
      <c r="AH120">
        <v>-0.84799999999999998</v>
      </c>
      <c r="AI120">
        <v>0.129</v>
      </c>
      <c r="AJ120">
        <v>-0.84799999999999998</v>
      </c>
      <c r="AK120">
        <v>-0.41599999999999998</v>
      </c>
      <c r="AL120">
        <v>-0.94799999999999995</v>
      </c>
      <c r="AM120">
        <v>-0.32700000000000001</v>
      </c>
      <c r="AN120">
        <v>0.08</v>
      </c>
      <c r="AO120">
        <v>-0.35399999999999998</v>
      </c>
      <c r="AP120">
        <v>-0.69599999999999995</v>
      </c>
      <c r="AQ120">
        <v>0.249</v>
      </c>
      <c r="AR120">
        <v>0.33800000000000002</v>
      </c>
      <c r="AS120">
        <v>-0.48299999999999998</v>
      </c>
      <c r="AT120">
        <v>0.12</v>
      </c>
      <c r="AU120">
        <v>-0.245</v>
      </c>
      <c r="AV120">
        <v>-0.152</v>
      </c>
      <c r="AW120">
        <v>-2.5999999999999999E-2</v>
      </c>
      <c r="AX120">
        <v>-0.42399999999999999</v>
      </c>
      <c r="AY120">
        <v>0.84799999999999998</v>
      </c>
      <c r="AZ120">
        <v>-0.80300000000000005</v>
      </c>
      <c r="BA120">
        <v>0.75900000000000001</v>
      </c>
      <c r="BB120">
        <v>-0.78</v>
      </c>
      <c r="BC120">
        <v>0.153</v>
      </c>
      <c r="BD120">
        <v>-0.151</v>
      </c>
      <c r="BE120">
        <v>-0.53700000000000003</v>
      </c>
      <c r="BF120">
        <v>0.35899999999999999</v>
      </c>
      <c r="BG120">
        <v>-0.35399999999999998</v>
      </c>
      <c r="BH120">
        <v>-0.875</v>
      </c>
      <c r="BI120">
        <v>0.58599999999999997</v>
      </c>
      <c r="BJ120">
        <v>-0.41099999999999998</v>
      </c>
      <c r="BK120">
        <v>-0.23300000000000001</v>
      </c>
      <c r="BL120">
        <v>9.8000000000000004E-2</v>
      </c>
      <c r="BM120">
        <v>-0.122</v>
      </c>
    </row>
    <row r="121" spans="1:65" x14ac:dyDescent="0.3">
      <c r="A121" t="s">
        <v>188</v>
      </c>
      <c r="B121">
        <v>3.1270519114759199E-2</v>
      </c>
      <c r="C121">
        <v>3.8714612668137298E-2</v>
      </c>
      <c r="M121" t="s">
        <v>214</v>
      </c>
      <c r="N121">
        <v>0.66400000000000003</v>
      </c>
      <c r="O121">
        <v>0.69699999999999995</v>
      </c>
      <c r="P121" t="s">
        <v>53</v>
      </c>
      <c r="Q121">
        <v>0</v>
      </c>
      <c r="R121">
        <v>0</v>
      </c>
      <c r="S121">
        <v>0.32121109474333298</v>
      </c>
      <c r="T121">
        <v>-0.40600000000000003</v>
      </c>
      <c r="U121">
        <v>-0.36</v>
      </c>
      <c r="V121">
        <v>-0.66600000000000004</v>
      </c>
      <c r="W121">
        <v>-0.56399999999999995</v>
      </c>
      <c r="X121">
        <v>-0.63100000000000001</v>
      </c>
      <c r="Y121">
        <v>-0.46400000000000002</v>
      </c>
      <c r="Z121">
        <v>-0.33900000000000002</v>
      </c>
      <c r="AA121">
        <v>-0.73299999999999998</v>
      </c>
      <c r="AB121">
        <v>4.8000000000000001E-2</v>
      </c>
      <c r="AC121">
        <v>5.0999999999999997E-2</v>
      </c>
      <c r="AD121">
        <v>0.61899999999999999</v>
      </c>
      <c r="AE121">
        <v>0.69299999999999995</v>
      </c>
      <c r="AF121">
        <v>0.57099999999999995</v>
      </c>
      <c r="AG121">
        <v>-0.54</v>
      </c>
      <c r="AH121">
        <v>-0.28299999999999997</v>
      </c>
      <c r="AI121">
        <v>-0.23400000000000001</v>
      </c>
      <c r="AJ121">
        <v>-0.49399999999999999</v>
      </c>
      <c r="AK121">
        <v>-0.29499999999999998</v>
      </c>
      <c r="AL121">
        <v>-0.11899999999999999</v>
      </c>
      <c r="AM121">
        <v>-0.16800000000000001</v>
      </c>
      <c r="AN121">
        <v>-0.89200000000000002</v>
      </c>
      <c r="AO121">
        <v>-0.29299999999999998</v>
      </c>
      <c r="AP121">
        <v>0.45200000000000001</v>
      </c>
      <c r="AQ121">
        <v>9.4E-2</v>
      </c>
      <c r="AR121">
        <v>-7.6999999999999999E-2</v>
      </c>
      <c r="AS121">
        <v>0.42599999999999999</v>
      </c>
      <c r="AT121">
        <v>2.8000000000000001E-2</v>
      </c>
      <c r="AU121">
        <v>-3.1E-2</v>
      </c>
      <c r="AV121">
        <v>7.0999999999999994E-2</v>
      </c>
      <c r="AW121">
        <v>-0.245</v>
      </c>
      <c r="AX121">
        <v>-0.21</v>
      </c>
      <c r="AY121">
        <v>0.308</v>
      </c>
      <c r="AZ121">
        <v>0.3</v>
      </c>
      <c r="BA121">
        <v>0.751</v>
      </c>
      <c r="BB121">
        <v>-0.378</v>
      </c>
      <c r="BC121">
        <v>0.74199999999999999</v>
      </c>
      <c r="BD121">
        <v>8.8999999999999996E-2</v>
      </c>
      <c r="BE121">
        <v>-2.5000000000000001E-2</v>
      </c>
      <c r="BF121">
        <v>0.64500000000000002</v>
      </c>
      <c r="BG121">
        <v>-0.41799999999999998</v>
      </c>
      <c r="BH121">
        <v>0.33500000000000002</v>
      </c>
      <c r="BI121">
        <v>0.53800000000000003</v>
      </c>
      <c r="BJ121">
        <v>3.1E-2</v>
      </c>
      <c r="BK121">
        <v>-0.25700000000000001</v>
      </c>
      <c r="BL121">
        <v>-0.21299999999999999</v>
      </c>
      <c r="BM121">
        <v>0.621</v>
      </c>
    </row>
    <row r="122" spans="1:65" x14ac:dyDescent="0.3">
      <c r="A122" t="s">
        <v>209</v>
      </c>
      <c r="B122">
        <v>0</v>
      </c>
      <c r="C122">
        <v>0</v>
      </c>
      <c r="M122" t="s">
        <v>173</v>
      </c>
      <c r="N122">
        <v>0.66300000000000003</v>
      </c>
      <c r="O122">
        <v>1.23</v>
      </c>
      <c r="P122" t="s">
        <v>55</v>
      </c>
      <c r="Q122">
        <v>0</v>
      </c>
      <c r="R122">
        <v>-0.02</v>
      </c>
      <c r="S122">
        <v>1.95611604828667</v>
      </c>
      <c r="T122">
        <v>-0.84799999999999998</v>
      </c>
      <c r="U122">
        <v>-0.75600000000000001</v>
      </c>
      <c r="V122">
        <v>-0.95299999999999996</v>
      </c>
      <c r="W122">
        <v>-0.74199999999999999</v>
      </c>
      <c r="X122">
        <v>-0.85099999999999998</v>
      </c>
      <c r="Y122">
        <v>-0.46400000000000002</v>
      </c>
      <c r="Z122">
        <v>0.12</v>
      </c>
      <c r="AA122">
        <v>-0.505</v>
      </c>
      <c r="AB122">
        <v>0.46500000000000002</v>
      </c>
      <c r="AC122">
        <v>0.46600000000000003</v>
      </c>
      <c r="AD122">
        <v>0.624</v>
      </c>
      <c r="AE122">
        <v>0.64800000000000002</v>
      </c>
      <c r="AF122">
        <v>0.54600000000000004</v>
      </c>
      <c r="AG122">
        <v>-0.78100000000000003</v>
      </c>
      <c r="AH122">
        <v>-0.88300000000000001</v>
      </c>
      <c r="AI122">
        <v>-0.27200000000000002</v>
      </c>
      <c r="AJ122">
        <v>-0.96</v>
      </c>
      <c r="AK122">
        <v>-0.61299999999999999</v>
      </c>
      <c r="AL122">
        <v>-1</v>
      </c>
      <c r="AM122">
        <v>-0.316</v>
      </c>
      <c r="AN122">
        <v>-0.27600000000000002</v>
      </c>
      <c r="AO122">
        <v>-0.70499999999999996</v>
      </c>
      <c r="AP122">
        <v>-0.35399999999999998</v>
      </c>
      <c r="AQ122">
        <v>0.217</v>
      </c>
      <c r="AR122">
        <v>0.40500000000000003</v>
      </c>
      <c r="AS122">
        <v>-0.22500000000000001</v>
      </c>
      <c r="AT122">
        <v>0.158</v>
      </c>
      <c r="AU122">
        <v>-5.7000000000000002E-2</v>
      </c>
      <c r="AV122">
        <v>6.9000000000000006E-2</v>
      </c>
      <c r="AW122">
        <v>0.40899999999999997</v>
      </c>
      <c r="AX122">
        <v>-0.33600000000000002</v>
      </c>
      <c r="AY122">
        <v>0.748</v>
      </c>
      <c r="AZ122">
        <v>-0.52700000000000002</v>
      </c>
      <c r="BA122">
        <v>0.75600000000000001</v>
      </c>
      <c r="BB122">
        <v>-0.249</v>
      </c>
      <c r="BC122">
        <v>-0.40500000000000003</v>
      </c>
      <c r="BD122">
        <v>-0.44700000000000001</v>
      </c>
      <c r="BE122">
        <v>-0.58199999999999996</v>
      </c>
      <c r="BF122">
        <v>0.253</v>
      </c>
      <c r="BG122">
        <v>-0.105</v>
      </c>
      <c r="BH122">
        <v>-0.22</v>
      </c>
      <c r="BI122">
        <v>0.88800000000000001</v>
      </c>
      <c r="BJ122">
        <v>-0.33300000000000002</v>
      </c>
      <c r="BK122">
        <v>-0.191</v>
      </c>
      <c r="BL122">
        <v>0.224</v>
      </c>
      <c r="BM122">
        <v>-0.378</v>
      </c>
    </row>
    <row r="123" spans="1:65" x14ac:dyDescent="0.3">
      <c r="A123" t="s">
        <v>166</v>
      </c>
      <c r="B123">
        <v>4.96486712592175E-3</v>
      </c>
      <c r="C123">
        <v>7.5951735349610097E-3</v>
      </c>
      <c r="M123" t="s">
        <v>229</v>
      </c>
      <c r="N123">
        <v>0.65</v>
      </c>
      <c r="O123">
        <v>0.502</v>
      </c>
      <c r="P123" t="s">
        <v>71</v>
      </c>
      <c r="Q123">
        <v>0</v>
      </c>
      <c r="R123">
        <v>0</v>
      </c>
      <c r="S123">
        <v>1.0152809786366701</v>
      </c>
      <c r="T123">
        <v>-0.753</v>
      </c>
      <c r="U123">
        <v>-0.14099999999999999</v>
      </c>
      <c r="V123">
        <v>-0.90100000000000002</v>
      </c>
      <c r="W123">
        <v>-0.70899999999999996</v>
      </c>
      <c r="X123">
        <v>-0.67</v>
      </c>
      <c r="Y123">
        <v>-0.68</v>
      </c>
      <c r="Z123">
        <v>-0.71599999999999997</v>
      </c>
      <c r="AA123">
        <v>-0.50700000000000001</v>
      </c>
      <c r="AB123">
        <v>0.24399999999999999</v>
      </c>
      <c r="AC123">
        <v>0.246</v>
      </c>
      <c r="AD123">
        <v>0.65700000000000003</v>
      </c>
      <c r="AE123">
        <v>0.69399999999999995</v>
      </c>
      <c r="AF123">
        <v>0.65600000000000003</v>
      </c>
      <c r="AG123">
        <v>-0.85499999999999998</v>
      </c>
      <c r="AH123">
        <v>-0.65800000000000003</v>
      </c>
      <c r="AI123">
        <v>0.48399999999999999</v>
      </c>
      <c r="AJ123">
        <v>-0.6</v>
      </c>
      <c r="AK123">
        <v>-7.1999999999999995E-2</v>
      </c>
      <c r="AL123">
        <v>-0.86599999999999999</v>
      </c>
      <c r="AM123">
        <v>-0.32200000000000001</v>
      </c>
      <c r="AN123">
        <v>-0.49199999999999999</v>
      </c>
      <c r="AO123">
        <v>-0.20699999999999999</v>
      </c>
      <c r="AP123">
        <v>-0.27400000000000002</v>
      </c>
      <c r="AQ123">
        <v>0.29799999999999999</v>
      </c>
      <c r="AR123">
        <v>0.86099999999999999</v>
      </c>
      <c r="AS123">
        <v>-0.40899999999999997</v>
      </c>
      <c r="AT123">
        <v>0.85799999999999998</v>
      </c>
      <c r="AU123">
        <v>0.30599999999999999</v>
      </c>
      <c r="AV123">
        <v>-9.0999999999999998E-2</v>
      </c>
      <c r="AW123">
        <v>-0.17699999999999999</v>
      </c>
      <c r="AX123">
        <v>-0.54200000000000004</v>
      </c>
      <c r="AY123">
        <v>0.19700000000000001</v>
      </c>
      <c r="AZ123">
        <v>-0.25700000000000001</v>
      </c>
      <c r="BA123">
        <v>0.376</v>
      </c>
      <c r="BB123">
        <v>-0.54600000000000004</v>
      </c>
      <c r="BC123">
        <v>-1.2E-2</v>
      </c>
      <c r="BD123">
        <v>-9.8000000000000004E-2</v>
      </c>
      <c r="BE123">
        <v>-0.41199999999999998</v>
      </c>
      <c r="BF123">
        <v>0.29199999999999998</v>
      </c>
      <c r="BG123">
        <v>-0.86399999999999999</v>
      </c>
      <c r="BH123">
        <v>0.249</v>
      </c>
      <c r="BI123">
        <v>2.9000000000000001E-2</v>
      </c>
      <c r="BJ123">
        <v>0.26500000000000001</v>
      </c>
      <c r="BK123">
        <v>-0.63200000000000001</v>
      </c>
      <c r="BL123">
        <v>-0.219</v>
      </c>
      <c r="BM123">
        <v>5.2999999999999999E-2</v>
      </c>
    </row>
    <row r="124" spans="1:65" x14ac:dyDescent="0.3">
      <c r="A124" t="s">
        <v>154</v>
      </c>
      <c r="B124">
        <v>0</v>
      </c>
      <c r="C124">
        <v>2.9631415760998901E-2</v>
      </c>
      <c r="M124" t="s">
        <v>80</v>
      </c>
      <c r="N124">
        <v>0.63200000000000001</v>
      </c>
      <c r="O124">
        <v>0.64400000000000002</v>
      </c>
      <c r="P124" t="s">
        <v>57</v>
      </c>
      <c r="Q124">
        <v>0</v>
      </c>
      <c r="R124">
        <v>-2E-3</v>
      </c>
      <c r="S124">
        <v>1.93860050269333</v>
      </c>
      <c r="T124">
        <v>-0.57899999999999996</v>
      </c>
      <c r="U124">
        <v>-0.77600000000000002</v>
      </c>
      <c r="V124">
        <v>-0.245</v>
      </c>
      <c r="W124">
        <v>-0.627</v>
      </c>
      <c r="X124">
        <v>-0.59699999999999998</v>
      </c>
      <c r="Y124">
        <v>-0.65800000000000003</v>
      </c>
      <c r="Z124">
        <v>-0.629</v>
      </c>
      <c r="AA124">
        <v>-0.57899999999999996</v>
      </c>
      <c r="AB124">
        <v>0.154</v>
      </c>
      <c r="AC124">
        <v>0.156</v>
      </c>
      <c r="AD124">
        <v>0.54</v>
      </c>
      <c r="AE124">
        <v>0.52100000000000002</v>
      </c>
      <c r="AF124">
        <v>0.47599999999999998</v>
      </c>
      <c r="AG124">
        <v>-0.36099999999999999</v>
      </c>
      <c r="AH124">
        <v>-0.222</v>
      </c>
      <c r="AI124">
        <v>-0.755</v>
      </c>
      <c r="AJ124">
        <v>0.16800000000000001</v>
      </c>
      <c r="AK124">
        <v>-0.40699999999999997</v>
      </c>
      <c r="AL124">
        <v>0.28799999999999998</v>
      </c>
      <c r="AM124">
        <v>4.1000000000000002E-2</v>
      </c>
      <c r="AN124">
        <v>0.20399999999999999</v>
      </c>
      <c r="AO124">
        <v>-0.29499999999999998</v>
      </c>
      <c r="AP124">
        <v>-8.5000000000000006E-2</v>
      </c>
      <c r="AQ124">
        <v>-0.42199999999999999</v>
      </c>
      <c r="AR124">
        <v>-0.377</v>
      </c>
      <c r="AS124">
        <v>0.13600000000000001</v>
      </c>
      <c r="AT124">
        <v>7.6999999999999999E-2</v>
      </c>
      <c r="AU124">
        <v>-0.54200000000000004</v>
      </c>
      <c r="AV124">
        <v>0.24199999999999999</v>
      </c>
      <c r="AW124">
        <v>-0.22600000000000001</v>
      </c>
      <c r="AX124">
        <v>-0.42699999999999999</v>
      </c>
      <c r="AY124">
        <v>0.38800000000000001</v>
      </c>
      <c r="AZ124">
        <v>0.17799999999999999</v>
      </c>
      <c r="BA124">
        <v>0.747</v>
      </c>
      <c r="BB124">
        <v>0.27400000000000002</v>
      </c>
      <c r="BC124">
        <v>0.72299999999999998</v>
      </c>
      <c r="BD124">
        <v>2E-3</v>
      </c>
      <c r="BE124">
        <v>-0.191</v>
      </c>
      <c r="BF124">
        <v>0.155</v>
      </c>
      <c r="BG124">
        <v>0.104</v>
      </c>
      <c r="BH124">
        <v>0.33900000000000002</v>
      </c>
      <c r="BI124">
        <v>-0.312</v>
      </c>
      <c r="BJ124">
        <v>-0.64600000000000002</v>
      </c>
      <c r="BK124">
        <v>-0.39500000000000002</v>
      </c>
      <c r="BL124">
        <v>0.498</v>
      </c>
      <c r="BM124">
        <v>0.40799999999999997</v>
      </c>
    </row>
    <row r="125" spans="1:65" x14ac:dyDescent="0.3">
      <c r="A125" t="s">
        <v>69</v>
      </c>
      <c r="B125">
        <v>1.46039180329693E-2</v>
      </c>
      <c r="C125">
        <v>1.19891981204824E-2</v>
      </c>
      <c r="M125" t="s">
        <v>180</v>
      </c>
      <c r="N125">
        <v>0.628</v>
      </c>
      <c r="O125">
        <v>0.69499999999999995</v>
      </c>
      <c r="P125" t="s">
        <v>57</v>
      </c>
      <c r="Q125">
        <v>0</v>
      </c>
      <c r="R125">
        <v>0</v>
      </c>
      <c r="S125">
        <v>0.2103036154</v>
      </c>
      <c r="T125">
        <v>-0.35799999999999998</v>
      </c>
      <c r="U125">
        <v>-0.73499999999999999</v>
      </c>
      <c r="V125">
        <v>-0.22700000000000001</v>
      </c>
      <c r="W125">
        <v>-0.53800000000000003</v>
      </c>
      <c r="X125">
        <v>-0.65600000000000003</v>
      </c>
      <c r="Y125">
        <v>-0.39200000000000002</v>
      </c>
      <c r="Z125">
        <v>-0.248</v>
      </c>
      <c r="AA125">
        <v>-0.74199999999999999</v>
      </c>
      <c r="AB125">
        <v>5.0999999999999997E-2</v>
      </c>
      <c r="AC125">
        <v>5.1999999999999998E-2</v>
      </c>
      <c r="AD125">
        <v>0.55400000000000005</v>
      </c>
      <c r="AE125">
        <v>0.46700000000000003</v>
      </c>
      <c r="AF125">
        <v>0.253</v>
      </c>
      <c r="AG125">
        <v>-0.20799999999999999</v>
      </c>
      <c r="AH125">
        <v>-0.68100000000000005</v>
      </c>
      <c r="AI125">
        <v>-0.84099999999999997</v>
      </c>
      <c r="AJ125">
        <v>-0.57099999999999995</v>
      </c>
      <c r="AK125">
        <v>-1.0999999999999999E-2</v>
      </c>
      <c r="AL125">
        <v>0.93</v>
      </c>
      <c r="AM125">
        <v>-0.46899999999999997</v>
      </c>
      <c r="AN125">
        <v>-0.76300000000000001</v>
      </c>
      <c r="AO125">
        <v>-0.97299999999999998</v>
      </c>
      <c r="AP125">
        <v>0.23699999999999999</v>
      </c>
      <c r="AQ125">
        <v>-0.38100000000000001</v>
      </c>
      <c r="AR125">
        <v>-0.12</v>
      </c>
      <c r="AS125">
        <v>5.2999999999999999E-2</v>
      </c>
      <c r="AT125">
        <v>0.125</v>
      </c>
      <c r="AU125">
        <v>-0.53900000000000003</v>
      </c>
      <c r="AV125">
        <v>0.78100000000000003</v>
      </c>
      <c r="AW125">
        <v>6.2E-2</v>
      </c>
      <c r="AX125">
        <v>0.623</v>
      </c>
      <c r="AY125">
        <v>0.38600000000000001</v>
      </c>
      <c r="AZ125">
        <v>8.5000000000000006E-2</v>
      </c>
      <c r="BA125">
        <v>0.89800000000000002</v>
      </c>
      <c r="BB125">
        <v>0.97699999999999998</v>
      </c>
      <c r="BC125">
        <v>0.42199999999999999</v>
      </c>
      <c r="BD125">
        <v>-0.60399999999999998</v>
      </c>
      <c r="BE125">
        <v>-0.57199999999999995</v>
      </c>
      <c r="BF125">
        <v>0.23499999999999999</v>
      </c>
      <c r="BG125">
        <v>-0.71099999999999997</v>
      </c>
      <c r="BH125">
        <v>-0.18</v>
      </c>
      <c r="BI125">
        <v>0.29199999999999998</v>
      </c>
      <c r="BJ125">
        <v>-0.33600000000000002</v>
      </c>
      <c r="BK125">
        <v>0.104</v>
      </c>
      <c r="BL125">
        <v>0.35099999999999998</v>
      </c>
      <c r="BM125">
        <v>0.71599999999999997</v>
      </c>
    </row>
    <row r="126" spans="1:65" x14ac:dyDescent="0.3">
      <c r="A126" t="s">
        <v>150</v>
      </c>
      <c r="B126">
        <v>0</v>
      </c>
      <c r="C126">
        <v>0</v>
      </c>
      <c r="M126" t="s">
        <v>233</v>
      </c>
      <c r="N126">
        <v>0.627</v>
      </c>
      <c r="O126">
        <v>0.50700000000000001</v>
      </c>
      <c r="P126" t="s">
        <v>71</v>
      </c>
      <c r="Q126">
        <v>0</v>
      </c>
      <c r="R126">
        <v>-1E-3</v>
      </c>
      <c r="S126">
        <v>0.16953446957000001</v>
      </c>
      <c r="T126">
        <v>-0.83399999999999996</v>
      </c>
      <c r="U126">
        <v>-8.6999999999999994E-2</v>
      </c>
      <c r="V126">
        <v>-0.97</v>
      </c>
      <c r="W126">
        <v>-0.72099999999999997</v>
      </c>
      <c r="X126">
        <v>-0.66100000000000003</v>
      </c>
      <c r="Y126">
        <v>-0.73799999999999999</v>
      </c>
      <c r="Z126">
        <v>-0.755</v>
      </c>
      <c r="AA126">
        <v>-0.57399999999999995</v>
      </c>
      <c r="AB126">
        <v>0.17299999999999999</v>
      </c>
      <c r="AC126">
        <v>0.17399999999999999</v>
      </c>
      <c r="AD126">
        <v>0.76800000000000002</v>
      </c>
      <c r="AE126">
        <v>0.79800000000000004</v>
      </c>
      <c r="AF126">
        <v>0.64700000000000002</v>
      </c>
      <c r="AG126">
        <v>-0.749</v>
      </c>
      <c r="AH126">
        <v>-0.437</v>
      </c>
      <c r="AI126">
        <v>0.97399999999999998</v>
      </c>
      <c r="AJ126">
        <v>-0.64900000000000002</v>
      </c>
      <c r="AK126">
        <v>-0.158</v>
      </c>
      <c r="AL126">
        <v>-0.90700000000000003</v>
      </c>
      <c r="AM126">
        <v>0.105</v>
      </c>
      <c r="AN126">
        <v>-0.96099999999999997</v>
      </c>
      <c r="AO126">
        <v>4.2000000000000003E-2</v>
      </c>
      <c r="AP126">
        <v>0.41099999999999998</v>
      </c>
      <c r="AQ126">
        <v>0.56100000000000005</v>
      </c>
      <c r="AR126">
        <v>0.72</v>
      </c>
      <c r="AS126">
        <v>-0.45</v>
      </c>
      <c r="AT126">
        <v>-0.32700000000000001</v>
      </c>
      <c r="AU126">
        <v>-0.46899999999999997</v>
      </c>
      <c r="AV126">
        <v>-0.316</v>
      </c>
      <c r="AW126">
        <v>-0.17100000000000001</v>
      </c>
      <c r="AX126">
        <v>-0.33600000000000002</v>
      </c>
      <c r="AY126">
        <v>0.106</v>
      </c>
      <c r="AZ126">
        <v>-0.31</v>
      </c>
      <c r="BA126">
        <v>0.32800000000000001</v>
      </c>
      <c r="BB126">
        <v>-0.72199999999999998</v>
      </c>
      <c r="BC126">
        <v>-0.19</v>
      </c>
      <c r="BD126">
        <v>-0.36199999999999999</v>
      </c>
      <c r="BE126">
        <v>0.32300000000000001</v>
      </c>
      <c r="BF126">
        <v>-0.14599999999999999</v>
      </c>
      <c r="BG126">
        <v>-0.22600000000000001</v>
      </c>
      <c r="BH126">
        <v>0.56999999999999995</v>
      </c>
      <c r="BI126">
        <v>0.27900000000000003</v>
      </c>
      <c r="BJ126">
        <v>0.26500000000000001</v>
      </c>
      <c r="BK126">
        <v>-0.98299999999999998</v>
      </c>
      <c r="BL126">
        <v>-0.91900000000000004</v>
      </c>
      <c r="BM126">
        <v>0.19</v>
      </c>
    </row>
    <row r="127" spans="1:65" x14ac:dyDescent="0.3">
      <c r="A127" t="s">
        <v>170</v>
      </c>
      <c r="B127">
        <v>0</v>
      </c>
      <c r="C127">
        <v>0</v>
      </c>
      <c r="M127" t="s">
        <v>168</v>
      </c>
      <c r="N127">
        <v>0.626</v>
      </c>
      <c r="O127">
        <v>0.82599999999999996</v>
      </c>
      <c r="P127" t="s">
        <v>68</v>
      </c>
      <c r="Q127">
        <v>0</v>
      </c>
      <c r="R127">
        <v>-8.9999999999999993E-3</v>
      </c>
      <c r="S127">
        <v>1.2139407764666701</v>
      </c>
      <c r="T127">
        <v>-0.67200000000000004</v>
      </c>
      <c r="U127">
        <v>-0.83</v>
      </c>
      <c r="V127">
        <v>-0.86799999999999999</v>
      </c>
      <c r="W127">
        <v>-0.63500000000000001</v>
      </c>
      <c r="X127">
        <v>-0.84899999999999998</v>
      </c>
      <c r="Y127">
        <v>-0.443</v>
      </c>
      <c r="Z127">
        <v>-0.18</v>
      </c>
      <c r="AA127">
        <v>-0.64900000000000002</v>
      </c>
      <c r="AB127">
        <v>0.29099999999999998</v>
      </c>
      <c r="AC127">
        <v>0.29199999999999998</v>
      </c>
      <c r="AD127">
        <v>0.63600000000000001</v>
      </c>
      <c r="AE127">
        <v>0.57199999999999995</v>
      </c>
      <c r="AF127">
        <v>0.46400000000000002</v>
      </c>
      <c r="AG127">
        <v>-0.40300000000000002</v>
      </c>
      <c r="AH127">
        <v>-0.66200000000000003</v>
      </c>
      <c r="AI127">
        <v>-0.79400000000000004</v>
      </c>
      <c r="AJ127">
        <v>-1</v>
      </c>
      <c r="AK127">
        <v>-0.97499999999999998</v>
      </c>
      <c r="AL127">
        <v>-0.64100000000000001</v>
      </c>
      <c r="AM127">
        <v>-0.39100000000000001</v>
      </c>
      <c r="AN127">
        <v>-0.55900000000000005</v>
      </c>
      <c r="AO127">
        <v>-0.96899999999999997</v>
      </c>
      <c r="AP127">
        <v>0.56699999999999995</v>
      </c>
      <c r="AQ127">
        <v>5.6000000000000001E-2</v>
      </c>
      <c r="AR127">
        <v>-0.41799999999999998</v>
      </c>
      <c r="AS127">
        <v>0.17899999999999999</v>
      </c>
      <c r="AT127">
        <v>0.252</v>
      </c>
      <c r="AU127">
        <v>-0.52500000000000002</v>
      </c>
      <c r="AV127">
        <v>0.72799999999999998</v>
      </c>
      <c r="AW127">
        <v>-0.11</v>
      </c>
      <c r="AX127">
        <v>0.17</v>
      </c>
      <c r="AY127">
        <v>0.61399999999999999</v>
      </c>
      <c r="AZ127">
        <v>0.53700000000000003</v>
      </c>
      <c r="BA127">
        <v>0.94099999999999995</v>
      </c>
      <c r="BB127">
        <v>0.51800000000000002</v>
      </c>
      <c r="BC127">
        <v>0.218</v>
      </c>
      <c r="BD127">
        <v>0.189</v>
      </c>
      <c r="BE127">
        <v>0.26200000000000001</v>
      </c>
      <c r="BF127">
        <v>0.22700000000000001</v>
      </c>
      <c r="BG127">
        <v>0.157</v>
      </c>
      <c r="BH127">
        <v>0.38200000000000001</v>
      </c>
      <c r="BI127">
        <v>0.48599999999999999</v>
      </c>
      <c r="BJ127">
        <v>-0.34699999999999998</v>
      </c>
      <c r="BK127">
        <v>-1.7000000000000001E-2</v>
      </c>
      <c r="BL127">
        <v>-9.5000000000000001E-2</v>
      </c>
      <c r="BM127">
        <v>-1</v>
      </c>
    </row>
    <row r="128" spans="1:65" x14ac:dyDescent="0.3">
      <c r="A128" t="s">
        <v>257</v>
      </c>
      <c r="B128">
        <v>0</v>
      </c>
      <c r="C128">
        <v>0</v>
      </c>
      <c r="M128" t="s">
        <v>209</v>
      </c>
      <c r="N128">
        <v>0.61899999999999999</v>
      </c>
      <c r="O128">
        <v>0.80900000000000005</v>
      </c>
      <c r="P128" t="s">
        <v>55</v>
      </c>
      <c r="Q128">
        <v>0</v>
      </c>
      <c r="R128">
        <v>0</v>
      </c>
      <c r="S128">
        <v>0</v>
      </c>
      <c r="T128">
        <v>-0.69599999999999995</v>
      </c>
      <c r="U128">
        <v>-0.72499999999999998</v>
      </c>
      <c r="V128">
        <v>-0.92600000000000005</v>
      </c>
      <c r="W128">
        <v>-0.754</v>
      </c>
      <c r="X128">
        <v>-0.88400000000000001</v>
      </c>
      <c r="Y128">
        <v>-0.42699999999999999</v>
      </c>
      <c r="Z128">
        <v>-0.20499999999999999</v>
      </c>
      <c r="AA128">
        <v>-0.73599999999999999</v>
      </c>
      <c r="AB128">
        <v>9.4E-2</v>
      </c>
      <c r="AC128">
        <v>9.9000000000000005E-2</v>
      </c>
      <c r="AD128">
        <v>0.77900000000000003</v>
      </c>
      <c r="AE128">
        <v>0.81399999999999995</v>
      </c>
      <c r="AF128">
        <v>0.56499999999999995</v>
      </c>
      <c r="AG128">
        <v>-1</v>
      </c>
      <c r="AH128">
        <v>-0.48799999999999999</v>
      </c>
      <c r="AI128">
        <v>-0.42599999999999999</v>
      </c>
      <c r="AJ128">
        <v>-1</v>
      </c>
      <c r="AK128">
        <v>-0.89400000000000002</v>
      </c>
      <c r="AL128">
        <v>-0.89600000000000002</v>
      </c>
      <c r="AM128">
        <v>-0.378</v>
      </c>
      <c r="AN128">
        <v>-0.746</v>
      </c>
      <c r="AO128">
        <v>-0.55300000000000005</v>
      </c>
      <c r="AP128">
        <v>-0.34100000000000003</v>
      </c>
      <c r="AQ128">
        <v>0.161</v>
      </c>
      <c r="AR128">
        <v>0.39800000000000002</v>
      </c>
      <c r="AS128">
        <v>0.24</v>
      </c>
      <c r="AT128">
        <v>0.82699999999999996</v>
      </c>
      <c r="AU128">
        <v>0.40500000000000003</v>
      </c>
      <c r="AV128">
        <v>-0.214</v>
      </c>
      <c r="AW128">
        <v>2E-3</v>
      </c>
      <c r="AX128">
        <v>-0.59099999999999997</v>
      </c>
      <c r="AY128">
        <v>0.52</v>
      </c>
      <c r="AZ128">
        <v>-0.58199999999999996</v>
      </c>
      <c r="BA128">
        <v>0.77900000000000003</v>
      </c>
      <c r="BB128">
        <v>0.502</v>
      </c>
      <c r="BC128">
        <v>0.79100000000000004</v>
      </c>
      <c r="BD128">
        <v>1.4999999999999999E-2</v>
      </c>
      <c r="BE128">
        <v>3.9E-2</v>
      </c>
      <c r="BF128">
        <v>0.49299999999999999</v>
      </c>
      <c r="BG128">
        <v>0.27300000000000002</v>
      </c>
      <c r="BH128">
        <v>0.14199999999999999</v>
      </c>
      <c r="BI128">
        <v>0.68300000000000005</v>
      </c>
      <c r="BJ128">
        <v>-0.625</v>
      </c>
      <c r="BK128">
        <v>0.154</v>
      </c>
      <c r="BL128">
        <v>0.17</v>
      </c>
      <c r="BM128">
        <v>-1</v>
      </c>
    </row>
    <row r="129" spans="1:65" x14ac:dyDescent="0.3">
      <c r="A129" t="s">
        <v>235</v>
      </c>
      <c r="B129">
        <v>0</v>
      </c>
      <c r="C129">
        <v>0</v>
      </c>
      <c r="M129" t="s">
        <v>190</v>
      </c>
      <c r="N129">
        <v>0.61899999999999999</v>
      </c>
      <c r="O129">
        <v>0.44500000000000001</v>
      </c>
      <c r="P129" t="s">
        <v>68</v>
      </c>
      <c r="Q129">
        <v>0</v>
      </c>
      <c r="R129">
        <v>0</v>
      </c>
      <c r="S129">
        <v>0.37920470976666698</v>
      </c>
      <c r="T129">
        <v>-0.55100000000000005</v>
      </c>
      <c r="U129">
        <v>-0.372</v>
      </c>
      <c r="V129">
        <v>-0.21099999999999999</v>
      </c>
      <c r="W129">
        <v>-0.77200000000000002</v>
      </c>
      <c r="X129">
        <v>-0.50900000000000001</v>
      </c>
      <c r="Y129">
        <v>-0.67200000000000004</v>
      </c>
      <c r="Z129">
        <v>-0.61599999999999999</v>
      </c>
      <c r="AA129">
        <v>-0.53</v>
      </c>
      <c r="AB129">
        <v>-9.4E-2</v>
      </c>
      <c r="AC129">
        <v>-0.1</v>
      </c>
      <c r="AD129">
        <v>0.35</v>
      </c>
      <c r="AE129">
        <v>-7.2999999999999995E-2</v>
      </c>
      <c r="AF129">
        <v>0.499</v>
      </c>
      <c r="AG129">
        <v>-0.69499999999999995</v>
      </c>
      <c r="AH129">
        <v>-0.29299999999999998</v>
      </c>
      <c r="AI129">
        <v>-0.42699999999999999</v>
      </c>
      <c r="AJ129">
        <v>0.19500000000000001</v>
      </c>
      <c r="AK129">
        <v>0.60599999999999998</v>
      </c>
      <c r="AL129">
        <v>-0.69299999999999995</v>
      </c>
      <c r="AM129">
        <v>-0.44</v>
      </c>
      <c r="AN129">
        <v>0.252</v>
      </c>
      <c r="AO129">
        <v>-0.24199999999999999</v>
      </c>
      <c r="AP129">
        <v>0.58299999999999996</v>
      </c>
      <c r="AQ129">
        <v>-0.107</v>
      </c>
      <c r="AR129">
        <v>-0.13</v>
      </c>
      <c r="AS129">
        <v>-0.23200000000000001</v>
      </c>
      <c r="AT129">
        <v>0.21</v>
      </c>
      <c r="AU129">
        <v>-0.2</v>
      </c>
      <c r="AV129">
        <v>-0.23799999999999999</v>
      </c>
      <c r="AW129">
        <v>-0.215</v>
      </c>
      <c r="AX129">
        <v>-0.63100000000000001</v>
      </c>
      <c r="AY129">
        <v>-0.70699999999999996</v>
      </c>
      <c r="AZ129">
        <v>-0.193</v>
      </c>
      <c r="BA129">
        <v>0.37</v>
      </c>
      <c r="BB129">
        <v>-7.6999999999999999E-2</v>
      </c>
      <c r="BC129">
        <v>-0.2</v>
      </c>
      <c r="BD129">
        <v>-0.47399999999999998</v>
      </c>
      <c r="BE129">
        <v>-0.76800000000000002</v>
      </c>
      <c r="BF129">
        <v>0.104</v>
      </c>
      <c r="BG129">
        <v>1</v>
      </c>
      <c r="BH129">
        <v>0.53400000000000003</v>
      </c>
      <c r="BI129">
        <v>0.33600000000000002</v>
      </c>
      <c r="BJ129">
        <v>0.501</v>
      </c>
      <c r="BK129">
        <v>1</v>
      </c>
      <c r="BL129">
        <v>0.61799999999999999</v>
      </c>
      <c r="BM129">
        <v>0.51</v>
      </c>
    </row>
    <row r="130" spans="1:65" x14ac:dyDescent="0.3">
      <c r="A130" t="s">
        <v>197</v>
      </c>
      <c r="B130">
        <v>0</v>
      </c>
      <c r="C130">
        <v>0</v>
      </c>
      <c r="M130" t="s">
        <v>232</v>
      </c>
      <c r="N130">
        <v>0.61799999999999999</v>
      </c>
      <c r="O130">
        <v>0.49199999999999999</v>
      </c>
      <c r="P130" t="s">
        <v>57</v>
      </c>
      <c r="Q130">
        <v>0</v>
      </c>
      <c r="R130">
        <v>0</v>
      </c>
      <c r="S130">
        <v>1.8415181742</v>
      </c>
      <c r="T130">
        <v>-0.54</v>
      </c>
      <c r="U130">
        <v>-0.64500000000000002</v>
      </c>
      <c r="V130">
        <v>-0.313</v>
      </c>
      <c r="W130">
        <v>-0.37</v>
      </c>
      <c r="X130">
        <v>-0.34200000000000003</v>
      </c>
      <c r="Y130">
        <v>-0.51200000000000001</v>
      </c>
      <c r="Z130">
        <v>-0.503</v>
      </c>
      <c r="AA130">
        <v>-0.61899999999999999</v>
      </c>
      <c r="AB130">
        <v>-5.3999999999999999E-2</v>
      </c>
      <c r="AC130">
        <v>-5.5E-2</v>
      </c>
      <c r="AD130">
        <v>0.64200000000000002</v>
      </c>
      <c r="AE130">
        <v>0.55700000000000005</v>
      </c>
      <c r="AF130">
        <v>0.219</v>
      </c>
      <c r="AG130">
        <v>0.94599999999999995</v>
      </c>
      <c r="AH130">
        <v>0.30599999999999999</v>
      </c>
      <c r="AI130">
        <v>-0.68100000000000005</v>
      </c>
      <c r="AJ130">
        <v>0.13200000000000001</v>
      </c>
      <c r="AK130">
        <v>-0.78400000000000003</v>
      </c>
      <c r="AL130">
        <v>-0.191</v>
      </c>
      <c r="AM130">
        <v>0.34599999999999997</v>
      </c>
      <c r="AN130">
        <v>3.3000000000000002E-2</v>
      </c>
      <c r="AO130">
        <v>0.378</v>
      </c>
      <c r="AP130">
        <v>1</v>
      </c>
      <c r="AQ130">
        <v>-0.88500000000000001</v>
      </c>
      <c r="AR130">
        <v>-0.41799999999999998</v>
      </c>
      <c r="AS130">
        <v>1.7999999999999999E-2</v>
      </c>
      <c r="AT130">
        <v>-0.42599999999999999</v>
      </c>
      <c r="AU130">
        <v>-0.75900000000000001</v>
      </c>
      <c r="AV130">
        <v>5.7000000000000002E-2</v>
      </c>
      <c r="AW130">
        <v>-0.26100000000000001</v>
      </c>
      <c r="AX130">
        <v>0.29199999999999998</v>
      </c>
      <c r="AY130">
        <v>-0.20699999999999999</v>
      </c>
      <c r="AZ130">
        <v>-0.2</v>
      </c>
      <c r="BA130">
        <v>0.79200000000000004</v>
      </c>
      <c r="BB130">
        <v>0.499</v>
      </c>
      <c r="BC130">
        <v>-0.60099999999999998</v>
      </c>
      <c r="BD130">
        <v>-0.51700000000000002</v>
      </c>
      <c r="BE130">
        <v>-0.17699999999999999</v>
      </c>
      <c r="BF130">
        <v>-0.10299999999999999</v>
      </c>
      <c r="BG130">
        <v>-0.04</v>
      </c>
      <c r="BH130">
        <v>0.749</v>
      </c>
      <c r="BI130">
        <v>0.19800000000000001</v>
      </c>
      <c r="BJ130">
        <v>0.57099999999999995</v>
      </c>
      <c r="BK130">
        <v>-0.32800000000000001</v>
      </c>
      <c r="BL130">
        <v>-0.76800000000000002</v>
      </c>
      <c r="BM130">
        <v>0.27100000000000002</v>
      </c>
    </row>
    <row r="131" spans="1:65" x14ac:dyDescent="0.3">
      <c r="A131" t="s">
        <v>176</v>
      </c>
      <c r="B131">
        <v>0</v>
      </c>
      <c r="C131">
        <v>0</v>
      </c>
      <c r="M131" t="s">
        <v>177</v>
      </c>
      <c r="N131">
        <v>0.61699999999999999</v>
      </c>
      <c r="O131">
        <v>0.75600000000000001</v>
      </c>
      <c r="P131" t="s">
        <v>71</v>
      </c>
      <c r="Q131">
        <v>0</v>
      </c>
      <c r="R131">
        <v>0</v>
      </c>
      <c r="S131">
        <v>0.24244550559866701</v>
      </c>
      <c r="T131">
        <v>-0.90200000000000002</v>
      </c>
      <c r="U131">
        <v>-0.88700000000000001</v>
      </c>
      <c r="V131">
        <v>-0.91</v>
      </c>
      <c r="W131">
        <v>-0.85799999999999998</v>
      </c>
      <c r="X131">
        <v>-0.89400000000000002</v>
      </c>
      <c r="Y131">
        <v>-0.56299999999999994</v>
      </c>
      <c r="Z131">
        <v>-0.223</v>
      </c>
      <c r="AA131">
        <v>-0.66300000000000003</v>
      </c>
      <c r="AB131">
        <v>0.58599999999999997</v>
      </c>
      <c r="AC131">
        <v>0.58099999999999996</v>
      </c>
      <c r="AD131">
        <v>0.58199999999999996</v>
      </c>
      <c r="AE131">
        <v>0.69799999999999995</v>
      </c>
      <c r="AF131">
        <v>0.56000000000000005</v>
      </c>
      <c r="AG131">
        <v>-0.78400000000000003</v>
      </c>
      <c r="AH131">
        <v>-0.97599999999999998</v>
      </c>
      <c r="AI131">
        <v>-0.68899999999999995</v>
      </c>
      <c r="AJ131">
        <v>-0.80400000000000005</v>
      </c>
      <c r="AK131">
        <v>-0.84099999999999997</v>
      </c>
      <c r="AL131">
        <v>-0.98599999999999999</v>
      </c>
      <c r="AM131">
        <v>5.8999999999999997E-2</v>
      </c>
      <c r="AN131">
        <v>-1.6E-2</v>
      </c>
      <c r="AO131">
        <v>-0.41799999999999998</v>
      </c>
      <c r="AP131">
        <v>-0.185</v>
      </c>
      <c r="AQ131">
        <v>2.9000000000000001E-2</v>
      </c>
      <c r="AR131">
        <v>-0.63400000000000001</v>
      </c>
      <c r="AS131">
        <v>-0.82299999999999995</v>
      </c>
      <c r="AT131">
        <v>-0.45500000000000002</v>
      </c>
      <c r="AU131">
        <v>-0.40300000000000002</v>
      </c>
      <c r="AV131">
        <v>-0.108</v>
      </c>
      <c r="AW131">
        <v>-0.187</v>
      </c>
      <c r="AX131">
        <v>-0.56799999999999995</v>
      </c>
      <c r="AY131">
        <v>0.99199999999999999</v>
      </c>
      <c r="AZ131">
        <v>-0.373</v>
      </c>
      <c r="BA131">
        <v>0.627</v>
      </c>
      <c r="BB131">
        <v>-0.50900000000000001</v>
      </c>
      <c r="BC131">
        <v>0.16200000000000001</v>
      </c>
      <c r="BD131">
        <v>6.0999999999999999E-2</v>
      </c>
      <c r="BE131">
        <v>6.9000000000000006E-2</v>
      </c>
      <c r="BF131">
        <v>0.31900000000000001</v>
      </c>
      <c r="BG131">
        <v>8.9999999999999993E-3</v>
      </c>
      <c r="BH131">
        <v>0.251</v>
      </c>
      <c r="BI131">
        <v>1</v>
      </c>
      <c r="BJ131">
        <v>-0.161</v>
      </c>
      <c r="BK131">
        <v>-0.60299999999999998</v>
      </c>
      <c r="BL131">
        <v>0.85899999999999999</v>
      </c>
      <c r="BM131">
        <v>-0.26700000000000002</v>
      </c>
    </row>
    <row r="132" spans="1:65" x14ac:dyDescent="0.3">
      <c r="A132" t="s">
        <v>86</v>
      </c>
      <c r="B132">
        <v>1.3061017357926301E-2</v>
      </c>
      <c r="C132">
        <v>9.8796696620712006E-3</v>
      </c>
      <c r="M132" t="s">
        <v>159</v>
      </c>
      <c r="N132">
        <v>0.61699999999999999</v>
      </c>
      <c r="O132">
        <v>0.76600000000000001</v>
      </c>
      <c r="P132" t="s">
        <v>71</v>
      </c>
      <c r="Q132">
        <v>0</v>
      </c>
      <c r="R132">
        <v>0</v>
      </c>
      <c r="S132">
        <v>0.24244550559866701</v>
      </c>
      <c r="T132">
        <v>-0.88900000000000001</v>
      </c>
      <c r="U132">
        <v>-0.873</v>
      </c>
      <c r="V132">
        <v>-0.92200000000000004</v>
      </c>
      <c r="W132">
        <v>-0.85</v>
      </c>
      <c r="X132">
        <v>-0.89300000000000002</v>
      </c>
      <c r="Y132">
        <v>-0.53400000000000003</v>
      </c>
      <c r="Z132">
        <v>-0.21099999999999999</v>
      </c>
      <c r="AA132">
        <v>-0.63500000000000001</v>
      </c>
      <c r="AB132">
        <v>0.48499999999999999</v>
      </c>
      <c r="AC132">
        <v>0.48</v>
      </c>
      <c r="AD132">
        <v>0.56399999999999995</v>
      </c>
      <c r="AE132">
        <v>0.69499999999999995</v>
      </c>
      <c r="AF132">
        <v>0.55800000000000005</v>
      </c>
      <c r="AG132">
        <v>-0.78300000000000003</v>
      </c>
      <c r="AH132">
        <v>-0.97599999999999998</v>
      </c>
      <c r="AI132">
        <v>-0.64200000000000002</v>
      </c>
      <c r="AJ132">
        <v>-0.80400000000000005</v>
      </c>
      <c r="AK132">
        <v>-0.80800000000000005</v>
      </c>
      <c r="AL132">
        <v>-0.98599999999999999</v>
      </c>
      <c r="AM132">
        <v>5.8999999999999997E-2</v>
      </c>
      <c r="AN132">
        <v>3.0000000000000001E-3</v>
      </c>
      <c r="AO132">
        <v>-0.41799999999999998</v>
      </c>
      <c r="AP132">
        <v>-0.187</v>
      </c>
      <c r="AQ132">
        <v>5.7000000000000002E-2</v>
      </c>
      <c r="AR132">
        <v>-0.59299999999999997</v>
      </c>
      <c r="AS132">
        <v>-0.82299999999999995</v>
      </c>
      <c r="AT132">
        <v>-0.45500000000000002</v>
      </c>
      <c r="AU132">
        <v>-0.40300000000000002</v>
      </c>
      <c r="AV132">
        <v>-0.108</v>
      </c>
      <c r="AW132">
        <v>-0.187</v>
      </c>
      <c r="AX132">
        <v>-0.56799999999999995</v>
      </c>
      <c r="AY132">
        <v>0.97199999999999998</v>
      </c>
      <c r="AZ132">
        <v>-0.373</v>
      </c>
      <c r="BA132">
        <v>0.627</v>
      </c>
      <c r="BB132">
        <v>-0.437</v>
      </c>
      <c r="BC132">
        <v>0.65200000000000002</v>
      </c>
      <c r="BD132">
        <v>6.0999999999999999E-2</v>
      </c>
      <c r="BE132">
        <v>6.9000000000000006E-2</v>
      </c>
      <c r="BF132">
        <v>0.33</v>
      </c>
      <c r="BG132">
        <v>0.04</v>
      </c>
      <c r="BH132">
        <v>0.47199999999999998</v>
      </c>
      <c r="BI132">
        <v>0.93100000000000005</v>
      </c>
      <c r="BJ132">
        <v>-0.19600000000000001</v>
      </c>
      <c r="BK132">
        <v>-0.57599999999999996</v>
      </c>
      <c r="BL132">
        <v>0.56499999999999995</v>
      </c>
      <c r="BM132">
        <v>-0.26700000000000002</v>
      </c>
    </row>
    <row r="133" spans="1:65" x14ac:dyDescent="0.3">
      <c r="A133" t="s">
        <v>250</v>
      </c>
      <c r="B133">
        <v>0</v>
      </c>
      <c r="C133">
        <v>0</v>
      </c>
      <c r="M133" t="s">
        <v>158</v>
      </c>
      <c r="N133">
        <v>0.61699999999999999</v>
      </c>
      <c r="O133">
        <v>0.90800000000000003</v>
      </c>
      <c r="P133" t="s">
        <v>71</v>
      </c>
      <c r="Q133">
        <v>0</v>
      </c>
      <c r="R133">
        <v>-6.0000000000000001E-3</v>
      </c>
      <c r="S133">
        <v>0.74532796420333303</v>
      </c>
      <c r="T133">
        <v>-0.89900000000000002</v>
      </c>
      <c r="U133">
        <v>-0.75800000000000001</v>
      </c>
      <c r="V133">
        <v>-0.96199999999999997</v>
      </c>
      <c r="W133">
        <v>-0.81299999999999994</v>
      </c>
      <c r="X133">
        <v>-0.85399999999999998</v>
      </c>
      <c r="Y133">
        <v>-0.65400000000000003</v>
      </c>
      <c r="Z133">
        <v>-0.52300000000000002</v>
      </c>
      <c r="AA133">
        <v>-0.54500000000000004</v>
      </c>
      <c r="AB133">
        <v>0.45200000000000001</v>
      </c>
      <c r="AC133">
        <v>0.44900000000000001</v>
      </c>
      <c r="AD133">
        <v>0.51700000000000002</v>
      </c>
      <c r="AE133">
        <v>0.61099999999999999</v>
      </c>
      <c r="AF133">
        <v>0.63</v>
      </c>
      <c r="AG133">
        <v>-0.90300000000000002</v>
      </c>
      <c r="AH133">
        <v>-1</v>
      </c>
      <c r="AI133">
        <v>2.4E-2</v>
      </c>
      <c r="AJ133">
        <v>-0.80100000000000005</v>
      </c>
      <c r="AK133">
        <v>9.5000000000000001E-2</v>
      </c>
      <c r="AL133">
        <v>-0.88700000000000001</v>
      </c>
      <c r="AM133">
        <v>-0.3</v>
      </c>
      <c r="AN133">
        <v>-0.30299999999999999</v>
      </c>
      <c r="AO133">
        <v>-0.57099999999999995</v>
      </c>
      <c r="AP133">
        <v>-0.38500000000000001</v>
      </c>
      <c r="AQ133">
        <v>0.41</v>
      </c>
      <c r="AR133">
        <v>0.872</v>
      </c>
      <c r="AS133">
        <v>-0.39600000000000002</v>
      </c>
      <c r="AT133">
        <v>-0.30299999999999999</v>
      </c>
      <c r="AU133">
        <v>-0.42899999999999999</v>
      </c>
      <c r="AV133">
        <v>-5.8000000000000003E-2</v>
      </c>
      <c r="AW133">
        <v>-0.50800000000000001</v>
      </c>
      <c r="AX133">
        <v>-0.47199999999999998</v>
      </c>
      <c r="AY133">
        <v>1</v>
      </c>
      <c r="AZ133">
        <v>-0.36</v>
      </c>
      <c r="BA133">
        <v>0.36</v>
      </c>
      <c r="BB133">
        <v>-0.92</v>
      </c>
      <c r="BC133">
        <v>-0.38400000000000001</v>
      </c>
      <c r="BD133">
        <v>-0.32400000000000001</v>
      </c>
      <c r="BE133">
        <v>-0.70299999999999996</v>
      </c>
      <c r="BF133">
        <v>0.222</v>
      </c>
      <c r="BG133">
        <v>-0.23</v>
      </c>
      <c r="BH133">
        <v>0.96699999999999997</v>
      </c>
      <c r="BI133">
        <v>0.81699999999999995</v>
      </c>
      <c r="BJ133">
        <v>-0.19600000000000001</v>
      </c>
      <c r="BK133">
        <v>-0.57299999999999995</v>
      </c>
      <c r="BL133">
        <v>4.5999999999999999E-2</v>
      </c>
      <c r="BM133">
        <v>-8.7999999999999995E-2</v>
      </c>
    </row>
    <row r="134" spans="1:65" x14ac:dyDescent="0.3">
      <c r="A134" t="s">
        <v>81</v>
      </c>
      <c r="B134">
        <v>3.9315854984562297E-2</v>
      </c>
      <c r="C134">
        <v>0</v>
      </c>
      <c r="M134" t="s">
        <v>162</v>
      </c>
      <c r="N134">
        <v>0.61599999999999999</v>
      </c>
      <c r="O134">
        <v>0.747</v>
      </c>
      <c r="P134" t="s">
        <v>57</v>
      </c>
      <c r="Q134">
        <v>0</v>
      </c>
      <c r="R134">
        <v>0</v>
      </c>
      <c r="S134">
        <v>0.96552327685666695</v>
      </c>
      <c r="T134">
        <v>-0.78</v>
      </c>
      <c r="U134">
        <v>-0.86799999999999999</v>
      </c>
      <c r="V134">
        <v>-0.77900000000000003</v>
      </c>
      <c r="W134">
        <v>-0.77100000000000002</v>
      </c>
      <c r="X134">
        <v>-0.83599999999999997</v>
      </c>
      <c r="Y134">
        <v>-0.56799999999999995</v>
      </c>
      <c r="Z134">
        <v>-0.23499999999999999</v>
      </c>
      <c r="AA134">
        <v>-0.77300000000000002</v>
      </c>
      <c r="AB134">
        <v>0.5</v>
      </c>
      <c r="AC134">
        <v>0.495</v>
      </c>
      <c r="AD134">
        <v>0.66200000000000003</v>
      </c>
      <c r="AE134">
        <v>0.60699999999999998</v>
      </c>
      <c r="AF134">
        <v>0.56699999999999995</v>
      </c>
      <c r="AG134">
        <v>-0.71599999999999997</v>
      </c>
      <c r="AH134">
        <v>0.186</v>
      </c>
      <c r="AI134">
        <v>-0.75700000000000001</v>
      </c>
      <c r="AJ134">
        <v>-0.86799999999999999</v>
      </c>
      <c r="AK134">
        <v>-1</v>
      </c>
      <c r="AL134">
        <v>-0.998</v>
      </c>
      <c r="AM134">
        <v>-0.247</v>
      </c>
      <c r="AN134">
        <v>-2E-3</v>
      </c>
      <c r="AO134">
        <v>8.1000000000000003E-2</v>
      </c>
      <c r="AP134">
        <v>0.22600000000000001</v>
      </c>
      <c r="AQ134">
        <v>-0.53400000000000003</v>
      </c>
      <c r="AR134">
        <v>-0.46600000000000003</v>
      </c>
      <c r="AS134">
        <v>9.6000000000000002E-2</v>
      </c>
      <c r="AT134">
        <v>0.255</v>
      </c>
      <c r="AU134">
        <v>0.245</v>
      </c>
      <c r="AV134">
        <v>-0.17899999999999999</v>
      </c>
      <c r="AW134">
        <v>-0.35499999999999998</v>
      </c>
      <c r="AX134">
        <v>-0.72399999999999998</v>
      </c>
      <c r="AY134">
        <v>0.434</v>
      </c>
      <c r="AZ134">
        <v>-0.438</v>
      </c>
      <c r="BA134">
        <v>5.7000000000000002E-2</v>
      </c>
      <c r="BB134">
        <v>-0.6</v>
      </c>
      <c r="BC134">
        <v>0.27600000000000002</v>
      </c>
      <c r="BD134">
        <v>-0.108</v>
      </c>
      <c r="BE134">
        <v>-0.26900000000000002</v>
      </c>
      <c r="BF134">
        <v>0.23699999999999999</v>
      </c>
      <c r="BG134">
        <v>-0.11</v>
      </c>
      <c r="BH134">
        <v>0.29699999999999999</v>
      </c>
      <c r="BI134">
        <v>0.97299999999999998</v>
      </c>
      <c r="BJ134">
        <v>-0.16800000000000001</v>
      </c>
      <c r="BK134">
        <v>-0.14599999999999999</v>
      </c>
      <c r="BL134">
        <v>1</v>
      </c>
      <c r="BM134">
        <v>-0.57699999999999996</v>
      </c>
    </row>
    <row r="135" spans="1:65" x14ac:dyDescent="0.3">
      <c r="A135" t="s">
        <v>251</v>
      </c>
      <c r="B135">
        <v>0</v>
      </c>
      <c r="C135">
        <v>0</v>
      </c>
      <c r="M135" t="s">
        <v>253</v>
      </c>
      <c r="N135">
        <v>0.61099999999999999</v>
      </c>
      <c r="O135">
        <v>0.502</v>
      </c>
      <c r="P135" t="s">
        <v>68</v>
      </c>
      <c r="Q135">
        <v>0</v>
      </c>
      <c r="R135">
        <v>0</v>
      </c>
      <c r="S135">
        <v>0.33071511333333298</v>
      </c>
      <c r="T135">
        <v>-0.52400000000000002</v>
      </c>
      <c r="U135">
        <v>-0.433</v>
      </c>
      <c r="V135">
        <v>-8.6999999999999994E-2</v>
      </c>
      <c r="W135">
        <v>-0.72899999999999998</v>
      </c>
      <c r="X135">
        <v>-0.47599999999999998</v>
      </c>
      <c r="Y135">
        <v>-0.69099999999999995</v>
      </c>
      <c r="Z135">
        <v>-0.68400000000000005</v>
      </c>
      <c r="AA135">
        <v>-0.86899999999999999</v>
      </c>
      <c r="AB135">
        <v>0.26400000000000001</v>
      </c>
      <c r="AC135">
        <v>0.26300000000000001</v>
      </c>
      <c r="AD135">
        <v>0.53900000000000003</v>
      </c>
      <c r="AE135">
        <v>0.54</v>
      </c>
      <c r="AF135">
        <v>0.42099999999999999</v>
      </c>
      <c r="AG135">
        <v>-0.41599999999999998</v>
      </c>
      <c r="AH135">
        <v>-2.9000000000000001E-2</v>
      </c>
      <c r="AI135">
        <v>-0.34</v>
      </c>
      <c r="AJ135">
        <v>1</v>
      </c>
      <c r="AK135">
        <v>-0.60099999999999998</v>
      </c>
      <c r="AL135">
        <v>-0.66300000000000003</v>
      </c>
      <c r="AM135">
        <v>0.85099999999999998</v>
      </c>
      <c r="AN135">
        <v>-0.63500000000000001</v>
      </c>
      <c r="AO135">
        <v>0.63</v>
      </c>
      <c r="AP135">
        <v>-0.309</v>
      </c>
      <c r="AQ135">
        <v>-0.71899999999999997</v>
      </c>
      <c r="AR135">
        <v>-0.53400000000000003</v>
      </c>
      <c r="AS135">
        <v>-0.187</v>
      </c>
      <c r="AT135">
        <v>-0.23499999999999999</v>
      </c>
      <c r="AU135">
        <v>-0.436</v>
      </c>
      <c r="AV135">
        <v>3.2000000000000001E-2</v>
      </c>
      <c r="AW135">
        <v>-0.47099999999999997</v>
      </c>
      <c r="AX135">
        <v>-0.51100000000000001</v>
      </c>
      <c r="AY135">
        <v>-1.9E-2</v>
      </c>
      <c r="AZ135">
        <v>-0.20100000000000001</v>
      </c>
      <c r="BA135">
        <v>0.56899999999999995</v>
      </c>
      <c r="BB135">
        <v>6.5000000000000002E-2</v>
      </c>
      <c r="BC135">
        <v>-0.52600000000000002</v>
      </c>
      <c r="BD135">
        <v>8.1000000000000003E-2</v>
      </c>
      <c r="BE135">
        <v>0.27800000000000002</v>
      </c>
      <c r="BF135">
        <v>0.01</v>
      </c>
      <c r="BG135">
        <v>-0.13100000000000001</v>
      </c>
      <c r="BH135">
        <v>-7.0000000000000001E-3</v>
      </c>
      <c r="BI135">
        <v>0.57699999999999996</v>
      </c>
      <c r="BJ135">
        <v>0.31</v>
      </c>
      <c r="BK135">
        <v>0.67600000000000005</v>
      </c>
      <c r="BL135">
        <v>0.496</v>
      </c>
      <c r="BM135">
        <v>0.38400000000000001</v>
      </c>
    </row>
    <row r="136" spans="1:65" x14ac:dyDescent="0.3">
      <c r="A136" t="s">
        <v>245</v>
      </c>
      <c r="B136">
        <v>0</v>
      </c>
      <c r="C136">
        <v>0</v>
      </c>
      <c r="M136" t="s">
        <v>161</v>
      </c>
      <c r="N136">
        <v>0.60799999999999998</v>
      </c>
      <c r="O136">
        <v>0.71099999999999997</v>
      </c>
      <c r="P136" t="s">
        <v>57</v>
      </c>
      <c r="Q136">
        <v>0</v>
      </c>
      <c r="R136">
        <v>0</v>
      </c>
      <c r="S136">
        <v>0.87774843350333298</v>
      </c>
      <c r="T136">
        <v>-0.78700000000000003</v>
      </c>
      <c r="U136">
        <v>-0.87</v>
      </c>
      <c r="V136">
        <v>-0.78</v>
      </c>
      <c r="W136">
        <v>-0.78</v>
      </c>
      <c r="X136">
        <v>-0.84</v>
      </c>
      <c r="Y136">
        <v>-0.61</v>
      </c>
      <c r="Z136">
        <v>-0.38100000000000001</v>
      </c>
      <c r="AA136">
        <v>-0.76800000000000002</v>
      </c>
      <c r="AB136">
        <v>0.46800000000000003</v>
      </c>
      <c r="AC136">
        <v>0.46400000000000002</v>
      </c>
      <c r="AD136">
        <v>0.63400000000000001</v>
      </c>
      <c r="AE136">
        <v>0.67100000000000004</v>
      </c>
      <c r="AF136">
        <v>0.56699999999999995</v>
      </c>
      <c r="AG136">
        <v>-0.73399999999999999</v>
      </c>
      <c r="AH136">
        <v>0.16800000000000001</v>
      </c>
      <c r="AI136">
        <v>-0.7</v>
      </c>
      <c r="AJ136">
        <v>-0.871</v>
      </c>
      <c r="AK136">
        <v>-1</v>
      </c>
      <c r="AL136">
        <v>-1</v>
      </c>
      <c r="AM136">
        <v>-0.22600000000000001</v>
      </c>
      <c r="AN136">
        <v>-1.4999999999999999E-2</v>
      </c>
      <c r="AO136">
        <v>7.9000000000000001E-2</v>
      </c>
      <c r="AP136">
        <v>0.20100000000000001</v>
      </c>
      <c r="AQ136">
        <v>-0.47799999999999998</v>
      </c>
      <c r="AR136">
        <v>-0.499</v>
      </c>
      <c r="AS136">
        <v>9.6000000000000002E-2</v>
      </c>
      <c r="AT136">
        <v>0.255</v>
      </c>
      <c r="AU136">
        <v>0.245</v>
      </c>
      <c r="AV136">
        <v>-0.19900000000000001</v>
      </c>
      <c r="AW136">
        <v>-0.52400000000000002</v>
      </c>
      <c r="AX136">
        <v>-0.74299999999999999</v>
      </c>
      <c r="AY136">
        <v>0.34100000000000003</v>
      </c>
      <c r="AZ136">
        <v>-0.42099999999999999</v>
      </c>
      <c r="BA136">
        <v>5.7000000000000002E-2</v>
      </c>
      <c r="BB136">
        <v>-0.437</v>
      </c>
      <c r="BC136">
        <v>0.19700000000000001</v>
      </c>
      <c r="BD136">
        <v>-0.158</v>
      </c>
      <c r="BE136">
        <v>-0.23</v>
      </c>
      <c r="BF136">
        <v>0.26</v>
      </c>
      <c r="BG136">
        <v>7.4999999999999997E-2</v>
      </c>
      <c r="BH136">
        <v>-0.124</v>
      </c>
      <c r="BI136">
        <v>0.92</v>
      </c>
      <c r="BJ136">
        <v>-0.23</v>
      </c>
      <c r="BK136">
        <v>-1.7999999999999999E-2</v>
      </c>
      <c r="BL136">
        <v>1</v>
      </c>
      <c r="BM136">
        <v>-0.57699999999999996</v>
      </c>
    </row>
    <row r="137" spans="1:65" x14ac:dyDescent="0.3">
      <c r="A137" t="s">
        <v>258</v>
      </c>
      <c r="B137">
        <v>0</v>
      </c>
      <c r="C137">
        <v>0</v>
      </c>
      <c r="M137" t="s">
        <v>236</v>
      </c>
      <c r="N137">
        <v>0.60699999999999998</v>
      </c>
      <c r="O137">
        <v>0.59399999999999997</v>
      </c>
      <c r="P137" t="s">
        <v>68</v>
      </c>
      <c r="Q137">
        <v>0</v>
      </c>
      <c r="R137">
        <v>0</v>
      </c>
      <c r="S137">
        <v>0.113469799866667</v>
      </c>
      <c r="T137">
        <v>-0.63400000000000001</v>
      </c>
      <c r="U137">
        <v>-0.41499999999999998</v>
      </c>
      <c r="V137">
        <v>-0.66300000000000003</v>
      </c>
      <c r="W137">
        <v>-0.76200000000000001</v>
      </c>
      <c r="X137">
        <v>-0.71299999999999997</v>
      </c>
      <c r="Y137">
        <v>-0.77300000000000002</v>
      </c>
      <c r="Z137">
        <v>-0.77300000000000002</v>
      </c>
      <c r="AA137">
        <v>-0.77</v>
      </c>
      <c r="AB137">
        <v>0.107</v>
      </c>
      <c r="AC137">
        <v>0.104</v>
      </c>
      <c r="AD137">
        <v>0.64500000000000002</v>
      </c>
      <c r="AE137">
        <v>0.69799999999999995</v>
      </c>
      <c r="AF137">
        <v>0.63400000000000001</v>
      </c>
      <c r="AG137">
        <v>-0.46300000000000002</v>
      </c>
      <c r="AH137">
        <v>-0.74399999999999999</v>
      </c>
      <c r="AI137">
        <v>-0.248</v>
      </c>
      <c r="AJ137">
        <v>-0.48499999999999999</v>
      </c>
      <c r="AK137">
        <v>-0.312</v>
      </c>
      <c r="AL137">
        <v>-0.84199999999999997</v>
      </c>
      <c r="AM137">
        <v>6.8000000000000005E-2</v>
      </c>
      <c r="AN137">
        <v>-0.77900000000000003</v>
      </c>
      <c r="AO137">
        <v>6.9000000000000006E-2</v>
      </c>
      <c r="AP137">
        <v>-0.24</v>
      </c>
      <c r="AQ137">
        <v>1.4999999999999999E-2</v>
      </c>
      <c r="AR137">
        <v>-0.02</v>
      </c>
      <c r="AS137">
        <v>-0.71299999999999997</v>
      </c>
      <c r="AT137">
        <v>0.34599999999999997</v>
      </c>
      <c r="AU137">
        <v>0.30199999999999999</v>
      </c>
      <c r="AV137">
        <v>-0.129</v>
      </c>
      <c r="AW137">
        <v>-0.34399999999999997</v>
      </c>
      <c r="AX137">
        <v>-0.216</v>
      </c>
      <c r="AY137">
        <v>2.4E-2</v>
      </c>
      <c r="AZ137">
        <v>-0.23899999999999999</v>
      </c>
      <c r="BA137">
        <v>0.85299999999999998</v>
      </c>
      <c r="BB137">
        <v>0.14899999999999999</v>
      </c>
      <c r="BC137">
        <v>0.45100000000000001</v>
      </c>
      <c r="BD137">
        <v>-5.0000000000000001E-3</v>
      </c>
      <c r="BE137">
        <v>1.2999999999999999E-2</v>
      </c>
      <c r="BF137">
        <v>0.214</v>
      </c>
      <c r="BG137">
        <v>-0.11899999999999999</v>
      </c>
      <c r="BH137">
        <v>-0.155</v>
      </c>
      <c r="BI137">
        <v>1.4999999999999999E-2</v>
      </c>
      <c r="BJ137">
        <v>0.17399999999999999</v>
      </c>
      <c r="BK137">
        <v>0.76900000000000002</v>
      </c>
      <c r="BL137">
        <v>0.43</v>
      </c>
      <c r="BM137">
        <v>-0.14199999999999999</v>
      </c>
    </row>
    <row r="138" spans="1:65" x14ac:dyDescent="0.3">
      <c r="A138" t="s">
        <v>61</v>
      </c>
      <c r="B138">
        <v>0</v>
      </c>
      <c r="C138">
        <v>0</v>
      </c>
      <c r="M138" t="s">
        <v>149</v>
      </c>
      <c r="N138">
        <v>0.60299999999999998</v>
      </c>
      <c r="O138">
        <v>0.44900000000000001</v>
      </c>
      <c r="P138" t="s">
        <v>53</v>
      </c>
      <c r="Q138">
        <v>0</v>
      </c>
      <c r="R138">
        <v>0</v>
      </c>
      <c r="S138">
        <v>1.8424286666666699E-3</v>
      </c>
      <c r="T138">
        <v>-0.27500000000000002</v>
      </c>
      <c r="U138">
        <v>0.13600000000000001</v>
      </c>
      <c r="V138">
        <v>-0.14000000000000001</v>
      </c>
      <c r="W138">
        <v>-0.66300000000000003</v>
      </c>
      <c r="X138">
        <v>-0.3</v>
      </c>
      <c r="Y138">
        <v>-0.72199999999999998</v>
      </c>
      <c r="Z138">
        <v>-0.66700000000000004</v>
      </c>
      <c r="AA138">
        <v>-0.876</v>
      </c>
      <c r="AB138">
        <v>-0.26100000000000001</v>
      </c>
      <c r="AC138">
        <v>-0.25800000000000001</v>
      </c>
      <c r="AD138">
        <v>0.26700000000000002</v>
      </c>
      <c r="AE138">
        <v>0.129</v>
      </c>
      <c r="AF138">
        <v>0.38800000000000001</v>
      </c>
      <c r="AG138">
        <v>-0.39300000000000002</v>
      </c>
      <c r="AH138">
        <v>-0.28899999999999998</v>
      </c>
      <c r="AI138">
        <v>-0.154</v>
      </c>
      <c r="AJ138">
        <v>0.70799999999999996</v>
      </c>
      <c r="AK138">
        <v>0.186</v>
      </c>
      <c r="AL138">
        <v>-0.23899999999999999</v>
      </c>
      <c r="AM138">
        <v>0.11600000000000001</v>
      </c>
      <c r="AN138">
        <v>-0.96199999999999997</v>
      </c>
      <c r="AO138">
        <v>0.34899999999999998</v>
      </c>
      <c r="AP138">
        <v>-0.23100000000000001</v>
      </c>
      <c r="AQ138">
        <v>-0.46400000000000002</v>
      </c>
      <c r="AR138">
        <v>-0.17799999999999999</v>
      </c>
      <c r="AS138">
        <v>-0.15</v>
      </c>
      <c r="AT138">
        <v>0.47399999999999998</v>
      </c>
      <c r="AU138">
        <v>0.438</v>
      </c>
      <c r="AV138">
        <v>-1E-3</v>
      </c>
      <c r="AW138">
        <v>0.32700000000000001</v>
      </c>
      <c r="AX138">
        <v>-0.152</v>
      </c>
      <c r="AY138">
        <v>-0.70399999999999996</v>
      </c>
      <c r="AZ138">
        <v>-0.128</v>
      </c>
      <c r="BA138">
        <v>0.49</v>
      </c>
      <c r="BB138">
        <v>-1</v>
      </c>
      <c r="BC138">
        <v>0.20899999999999999</v>
      </c>
      <c r="BD138">
        <v>0.22</v>
      </c>
      <c r="BE138">
        <v>0.248</v>
      </c>
      <c r="BF138">
        <v>0.34799999999999998</v>
      </c>
      <c r="BG138">
        <v>0.16800000000000001</v>
      </c>
      <c r="BH138">
        <v>-4.2999999999999997E-2</v>
      </c>
      <c r="BI138">
        <v>9.6000000000000002E-2</v>
      </c>
      <c r="BJ138">
        <v>0.91200000000000003</v>
      </c>
      <c r="BK138">
        <v>0.57899999999999996</v>
      </c>
      <c r="BL138">
        <v>-0.192</v>
      </c>
      <c r="BM138">
        <v>0.93</v>
      </c>
    </row>
    <row r="139" spans="1:65" x14ac:dyDescent="0.3">
      <c r="A139" t="s">
        <v>212</v>
      </c>
      <c r="B139">
        <v>0</v>
      </c>
      <c r="C139">
        <v>0</v>
      </c>
      <c r="M139" t="s">
        <v>172</v>
      </c>
      <c r="N139">
        <v>0.59299999999999997</v>
      </c>
      <c r="O139">
        <v>0.76200000000000001</v>
      </c>
      <c r="P139" t="s">
        <v>71</v>
      </c>
      <c r="Q139">
        <v>0</v>
      </c>
      <c r="R139">
        <v>-2E-3</v>
      </c>
      <c r="S139">
        <v>1.2122275276666701</v>
      </c>
      <c r="T139">
        <v>-0.94799999999999995</v>
      </c>
      <c r="U139">
        <v>-0.90500000000000003</v>
      </c>
      <c r="V139">
        <v>-0.98199999999999998</v>
      </c>
      <c r="W139">
        <v>-0.874</v>
      </c>
      <c r="X139">
        <v>-0.92100000000000004</v>
      </c>
      <c r="Y139">
        <v>-0.67100000000000004</v>
      </c>
      <c r="Z139">
        <v>-0.36199999999999999</v>
      </c>
      <c r="AA139">
        <v>-0.67200000000000004</v>
      </c>
      <c r="AB139">
        <v>0.54400000000000004</v>
      </c>
      <c r="AC139">
        <v>0.53800000000000003</v>
      </c>
      <c r="AD139">
        <v>0.59299999999999997</v>
      </c>
      <c r="AE139">
        <v>0.65400000000000003</v>
      </c>
      <c r="AF139">
        <v>0.503</v>
      </c>
      <c r="AG139">
        <v>-0.78300000000000003</v>
      </c>
      <c r="AH139">
        <v>-0.97499999999999998</v>
      </c>
      <c r="AI139">
        <v>-0.56899999999999995</v>
      </c>
      <c r="AJ139">
        <v>-0.80400000000000005</v>
      </c>
      <c r="AK139">
        <v>-0.75600000000000001</v>
      </c>
      <c r="AL139">
        <v>-0.98599999999999999</v>
      </c>
      <c r="AM139">
        <v>5.8999999999999997E-2</v>
      </c>
      <c r="AN139">
        <v>0</v>
      </c>
      <c r="AO139">
        <v>-0.41799999999999998</v>
      </c>
      <c r="AP139">
        <v>-0.185</v>
      </c>
      <c r="AQ139">
        <v>0.08</v>
      </c>
      <c r="AR139">
        <v>-0.623</v>
      </c>
      <c r="AS139">
        <v>-0.82299999999999995</v>
      </c>
      <c r="AT139">
        <v>-0.45500000000000002</v>
      </c>
      <c r="AU139">
        <v>-0.40300000000000002</v>
      </c>
      <c r="AV139">
        <v>-0.108</v>
      </c>
      <c r="AW139">
        <v>-0.187</v>
      </c>
      <c r="AX139">
        <v>-0.56799999999999995</v>
      </c>
      <c r="AY139">
        <v>0.95699999999999996</v>
      </c>
      <c r="AZ139">
        <v>-0.373</v>
      </c>
      <c r="BA139">
        <v>0.627</v>
      </c>
      <c r="BB139">
        <v>-0.58399999999999996</v>
      </c>
      <c r="BC139">
        <v>-0.60799999999999998</v>
      </c>
      <c r="BD139">
        <v>6.0999999999999999E-2</v>
      </c>
      <c r="BE139">
        <v>6.9000000000000006E-2</v>
      </c>
      <c r="BF139">
        <v>0.32400000000000001</v>
      </c>
      <c r="BG139">
        <v>8.7999999999999995E-2</v>
      </c>
      <c r="BH139">
        <v>0.42899999999999999</v>
      </c>
      <c r="BI139">
        <v>0.98399999999999999</v>
      </c>
      <c r="BJ139">
        <v>-0.219</v>
      </c>
      <c r="BK139">
        <v>-0.60099999999999998</v>
      </c>
      <c r="BL139">
        <v>-4.2999999999999997E-2</v>
      </c>
      <c r="BM139">
        <v>-0.26700000000000002</v>
      </c>
    </row>
    <row r="140" spans="1:65" x14ac:dyDescent="0.3">
      <c r="A140" t="s">
        <v>96</v>
      </c>
      <c r="B140">
        <v>1.3173302087438001E-2</v>
      </c>
      <c r="C140">
        <v>0</v>
      </c>
      <c r="M140" t="s">
        <v>200</v>
      </c>
      <c r="N140">
        <v>0.59099999999999997</v>
      </c>
      <c r="O140">
        <v>0.80200000000000005</v>
      </c>
      <c r="P140" t="s">
        <v>55</v>
      </c>
      <c r="Q140">
        <v>0</v>
      </c>
      <c r="R140">
        <v>-2E-3</v>
      </c>
      <c r="S140">
        <v>0.37345700204666699</v>
      </c>
      <c r="T140">
        <v>-0.73099999999999998</v>
      </c>
      <c r="U140">
        <v>-0.82099999999999995</v>
      </c>
      <c r="V140">
        <v>-0.91400000000000003</v>
      </c>
      <c r="W140">
        <v>-0.70899999999999996</v>
      </c>
      <c r="X140">
        <v>-0.874</v>
      </c>
      <c r="Y140">
        <v>-0.40799999999999997</v>
      </c>
      <c r="Z140">
        <v>5.0000000000000001E-3</v>
      </c>
      <c r="AA140">
        <v>-0.78400000000000003</v>
      </c>
      <c r="AB140">
        <v>-2.1999999999999999E-2</v>
      </c>
      <c r="AC140">
        <v>-1.9E-2</v>
      </c>
      <c r="AD140">
        <v>0.59699999999999998</v>
      </c>
      <c r="AE140">
        <v>0.58099999999999996</v>
      </c>
      <c r="AF140">
        <v>0.432</v>
      </c>
      <c r="AG140">
        <v>-0.497</v>
      </c>
      <c r="AH140">
        <v>-0.59599999999999997</v>
      </c>
      <c r="AI140">
        <v>-0.57599999999999996</v>
      </c>
      <c r="AJ140">
        <v>-0.91300000000000003</v>
      </c>
      <c r="AK140">
        <v>-0.81399999999999995</v>
      </c>
      <c r="AL140">
        <v>-0.95</v>
      </c>
      <c r="AM140">
        <v>-0.223</v>
      </c>
      <c r="AN140">
        <v>-0.60199999999999998</v>
      </c>
      <c r="AO140">
        <v>-0.55500000000000005</v>
      </c>
      <c r="AP140">
        <v>-0.14699999999999999</v>
      </c>
      <c r="AQ140">
        <v>-0.30599999999999999</v>
      </c>
      <c r="AR140">
        <v>0.12</v>
      </c>
      <c r="AS140">
        <v>0.20799999999999999</v>
      </c>
      <c r="AT140">
        <v>0.26</v>
      </c>
      <c r="AU140">
        <v>0.1</v>
      </c>
      <c r="AV140">
        <v>0.122</v>
      </c>
      <c r="AW140">
        <v>0.251</v>
      </c>
      <c r="AX140">
        <v>7.0000000000000001E-3</v>
      </c>
      <c r="AY140">
        <v>0.33200000000000002</v>
      </c>
      <c r="AZ140">
        <v>-0.69199999999999995</v>
      </c>
      <c r="BA140">
        <v>0.74399999999999999</v>
      </c>
      <c r="BB140">
        <v>3.3000000000000002E-2</v>
      </c>
      <c r="BC140">
        <v>0.79300000000000004</v>
      </c>
      <c r="BD140">
        <v>-0.309</v>
      </c>
      <c r="BE140">
        <v>-0.255</v>
      </c>
      <c r="BF140">
        <v>0.33600000000000002</v>
      </c>
      <c r="BG140">
        <v>8.2000000000000003E-2</v>
      </c>
      <c r="BH140">
        <v>-0.28299999999999997</v>
      </c>
      <c r="BI140">
        <v>0.7</v>
      </c>
      <c r="BJ140">
        <v>-0.28899999999999998</v>
      </c>
      <c r="BK140">
        <v>0.53500000000000003</v>
      </c>
      <c r="BL140">
        <v>-0.14099999999999999</v>
      </c>
      <c r="BM140">
        <v>-0.68799999999999994</v>
      </c>
    </row>
    <row r="141" spans="1:65" x14ac:dyDescent="0.3">
      <c r="A141" t="s">
        <v>65</v>
      </c>
      <c r="B141">
        <v>9.0888420386025705E-3</v>
      </c>
      <c r="C141">
        <v>6.8906303651552004E-3</v>
      </c>
      <c r="M141" t="s">
        <v>148</v>
      </c>
      <c r="N141">
        <v>0.59099999999999997</v>
      </c>
      <c r="O141">
        <v>0.54900000000000004</v>
      </c>
      <c r="P141" t="s">
        <v>68</v>
      </c>
      <c r="Q141">
        <v>0</v>
      </c>
      <c r="R141">
        <v>-2E-3</v>
      </c>
      <c r="S141">
        <v>0.70166605666666704</v>
      </c>
      <c r="T141">
        <v>-0.73499999999999999</v>
      </c>
      <c r="U141">
        <v>-0.85699999999999998</v>
      </c>
      <c r="V141">
        <v>-0.60599999999999998</v>
      </c>
      <c r="W141">
        <v>-0.78500000000000003</v>
      </c>
      <c r="X141">
        <v>-0.83199999999999996</v>
      </c>
      <c r="Y141">
        <v>-0.50900000000000001</v>
      </c>
      <c r="Z141">
        <v>-0.17699999999999999</v>
      </c>
      <c r="AA141">
        <v>-0.74399999999999999</v>
      </c>
      <c r="AB141">
        <v>8.6999999999999994E-2</v>
      </c>
      <c r="AC141">
        <v>8.6999999999999994E-2</v>
      </c>
      <c r="AD141">
        <v>0.41899999999999998</v>
      </c>
      <c r="AE141">
        <v>0.46700000000000003</v>
      </c>
      <c r="AF141">
        <v>0.441</v>
      </c>
      <c r="AG141">
        <v>-0.39300000000000002</v>
      </c>
      <c r="AH141">
        <v>-0.97499999999999998</v>
      </c>
      <c r="AI141">
        <v>-0.97199999999999998</v>
      </c>
      <c r="AJ141">
        <v>-0.153</v>
      </c>
      <c r="AK141">
        <v>-0.35899999999999999</v>
      </c>
      <c r="AL141">
        <v>0.129</v>
      </c>
      <c r="AM141">
        <v>-5.7000000000000002E-2</v>
      </c>
      <c r="AN141">
        <v>0.104</v>
      </c>
      <c r="AO141">
        <v>-0.67200000000000004</v>
      </c>
      <c r="AP141">
        <v>-0.16700000000000001</v>
      </c>
      <c r="AQ141">
        <v>-0.68799999999999994</v>
      </c>
      <c r="AR141">
        <v>-0.4</v>
      </c>
      <c r="AS141">
        <v>-0.69599999999999995</v>
      </c>
      <c r="AT141">
        <v>-2.5999999999999999E-2</v>
      </c>
      <c r="AU141">
        <v>-0.21</v>
      </c>
      <c r="AV141">
        <v>0.42299999999999999</v>
      </c>
      <c r="AW141">
        <v>-0.23300000000000001</v>
      </c>
      <c r="AX141">
        <v>6.5000000000000002E-2</v>
      </c>
      <c r="AY141">
        <v>0.35899999999999999</v>
      </c>
      <c r="AZ141">
        <v>0.45600000000000002</v>
      </c>
      <c r="BA141">
        <v>0.65200000000000002</v>
      </c>
      <c r="BB141">
        <v>0.4</v>
      </c>
      <c r="BC141">
        <v>-0.44900000000000001</v>
      </c>
      <c r="BD141">
        <v>-0.16600000000000001</v>
      </c>
      <c r="BE141">
        <v>-0.125</v>
      </c>
      <c r="BF141">
        <v>0.21099999999999999</v>
      </c>
      <c r="BG141">
        <v>-5.8000000000000003E-2</v>
      </c>
      <c r="BH141">
        <v>0.67500000000000004</v>
      </c>
      <c r="BI141">
        <v>0.90800000000000003</v>
      </c>
      <c r="BJ141">
        <v>-0.33800000000000002</v>
      </c>
      <c r="BK141">
        <v>0.40200000000000002</v>
      </c>
      <c r="BL141">
        <v>-0.36599999999999999</v>
      </c>
      <c r="BM141">
        <v>0.48499999999999999</v>
      </c>
    </row>
    <row r="142" spans="1:65" x14ac:dyDescent="0.3">
      <c r="A142" t="s">
        <v>187</v>
      </c>
      <c r="B142">
        <v>0</v>
      </c>
      <c r="C142">
        <v>0</v>
      </c>
      <c r="M142" t="s">
        <v>193</v>
      </c>
      <c r="N142">
        <v>0.58599999999999997</v>
      </c>
      <c r="O142">
        <v>0.83</v>
      </c>
      <c r="P142" t="s">
        <v>55</v>
      </c>
      <c r="Q142">
        <v>0</v>
      </c>
      <c r="R142">
        <v>-2E-3</v>
      </c>
      <c r="S142">
        <v>2.0488349456466701</v>
      </c>
      <c r="T142">
        <v>-0.89</v>
      </c>
      <c r="U142">
        <v>-0.81200000000000006</v>
      </c>
      <c r="V142">
        <v>-0.97599999999999998</v>
      </c>
      <c r="W142">
        <v>-0.83199999999999996</v>
      </c>
      <c r="X142">
        <v>-0.89700000000000002</v>
      </c>
      <c r="Y142">
        <v>-0.65900000000000003</v>
      </c>
      <c r="Z142">
        <v>-0.38200000000000001</v>
      </c>
      <c r="AA142">
        <v>-0.67300000000000004</v>
      </c>
      <c r="AB142">
        <v>0.14399999999999999</v>
      </c>
      <c r="AC142">
        <v>0.14899999999999999</v>
      </c>
      <c r="AD142">
        <v>0.71399999999999997</v>
      </c>
      <c r="AE142">
        <v>0.75</v>
      </c>
      <c r="AF142">
        <v>0.48699999999999999</v>
      </c>
      <c r="AG142">
        <v>-0.88700000000000001</v>
      </c>
      <c r="AH142">
        <v>-0.85199999999999998</v>
      </c>
      <c r="AI142">
        <v>1.4999999999999999E-2</v>
      </c>
      <c r="AJ142">
        <v>-0.90300000000000002</v>
      </c>
      <c r="AK142">
        <v>-0.55400000000000005</v>
      </c>
      <c r="AL142">
        <v>-0.99</v>
      </c>
      <c r="AM142">
        <v>-0.27</v>
      </c>
      <c r="AN142">
        <v>-0.44</v>
      </c>
      <c r="AO142">
        <v>-0.436</v>
      </c>
      <c r="AP142">
        <v>-0.40400000000000003</v>
      </c>
      <c r="AQ142">
        <v>8.6999999999999994E-2</v>
      </c>
      <c r="AR142">
        <v>0.307</v>
      </c>
      <c r="AS142">
        <v>-0.219</v>
      </c>
      <c r="AT142">
        <v>-0.11799999999999999</v>
      </c>
      <c r="AU142">
        <v>-0.504</v>
      </c>
      <c r="AV142">
        <v>3.0000000000000001E-3</v>
      </c>
      <c r="AW142">
        <v>-0.216</v>
      </c>
      <c r="AX142">
        <v>-0.53400000000000003</v>
      </c>
      <c r="AY142">
        <v>0.47699999999999998</v>
      </c>
      <c r="AZ142">
        <v>-0.68500000000000005</v>
      </c>
      <c r="BA142">
        <v>0.90900000000000003</v>
      </c>
      <c r="BB142">
        <v>0.247</v>
      </c>
      <c r="BC142">
        <v>-3.0000000000000001E-3</v>
      </c>
      <c r="BD142">
        <v>-0.29099999999999998</v>
      </c>
      <c r="BE142">
        <v>-0.41799999999999998</v>
      </c>
      <c r="BF142">
        <v>0.29799999999999999</v>
      </c>
      <c r="BG142">
        <v>0.14099999999999999</v>
      </c>
      <c r="BH142">
        <v>8.1000000000000003E-2</v>
      </c>
      <c r="BI142">
        <v>0.92</v>
      </c>
      <c r="BJ142">
        <v>-0.41599999999999998</v>
      </c>
      <c r="BK142">
        <v>-2.4E-2</v>
      </c>
      <c r="BL142">
        <v>-0.19</v>
      </c>
      <c r="BM142">
        <v>-0.22900000000000001</v>
      </c>
    </row>
    <row r="143" spans="1:65" x14ac:dyDescent="0.3">
      <c r="A143" t="s">
        <v>180</v>
      </c>
      <c r="B143">
        <v>0</v>
      </c>
      <c r="C143">
        <v>0</v>
      </c>
      <c r="M143" t="s">
        <v>140</v>
      </c>
      <c r="N143">
        <v>0.58599999999999997</v>
      </c>
      <c r="O143">
        <v>0.47499999999999998</v>
      </c>
      <c r="P143" t="s">
        <v>71</v>
      </c>
      <c r="Q143">
        <v>0</v>
      </c>
      <c r="R143">
        <v>-2.3E-2</v>
      </c>
      <c r="S143">
        <v>1.8814107034666701</v>
      </c>
      <c r="T143">
        <v>-0.90800000000000003</v>
      </c>
      <c r="U143">
        <v>-0.94599999999999995</v>
      </c>
      <c r="V143">
        <v>-0.95599999999999996</v>
      </c>
      <c r="W143">
        <v>-0.79400000000000004</v>
      </c>
      <c r="X143">
        <v>-0.90600000000000003</v>
      </c>
      <c r="Y143">
        <v>-0.58399999999999996</v>
      </c>
      <c r="Z143">
        <v>-0.57799999999999996</v>
      </c>
      <c r="AA143">
        <v>-0.42</v>
      </c>
      <c r="AB143">
        <v>0.14799999999999999</v>
      </c>
      <c r="AC143">
        <v>0.14499999999999999</v>
      </c>
      <c r="AD143">
        <v>0.59599999999999997</v>
      </c>
      <c r="AE143">
        <v>0.51100000000000001</v>
      </c>
      <c r="AF143">
        <v>0.35599999999999998</v>
      </c>
      <c r="AG143">
        <v>-0.69599999999999995</v>
      </c>
      <c r="AH143">
        <v>-0.35399999999999998</v>
      </c>
      <c r="AI143">
        <v>-0.6</v>
      </c>
      <c r="AJ143">
        <v>-0.73299999999999998</v>
      </c>
      <c r="AK143">
        <v>-0.84899999999999998</v>
      </c>
      <c r="AL143">
        <v>-0.99</v>
      </c>
      <c r="AM143">
        <v>9.2999999999999999E-2</v>
      </c>
      <c r="AN143">
        <v>0.96599999999999997</v>
      </c>
      <c r="AO143">
        <v>-0.51500000000000001</v>
      </c>
      <c r="AP143">
        <v>-0.35099999999999998</v>
      </c>
      <c r="AQ143">
        <v>-0.51100000000000001</v>
      </c>
      <c r="AR143">
        <v>0.45800000000000002</v>
      </c>
      <c r="AS143">
        <v>2.1000000000000001E-2</v>
      </c>
      <c r="AT143">
        <v>-0.22500000000000001</v>
      </c>
      <c r="AU143">
        <v>-0.107</v>
      </c>
      <c r="AV143">
        <v>-1.9E-2</v>
      </c>
      <c r="AW143">
        <v>-0.61199999999999999</v>
      </c>
      <c r="AX143">
        <v>-0.54800000000000004</v>
      </c>
      <c r="AY143">
        <v>-3.3000000000000002E-2</v>
      </c>
      <c r="AZ143">
        <v>-0.60099999999999998</v>
      </c>
      <c r="BA143">
        <v>0.67100000000000004</v>
      </c>
      <c r="BB143">
        <v>0.66400000000000003</v>
      </c>
      <c r="BC143">
        <v>-0.55800000000000005</v>
      </c>
      <c r="BD143">
        <v>0.34200000000000003</v>
      </c>
      <c r="BE143">
        <v>-5.0000000000000001E-3</v>
      </c>
      <c r="BF143">
        <v>0.161</v>
      </c>
      <c r="BG143">
        <v>0.39700000000000002</v>
      </c>
      <c r="BH143">
        <v>1</v>
      </c>
      <c r="BI143">
        <v>0.38400000000000001</v>
      </c>
      <c r="BJ143">
        <v>-0.76100000000000001</v>
      </c>
      <c r="BK143">
        <v>-0.54700000000000004</v>
      </c>
      <c r="BL143">
        <v>-0.36899999999999999</v>
      </c>
      <c r="BM143">
        <v>-0.51600000000000001</v>
      </c>
    </row>
    <row r="144" spans="1:65" x14ac:dyDescent="0.3">
      <c r="A144" t="s">
        <v>239</v>
      </c>
      <c r="B144">
        <v>0</v>
      </c>
      <c r="C144">
        <v>0</v>
      </c>
      <c r="M144" t="s">
        <v>171</v>
      </c>
      <c r="N144">
        <v>0.58299999999999996</v>
      </c>
      <c r="O144">
        <v>0.76100000000000001</v>
      </c>
      <c r="P144" t="s">
        <v>57</v>
      </c>
      <c r="Q144">
        <v>0</v>
      </c>
      <c r="R144">
        <v>-1E-3</v>
      </c>
      <c r="S144">
        <v>1.84327171035667</v>
      </c>
      <c r="T144">
        <v>-0.83799999999999997</v>
      </c>
      <c r="U144">
        <v>-0.89200000000000002</v>
      </c>
      <c r="V144">
        <v>-0.88800000000000001</v>
      </c>
      <c r="W144">
        <v>-0.80900000000000005</v>
      </c>
      <c r="X144">
        <v>-0.88100000000000001</v>
      </c>
      <c r="Y144">
        <v>-0.66400000000000003</v>
      </c>
      <c r="Z144">
        <v>-0.432</v>
      </c>
      <c r="AA144">
        <v>-0.79900000000000004</v>
      </c>
      <c r="AB144">
        <v>0.315</v>
      </c>
      <c r="AC144">
        <v>0.311</v>
      </c>
      <c r="AD144">
        <v>0.60599999999999998</v>
      </c>
      <c r="AE144">
        <v>0.67300000000000004</v>
      </c>
      <c r="AF144">
        <v>0.51</v>
      </c>
      <c r="AG144">
        <v>-0.74199999999999999</v>
      </c>
      <c r="AH144">
        <v>0.18</v>
      </c>
      <c r="AI144">
        <v>-0.72499999999999998</v>
      </c>
      <c r="AJ144">
        <v>-0.86899999999999999</v>
      </c>
      <c r="AK144">
        <v>-1</v>
      </c>
      <c r="AL144">
        <v>-1</v>
      </c>
      <c r="AM144">
        <v>-0.21199999999999999</v>
      </c>
      <c r="AN144">
        <v>-6.0000000000000001E-3</v>
      </c>
      <c r="AO144">
        <v>8.1000000000000003E-2</v>
      </c>
      <c r="AP144">
        <v>0.214</v>
      </c>
      <c r="AQ144">
        <v>-0.499</v>
      </c>
      <c r="AR144">
        <v>-0.56499999999999995</v>
      </c>
      <c r="AS144">
        <v>5.6000000000000001E-2</v>
      </c>
      <c r="AT144">
        <v>0.255</v>
      </c>
      <c r="AU144">
        <v>0.245</v>
      </c>
      <c r="AV144">
        <v>-0.19900000000000001</v>
      </c>
      <c r="AW144">
        <v>-0.52400000000000002</v>
      </c>
      <c r="AX144">
        <v>-0.76400000000000001</v>
      </c>
      <c r="AY144">
        <v>0.33</v>
      </c>
      <c r="AZ144">
        <v>-0.438</v>
      </c>
      <c r="BA144">
        <v>7.4999999999999997E-2</v>
      </c>
      <c r="BB144">
        <v>-0.56100000000000005</v>
      </c>
      <c r="BC144">
        <v>0.39600000000000002</v>
      </c>
      <c r="BD144">
        <v>-6.9000000000000006E-2</v>
      </c>
      <c r="BE144">
        <v>-0.21099999999999999</v>
      </c>
      <c r="BF144">
        <v>0.27</v>
      </c>
      <c r="BG144">
        <v>0.1</v>
      </c>
      <c r="BH144">
        <v>0.52200000000000002</v>
      </c>
      <c r="BI144">
        <v>0.94299999999999995</v>
      </c>
      <c r="BJ144">
        <v>-0.19800000000000001</v>
      </c>
      <c r="BK144">
        <v>-0.126</v>
      </c>
      <c r="BL144">
        <v>0.191</v>
      </c>
      <c r="BM144">
        <v>-0.57699999999999996</v>
      </c>
    </row>
    <row r="145" spans="1:65" x14ac:dyDescent="0.3">
      <c r="A145" t="s">
        <v>233</v>
      </c>
      <c r="B145">
        <v>0</v>
      </c>
      <c r="C145">
        <v>0</v>
      </c>
      <c r="M145" t="s">
        <v>192</v>
      </c>
      <c r="N145">
        <v>0.58199999999999996</v>
      </c>
      <c r="O145">
        <v>1.1100000000000001</v>
      </c>
      <c r="P145" t="s">
        <v>57</v>
      </c>
      <c r="Q145">
        <v>0</v>
      </c>
      <c r="R145">
        <v>-3.6999999999999998E-2</v>
      </c>
      <c r="S145">
        <v>1.9285562518366699</v>
      </c>
      <c r="T145">
        <v>-0.92600000000000005</v>
      </c>
      <c r="U145">
        <v>-0.85699999999999998</v>
      </c>
      <c r="V145">
        <v>-0.96599999999999997</v>
      </c>
      <c r="W145">
        <v>-0.85599999999999998</v>
      </c>
      <c r="X145">
        <v>-0.89</v>
      </c>
      <c r="Y145">
        <v>-0.78300000000000003</v>
      </c>
      <c r="Z145">
        <v>-0.625</v>
      </c>
      <c r="AA145">
        <v>-0.73199999999999998</v>
      </c>
      <c r="AB145">
        <v>0.48399999999999999</v>
      </c>
      <c r="AC145">
        <v>0.48299999999999998</v>
      </c>
      <c r="AD145">
        <v>0.624</v>
      </c>
      <c r="AE145">
        <v>0.76400000000000001</v>
      </c>
      <c r="AF145">
        <v>0.51500000000000001</v>
      </c>
      <c r="AG145">
        <v>-0.79</v>
      </c>
      <c r="AH145">
        <v>-0.41</v>
      </c>
      <c r="AI145">
        <v>-0.155</v>
      </c>
      <c r="AJ145">
        <v>-0.89600000000000002</v>
      </c>
      <c r="AK145">
        <v>-1</v>
      </c>
      <c r="AL145">
        <v>-1</v>
      </c>
      <c r="AM145">
        <v>-2.8000000000000001E-2</v>
      </c>
      <c r="AN145">
        <v>-2.3E-2</v>
      </c>
      <c r="AO145">
        <v>0.42499999999999999</v>
      </c>
      <c r="AP145">
        <v>-0.502</v>
      </c>
      <c r="AQ145">
        <v>-0.25</v>
      </c>
      <c r="AR145">
        <v>-0.28100000000000003</v>
      </c>
      <c r="AS145">
        <v>-0.23799999999999999</v>
      </c>
      <c r="AT145">
        <v>3.1E-2</v>
      </c>
      <c r="AU145">
        <v>-0.25700000000000001</v>
      </c>
      <c r="AV145">
        <v>-0.189</v>
      </c>
      <c r="AW145">
        <v>-0.46899999999999997</v>
      </c>
      <c r="AX145">
        <v>-0.8</v>
      </c>
      <c r="AY145">
        <v>0.28799999999999998</v>
      </c>
      <c r="AZ145">
        <v>-0.58399999999999996</v>
      </c>
      <c r="BA145">
        <v>0.111</v>
      </c>
      <c r="BB145">
        <v>-0.22900000000000001</v>
      </c>
      <c r="BC145">
        <v>-0.60699999999999998</v>
      </c>
      <c r="BD145">
        <v>-0.17</v>
      </c>
      <c r="BE145">
        <v>-0.152</v>
      </c>
      <c r="BF145">
        <v>0.11799999999999999</v>
      </c>
      <c r="BG145">
        <v>0.26300000000000001</v>
      </c>
      <c r="BH145">
        <v>0.313</v>
      </c>
      <c r="BI145">
        <v>0.90800000000000003</v>
      </c>
      <c r="BJ145">
        <v>-0.40400000000000003</v>
      </c>
      <c r="BK145">
        <v>8.9999999999999993E-3</v>
      </c>
      <c r="BL145">
        <v>-0.32300000000000001</v>
      </c>
      <c r="BM145">
        <v>-0.63400000000000001</v>
      </c>
    </row>
    <row r="146" spans="1:65" x14ac:dyDescent="0.3">
      <c r="A146" t="s">
        <v>59</v>
      </c>
      <c r="B146">
        <v>1.46039180329693E-2</v>
      </c>
      <c r="C146">
        <v>9.3931853602334595E-3</v>
      </c>
      <c r="M146" t="s">
        <v>139</v>
      </c>
      <c r="N146">
        <v>0.58099999999999996</v>
      </c>
      <c r="O146">
        <v>0.89100000000000001</v>
      </c>
      <c r="P146" t="s">
        <v>71</v>
      </c>
      <c r="Q146">
        <v>0</v>
      </c>
      <c r="R146">
        <v>-1.2999999999999999E-2</v>
      </c>
      <c r="S146">
        <v>0.57698860520666695</v>
      </c>
      <c r="T146">
        <v>-0.84199999999999997</v>
      </c>
      <c r="U146">
        <v>-0.91900000000000004</v>
      </c>
      <c r="V146">
        <v>-0.90800000000000003</v>
      </c>
      <c r="W146">
        <v>-0.79100000000000004</v>
      </c>
      <c r="X146">
        <v>-0.90100000000000002</v>
      </c>
      <c r="Y146">
        <v>-0.56200000000000006</v>
      </c>
      <c r="Z146">
        <v>-0.371</v>
      </c>
      <c r="AA146">
        <v>-0.67900000000000005</v>
      </c>
      <c r="AB146">
        <v>0.24</v>
      </c>
      <c r="AC146">
        <v>0.23799999999999999</v>
      </c>
      <c r="AD146">
        <v>0.47099999999999997</v>
      </c>
      <c r="AE146">
        <v>0.47599999999999998</v>
      </c>
      <c r="AF146">
        <v>0.41299999999999998</v>
      </c>
      <c r="AG146">
        <v>-0.78800000000000003</v>
      </c>
      <c r="AH146">
        <v>-0.51500000000000001</v>
      </c>
      <c r="AI146">
        <v>-1</v>
      </c>
      <c r="AJ146">
        <v>-0.90200000000000002</v>
      </c>
      <c r="AK146">
        <v>-1</v>
      </c>
      <c r="AL146">
        <v>-0.93100000000000005</v>
      </c>
      <c r="AM146">
        <v>-0.40200000000000002</v>
      </c>
      <c r="AN146">
        <v>0.499</v>
      </c>
      <c r="AO146">
        <v>-0.76800000000000002</v>
      </c>
      <c r="AP146">
        <v>-0.50800000000000001</v>
      </c>
      <c r="AQ146">
        <v>-0.42299999999999999</v>
      </c>
      <c r="AR146">
        <v>-0.28799999999999998</v>
      </c>
      <c r="AS146">
        <v>2.5999999999999999E-2</v>
      </c>
      <c r="AT146">
        <v>0.93100000000000005</v>
      </c>
      <c r="AU146">
        <v>0.28999999999999998</v>
      </c>
      <c r="AV146">
        <v>0.20699999999999999</v>
      </c>
      <c r="AW146">
        <v>-9.0999999999999998E-2</v>
      </c>
      <c r="AX146">
        <v>-0.33500000000000002</v>
      </c>
      <c r="AY146">
        <v>0.17599999999999999</v>
      </c>
      <c r="AZ146">
        <v>0.29599999999999999</v>
      </c>
      <c r="BA146">
        <v>1.7999999999999999E-2</v>
      </c>
      <c r="BB146">
        <v>-0.98399999999999999</v>
      </c>
      <c r="BC146">
        <v>0.51100000000000001</v>
      </c>
      <c r="BD146">
        <v>0.29199999999999998</v>
      </c>
      <c r="BE146">
        <v>-3.6999999999999998E-2</v>
      </c>
      <c r="BF146">
        <v>0.32900000000000001</v>
      </c>
      <c r="BG146">
        <v>-0.65200000000000002</v>
      </c>
      <c r="BH146">
        <v>-0.46200000000000002</v>
      </c>
      <c r="BI146">
        <v>0.34899999999999998</v>
      </c>
      <c r="BJ146">
        <v>-0.23200000000000001</v>
      </c>
      <c r="BK146">
        <v>-0.35199999999999998</v>
      </c>
      <c r="BL146">
        <v>0.374</v>
      </c>
      <c r="BM146">
        <v>-0.35699999999999998</v>
      </c>
    </row>
    <row r="147" spans="1:65" x14ac:dyDescent="0.3">
      <c r="A147" t="s">
        <v>252</v>
      </c>
      <c r="B147">
        <v>0</v>
      </c>
      <c r="C147">
        <v>0</v>
      </c>
      <c r="M147" t="s">
        <v>601</v>
      </c>
      <c r="N147">
        <v>0.57899999999999996</v>
      </c>
      <c r="O147">
        <v>0.50900000000000001</v>
      </c>
      <c r="P147" t="s">
        <v>53</v>
      </c>
      <c r="Q147">
        <v>0</v>
      </c>
      <c r="R147">
        <v>0</v>
      </c>
      <c r="S147">
        <v>0</v>
      </c>
      <c r="T147">
        <v>-0.371</v>
      </c>
      <c r="U147">
        <v>-0.52600000000000002</v>
      </c>
      <c r="V147">
        <v>-0.40400000000000003</v>
      </c>
      <c r="W147">
        <v>-0.56999999999999995</v>
      </c>
      <c r="X147">
        <v>-0.629</v>
      </c>
      <c r="Y147">
        <v>-0.63700000000000001</v>
      </c>
      <c r="Z147">
        <v>-0.61</v>
      </c>
      <c r="AA147">
        <v>-0.81100000000000005</v>
      </c>
      <c r="AB147">
        <v>-0.28499999999999998</v>
      </c>
      <c r="AC147">
        <v>-0.27600000000000002</v>
      </c>
      <c r="AD147">
        <v>0.42299999999999999</v>
      </c>
      <c r="AE147">
        <v>0.35199999999999998</v>
      </c>
      <c r="AF147">
        <v>0.246</v>
      </c>
      <c r="AG147">
        <v>-0.70699999999999996</v>
      </c>
      <c r="AH147">
        <v>-0.35199999999999998</v>
      </c>
      <c r="AI147">
        <v>-0.374</v>
      </c>
      <c r="AJ147">
        <v>-0.55700000000000005</v>
      </c>
      <c r="AK147">
        <v>-0.23</v>
      </c>
      <c r="AL147">
        <v>1</v>
      </c>
      <c r="AM147">
        <v>-0.73499999999999999</v>
      </c>
      <c r="AN147">
        <v>-1</v>
      </c>
      <c r="AO147">
        <v>-0.87</v>
      </c>
      <c r="AP147">
        <v>0.14799999999999999</v>
      </c>
      <c r="AQ147">
        <v>7.1999999999999995E-2</v>
      </c>
      <c r="AR147">
        <v>0.22600000000000001</v>
      </c>
      <c r="AS147">
        <v>0.85</v>
      </c>
      <c r="AT147">
        <v>1</v>
      </c>
      <c r="AU147">
        <v>1</v>
      </c>
      <c r="AV147">
        <v>-0.11</v>
      </c>
      <c r="AW147">
        <v>-0.621</v>
      </c>
      <c r="AX147">
        <v>0.12</v>
      </c>
      <c r="AY147">
        <v>0.109</v>
      </c>
      <c r="AZ147">
        <v>-1.6E-2</v>
      </c>
      <c r="BA147">
        <v>-0.27100000000000002</v>
      </c>
      <c r="BB147">
        <v>-1</v>
      </c>
      <c r="BC147">
        <v>0.56799999999999995</v>
      </c>
      <c r="BD147">
        <v>-0.70599999999999996</v>
      </c>
      <c r="BE147">
        <v>-0.64900000000000002</v>
      </c>
      <c r="BF147">
        <v>0.41399999999999998</v>
      </c>
      <c r="BG147">
        <v>-0.85499999999999998</v>
      </c>
      <c r="BH147">
        <v>2.4E-2</v>
      </c>
      <c r="BI147">
        <v>0.41099999999999998</v>
      </c>
      <c r="BJ147">
        <v>-0.13600000000000001</v>
      </c>
      <c r="BK147">
        <v>-0.13200000000000001</v>
      </c>
      <c r="BL147">
        <v>0.68200000000000005</v>
      </c>
      <c r="BM147">
        <v>0.66700000000000004</v>
      </c>
    </row>
    <row r="148" spans="1:65" x14ac:dyDescent="0.3">
      <c r="A148" t="s">
        <v>75</v>
      </c>
      <c r="B148">
        <v>1.36579890927221E-2</v>
      </c>
      <c r="C148">
        <v>7.0157204483955503E-3</v>
      </c>
      <c r="M148" t="s">
        <v>141</v>
      </c>
      <c r="N148">
        <v>0.57799999999999996</v>
      </c>
      <c r="O148">
        <v>0.45600000000000002</v>
      </c>
      <c r="P148" t="s">
        <v>57</v>
      </c>
      <c r="Q148">
        <v>0</v>
      </c>
      <c r="R148">
        <v>0</v>
      </c>
      <c r="S148">
        <v>0.56297308642999999</v>
      </c>
      <c r="T148">
        <v>-0.50900000000000001</v>
      </c>
      <c r="U148">
        <v>-0.71399999999999997</v>
      </c>
      <c r="V148">
        <v>-0.34399999999999997</v>
      </c>
      <c r="W148">
        <v>-0.45800000000000002</v>
      </c>
      <c r="X148">
        <v>-0.502</v>
      </c>
      <c r="Y148">
        <v>-0.66300000000000003</v>
      </c>
      <c r="Z148">
        <v>-0.6</v>
      </c>
      <c r="AA148">
        <v>-0.79200000000000004</v>
      </c>
      <c r="AB148">
        <v>-0.33700000000000002</v>
      </c>
      <c r="AC148">
        <v>-0.33500000000000002</v>
      </c>
      <c r="AD148">
        <v>0.71199999999999997</v>
      </c>
      <c r="AE148">
        <v>0.6</v>
      </c>
      <c r="AF148">
        <v>0.217</v>
      </c>
      <c r="AG148">
        <v>9.8000000000000004E-2</v>
      </c>
      <c r="AH148">
        <v>0.23699999999999999</v>
      </c>
      <c r="AI148">
        <v>-0.69499999999999995</v>
      </c>
      <c r="AJ148">
        <v>-4.3999999999999997E-2</v>
      </c>
      <c r="AK148">
        <v>-0.56699999999999995</v>
      </c>
      <c r="AL148">
        <v>0.60799999999999998</v>
      </c>
      <c r="AM148">
        <v>0.251</v>
      </c>
      <c r="AN148">
        <v>-0.40600000000000003</v>
      </c>
      <c r="AO148">
        <v>-0.37</v>
      </c>
      <c r="AP148">
        <v>0.46100000000000002</v>
      </c>
      <c r="AQ148">
        <v>-0.61099999999999999</v>
      </c>
      <c r="AR148">
        <v>-0.39400000000000002</v>
      </c>
      <c r="AS148">
        <v>0.45800000000000002</v>
      </c>
      <c r="AT148">
        <v>-0.14799999999999999</v>
      </c>
      <c r="AU148">
        <v>-0.217</v>
      </c>
      <c r="AV148">
        <v>0.20699999999999999</v>
      </c>
      <c r="AW148">
        <v>2.5999999999999999E-2</v>
      </c>
      <c r="AX148">
        <v>0.34799999999999998</v>
      </c>
      <c r="AY148">
        <v>-0.40300000000000002</v>
      </c>
      <c r="AZ148">
        <v>-0.51600000000000001</v>
      </c>
      <c r="BA148">
        <v>0.72499999999999998</v>
      </c>
      <c r="BB148">
        <v>-0.29499999999999998</v>
      </c>
      <c r="BC148">
        <v>-0.115</v>
      </c>
      <c r="BD148">
        <v>0.20300000000000001</v>
      </c>
      <c r="BE148">
        <v>0.14299999999999999</v>
      </c>
      <c r="BF148">
        <v>0.186</v>
      </c>
      <c r="BG148">
        <v>0.34899999999999998</v>
      </c>
      <c r="BH148">
        <v>-0.91300000000000003</v>
      </c>
      <c r="BI148">
        <v>-1.0999999999999999E-2</v>
      </c>
      <c r="BJ148">
        <v>0.186</v>
      </c>
      <c r="BK148">
        <v>0.30399999999999999</v>
      </c>
      <c r="BL148">
        <v>-0.52700000000000002</v>
      </c>
      <c r="BM148">
        <v>0.05</v>
      </c>
    </row>
    <row r="149" spans="1:65" x14ac:dyDescent="0.3">
      <c r="A149" t="s">
        <v>599</v>
      </c>
      <c r="B149">
        <v>9.5364998252847003E-3</v>
      </c>
      <c r="C149">
        <v>0</v>
      </c>
      <c r="M149" t="s">
        <v>133</v>
      </c>
      <c r="N149">
        <v>0.57599999999999996</v>
      </c>
      <c r="O149">
        <v>0.69099999999999995</v>
      </c>
      <c r="P149" t="s">
        <v>68</v>
      </c>
      <c r="Q149">
        <v>0</v>
      </c>
      <c r="R149">
        <v>0</v>
      </c>
      <c r="S149">
        <v>0.699968253973</v>
      </c>
      <c r="T149">
        <v>-0.79200000000000004</v>
      </c>
      <c r="U149">
        <v>-0.79800000000000004</v>
      </c>
      <c r="V149">
        <v>-0.35699999999999998</v>
      </c>
      <c r="W149">
        <v>-0.85499999999999998</v>
      </c>
      <c r="X149">
        <v>-0.73899999999999999</v>
      </c>
      <c r="Y149">
        <v>-0.73</v>
      </c>
      <c r="Z149">
        <v>-0.51500000000000001</v>
      </c>
      <c r="AA149">
        <v>-0.78300000000000003</v>
      </c>
      <c r="AB149">
        <v>0.216</v>
      </c>
      <c r="AC149">
        <v>0.215</v>
      </c>
      <c r="AD149">
        <v>0.35099999999999998</v>
      </c>
      <c r="AE149">
        <v>0.40699999999999997</v>
      </c>
      <c r="AF149">
        <v>0.41499999999999998</v>
      </c>
      <c r="AG149">
        <v>-0.56200000000000006</v>
      </c>
      <c r="AH149">
        <v>-0.80900000000000005</v>
      </c>
      <c r="AI149">
        <v>-0.81299999999999994</v>
      </c>
      <c r="AJ149">
        <v>0.57199999999999995</v>
      </c>
      <c r="AK149">
        <v>-0.432</v>
      </c>
      <c r="AL149">
        <v>-0.35499999999999998</v>
      </c>
      <c r="AM149">
        <v>-0.20799999999999999</v>
      </c>
      <c r="AN149">
        <v>0.14399999999999999</v>
      </c>
      <c r="AO149">
        <v>0.23100000000000001</v>
      </c>
      <c r="AP149">
        <v>0.05</v>
      </c>
      <c r="AQ149">
        <v>-0.58799999999999997</v>
      </c>
      <c r="AR149">
        <v>-0.66700000000000004</v>
      </c>
      <c r="AS149">
        <v>-0.54200000000000004</v>
      </c>
      <c r="AT149">
        <v>-0.63600000000000001</v>
      </c>
      <c r="AU149">
        <v>-0.81499999999999995</v>
      </c>
      <c r="AV149">
        <v>-0.15</v>
      </c>
      <c r="AW149">
        <v>-0.40300000000000002</v>
      </c>
      <c r="AX149">
        <v>-0.38500000000000001</v>
      </c>
      <c r="AY149">
        <v>0.64500000000000002</v>
      </c>
      <c r="AZ149">
        <v>-0.14899999999999999</v>
      </c>
      <c r="BA149">
        <v>0.83299999999999996</v>
      </c>
      <c r="BB149">
        <v>-0.63800000000000001</v>
      </c>
      <c r="BC149">
        <v>0.45200000000000001</v>
      </c>
      <c r="BD149">
        <v>-0.10299999999999999</v>
      </c>
      <c r="BE149">
        <v>-0.33700000000000002</v>
      </c>
      <c r="BF149">
        <v>9.2999999999999999E-2</v>
      </c>
      <c r="BG149">
        <v>-0.11600000000000001</v>
      </c>
      <c r="BH149">
        <v>1</v>
      </c>
      <c r="BI149">
        <v>0.68100000000000005</v>
      </c>
      <c r="BJ149">
        <v>0.28999999999999998</v>
      </c>
      <c r="BK149">
        <v>-0.128</v>
      </c>
      <c r="BL149">
        <v>0.81299999999999994</v>
      </c>
      <c r="BM149">
        <v>0.75600000000000001</v>
      </c>
    </row>
    <row r="150" spans="1:65" x14ac:dyDescent="0.3">
      <c r="A150" t="s">
        <v>167</v>
      </c>
      <c r="B150">
        <v>1.05220712066212E-2</v>
      </c>
      <c r="C150">
        <v>9.7060407748785302E-3</v>
      </c>
      <c r="M150" t="s">
        <v>208</v>
      </c>
      <c r="N150">
        <v>0.57399999999999995</v>
      </c>
      <c r="O150">
        <v>0.41599999999999998</v>
      </c>
      <c r="P150" t="s">
        <v>57</v>
      </c>
      <c r="Q150">
        <v>0</v>
      </c>
      <c r="R150">
        <v>0</v>
      </c>
      <c r="S150">
        <v>0.30983369599999999</v>
      </c>
      <c r="T150">
        <v>-0.745</v>
      </c>
      <c r="U150">
        <v>-0.66200000000000003</v>
      </c>
      <c r="V150">
        <v>-0.81699999999999995</v>
      </c>
      <c r="W150">
        <v>-0.72</v>
      </c>
      <c r="X150">
        <v>-0.748</v>
      </c>
      <c r="Y150">
        <v>-0.79900000000000004</v>
      </c>
      <c r="Z150">
        <v>-0.81200000000000006</v>
      </c>
      <c r="AA150">
        <v>-0.69699999999999995</v>
      </c>
      <c r="AB150">
        <v>0.03</v>
      </c>
      <c r="AC150">
        <v>2.3E-2</v>
      </c>
      <c r="AD150">
        <v>0.40200000000000002</v>
      </c>
      <c r="AE150">
        <v>0.46800000000000003</v>
      </c>
      <c r="AF150">
        <v>0.496</v>
      </c>
      <c r="AG150">
        <v>-0.38200000000000001</v>
      </c>
      <c r="AH150">
        <v>-0.28799999999999998</v>
      </c>
      <c r="AI150">
        <v>-0.32900000000000001</v>
      </c>
      <c r="AJ150">
        <v>-0.40600000000000003</v>
      </c>
      <c r="AK150">
        <v>0.20499999999999999</v>
      </c>
      <c r="AL150">
        <v>-0.76600000000000001</v>
      </c>
      <c r="AM150">
        <v>-0.122</v>
      </c>
      <c r="AN150">
        <v>-0.34300000000000003</v>
      </c>
      <c r="AO150">
        <v>-0.13</v>
      </c>
      <c r="AP150">
        <v>8.3000000000000004E-2</v>
      </c>
      <c r="AQ150">
        <v>4.2000000000000003E-2</v>
      </c>
      <c r="AR150">
        <v>-9.8000000000000004E-2</v>
      </c>
      <c r="AS150">
        <v>0.152</v>
      </c>
      <c r="AT150">
        <v>0.435</v>
      </c>
      <c r="AU150">
        <v>0.26200000000000001</v>
      </c>
      <c r="AV150">
        <v>8.9999999999999993E-3</v>
      </c>
      <c r="AW150">
        <v>-0.42599999999999999</v>
      </c>
      <c r="AX150">
        <v>-0.153</v>
      </c>
      <c r="AY150">
        <v>-0.93300000000000005</v>
      </c>
      <c r="AZ150">
        <v>-0.47199999999999998</v>
      </c>
      <c r="BA150">
        <v>-0.33100000000000002</v>
      </c>
      <c r="BB150">
        <v>0.29899999999999999</v>
      </c>
      <c r="BC150">
        <v>-0.27900000000000003</v>
      </c>
      <c r="BD150">
        <v>-0.26100000000000001</v>
      </c>
      <c r="BE150">
        <v>-0.51600000000000001</v>
      </c>
      <c r="BF150">
        <v>0.45600000000000002</v>
      </c>
      <c r="BG150">
        <v>0.94499999999999995</v>
      </c>
      <c r="BH150">
        <v>0.248</v>
      </c>
      <c r="BI150">
        <v>-4.0000000000000001E-3</v>
      </c>
      <c r="BJ150">
        <v>-0.26400000000000001</v>
      </c>
      <c r="BK150">
        <v>0.68</v>
      </c>
      <c r="BL150">
        <v>-0.65800000000000003</v>
      </c>
      <c r="BM150">
        <v>0.36199999999999999</v>
      </c>
    </row>
    <row r="151" spans="1:65" x14ac:dyDescent="0.3">
      <c r="A151" t="s">
        <v>201</v>
      </c>
      <c r="B151">
        <v>5.8230589571922602E-3</v>
      </c>
      <c r="C151">
        <v>5.2343396043897103E-3</v>
      </c>
      <c r="M151" t="s">
        <v>189</v>
      </c>
      <c r="N151">
        <v>0.57399999999999995</v>
      </c>
      <c r="O151">
        <v>0.68200000000000005</v>
      </c>
      <c r="P151" t="s">
        <v>68</v>
      </c>
      <c r="Q151">
        <v>0</v>
      </c>
      <c r="R151">
        <v>0</v>
      </c>
      <c r="S151">
        <v>0.61122012333333298</v>
      </c>
      <c r="T151">
        <v>-0.75800000000000001</v>
      </c>
      <c r="U151">
        <v>-0.92300000000000004</v>
      </c>
      <c r="V151">
        <v>-0.74299999999999999</v>
      </c>
      <c r="W151">
        <v>-0.76700000000000002</v>
      </c>
      <c r="X151">
        <v>-0.88800000000000001</v>
      </c>
      <c r="Y151">
        <v>-0.56999999999999995</v>
      </c>
      <c r="Z151">
        <v>-0.32</v>
      </c>
      <c r="AA151">
        <v>-0.82799999999999996</v>
      </c>
      <c r="AB151">
        <v>0.193</v>
      </c>
      <c r="AC151">
        <v>0.192</v>
      </c>
      <c r="AD151">
        <v>0.51300000000000001</v>
      </c>
      <c r="AE151">
        <v>0.49199999999999999</v>
      </c>
      <c r="AF151">
        <v>0.36599999999999999</v>
      </c>
      <c r="AG151">
        <v>-0.501</v>
      </c>
      <c r="AH151">
        <v>-0.55900000000000005</v>
      </c>
      <c r="AI151">
        <v>-1</v>
      </c>
      <c r="AJ151">
        <v>-0.68600000000000005</v>
      </c>
      <c r="AK151">
        <v>-0.77600000000000002</v>
      </c>
      <c r="AL151">
        <v>-0.36699999999999999</v>
      </c>
      <c r="AM151">
        <v>-8.1000000000000003E-2</v>
      </c>
      <c r="AN151">
        <v>-0.57999999999999996</v>
      </c>
      <c r="AO151">
        <v>-0.77900000000000003</v>
      </c>
      <c r="AP151">
        <v>-4.9000000000000002E-2</v>
      </c>
      <c r="AQ151">
        <v>-0.44600000000000001</v>
      </c>
      <c r="AR151">
        <v>-0.214</v>
      </c>
      <c r="AS151">
        <v>0.13700000000000001</v>
      </c>
      <c r="AT151">
        <v>-7.6999999999999999E-2</v>
      </c>
      <c r="AU151">
        <v>-0.66500000000000004</v>
      </c>
      <c r="AV151">
        <v>0.28199999999999997</v>
      </c>
      <c r="AW151">
        <v>-0.27100000000000002</v>
      </c>
      <c r="AX151">
        <v>0.113</v>
      </c>
      <c r="AY151">
        <v>0.70399999999999996</v>
      </c>
      <c r="AZ151">
        <v>-4.9000000000000002E-2</v>
      </c>
      <c r="BA151">
        <v>0.69799999999999995</v>
      </c>
      <c r="BB151">
        <v>0.73399999999999999</v>
      </c>
      <c r="BC151">
        <v>-0.377</v>
      </c>
      <c r="BD151">
        <v>-9.5000000000000001E-2</v>
      </c>
      <c r="BE151">
        <v>0.35299999999999998</v>
      </c>
      <c r="BF151">
        <v>7.8E-2</v>
      </c>
      <c r="BG151">
        <v>-0.81799999999999995</v>
      </c>
      <c r="BH151">
        <v>-0.52400000000000002</v>
      </c>
      <c r="BI151">
        <v>0.79500000000000004</v>
      </c>
      <c r="BJ151">
        <v>-0.60699999999999998</v>
      </c>
      <c r="BK151">
        <v>9.0999999999999998E-2</v>
      </c>
      <c r="BL151">
        <v>0.67500000000000004</v>
      </c>
      <c r="BM151">
        <v>-7.6999999999999999E-2</v>
      </c>
    </row>
    <row r="152" spans="1:65" x14ac:dyDescent="0.3">
      <c r="A152" t="s">
        <v>92</v>
      </c>
      <c r="B152">
        <v>8.9164144453460197E-3</v>
      </c>
      <c r="C152">
        <v>9.6661735689102506E-3</v>
      </c>
      <c r="M152" t="s">
        <v>204</v>
      </c>
      <c r="N152">
        <v>0.56999999999999995</v>
      </c>
      <c r="O152">
        <v>0.96499999999999997</v>
      </c>
      <c r="P152" t="s">
        <v>55</v>
      </c>
      <c r="Q152">
        <v>0</v>
      </c>
      <c r="R152">
        <v>-1.0999999999999999E-2</v>
      </c>
      <c r="S152">
        <v>1.9500314894716699</v>
      </c>
      <c r="T152">
        <v>-0.91</v>
      </c>
      <c r="U152">
        <v>-0.89400000000000002</v>
      </c>
      <c r="V152">
        <v>-1</v>
      </c>
      <c r="W152">
        <v>-0.80100000000000005</v>
      </c>
      <c r="X152">
        <v>-0.93200000000000005</v>
      </c>
      <c r="Y152">
        <v>-0.72299999999999998</v>
      </c>
      <c r="Z152">
        <v>-0.46200000000000002</v>
      </c>
      <c r="AA152">
        <v>-0.746</v>
      </c>
      <c r="AB152">
        <v>0.18099999999999999</v>
      </c>
      <c r="AC152">
        <v>0.186</v>
      </c>
      <c r="AD152">
        <v>0.63500000000000001</v>
      </c>
      <c r="AE152">
        <v>0.60699999999999998</v>
      </c>
      <c r="AF152">
        <v>0.46800000000000003</v>
      </c>
      <c r="AG152">
        <v>-0.89</v>
      </c>
      <c r="AH152">
        <v>-0.61799999999999999</v>
      </c>
      <c r="AI152">
        <v>-0.2</v>
      </c>
      <c r="AJ152">
        <v>-1</v>
      </c>
      <c r="AK152">
        <v>-0.73099999999999998</v>
      </c>
      <c r="AL152">
        <v>-0.99</v>
      </c>
      <c r="AM152">
        <v>-0.56100000000000005</v>
      </c>
      <c r="AN152">
        <v>-0.69199999999999995</v>
      </c>
      <c r="AO152">
        <v>-0.73199999999999998</v>
      </c>
      <c r="AP152">
        <v>-0.29099999999999998</v>
      </c>
      <c r="AQ152">
        <v>0.222</v>
      </c>
      <c r="AR152">
        <v>0.33300000000000002</v>
      </c>
      <c r="AS152">
        <v>0.318</v>
      </c>
      <c r="AT152">
        <v>0.222</v>
      </c>
      <c r="AU152">
        <v>-2.7E-2</v>
      </c>
      <c r="AV152">
        <v>0.129</v>
      </c>
      <c r="AW152">
        <v>4.2999999999999997E-2</v>
      </c>
      <c r="AX152">
        <v>-0.32700000000000001</v>
      </c>
      <c r="AY152">
        <v>0.49</v>
      </c>
      <c r="AZ152">
        <v>-0.39300000000000002</v>
      </c>
      <c r="BA152">
        <v>0.65800000000000003</v>
      </c>
      <c r="BB152">
        <v>-0.19600000000000001</v>
      </c>
      <c r="BC152">
        <v>0.45200000000000001</v>
      </c>
      <c r="BD152">
        <v>-0.79</v>
      </c>
      <c r="BE152">
        <v>-0.84699999999999998</v>
      </c>
      <c r="BF152">
        <v>3.1E-2</v>
      </c>
      <c r="BG152">
        <v>-3.1E-2</v>
      </c>
      <c r="BH152">
        <v>-0.71</v>
      </c>
      <c r="BI152">
        <v>0.55400000000000005</v>
      </c>
      <c r="BJ152">
        <v>-0.99299999999999999</v>
      </c>
      <c r="BK152">
        <v>-0.26</v>
      </c>
      <c r="BL152">
        <v>-0.32500000000000001</v>
      </c>
      <c r="BM152">
        <v>-0.80200000000000005</v>
      </c>
    </row>
    <row r="153" spans="1:65" x14ac:dyDescent="0.3">
      <c r="A153" t="s">
        <v>77</v>
      </c>
      <c r="B153">
        <v>9.8058734449045296E-3</v>
      </c>
      <c r="C153">
        <v>6.6946100017498001E-3</v>
      </c>
      <c r="M153" t="s">
        <v>241</v>
      </c>
      <c r="N153">
        <v>0.56999999999999995</v>
      </c>
      <c r="O153">
        <v>0.57599999999999996</v>
      </c>
      <c r="P153" t="s">
        <v>57</v>
      </c>
      <c r="Q153">
        <v>0</v>
      </c>
      <c r="R153">
        <v>-2E-3</v>
      </c>
      <c r="S153">
        <v>0.33708065394666697</v>
      </c>
      <c r="T153">
        <v>-0.66700000000000004</v>
      </c>
      <c r="U153">
        <v>-0.78400000000000003</v>
      </c>
      <c r="V153">
        <v>-0.90900000000000003</v>
      </c>
      <c r="W153">
        <v>-0.70299999999999996</v>
      </c>
      <c r="X153">
        <v>-0.875</v>
      </c>
      <c r="Y153">
        <v>-0.52700000000000002</v>
      </c>
      <c r="Z153">
        <v>-0.26</v>
      </c>
      <c r="AA153">
        <v>-0.81299999999999994</v>
      </c>
      <c r="AB153">
        <v>1E-3</v>
      </c>
      <c r="AC153">
        <v>0</v>
      </c>
      <c r="AD153">
        <v>0.45500000000000002</v>
      </c>
      <c r="AE153">
        <v>0.36899999999999999</v>
      </c>
      <c r="AF153">
        <v>0.29899999999999999</v>
      </c>
      <c r="AG153">
        <v>-0.76600000000000001</v>
      </c>
      <c r="AH153">
        <v>-4.2000000000000003E-2</v>
      </c>
      <c r="AI153">
        <v>-0.81499999999999995</v>
      </c>
      <c r="AJ153">
        <v>-0.90200000000000002</v>
      </c>
      <c r="AK153">
        <v>-0.92300000000000004</v>
      </c>
      <c r="AL153">
        <v>-0.88100000000000001</v>
      </c>
      <c r="AM153">
        <v>-0.23899999999999999</v>
      </c>
      <c r="AN153">
        <v>-0.60199999999999998</v>
      </c>
      <c r="AO153">
        <v>-0.67500000000000004</v>
      </c>
      <c r="AP153">
        <v>0.68</v>
      </c>
      <c r="AQ153">
        <v>-0.30499999999999999</v>
      </c>
      <c r="AR153">
        <v>0.13100000000000001</v>
      </c>
      <c r="AS153">
        <v>0.498</v>
      </c>
      <c r="AT153">
        <v>0.98799999999999999</v>
      </c>
      <c r="AU153">
        <v>0.36</v>
      </c>
      <c r="AV153">
        <v>-4.7E-2</v>
      </c>
      <c r="AW153">
        <v>0.192</v>
      </c>
      <c r="AX153">
        <v>-0.23200000000000001</v>
      </c>
      <c r="AY153">
        <v>0.23899999999999999</v>
      </c>
      <c r="AZ153">
        <v>-0.42699999999999999</v>
      </c>
      <c r="BA153">
        <v>0.65700000000000003</v>
      </c>
      <c r="BB153">
        <v>0.32900000000000001</v>
      </c>
      <c r="BC153">
        <v>0.314</v>
      </c>
      <c r="BD153">
        <v>-5.0000000000000001E-3</v>
      </c>
      <c r="BE153">
        <v>-0.48599999999999999</v>
      </c>
      <c r="BF153">
        <v>0.19500000000000001</v>
      </c>
      <c r="BG153">
        <v>-0.23799999999999999</v>
      </c>
      <c r="BH153">
        <v>-0.26400000000000001</v>
      </c>
      <c r="BI153">
        <v>0.438</v>
      </c>
      <c r="BJ153">
        <v>4.3999999999999997E-2</v>
      </c>
      <c r="BK153">
        <v>0.247</v>
      </c>
      <c r="BL153">
        <v>-0.35699999999999998</v>
      </c>
      <c r="BM153">
        <v>-0.65700000000000003</v>
      </c>
    </row>
    <row r="154" spans="1:65" x14ac:dyDescent="0.3">
      <c r="A154" t="s">
        <v>101</v>
      </c>
      <c r="B154">
        <v>9.5676284092179095E-3</v>
      </c>
      <c r="C154">
        <v>1.19369324329956E-2</v>
      </c>
      <c r="M154" t="s">
        <v>222</v>
      </c>
      <c r="N154">
        <v>0.56899999999999995</v>
      </c>
      <c r="O154">
        <v>0.65400000000000003</v>
      </c>
      <c r="P154" t="s">
        <v>71</v>
      </c>
      <c r="Q154">
        <v>0</v>
      </c>
      <c r="R154">
        <v>-3.0000000000000001E-3</v>
      </c>
      <c r="S154">
        <v>1.4339590476666699</v>
      </c>
      <c r="T154">
        <v>-0.95399999999999996</v>
      </c>
      <c r="U154">
        <v>-0.92500000000000004</v>
      </c>
      <c r="V154">
        <v>-1</v>
      </c>
      <c r="W154">
        <v>-0.87</v>
      </c>
      <c r="X154">
        <v>-0.94599999999999995</v>
      </c>
      <c r="Y154">
        <v>-0.70699999999999996</v>
      </c>
      <c r="Z154">
        <v>-0.40500000000000003</v>
      </c>
      <c r="AA154">
        <v>-0.83799999999999997</v>
      </c>
      <c r="AB154">
        <v>0.59399999999999997</v>
      </c>
      <c r="AC154">
        <v>0.59</v>
      </c>
      <c r="AD154">
        <v>0.504</v>
      </c>
      <c r="AE154">
        <v>0.52</v>
      </c>
      <c r="AF154">
        <v>0.43099999999999999</v>
      </c>
      <c r="AG154">
        <v>-0.64300000000000002</v>
      </c>
      <c r="AH154">
        <v>-0.90600000000000003</v>
      </c>
      <c r="AI154">
        <v>-0.73199999999999998</v>
      </c>
      <c r="AJ154">
        <v>-0.90200000000000002</v>
      </c>
      <c r="AK154">
        <v>-1</v>
      </c>
      <c r="AL154">
        <v>-1</v>
      </c>
      <c r="AM154">
        <v>-2.3E-2</v>
      </c>
      <c r="AN154">
        <v>-0.57099999999999995</v>
      </c>
      <c r="AO154">
        <v>-0.35399999999999998</v>
      </c>
      <c r="AP154">
        <v>3.5000000000000003E-2</v>
      </c>
      <c r="AQ154">
        <v>-0.14099999999999999</v>
      </c>
      <c r="AR154">
        <v>-0.95199999999999996</v>
      </c>
      <c r="AS154">
        <v>-0.48199999999999998</v>
      </c>
      <c r="AT154">
        <v>-7.4999999999999997E-2</v>
      </c>
      <c r="AU154">
        <v>-0.12</v>
      </c>
      <c r="AV154">
        <v>0.17100000000000001</v>
      </c>
      <c r="AW154">
        <v>4.3999999999999997E-2</v>
      </c>
      <c r="AX154">
        <v>-0.35599999999999998</v>
      </c>
      <c r="AY154">
        <v>0.93899999999999995</v>
      </c>
      <c r="AZ154">
        <v>-0.39700000000000002</v>
      </c>
      <c r="BA154">
        <v>0.14899999999999999</v>
      </c>
      <c r="BB154">
        <v>-0.29099999999999998</v>
      </c>
      <c r="BC154">
        <v>-0.73899999999999999</v>
      </c>
      <c r="BD154">
        <v>-0.20799999999999999</v>
      </c>
      <c r="BE154">
        <v>-0.30499999999999999</v>
      </c>
      <c r="BF154">
        <v>0.219</v>
      </c>
      <c r="BG154">
        <v>-3.5000000000000003E-2</v>
      </c>
      <c r="BH154">
        <v>-1E-3</v>
      </c>
      <c r="BI154">
        <v>0.92800000000000005</v>
      </c>
      <c r="BJ154">
        <v>-0.11600000000000001</v>
      </c>
      <c r="BK154">
        <v>-0.71899999999999997</v>
      </c>
      <c r="BL154">
        <v>-0.33400000000000002</v>
      </c>
      <c r="BM154">
        <v>-0.65500000000000003</v>
      </c>
    </row>
    <row r="155" spans="1:65" x14ac:dyDescent="0.3">
      <c r="A155" t="s">
        <v>199</v>
      </c>
      <c r="B155">
        <v>0</v>
      </c>
      <c r="C155">
        <v>0</v>
      </c>
      <c r="M155" t="s">
        <v>240</v>
      </c>
      <c r="N155">
        <v>0.56799999999999995</v>
      </c>
      <c r="O155">
        <v>0.58299999999999996</v>
      </c>
      <c r="P155" t="s">
        <v>71</v>
      </c>
      <c r="Q155">
        <v>0</v>
      </c>
      <c r="R155">
        <v>-7.0000000000000001E-3</v>
      </c>
      <c r="S155">
        <v>2.42145E-2</v>
      </c>
      <c r="T155">
        <v>-0.94199999999999995</v>
      </c>
      <c r="U155">
        <v>-0.72499999999999998</v>
      </c>
      <c r="V155">
        <v>-1</v>
      </c>
      <c r="W155">
        <v>-0.85699999999999998</v>
      </c>
      <c r="X155">
        <v>-0.92500000000000004</v>
      </c>
      <c r="Y155">
        <v>-0.82799999999999996</v>
      </c>
      <c r="Z155">
        <v>-0.81200000000000006</v>
      </c>
      <c r="AA155">
        <v>-0.64100000000000001</v>
      </c>
      <c r="AB155">
        <v>5.5E-2</v>
      </c>
      <c r="AC155">
        <v>6.4000000000000001E-2</v>
      </c>
      <c r="AD155">
        <v>0.48099999999999998</v>
      </c>
      <c r="AE155">
        <v>0.56100000000000005</v>
      </c>
      <c r="AF155">
        <v>0.58499999999999996</v>
      </c>
      <c r="AG155">
        <v>-1</v>
      </c>
      <c r="AH155">
        <v>-0.95899999999999996</v>
      </c>
      <c r="AI155">
        <v>0.32500000000000001</v>
      </c>
      <c r="AJ155">
        <v>-1</v>
      </c>
      <c r="AK155">
        <v>-0.45300000000000001</v>
      </c>
      <c r="AL155">
        <v>-1</v>
      </c>
      <c r="AM155">
        <v>-0.52</v>
      </c>
      <c r="AN155">
        <v>-1</v>
      </c>
      <c r="AO155">
        <v>-0.81599999999999995</v>
      </c>
      <c r="AP155">
        <v>-0.36399999999999999</v>
      </c>
      <c r="AQ155">
        <v>0.91100000000000003</v>
      </c>
      <c r="AR155">
        <v>0.95399999999999996</v>
      </c>
      <c r="AS155">
        <v>-0.65900000000000003</v>
      </c>
      <c r="AT155">
        <v>0.30499999999999999</v>
      </c>
      <c r="AU155">
        <v>4.0000000000000001E-3</v>
      </c>
      <c r="AV155">
        <v>8.0000000000000002E-3</v>
      </c>
      <c r="AW155">
        <v>-7.0999999999999994E-2</v>
      </c>
      <c r="AX155">
        <v>-0.77600000000000002</v>
      </c>
      <c r="AY155">
        <v>0.433</v>
      </c>
      <c r="AZ155">
        <v>-0.438</v>
      </c>
      <c r="BA155">
        <v>-0.112</v>
      </c>
      <c r="BB155">
        <v>6.8000000000000005E-2</v>
      </c>
      <c r="BC155">
        <v>0.61899999999999999</v>
      </c>
      <c r="BD155">
        <v>-0.63100000000000001</v>
      </c>
      <c r="BE155">
        <v>-0.77600000000000002</v>
      </c>
      <c r="BF155">
        <v>0.47899999999999998</v>
      </c>
      <c r="BG155">
        <v>-1</v>
      </c>
      <c r="BH155">
        <v>0.19400000000000001</v>
      </c>
      <c r="BI155">
        <v>2.9000000000000001E-2</v>
      </c>
      <c r="BJ155">
        <v>-0.67200000000000004</v>
      </c>
      <c r="BK155">
        <v>-1</v>
      </c>
      <c r="BL155">
        <v>-1</v>
      </c>
      <c r="BM155">
        <v>-0.40699999999999997</v>
      </c>
    </row>
    <row r="156" spans="1:65" x14ac:dyDescent="0.3">
      <c r="A156" t="s">
        <v>139</v>
      </c>
      <c r="B156">
        <v>0</v>
      </c>
      <c r="C156">
        <v>0</v>
      </c>
      <c r="M156" t="s">
        <v>206</v>
      </c>
      <c r="N156">
        <v>0.56699999999999995</v>
      </c>
      <c r="O156">
        <v>0.54600000000000004</v>
      </c>
      <c r="P156" t="s">
        <v>57</v>
      </c>
      <c r="Q156">
        <v>0</v>
      </c>
      <c r="R156">
        <v>0</v>
      </c>
      <c r="S156">
        <v>3.5286688433200002</v>
      </c>
      <c r="T156">
        <v>-0.73599999999999999</v>
      </c>
      <c r="U156">
        <v>-0.8</v>
      </c>
      <c r="V156">
        <v>-0.87</v>
      </c>
      <c r="W156">
        <v>-0.80500000000000005</v>
      </c>
      <c r="X156">
        <v>-0.88800000000000001</v>
      </c>
      <c r="Y156">
        <v>-0.63500000000000001</v>
      </c>
      <c r="Z156">
        <v>-0.499</v>
      </c>
      <c r="AA156">
        <v>-0.83899999999999997</v>
      </c>
      <c r="AB156">
        <v>-2.5999999999999999E-2</v>
      </c>
      <c r="AC156">
        <v>-2.5999999999999999E-2</v>
      </c>
      <c r="AD156">
        <v>0.64300000000000002</v>
      </c>
      <c r="AE156">
        <v>0.57599999999999996</v>
      </c>
      <c r="AF156">
        <v>0.41399999999999998</v>
      </c>
      <c r="AG156">
        <v>-0.85199999999999998</v>
      </c>
      <c r="AH156">
        <v>-0.14399999999999999</v>
      </c>
      <c r="AI156">
        <v>-0.73099999999999998</v>
      </c>
      <c r="AJ156">
        <v>-0.90900000000000003</v>
      </c>
      <c r="AK156">
        <v>-0.98499999999999999</v>
      </c>
      <c r="AL156">
        <v>-0.95399999999999996</v>
      </c>
      <c r="AM156">
        <v>-9.4E-2</v>
      </c>
      <c r="AN156">
        <v>-0.60499999999999998</v>
      </c>
      <c r="AO156">
        <v>-0.45</v>
      </c>
      <c r="AP156">
        <v>0.19800000000000001</v>
      </c>
      <c r="AQ156">
        <v>-0.33100000000000002</v>
      </c>
      <c r="AR156">
        <v>-1.4E-2</v>
      </c>
      <c r="AS156">
        <v>0.1</v>
      </c>
      <c r="AT156">
        <v>0.222</v>
      </c>
      <c r="AU156">
        <v>0.35899999999999999</v>
      </c>
      <c r="AV156">
        <v>-8.8999999999999996E-2</v>
      </c>
      <c r="AW156">
        <v>4.8000000000000001E-2</v>
      </c>
      <c r="AX156">
        <v>-0.68100000000000005</v>
      </c>
      <c r="AY156">
        <v>5.7000000000000002E-2</v>
      </c>
      <c r="AZ156">
        <v>-0.214</v>
      </c>
      <c r="BA156">
        <v>-0.115</v>
      </c>
      <c r="BB156">
        <v>0.59199999999999997</v>
      </c>
      <c r="BC156">
        <v>0.52200000000000002</v>
      </c>
      <c r="BD156">
        <v>-0.316</v>
      </c>
      <c r="BE156">
        <v>5.1999999999999998E-2</v>
      </c>
      <c r="BF156">
        <v>0.14899999999999999</v>
      </c>
      <c r="BG156">
        <v>8.5999999999999993E-2</v>
      </c>
      <c r="BH156">
        <v>5.8000000000000003E-2</v>
      </c>
      <c r="BI156">
        <v>0.54700000000000004</v>
      </c>
      <c r="BJ156">
        <v>-5.8000000000000003E-2</v>
      </c>
      <c r="BK156">
        <v>0.24299999999999999</v>
      </c>
      <c r="BL156">
        <v>0.189</v>
      </c>
      <c r="BM156">
        <v>-0.57499999999999996</v>
      </c>
    </row>
    <row r="157" spans="1:65" x14ac:dyDescent="0.3">
      <c r="A157" t="s">
        <v>237</v>
      </c>
      <c r="B157">
        <v>0</v>
      </c>
      <c r="C157">
        <v>0</v>
      </c>
      <c r="M157" t="s">
        <v>234</v>
      </c>
      <c r="N157">
        <v>0.56399999999999995</v>
      </c>
      <c r="O157">
        <v>0.56699999999999995</v>
      </c>
      <c r="P157" t="s">
        <v>55</v>
      </c>
      <c r="Q157">
        <v>0</v>
      </c>
      <c r="R157">
        <v>-1E-3</v>
      </c>
      <c r="S157">
        <v>0.65234422144333304</v>
      </c>
      <c r="T157">
        <v>-0.93</v>
      </c>
      <c r="U157">
        <v>-0.85899999999999999</v>
      </c>
      <c r="V157">
        <v>-0.96599999999999997</v>
      </c>
      <c r="W157">
        <v>-0.89100000000000001</v>
      </c>
      <c r="X157">
        <v>-0.91400000000000003</v>
      </c>
      <c r="Y157">
        <v>-0.76700000000000002</v>
      </c>
      <c r="Z157">
        <v>-0.63600000000000001</v>
      </c>
      <c r="AA157">
        <v>-0.64800000000000002</v>
      </c>
      <c r="AB157">
        <v>6.4000000000000001E-2</v>
      </c>
      <c r="AC157">
        <v>6.2E-2</v>
      </c>
      <c r="AD157">
        <v>0.47399999999999998</v>
      </c>
      <c r="AE157">
        <v>0.32600000000000001</v>
      </c>
      <c r="AF157">
        <v>0.52900000000000003</v>
      </c>
      <c r="AG157">
        <v>-0.96</v>
      </c>
      <c r="AH157">
        <v>-0.98899999999999999</v>
      </c>
      <c r="AI157">
        <v>-0.247</v>
      </c>
      <c r="AJ157">
        <v>-0.91300000000000003</v>
      </c>
      <c r="AK157">
        <v>-0.21299999999999999</v>
      </c>
      <c r="AL157">
        <v>-0.95399999999999996</v>
      </c>
      <c r="AM157">
        <v>-0.43099999999999999</v>
      </c>
      <c r="AN157">
        <v>-0.14499999999999999</v>
      </c>
      <c r="AO157">
        <v>-0.36199999999999999</v>
      </c>
      <c r="AP157">
        <v>-0.48899999999999999</v>
      </c>
      <c r="AQ157">
        <v>0.29199999999999998</v>
      </c>
      <c r="AR157">
        <v>0.79</v>
      </c>
      <c r="AS157">
        <v>-0.41099999999999998</v>
      </c>
      <c r="AT157">
        <v>-1</v>
      </c>
      <c r="AU157">
        <v>-0.48499999999999999</v>
      </c>
      <c r="AV157">
        <v>-0.499</v>
      </c>
      <c r="AW157">
        <v>-0.63400000000000001</v>
      </c>
      <c r="AX157">
        <v>-0.54600000000000004</v>
      </c>
      <c r="AY157">
        <v>0.58699999999999997</v>
      </c>
      <c r="AZ157">
        <v>-0.73099999999999998</v>
      </c>
      <c r="BA157">
        <v>-0.28499999999999998</v>
      </c>
      <c r="BB157">
        <v>-9.0999999999999998E-2</v>
      </c>
      <c r="BC157">
        <v>-0.35299999999999998</v>
      </c>
      <c r="BD157">
        <v>0.27200000000000002</v>
      </c>
      <c r="BE157">
        <v>-0.14199999999999999</v>
      </c>
      <c r="BF157">
        <v>0.316</v>
      </c>
      <c r="BG157">
        <v>-0.33400000000000002</v>
      </c>
      <c r="BH157">
        <v>0.48899999999999999</v>
      </c>
      <c r="BI157">
        <v>0.84899999999999998</v>
      </c>
      <c r="BJ157">
        <v>-0.30299999999999999</v>
      </c>
      <c r="BK157">
        <v>-5.0000000000000001E-3</v>
      </c>
      <c r="BL157">
        <v>0.13700000000000001</v>
      </c>
      <c r="BM157">
        <v>5.2999999999999999E-2</v>
      </c>
    </row>
    <row r="158" spans="1:65" x14ac:dyDescent="0.3">
      <c r="A158" t="s">
        <v>224</v>
      </c>
      <c r="B158">
        <v>0</v>
      </c>
      <c r="C158">
        <v>0</v>
      </c>
      <c r="M158" t="s">
        <v>218</v>
      </c>
      <c r="N158">
        <v>0.56299999999999994</v>
      </c>
      <c r="O158">
        <v>0.92100000000000004</v>
      </c>
      <c r="P158" t="s">
        <v>55</v>
      </c>
      <c r="Q158">
        <v>0</v>
      </c>
      <c r="R158">
        <v>-6.0000000000000001E-3</v>
      </c>
      <c r="S158">
        <v>0.94085989654666702</v>
      </c>
      <c r="T158">
        <v>-0.86</v>
      </c>
      <c r="U158">
        <v>-0.89500000000000002</v>
      </c>
      <c r="V158">
        <v>-0.98099999999999998</v>
      </c>
      <c r="W158">
        <v>-0.81899999999999995</v>
      </c>
      <c r="X158">
        <v>-0.93700000000000006</v>
      </c>
      <c r="Y158">
        <v>-0.63700000000000001</v>
      </c>
      <c r="Z158">
        <v>-0.42199999999999999</v>
      </c>
      <c r="AA158">
        <v>-0.80900000000000005</v>
      </c>
      <c r="AB158">
        <v>-1.2999999999999999E-2</v>
      </c>
      <c r="AC158">
        <v>-1.0999999999999999E-2</v>
      </c>
      <c r="AD158">
        <v>0.64400000000000002</v>
      </c>
      <c r="AE158">
        <v>0.59699999999999998</v>
      </c>
      <c r="AF158">
        <v>0.44500000000000001</v>
      </c>
      <c r="AG158">
        <v>-0.60699999999999998</v>
      </c>
      <c r="AH158">
        <v>-0.74199999999999999</v>
      </c>
      <c r="AI158">
        <v>-0.64200000000000002</v>
      </c>
      <c r="AJ158">
        <v>-0.97199999999999998</v>
      </c>
      <c r="AK158">
        <v>-0.81399999999999995</v>
      </c>
      <c r="AL158">
        <v>-1</v>
      </c>
      <c r="AM158">
        <v>-0.28599999999999998</v>
      </c>
      <c r="AN158">
        <v>-0.63500000000000001</v>
      </c>
      <c r="AO158">
        <v>-0.58399999999999996</v>
      </c>
      <c r="AP158">
        <v>-0.23699999999999999</v>
      </c>
      <c r="AQ158">
        <v>-9.7000000000000003E-2</v>
      </c>
      <c r="AR158">
        <v>0.26300000000000001</v>
      </c>
      <c r="AS158">
        <v>-6.4000000000000001E-2</v>
      </c>
      <c r="AT158">
        <v>0.19800000000000001</v>
      </c>
      <c r="AU158">
        <v>0.13500000000000001</v>
      </c>
      <c r="AV158">
        <v>-5.5E-2</v>
      </c>
      <c r="AW158">
        <v>-0.39100000000000001</v>
      </c>
      <c r="AX158">
        <v>-0.129</v>
      </c>
      <c r="AY158">
        <v>0.51600000000000001</v>
      </c>
      <c r="AZ158">
        <v>-0.82799999999999996</v>
      </c>
      <c r="BA158">
        <v>0.94399999999999995</v>
      </c>
      <c r="BB158">
        <v>0.33600000000000002</v>
      </c>
      <c r="BC158">
        <v>0.223</v>
      </c>
      <c r="BD158">
        <v>0.159</v>
      </c>
      <c r="BE158">
        <v>1.4999999999999999E-2</v>
      </c>
      <c r="BF158">
        <v>0.34200000000000003</v>
      </c>
      <c r="BG158">
        <v>-1.6E-2</v>
      </c>
      <c r="BH158">
        <v>0.254</v>
      </c>
      <c r="BI158">
        <v>0.86799999999999999</v>
      </c>
      <c r="BJ158">
        <v>-0.45800000000000002</v>
      </c>
      <c r="BK158">
        <v>1.0999999999999999E-2</v>
      </c>
      <c r="BL158">
        <v>-0.33300000000000002</v>
      </c>
      <c r="BM158">
        <v>-0.49</v>
      </c>
    </row>
    <row r="159" spans="1:65" x14ac:dyDescent="0.3">
      <c r="A159" t="s">
        <v>183</v>
      </c>
      <c r="B159">
        <v>0</v>
      </c>
      <c r="C159">
        <v>0</v>
      </c>
      <c r="M159" t="s">
        <v>277</v>
      </c>
      <c r="N159">
        <v>0.56299999999999994</v>
      </c>
      <c r="O159">
        <v>0.56599999999999995</v>
      </c>
      <c r="P159" t="s">
        <v>55</v>
      </c>
      <c r="Q159">
        <v>0</v>
      </c>
      <c r="R159">
        <v>0</v>
      </c>
      <c r="S159">
        <v>5.6462485666666701E-2</v>
      </c>
      <c r="T159">
        <v>-0.77400000000000002</v>
      </c>
      <c r="U159">
        <v>-0.71</v>
      </c>
      <c r="V159">
        <v>-0.83399999999999996</v>
      </c>
      <c r="W159">
        <v>-0.85899999999999999</v>
      </c>
      <c r="X159">
        <v>-0.875</v>
      </c>
      <c r="Y159">
        <v>-0.73499999999999999</v>
      </c>
      <c r="Z159">
        <v>-0.64800000000000002</v>
      </c>
      <c r="AA159">
        <v>-0.83099999999999996</v>
      </c>
      <c r="AB159">
        <v>5.5E-2</v>
      </c>
      <c r="AC159">
        <v>5.8000000000000003E-2</v>
      </c>
      <c r="AD159">
        <v>0.44400000000000001</v>
      </c>
      <c r="AE159">
        <v>0.23400000000000001</v>
      </c>
      <c r="AF159">
        <v>0.53400000000000003</v>
      </c>
      <c r="AG159">
        <v>-1</v>
      </c>
      <c r="AH159">
        <v>-1</v>
      </c>
      <c r="AI159">
        <v>-0.47499999999999998</v>
      </c>
      <c r="AJ159">
        <v>-0.755</v>
      </c>
      <c r="AK159">
        <v>-0.38800000000000001</v>
      </c>
      <c r="AL159">
        <v>-0.78800000000000003</v>
      </c>
      <c r="AM159">
        <v>-0.23300000000000001</v>
      </c>
      <c r="AN159">
        <v>-0.79700000000000004</v>
      </c>
      <c r="AO159">
        <v>-0.46700000000000003</v>
      </c>
      <c r="AP159">
        <v>-0.24099999999999999</v>
      </c>
      <c r="AQ159">
        <v>3.0000000000000001E-3</v>
      </c>
      <c r="AR159">
        <v>0.18</v>
      </c>
      <c r="AS159">
        <v>-0.105</v>
      </c>
      <c r="AT159">
        <v>0.25600000000000001</v>
      </c>
      <c r="AU159">
        <v>-0.217</v>
      </c>
      <c r="AV159">
        <v>-8.3000000000000004E-2</v>
      </c>
      <c r="AW159">
        <v>8.1000000000000003E-2</v>
      </c>
      <c r="AX159">
        <v>-0.68899999999999995</v>
      </c>
      <c r="AY159">
        <v>0.23400000000000001</v>
      </c>
      <c r="AZ159">
        <v>0.125</v>
      </c>
      <c r="BA159">
        <v>0.63600000000000001</v>
      </c>
      <c r="BB159">
        <v>8.5999999999999993E-2</v>
      </c>
      <c r="BC159">
        <v>0.64600000000000002</v>
      </c>
      <c r="BD159">
        <v>0.01</v>
      </c>
      <c r="BE159">
        <v>-0.108</v>
      </c>
      <c r="BF159">
        <v>0.44700000000000001</v>
      </c>
      <c r="BG159">
        <v>-0.28899999999999998</v>
      </c>
      <c r="BH159">
        <v>-0.252</v>
      </c>
      <c r="BI159">
        <v>0.245</v>
      </c>
      <c r="BJ159">
        <v>1E-3</v>
      </c>
      <c r="BK159">
        <v>-0.16</v>
      </c>
      <c r="BL159">
        <v>0.83799999999999997</v>
      </c>
      <c r="BM159">
        <v>-3.7999999999999999E-2</v>
      </c>
    </row>
    <row r="160" spans="1:65" x14ac:dyDescent="0.3">
      <c r="A160" t="s">
        <v>276</v>
      </c>
      <c r="B160">
        <v>0</v>
      </c>
      <c r="C160">
        <v>0</v>
      </c>
      <c r="M160" t="s">
        <v>276</v>
      </c>
      <c r="N160">
        <v>0.56200000000000006</v>
      </c>
      <c r="O160">
        <v>0.39600000000000002</v>
      </c>
      <c r="P160" t="s">
        <v>68</v>
      </c>
      <c r="Q160">
        <v>0</v>
      </c>
      <c r="R160">
        <v>0</v>
      </c>
      <c r="S160">
        <v>9.7646244434966695E-2</v>
      </c>
      <c r="T160">
        <v>-0.80800000000000005</v>
      </c>
      <c r="U160">
        <v>-0.81</v>
      </c>
      <c r="V160">
        <v>-0.81599999999999995</v>
      </c>
      <c r="W160">
        <v>-0.83499999999999996</v>
      </c>
      <c r="X160">
        <v>-0.85199999999999998</v>
      </c>
      <c r="Y160">
        <v>-0.88900000000000001</v>
      </c>
      <c r="Z160">
        <v>-0.90700000000000003</v>
      </c>
      <c r="AA160">
        <v>-0.73399999999999999</v>
      </c>
      <c r="AB160">
        <v>3.4000000000000002E-2</v>
      </c>
      <c r="AC160">
        <v>2.9000000000000001E-2</v>
      </c>
      <c r="AD160">
        <v>0.13400000000000001</v>
      </c>
      <c r="AE160">
        <v>0.45700000000000002</v>
      </c>
      <c r="AF160">
        <v>0.61799999999999999</v>
      </c>
      <c r="AG160">
        <v>-0.79900000000000004</v>
      </c>
      <c r="AH160">
        <v>-1</v>
      </c>
      <c r="AI160">
        <v>-0.41099999999999998</v>
      </c>
      <c r="AJ160">
        <v>-0.8</v>
      </c>
      <c r="AK160">
        <v>0.26300000000000001</v>
      </c>
      <c r="AL160">
        <v>-0.65300000000000002</v>
      </c>
      <c r="AM160">
        <v>-0.28699999999999998</v>
      </c>
      <c r="AN160">
        <v>-0.71399999999999997</v>
      </c>
      <c r="AO160">
        <v>-0.72799999999999998</v>
      </c>
      <c r="AP160">
        <v>-0.90600000000000003</v>
      </c>
      <c r="AQ160">
        <v>0.67900000000000005</v>
      </c>
      <c r="AR160">
        <v>1</v>
      </c>
      <c r="AS160">
        <v>-0.41799999999999998</v>
      </c>
      <c r="AT160">
        <v>-0.54800000000000004</v>
      </c>
      <c r="AU160">
        <v>-0.32700000000000001</v>
      </c>
      <c r="AV160">
        <v>0.22600000000000001</v>
      </c>
      <c r="AW160">
        <v>-0.50700000000000001</v>
      </c>
      <c r="AX160">
        <v>-7.3999999999999996E-2</v>
      </c>
      <c r="AY160">
        <v>-0.72499999999999998</v>
      </c>
      <c r="AZ160">
        <v>-4.2000000000000003E-2</v>
      </c>
      <c r="BA160">
        <v>-0.40899999999999997</v>
      </c>
      <c r="BB160">
        <v>-0.17499999999999999</v>
      </c>
      <c r="BC160">
        <v>0.95</v>
      </c>
      <c r="BD160">
        <v>0.161</v>
      </c>
      <c r="BE160">
        <v>6.2E-2</v>
      </c>
      <c r="BF160">
        <v>0.84299999999999997</v>
      </c>
      <c r="BG160">
        <v>-0.21199999999999999</v>
      </c>
      <c r="BH160">
        <v>-1</v>
      </c>
      <c r="BI160">
        <v>-0.40200000000000002</v>
      </c>
      <c r="BJ160">
        <v>-1</v>
      </c>
      <c r="BK160">
        <v>0.58699999999999997</v>
      </c>
      <c r="BL160">
        <v>0.97899999999999998</v>
      </c>
      <c r="BM160">
        <v>0.437</v>
      </c>
    </row>
    <row r="161" spans="1:65" x14ac:dyDescent="0.3">
      <c r="A161" t="s">
        <v>131</v>
      </c>
      <c r="B161">
        <v>9.5957938809067295E-3</v>
      </c>
      <c r="C161">
        <v>1.6038235036781499E-2</v>
      </c>
      <c r="M161" t="s">
        <v>220</v>
      </c>
      <c r="N161">
        <v>0.56100000000000005</v>
      </c>
      <c r="O161">
        <v>0.71099999999999997</v>
      </c>
      <c r="P161" t="s">
        <v>57</v>
      </c>
      <c r="Q161">
        <v>0</v>
      </c>
      <c r="R161">
        <v>-6.0000000000000001E-3</v>
      </c>
      <c r="S161">
        <v>1.72765812919333</v>
      </c>
      <c r="T161">
        <v>-0.78200000000000003</v>
      </c>
      <c r="U161">
        <v>-0.82899999999999996</v>
      </c>
      <c r="V161">
        <v>-0.94699999999999995</v>
      </c>
      <c r="W161">
        <v>-0.72499999999999998</v>
      </c>
      <c r="X161">
        <v>-0.875</v>
      </c>
      <c r="Y161">
        <v>-0.76600000000000001</v>
      </c>
      <c r="Z161">
        <v>-0.7</v>
      </c>
      <c r="AA161">
        <v>-0.745</v>
      </c>
      <c r="AB161">
        <v>-0.11799999999999999</v>
      </c>
      <c r="AC161">
        <v>-0.11899999999999999</v>
      </c>
      <c r="AD161">
        <v>0.64800000000000002</v>
      </c>
      <c r="AE161">
        <v>0.63300000000000001</v>
      </c>
      <c r="AF161">
        <v>0.40100000000000002</v>
      </c>
      <c r="AG161">
        <v>-0.35799999999999998</v>
      </c>
      <c r="AH161">
        <v>-0.52500000000000002</v>
      </c>
      <c r="AI161">
        <v>-0.67200000000000004</v>
      </c>
      <c r="AJ161">
        <v>-0.97</v>
      </c>
      <c r="AK161">
        <v>-0.86099999999999999</v>
      </c>
      <c r="AL161">
        <v>-1</v>
      </c>
      <c r="AM161">
        <v>-0.28799999999999998</v>
      </c>
      <c r="AN161">
        <v>-0.41799999999999998</v>
      </c>
      <c r="AO161">
        <v>-0.63800000000000001</v>
      </c>
      <c r="AP161">
        <v>0.317</v>
      </c>
      <c r="AQ161">
        <v>8.0000000000000002E-3</v>
      </c>
      <c r="AR161">
        <v>-0.05</v>
      </c>
      <c r="AS161">
        <v>4.4999999999999998E-2</v>
      </c>
      <c r="AT161">
        <v>0.48</v>
      </c>
      <c r="AU161">
        <v>0.42399999999999999</v>
      </c>
      <c r="AV161">
        <v>4.9000000000000002E-2</v>
      </c>
      <c r="AW161">
        <v>-0.22900000000000001</v>
      </c>
      <c r="AX161">
        <v>0.11899999999999999</v>
      </c>
      <c r="AY161">
        <v>-0.105</v>
      </c>
      <c r="AZ161">
        <v>-0.24299999999999999</v>
      </c>
      <c r="BA161">
        <v>0.504</v>
      </c>
      <c r="BB161">
        <v>-0.36899999999999999</v>
      </c>
      <c r="BC161">
        <v>0.53100000000000003</v>
      </c>
      <c r="BD161">
        <v>0.155</v>
      </c>
      <c r="BE161">
        <v>4.2000000000000003E-2</v>
      </c>
      <c r="BF161">
        <v>0.41</v>
      </c>
      <c r="BG161">
        <v>7.6999999999999999E-2</v>
      </c>
      <c r="BH161">
        <v>-0.34100000000000003</v>
      </c>
      <c r="BI161">
        <v>-5.7000000000000002E-2</v>
      </c>
      <c r="BJ161">
        <v>-6.5000000000000002E-2</v>
      </c>
      <c r="BK161">
        <v>0.47799999999999998</v>
      </c>
      <c r="BL161">
        <v>-0.54900000000000004</v>
      </c>
      <c r="BM161">
        <v>-0.65</v>
      </c>
    </row>
    <row r="162" spans="1:65" x14ac:dyDescent="0.3">
      <c r="A162" t="s">
        <v>122</v>
      </c>
      <c r="B162">
        <v>0</v>
      </c>
      <c r="C162">
        <v>0</v>
      </c>
      <c r="M162" t="s">
        <v>225</v>
      </c>
      <c r="N162">
        <v>0.55900000000000005</v>
      </c>
      <c r="O162">
        <v>0.43099999999999999</v>
      </c>
      <c r="P162" t="s">
        <v>71</v>
      </c>
      <c r="Q162">
        <v>0</v>
      </c>
      <c r="R162">
        <v>0</v>
      </c>
      <c r="S162">
        <v>0.12999103671333301</v>
      </c>
      <c r="T162">
        <v>-0.67600000000000005</v>
      </c>
      <c r="U162">
        <v>-0.77900000000000003</v>
      </c>
      <c r="V162">
        <v>-0.70899999999999996</v>
      </c>
      <c r="W162">
        <v>-0.52300000000000002</v>
      </c>
      <c r="X162">
        <v>-0.69699999999999995</v>
      </c>
      <c r="Y162">
        <v>-0.67200000000000004</v>
      </c>
      <c r="Z162">
        <v>-0.77700000000000002</v>
      </c>
      <c r="AA162">
        <v>-0.83</v>
      </c>
      <c r="AB162">
        <v>-0.123</v>
      </c>
      <c r="AC162">
        <v>-0.123</v>
      </c>
      <c r="AD162">
        <v>0.312</v>
      </c>
      <c r="AE162">
        <v>0.50700000000000001</v>
      </c>
      <c r="AF162">
        <v>0.34</v>
      </c>
      <c r="AG162">
        <v>2.1000000000000001E-2</v>
      </c>
      <c r="AH162">
        <v>0.20399999999999999</v>
      </c>
      <c r="AI162">
        <v>-0.51200000000000001</v>
      </c>
      <c r="AJ162">
        <v>0.16900000000000001</v>
      </c>
      <c r="AK162">
        <v>-0.73</v>
      </c>
      <c r="AL162">
        <v>-0.79600000000000004</v>
      </c>
      <c r="AM162">
        <v>1</v>
      </c>
      <c r="AN162">
        <v>-0.503</v>
      </c>
      <c r="AO162">
        <v>-0.47099999999999997</v>
      </c>
      <c r="AP162">
        <v>8.4000000000000005E-2</v>
      </c>
      <c r="AQ162">
        <v>-0.80300000000000005</v>
      </c>
      <c r="AR162">
        <v>-0.65500000000000003</v>
      </c>
      <c r="AS162">
        <v>-0.128</v>
      </c>
      <c r="AT162">
        <v>0.249</v>
      </c>
      <c r="AU162">
        <v>0.20200000000000001</v>
      </c>
      <c r="AV162">
        <v>0.54900000000000004</v>
      </c>
      <c r="AW162">
        <v>-0.58199999999999996</v>
      </c>
      <c r="AX162">
        <v>-0.126</v>
      </c>
      <c r="AY162">
        <v>0.28100000000000003</v>
      </c>
      <c r="AZ162">
        <v>-0.317</v>
      </c>
      <c r="BA162">
        <v>-0.37</v>
      </c>
      <c r="BB162">
        <v>0.22900000000000001</v>
      </c>
      <c r="BC162">
        <v>-0.19700000000000001</v>
      </c>
      <c r="BD162">
        <v>-0.29199999999999998</v>
      </c>
      <c r="BE162">
        <v>0.24</v>
      </c>
      <c r="BF162">
        <v>0.247</v>
      </c>
      <c r="BG162">
        <v>-1</v>
      </c>
      <c r="BH162">
        <v>-0.54500000000000004</v>
      </c>
      <c r="BI162">
        <v>-0.39400000000000002</v>
      </c>
      <c r="BJ162">
        <v>0.40799999999999997</v>
      </c>
      <c r="BK162">
        <v>-0.184</v>
      </c>
      <c r="BL162">
        <v>-0.61599999999999999</v>
      </c>
      <c r="BM162">
        <v>0.184</v>
      </c>
    </row>
    <row r="163" spans="1:65" x14ac:dyDescent="0.3">
      <c r="A163" t="s">
        <v>260</v>
      </c>
      <c r="B163">
        <v>0</v>
      </c>
      <c r="C163">
        <v>0</v>
      </c>
      <c r="M163" t="s">
        <v>246</v>
      </c>
      <c r="N163">
        <v>0.55800000000000005</v>
      </c>
      <c r="O163">
        <v>0.57399999999999995</v>
      </c>
      <c r="P163" t="s">
        <v>53</v>
      </c>
      <c r="Q163">
        <v>0</v>
      </c>
      <c r="R163">
        <v>-1E-3</v>
      </c>
      <c r="S163">
        <v>0</v>
      </c>
      <c r="T163">
        <v>-0.79900000000000004</v>
      </c>
      <c r="U163">
        <v>-0.70299999999999996</v>
      </c>
      <c r="V163">
        <v>-0.89</v>
      </c>
      <c r="W163">
        <v>-0.82799999999999996</v>
      </c>
      <c r="X163">
        <v>-0.86299999999999999</v>
      </c>
      <c r="Y163">
        <v>-0.71199999999999997</v>
      </c>
      <c r="Z163">
        <v>-0.65100000000000002</v>
      </c>
      <c r="AA163">
        <v>-0.75</v>
      </c>
      <c r="AB163">
        <v>-7.1999999999999995E-2</v>
      </c>
      <c r="AC163">
        <v>-7.2999999999999995E-2</v>
      </c>
      <c r="AD163">
        <v>0.58299999999999996</v>
      </c>
      <c r="AE163">
        <v>0.66100000000000003</v>
      </c>
      <c r="AF163">
        <v>0.29399999999999998</v>
      </c>
      <c r="AG163">
        <v>-1</v>
      </c>
      <c r="AH163">
        <v>-0.39200000000000002</v>
      </c>
      <c r="AI163">
        <v>-0.45800000000000002</v>
      </c>
      <c r="AJ163">
        <v>-0.93700000000000006</v>
      </c>
      <c r="AK163">
        <v>-0.33600000000000002</v>
      </c>
      <c r="AL163">
        <v>-0.54700000000000004</v>
      </c>
      <c r="AM163">
        <v>-0.55900000000000005</v>
      </c>
      <c r="AN163">
        <v>-0.63700000000000001</v>
      </c>
      <c r="AO163">
        <v>-0.41699999999999998</v>
      </c>
      <c r="AP163">
        <v>0.151</v>
      </c>
      <c r="AQ163">
        <v>0.253</v>
      </c>
      <c r="AR163">
        <v>0.60799999999999998</v>
      </c>
      <c r="AS163">
        <v>1.2999999999999999E-2</v>
      </c>
      <c r="AT163">
        <v>0.29299999999999998</v>
      </c>
      <c r="AU163">
        <v>8.3000000000000004E-2</v>
      </c>
      <c r="AV163">
        <v>-0.26800000000000002</v>
      </c>
      <c r="AW163">
        <v>-0.47799999999999998</v>
      </c>
      <c r="AX163">
        <v>-0.48099999999999998</v>
      </c>
      <c r="AY163">
        <v>0.28299999999999997</v>
      </c>
      <c r="AZ163">
        <v>-0.28799999999999998</v>
      </c>
      <c r="BA163">
        <v>0.747</v>
      </c>
      <c r="BB163">
        <v>0.54500000000000004</v>
      </c>
      <c r="BC163">
        <v>-0.42</v>
      </c>
      <c r="BD163">
        <v>-9.2999999999999999E-2</v>
      </c>
      <c r="BE163">
        <v>8.6999999999999994E-2</v>
      </c>
      <c r="BF163">
        <v>-0.27100000000000002</v>
      </c>
      <c r="BG163">
        <v>-0.63700000000000001</v>
      </c>
      <c r="BH163">
        <v>1</v>
      </c>
      <c r="BI163">
        <v>0.58099999999999996</v>
      </c>
      <c r="BJ163">
        <v>-0.113</v>
      </c>
      <c r="BK163">
        <v>4.9000000000000002E-2</v>
      </c>
      <c r="BL163">
        <v>-0.104</v>
      </c>
      <c r="BM163">
        <v>-0.191</v>
      </c>
    </row>
    <row r="164" spans="1:65" x14ac:dyDescent="0.3">
      <c r="A164" t="s">
        <v>231</v>
      </c>
      <c r="B164">
        <v>0</v>
      </c>
      <c r="C164">
        <v>0</v>
      </c>
      <c r="M164" t="s">
        <v>156</v>
      </c>
      <c r="N164">
        <v>0.55700000000000005</v>
      </c>
      <c r="O164">
        <v>0.51200000000000001</v>
      </c>
      <c r="P164" t="s">
        <v>55</v>
      </c>
      <c r="Q164">
        <v>0</v>
      </c>
      <c r="R164">
        <v>0</v>
      </c>
      <c r="S164">
        <v>0.29649117015666698</v>
      </c>
      <c r="T164">
        <v>-0.76500000000000001</v>
      </c>
      <c r="U164">
        <v>-0.73299999999999998</v>
      </c>
      <c r="V164">
        <v>-0.80900000000000005</v>
      </c>
      <c r="W164">
        <v>-0.745</v>
      </c>
      <c r="X164">
        <v>-0.75600000000000001</v>
      </c>
      <c r="Y164">
        <v>-0.70799999999999996</v>
      </c>
      <c r="Z164">
        <v>-0.60299999999999998</v>
      </c>
      <c r="AA164">
        <v>-0.74099999999999999</v>
      </c>
      <c r="AB164">
        <v>-0.19700000000000001</v>
      </c>
      <c r="AC164">
        <v>-0.19600000000000001</v>
      </c>
      <c r="AD164">
        <v>0.42099999999999999</v>
      </c>
      <c r="AE164">
        <v>0.64700000000000002</v>
      </c>
      <c r="AF164">
        <v>0.27400000000000002</v>
      </c>
      <c r="AG164">
        <v>-0.81299999999999994</v>
      </c>
      <c r="AH164">
        <v>0.105</v>
      </c>
      <c r="AI164">
        <v>9.0999999999999998E-2</v>
      </c>
      <c r="AJ164">
        <v>-0.23400000000000001</v>
      </c>
      <c r="AK164">
        <v>-0.40699999999999997</v>
      </c>
      <c r="AL164">
        <v>-0.84699999999999998</v>
      </c>
      <c r="AM164">
        <v>-5.0000000000000001E-3</v>
      </c>
      <c r="AN164">
        <v>-0.28299999999999997</v>
      </c>
      <c r="AO164">
        <v>6.0000000000000001E-3</v>
      </c>
      <c r="AP164">
        <v>0.58599999999999997</v>
      </c>
      <c r="AQ164">
        <v>-0.438</v>
      </c>
      <c r="AR164">
        <v>-0.24</v>
      </c>
      <c r="AS164">
        <v>0.25700000000000001</v>
      </c>
      <c r="AT164">
        <v>-0.24299999999999999</v>
      </c>
      <c r="AU164">
        <v>-0.68300000000000005</v>
      </c>
      <c r="AV164">
        <v>-6.4000000000000001E-2</v>
      </c>
      <c r="AW164">
        <v>0.14699999999999999</v>
      </c>
      <c r="AX164">
        <v>-0.54500000000000004</v>
      </c>
      <c r="AY164">
        <v>-0.35</v>
      </c>
      <c r="AZ164">
        <v>-0.97299999999999998</v>
      </c>
      <c r="BA164">
        <v>0.84599999999999997</v>
      </c>
      <c r="BB164">
        <v>0.39</v>
      </c>
      <c r="BC164">
        <v>0.56100000000000005</v>
      </c>
      <c r="BD164">
        <v>-0.55100000000000005</v>
      </c>
      <c r="BE164">
        <v>-0.79600000000000004</v>
      </c>
      <c r="BF164">
        <v>0.255</v>
      </c>
      <c r="BG164">
        <v>0.58599999999999997</v>
      </c>
      <c r="BH164">
        <v>-1</v>
      </c>
      <c r="BI164">
        <v>-0.105</v>
      </c>
      <c r="BJ164">
        <v>-0.218</v>
      </c>
      <c r="BK164">
        <v>0.90100000000000002</v>
      </c>
      <c r="BL164">
        <v>-0.27900000000000003</v>
      </c>
      <c r="BM164">
        <v>0.13100000000000001</v>
      </c>
    </row>
    <row r="165" spans="1:65" x14ac:dyDescent="0.3">
      <c r="A165" t="s">
        <v>216</v>
      </c>
      <c r="B165">
        <v>0</v>
      </c>
      <c r="C165">
        <v>6.0070090799180199E-3</v>
      </c>
      <c r="M165" t="s">
        <v>227</v>
      </c>
      <c r="N165">
        <v>0.55700000000000005</v>
      </c>
      <c r="O165">
        <v>0.48499999999999999</v>
      </c>
      <c r="P165" t="s">
        <v>71</v>
      </c>
      <c r="Q165">
        <v>0</v>
      </c>
      <c r="R165">
        <v>0</v>
      </c>
      <c r="S165">
        <v>0</v>
      </c>
      <c r="T165">
        <v>-0.93400000000000005</v>
      </c>
      <c r="U165">
        <v>-0.91100000000000003</v>
      </c>
      <c r="V165">
        <v>-0.98599999999999999</v>
      </c>
      <c r="W165">
        <v>-0.88400000000000001</v>
      </c>
      <c r="X165">
        <v>-0.93899999999999995</v>
      </c>
      <c r="Y165">
        <v>-0.73299999999999998</v>
      </c>
      <c r="Z165">
        <v>-0.66600000000000004</v>
      </c>
      <c r="AA165">
        <v>-0.78900000000000003</v>
      </c>
      <c r="AB165">
        <v>0.28799999999999998</v>
      </c>
      <c r="AC165">
        <v>0.29099999999999998</v>
      </c>
      <c r="AD165">
        <v>0.32</v>
      </c>
      <c r="AE165">
        <v>0.49199999999999999</v>
      </c>
      <c r="AF165">
        <v>0.47</v>
      </c>
      <c r="AG165">
        <v>-1</v>
      </c>
      <c r="AH165">
        <v>-0.82899999999999996</v>
      </c>
      <c r="AI165">
        <v>-0.33200000000000002</v>
      </c>
      <c r="AJ165">
        <v>-0.97699999999999998</v>
      </c>
      <c r="AK165">
        <v>-0.86199999999999999</v>
      </c>
      <c r="AL165">
        <v>-0.95799999999999996</v>
      </c>
      <c r="AM165">
        <v>-0.104</v>
      </c>
      <c r="AN165">
        <v>-0.51200000000000001</v>
      </c>
      <c r="AO165">
        <v>-0.57999999999999996</v>
      </c>
      <c r="AP165">
        <v>-0.16600000000000001</v>
      </c>
      <c r="AQ165">
        <v>6.2E-2</v>
      </c>
      <c r="AR165">
        <v>-0.04</v>
      </c>
      <c r="AS165">
        <v>-0.43099999999999999</v>
      </c>
      <c r="AT165">
        <v>-0.32200000000000001</v>
      </c>
      <c r="AU165">
        <v>-0.38300000000000001</v>
      </c>
      <c r="AV165">
        <v>0.48599999999999999</v>
      </c>
      <c r="AW165">
        <v>-0.63600000000000001</v>
      </c>
      <c r="AX165">
        <v>-0.88200000000000001</v>
      </c>
      <c r="AY165">
        <v>0.67700000000000005</v>
      </c>
      <c r="AZ165">
        <v>-0.60399999999999998</v>
      </c>
      <c r="BA165">
        <v>0.56100000000000005</v>
      </c>
      <c r="BB165">
        <v>4.0000000000000001E-3</v>
      </c>
      <c r="BC165">
        <v>0.14499999999999999</v>
      </c>
      <c r="BD165">
        <v>-0.158</v>
      </c>
      <c r="BE165">
        <v>-0.21099999999999999</v>
      </c>
      <c r="BF165">
        <v>0.17</v>
      </c>
      <c r="BG165">
        <v>0.67200000000000004</v>
      </c>
      <c r="BH165">
        <v>-0.10299999999999999</v>
      </c>
      <c r="BI165">
        <v>0.75900000000000001</v>
      </c>
      <c r="BJ165">
        <v>-0.309</v>
      </c>
      <c r="BK165">
        <v>-0.43</v>
      </c>
      <c r="BL165">
        <v>0.187</v>
      </c>
      <c r="BM165">
        <v>-0.86599999999999999</v>
      </c>
    </row>
    <row r="166" spans="1:65" x14ac:dyDescent="0.3">
      <c r="A166" t="s">
        <v>215</v>
      </c>
      <c r="B166">
        <v>0</v>
      </c>
      <c r="C166">
        <v>0</v>
      </c>
      <c r="M166" t="s">
        <v>194</v>
      </c>
      <c r="N166">
        <v>0.55500000000000005</v>
      </c>
      <c r="O166">
        <v>0.58199999999999996</v>
      </c>
      <c r="P166" t="s">
        <v>57</v>
      </c>
      <c r="Q166">
        <v>0</v>
      </c>
      <c r="R166">
        <v>-1E-3</v>
      </c>
      <c r="S166">
        <v>1.4313931040900001</v>
      </c>
      <c r="T166">
        <v>-0.83699999999999997</v>
      </c>
      <c r="U166">
        <v>-0.91</v>
      </c>
      <c r="V166">
        <v>-0.91</v>
      </c>
      <c r="W166">
        <v>-0.78500000000000003</v>
      </c>
      <c r="X166">
        <v>-0.88800000000000001</v>
      </c>
      <c r="Y166">
        <v>-0.66800000000000004</v>
      </c>
      <c r="Z166">
        <v>-0.46700000000000003</v>
      </c>
      <c r="AA166">
        <v>-0.77400000000000002</v>
      </c>
      <c r="AB166">
        <v>-0.122</v>
      </c>
      <c r="AC166">
        <v>-0.123</v>
      </c>
      <c r="AD166">
        <v>0.59599999999999997</v>
      </c>
      <c r="AE166">
        <v>0.56100000000000005</v>
      </c>
      <c r="AF166">
        <v>0.312</v>
      </c>
      <c r="AG166">
        <v>-0.55800000000000005</v>
      </c>
      <c r="AH166">
        <v>0.14000000000000001</v>
      </c>
      <c r="AI166">
        <v>-0.59199999999999997</v>
      </c>
      <c r="AJ166">
        <v>-0.621</v>
      </c>
      <c r="AK166">
        <v>-0.76100000000000001</v>
      </c>
      <c r="AL166">
        <v>-0.85099999999999998</v>
      </c>
      <c r="AM166">
        <v>-0.252</v>
      </c>
      <c r="AN166">
        <v>-7.0000000000000007E-2</v>
      </c>
      <c r="AO166">
        <v>-0.33100000000000002</v>
      </c>
      <c r="AP166">
        <v>0.184</v>
      </c>
      <c r="AQ166">
        <v>-0.51700000000000002</v>
      </c>
      <c r="AR166">
        <v>-0.54800000000000004</v>
      </c>
      <c r="AS166">
        <v>0.33600000000000002</v>
      </c>
      <c r="AT166">
        <v>9.4E-2</v>
      </c>
      <c r="AU166">
        <v>-0.441</v>
      </c>
      <c r="AV166">
        <v>-1.7000000000000001E-2</v>
      </c>
      <c r="AW166">
        <v>-0.188</v>
      </c>
      <c r="AX166">
        <v>-0.35799999999999998</v>
      </c>
      <c r="AY166">
        <v>-0.17599999999999999</v>
      </c>
      <c r="AZ166">
        <v>-0.185</v>
      </c>
      <c r="BA166">
        <v>0.81399999999999995</v>
      </c>
      <c r="BB166">
        <v>0.29499999999999998</v>
      </c>
      <c r="BC166">
        <v>0.436</v>
      </c>
      <c r="BD166">
        <v>-0.67800000000000005</v>
      </c>
      <c r="BE166">
        <v>-0.629</v>
      </c>
      <c r="BF166">
        <v>0.10299999999999999</v>
      </c>
      <c r="BG166">
        <v>0.51500000000000001</v>
      </c>
      <c r="BH166">
        <v>0.34399999999999997</v>
      </c>
      <c r="BI166">
        <v>0.64800000000000002</v>
      </c>
      <c r="BJ166">
        <v>-0.50800000000000001</v>
      </c>
      <c r="BK166">
        <v>0.67700000000000005</v>
      </c>
      <c r="BL166">
        <v>-0.78300000000000003</v>
      </c>
      <c r="BM166">
        <v>-0.379</v>
      </c>
    </row>
    <row r="167" spans="1:65" x14ac:dyDescent="0.3">
      <c r="A167" t="s">
        <v>126</v>
      </c>
      <c r="B167">
        <v>1.18758374637279E-2</v>
      </c>
      <c r="C167">
        <v>1.19891981204824E-2</v>
      </c>
      <c r="M167" t="s">
        <v>252</v>
      </c>
      <c r="N167">
        <v>0.55200000000000005</v>
      </c>
      <c r="O167">
        <v>0.44</v>
      </c>
      <c r="P167" t="s">
        <v>53</v>
      </c>
      <c r="Q167">
        <v>0</v>
      </c>
      <c r="R167">
        <v>-2E-3</v>
      </c>
      <c r="S167">
        <v>7.0530552149999995E-2</v>
      </c>
      <c r="T167">
        <v>-0.745</v>
      </c>
      <c r="U167">
        <v>-0.80700000000000005</v>
      </c>
      <c r="V167">
        <v>-0.90400000000000003</v>
      </c>
      <c r="W167">
        <v>-0.73399999999999999</v>
      </c>
      <c r="X167">
        <v>-0.86699999999999999</v>
      </c>
      <c r="Y167">
        <v>-0.71399999999999997</v>
      </c>
      <c r="Z167">
        <v>-0.67300000000000004</v>
      </c>
      <c r="AA167">
        <v>-0.86099999999999999</v>
      </c>
      <c r="AB167">
        <v>-0.17799999999999999</v>
      </c>
      <c r="AC167">
        <v>-0.17499999999999999</v>
      </c>
      <c r="AD167">
        <v>0.60899999999999999</v>
      </c>
      <c r="AE167">
        <v>0.66500000000000004</v>
      </c>
      <c r="AF167">
        <v>0.32400000000000001</v>
      </c>
      <c r="AG167">
        <v>-0.39400000000000002</v>
      </c>
      <c r="AH167">
        <v>-0.32600000000000001</v>
      </c>
      <c r="AI167">
        <v>-0.60299999999999998</v>
      </c>
      <c r="AJ167">
        <v>-0.69399999999999995</v>
      </c>
      <c r="AK167">
        <v>-0.77400000000000002</v>
      </c>
      <c r="AL167">
        <v>-0.9</v>
      </c>
      <c r="AM167">
        <v>0.39400000000000002</v>
      </c>
      <c r="AN167">
        <v>-0.86699999999999999</v>
      </c>
      <c r="AO167">
        <v>-0.65100000000000002</v>
      </c>
      <c r="AP167">
        <v>9.0999999999999998E-2</v>
      </c>
      <c r="AQ167">
        <v>-0.26100000000000001</v>
      </c>
      <c r="AR167">
        <v>4.5999999999999999E-2</v>
      </c>
      <c r="AS167">
        <v>-0.18099999999999999</v>
      </c>
      <c r="AT167">
        <v>0.872</v>
      </c>
      <c r="AU167">
        <v>0.17</v>
      </c>
      <c r="AV167">
        <v>0.47799999999999998</v>
      </c>
      <c r="AW167">
        <v>-0.6</v>
      </c>
      <c r="AX167">
        <v>-5.0999999999999997E-2</v>
      </c>
      <c r="AY167">
        <v>-9.1999999999999998E-2</v>
      </c>
      <c r="AZ167">
        <v>-0.432</v>
      </c>
      <c r="BA167">
        <v>0.84499999999999997</v>
      </c>
      <c r="BB167">
        <v>0.111</v>
      </c>
      <c r="BC167">
        <v>-4.0000000000000001E-3</v>
      </c>
      <c r="BD167">
        <v>-0.184</v>
      </c>
      <c r="BE167">
        <v>7.4999999999999997E-2</v>
      </c>
      <c r="BF167">
        <v>0.251</v>
      </c>
      <c r="BG167">
        <v>0.114</v>
      </c>
      <c r="BH167">
        <v>1</v>
      </c>
      <c r="BI167">
        <v>0.45200000000000001</v>
      </c>
      <c r="BJ167">
        <v>0.121</v>
      </c>
      <c r="BK167">
        <v>0.33400000000000002</v>
      </c>
      <c r="BL167">
        <v>-0.51800000000000002</v>
      </c>
      <c r="BM167">
        <v>-0.126</v>
      </c>
    </row>
    <row r="168" spans="1:65" x14ac:dyDescent="0.3">
      <c r="A168" t="s">
        <v>54</v>
      </c>
      <c r="B168">
        <v>1.46039180329693E-2</v>
      </c>
      <c r="C168">
        <v>1.19891981204824E-2</v>
      </c>
      <c r="M168" t="s">
        <v>128</v>
      </c>
      <c r="N168">
        <v>0.55000000000000004</v>
      </c>
      <c r="O168">
        <v>0.442</v>
      </c>
      <c r="P168" t="s">
        <v>68</v>
      </c>
      <c r="Q168">
        <v>0</v>
      </c>
      <c r="R168">
        <v>0</v>
      </c>
      <c r="S168">
        <v>0.19694211936433301</v>
      </c>
      <c r="T168">
        <v>-0.83099999999999996</v>
      </c>
      <c r="U168">
        <v>-0.66100000000000003</v>
      </c>
      <c r="V168">
        <v>-0.56899999999999995</v>
      </c>
      <c r="W168">
        <v>-0.91300000000000003</v>
      </c>
      <c r="X168">
        <v>-0.80500000000000005</v>
      </c>
      <c r="Y168">
        <v>-0.84</v>
      </c>
      <c r="Z168">
        <v>-0.751</v>
      </c>
      <c r="AA168">
        <v>-0.89400000000000002</v>
      </c>
      <c r="AB168">
        <v>-7.8E-2</v>
      </c>
      <c r="AC168">
        <v>-7.6999999999999999E-2</v>
      </c>
      <c r="AD168">
        <v>0.253</v>
      </c>
      <c r="AE168">
        <v>0.43</v>
      </c>
      <c r="AF168">
        <v>0.48899999999999999</v>
      </c>
      <c r="AG168">
        <v>-0.879</v>
      </c>
      <c r="AH168">
        <v>-1</v>
      </c>
      <c r="AI168">
        <v>-0.52500000000000002</v>
      </c>
      <c r="AJ168">
        <v>-2.7E-2</v>
      </c>
      <c r="AK168">
        <v>0.185</v>
      </c>
      <c r="AL168">
        <v>-0.22800000000000001</v>
      </c>
      <c r="AM168">
        <v>-0.41499999999999998</v>
      </c>
      <c r="AN168">
        <v>-0.69</v>
      </c>
      <c r="AO168">
        <v>0.108</v>
      </c>
      <c r="AP168">
        <v>-0.49</v>
      </c>
      <c r="AQ168">
        <v>-0.20799999999999999</v>
      </c>
      <c r="AR168">
        <v>3.2000000000000001E-2</v>
      </c>
      <c r="AS168">
        <v>-0.63100000000000001</v>
      </c>
      <c r="AT168">
        <v>-0.68799999999999994</v>
      </c>
      <c r="AU168">
        <v>-5.3999999999999999E-2</v>
      </c>
      <c r="AV168">
        <v>-0.28599999999999998</v>
      </c>
      <c r="AW168">
        <v>-0.45900000000000002</v>
      </c>
      <c r="AX168">
        <v>-0.67500000000000004</v>
      </c>
      <c r="AY168">
        <v>0.37</v>
      </c>
      <c r="AZ168">
        <v>-0.312</v>
      </c>
      <c r="BA168">
        <v>0.60199999999999998</v>
      </c>
      <c r="BB168">
        <v>-1</v>
      </c>
      <c r="BC168">
        <v>0.45200000000000001</v>
      </c>
      <c r="BD168">
        <v>6.7000000000000004E-2</v>
      </c>
      <c r="BE168">
        <v>-7.2999999999999995E-2</v>
      </c>
      <c r="BF168">
        <v>-4.9000000000000002E-2</v>
      </c>
      <c r="BG168">
        <v>-0.19500000000000001</v>
      </c>
      <c r="BH168">
        <v>0.66900000000000004</v>
      </c>
      <c r="BI168">
        <v>0.84499999999999997</v>
      </c>
      <c r="BJ168">
        <v>0.60799999999999998</v>
      </c>
      <c r="BK168">
        <v>-6.2E-2</v>
      </c>
      <c r="BL168">
        <v>0.79600000000000004</v>
      </c>
      <c r="BM168">
        <v>0.73199999999999998</v>
      </c>
    </row>
    <row r="169" spans="1:65" x14ac:dyDescent="0.3">
      <c r="A169" t="s">
        <v>190</v>
      </c>
      <c r="B169">
        <v>0</v>
      </c>
      <c r="C169">
        <v>0</v>
      </c>
      <c r="M169" t="s">
        <v>247</v>
      </c>
      <c r="N169">
        <v>0.54800000000000004</v>
      </c>
      <c r="O169">
        <v>0.41</v>
      </c>
      <c r="P169" t="s">
        <v>57</v>
      </c>
      <c r="Q169">
        <v>0</v>
      </c>
      <c r="R169">
        <v>0</v>
      </c>
      <c r="S169">
        <v>0.59242618049999995</v>
      </c>
      <c r="T169">
        <v>-0.71</v>
      </c>
      <c r="U169">
        <v>-0.87</v>
      </c>
      <c r="V169">
        <v>-0.68500000000000005</v>
      </c>
      <c r="W169">
        <v>-0.79700000000000004</v>
      </c>
      <c r="X169">
        <v>-0.86199999999999999</v>
      </c>
      <c r="Y169">
        <v>-0.68100000000000005</v>
      </c>
      <c r="Z169">
        <v>-0.43</v>
      </c>
      <c r="AA169">
        <v>-0.91800000000000004</v>
      </c>
      <c r="AB169">
        <v>0.122</v>
      </c>
      <c r="AC169">
        <v>0.11899999999999999</v>
      </c>
      <c r="AD169">
        <v>-4.2000000000000003E-2</v>
      </c>
      <c r="AE169">
        <v>0.32400000000000001</v>
      </c>
      <c r="AF169">
        <v>0.22600000000000001</v>
      </c>
      <c r="AG169">
        <v>-0.96899999999999997</v>
      </c>
      <c r="AH169">
        <v>0.52900000000000003</v>
      </c>
      <c r="AI169">
        <v>-0.98799999999999999</v>
      </c>
      <c r="AJ169">
        <v>-0.81200000000000006</v>
      </c>
      <c r="AK169">
        <v>-1</v>
      </c>
      <c r="AL169">
        <v>-0.29599999999999999</v>
      </c>
      <c r="AM169">
        <v>-0.41499999999999998</v>
      </c>
      <c r="AN169">
        <v>-0.65700000000000003</v>
      </c>
      <c r="AO169">
        <v>-0.20399999999999999</v>
      </c>
      <c r="AP169">
        <v>0.33400000000000002</v>
      </c>
      <c r="AQ169">
        <v>-0.873</v>
      </c>
      <c r="AR169">
        <v>-0.92200000000000004</v>
      </c>
      <c r="AS169">
        <v>0.32800000000000001</v>
      </c>
      <c r="AT169">
        <v>0.99299999999999999</v>
      </c>
      <c r="AU169">
        <v>-0.123</v>
      </c>
      <c r="AV169">
        <v>0.17599999999999999</v>
      </c>
      <c r="AW169">
        <v>0.77300000000000002</v>
      </c>
      <c r="AX169">
        <v>-0.40699999999999997</v>
      </c>
      <c r="AY169">
        <v>-0.218</v>
      </c>
      <c r="AZ169">
        <v>2.7E-2</v>
      </c>
      <c r="BA169">
        <v>-0.13800000000000001</v>
      </c>
      <c r="BB169">
        <v>0.375</v>
      </c>
      <c r="BC169">
        <v>0.67300000000000004</v>
      </c>
      <c r="BD169">
        <v>-0.15</v>
      </c>
      <c r="BE169">
        <v>-0.28999999999999998</v>
      </c>
      <c r="BF169">
        <v>-0.11899999999999999</v>
      </c>
      <c r="BG169">
        <v>1</v>
      </c>
      <c r="BH169">
        <v>1</v>
      </c>
      <c r="BI169">
        <v>0.17100000000000001</v>
      </c>
      <c r="BJ169">
        <v>-0.33700000000000002</v>
      </c>
      <c r="BK169">
        <v>0.20300000000000001</v>
      </c>
      <c r="BL169">
        <v>0.53200000000000003</v>
      </c>
      <c r="BM169">
        <v>-0.109</v>
      </c>
    </row>
    <row r="170" spans="1:65" x14ac:dyDescent="0.3">
      <c r="A170" t="s">
        <v>277</v>
      </c>
      <c r="B170">
        <v>0</v>
      </c>
      <c r="C170">
        <v>0</v>
      </c>
      <c r="M170" t="s">
        <v>176</v>
      </c>
      <c r="N170">
        <v>0.54500000000000004</v>
      </c>
      <c r="O170">
        <v>0.40699999999999997</v>
      </c>
      <c r="P170" t="s">
        <v>57</v>
      </c>
      <c r="Q170">
        <v>0</v>
      </c>
      <c r="R170">
        <v>0</v>
      </c>
      <c r="S170">
        <v>0.30135609000000002</v>
      </c>
      <c r="T170">
        <v>-0.54600000000000004</v>
      </c>
      <c r="U170">
        <v>-0.83699999999999997</v>
      </c>
      <c r="V170">
        <v>-0.439</v>
      </c>
      <c r="W170">
        <v>-0.34899999999999998</v>
      </c>
      <c r="X170">
        <v>-0.60399999999999998</v>
      </c>
      <c r="Y170">
        <v>-0.70799999999999996</v>
      </c>
      <c r="Z170">
        <v>-0.73499999999999999</v>
      </c>
      <c r="AA170">
        <v>-0.84199999999999997</v>
      </c>
      <c r="AB170">
        <v>-0.316</v>
      </c>
      <c r="AC170">
        <v>-0.313</v>
      </c>
      <c r="AD170">
        <v>0.32500000000000001</v>
      </c>
      <c r="AE170">
        <v>-0.104</v>
      </c>
      <c r="AF170">
        <v>7.9000000000000001E-2</v>
      </c>
      <c r="AG170">
        <v>0.73599999999999999</v>
      </c>
      <c r="AH170">
        <v>0.17399999999999999</v>
      </c>
      <c r="AI170">
        <v>-0.66400000000000003</v>
      </c>
      <c r="AJ170">
        <v>-0.24</v>
      </c>
      <c r="AK170">
        <v>-0.53800000000000003</v>
      </c>
      <c r="AL170">
        <v>0.63800000000000001</v>
      </c>
      <c r="AM170">
        <v>0.39100000000000001</v>
      </c>
      <c r="AN170">
        <v>-0.72199999999999998</v>
      </c>
      <c r="AO170">
        <v>-0.25600000000000001</v>
      </c>
      <c r="AP170">
        <v>0.19600000000000001</v>
      </c>
      <c r="AQ170">
        <v>-0.82</v>
      </c>
      <c r="AR170">
        <v>4.4999999999999998E-2</v>
      </c>
      <c r="AS170">
        <v>0.60399999999999998</v>
      </c>
      <c r="AT170">
        <v>-0.309</v>
      </c>
      <c r="AU170">
        <v>-0.45100000000000001</v>
      </c>
      <c r="AV170">
        <v>0.29099999999999998</v>
      </c>
      <c r="AW170">
        <v>-0.19500000000000001</v>
      </c>
      <c r="AX170">
        <v>0.80100000000000005</v>
      </c>
      <c r="AY170">
        <v>-0.59799999999999998</v>
      </c>
      <c r="AZ170">
        <v>8.8999999999999996E-2</v>
      </c>
      <c r="BA170">
        <v>0.66200000000000003</v>
      </c>
      <c r="BB170">
        <v>8.4000000000000005E-2</v>
      </c>
      <c r="BC170">
        <v>-0.23699999999999999</v>
      </c>
      <c r="BD170">
        <v>-0.14599999999999999</v>
      </c>
      <c r="BE170">
        <v>-0.215</v>
      </c>
      <c r="BF170">
        <v>0.42899999999999999</v>
      </c>
      <c r="BG170">
        <v>0.151</v>
      </c>
      <c r="BH170">
        <v>-0.187</v>
      </c>
      <c r="BI170">
        <v>-0.215</v>
      </c>
      <c r="BJ170">
        <v>-0.56999999999999995</v>
      </c>
      <c r="BK170">
        <v>0.34599999999999997</v>
      </c>
      <c r="BL170">
        <v>-0.84799999999999998</v>
      </c>
      <c r="BM170">
        <v>0.39800000000000002</v>
      </c>
    </row>
    <row r="171" spans="1:65" x14ac:dyDescent="0.3">
      <c r="A171" t="s">
        <v>267</v>
      </c>
      <c r="B171">
        <v>0</v>
      </c>
      <c r="C171">
        <v>0</v>
      </c>
      <c r="M171" t="s">
        <v>178</v>
      </c>
      <c r="N171">
        <v>0.54400000000000004</v>
      </c>
      <c r="O171">
        <v>0.46200000000000002</v>
      </c>
      <c r="P171" t="s">
        <v>53</v>
      </c>
      <c r="Q171">
        <v>0</v>
      </c>
      <c r="R171">
        <v>-3.0000000000000001E-3</v>
      </c>
      <c r="S171">
        <v>0.35971582004866698</v>
      </c>
      <c r="T171">
        <v>-0.85299999999999998</v>
      </c>
      <c r="U171">
        <v>-0.92600000000000005</v>
      </c>
      <c r="V171">
        <v>-0.94799999999999995</v>
      </c>
      <c r="W171">
        <v>-0.81499999999999995</v>
      </c>
      <c r="X171">
        <v>-0.93300000000000005</v>
      </c>
      <c r="Y171">
        <v>-0.71499999999999997</v>
      </c>
      <c r="Z171">
        <v>-0.53500000000000003</v>
      </c>
      <c r="AA171">
        <v>-0.84399999999999997</v>
      </c>
      <c r="AB171">
        <v>-8.4000000000000005E-2</v>
      </c>
      <c r="AC171">
        <v>-8.3000000000000004E-2</v>
      </c>
      <c r="AD171">
        <v>0.53</v>
      </c>
      <c r="AE171">
        <v>0.54100000000000004</v>
      </c>
      <c r="AF171">
        <v>0.252</v>
      </c>
      <c r="AG171">
        <v>-0.443</v>
      </c>
      <c r="AH171">
        <v>-0.88200000000000001</v>
      </c>
      <c r="AI171">
        <v>-0.84299999999999997</v>
      </c>
      <c r="AJ171">
        <v>-0.97599999999999998</v>
      </c>
      <c r="AK171">
        <v>-0.83799999999999997</v>
      </c>
      <c r="AL171">
        <v>-0.70899999999999996</v>
      </c>
      <c r="AM171">
        <v>-0.32400000000000001</v>
      </c>
      <c r="AN171">
        <v>-0.76</v>
      </c>
      <c r="AO171">
        <v>-0.91</v>
      </c>
      <c r="AP171">
        <v>0.40400000000000003</v>
      </c>
      <c r="AQ171">
        <v>-0.219</v>
      </c>
      <c r="AR171">
        <v>-0.61199999999999999</v>
      </c>
      <c r="AS171">
        <v>-4.9000000000000002E-2</v>
      </c>
      <c r="AT171">
        <v>0.159</v>
      </c>
      <c r="AU171">
        <v>-0.66400000000000003</v>
      </c>
      <c r="AV171">
        <v>0.52100000000000002</v>
      </c>
      <c r="AW171">
        <v>-0.42499999999999999</v>
      </c>
      <c r="AX171">
        <v>0.36699999999999999</v>
      </c>
      <c r="AY171">
        <v>0.31</v>
      </c>
      <c r="AZ171">
        <v>-9.7000000000000003E-2</v>
      </c>
      <c r="BA171">
        <v>0.94699999999999995</v>
      </c>
      <c r="BB171">
        <v>0.51</v>
      </c>
      <c r="BC171">
        <v>0.36799999999999999</v>
      </c>
      <c r="BD171">
        <v>-0.26600000000000001</v>
      </c>
      <c r="BE171">
        <v>-0.127</v>
      </c>
      <c r="BF171">
        <v>0.38600000000000001</v>
      </c>
      <c r="BG171">
        <v>0.30299999999999999</v>
      </c>
      <c r="BH171">
        <v>-0.12</v>
      </c>
      <c r="BI171">
        <v>0.64200000000000002</v>
      </c>
      <c r="BJ171">
        <v>-5.2999999999999999E-2</v>
      </c>
      <c r="BK171">
        <v>-0.28399999999999997</v>
      </c>
      <c r="BL171">
        <v>-0.254</v>
      </c>
      <c r="BM171">
        <v>-0.67700000000000005</v>
      </c>
    </row>
    <row r="172" spans="1:65" x14ac:dyDescent="0.3">
      <c r="A172" t="s">
        <v>234</v>
      </c>
      <c r="B172">
        <v>0</v>
      </c>
      <c r="C172">
        <v>0</v>
      </c>
      <c r="M172" t="s">
        <v>197</v>
      </c>
      <c r="N172">
        <v>0.54300000000000004</v>
      </c>
      <c r="O172">
        <v>0.71499999999999997</v>
      </c>
      <c r="P172" t="s">
        <v>53</v>
      </c>
      <c r="Q172">
        <v>0</v>
      </c>
      <c r="R172">
        <v>-5.0000000000000001E-3</v>
      </c>
      <c r="S172">
        <v>1.8229406528433301</v>
      </c>
      <c r="T172">
        <v>-0.82799999999999996</v>
      </c>
      <c r="U172">
        <v>-0.94399999999999995</v>
      </c>
      <c r="V172">
        <v>-0.92600000000000005</v>
      </c>
      <c r="W172">
        <v>-0.78200000000000003</v>
      </c>
      <c r="X172">
        <v>-0.92100000000000004</v>
      </c>
      <c r="Y172">
        <v>-0.67300000000000004</v>
      </c>
      <c r="Z172">
        <v>-0.51100000000000001</v>
      </c>
      <c r="AA172">
        <v>-0.78600000000000003</v>
      </c>
      <c r="AB172">
        <v>-0.32100000000000001</v>
      </c>
      <c r="AC172">
        <v>-0.32100000000000001</v>
      </c>
      <c r="AD172">
        <v>0.58899999999999997</v>
      </c>
      <c r="AE172">
        <v>0.50900000000000001</v>
      </c>
      <c r="AF172">
        <v>0.23499999999999999</v>
      </c>
      <c r="AG172">
        <v>-0.501</v>
      </c>
      <c r="AH172">
        <v>-0.01</v>
      </c>
      <c r="AI172">
        <v>-0.97699999999999998</v>
      </c>
      <c r="AJ172">
        <v>-0.94699999999999995</v>
      </c>
      <c r="AK172">
        <v>-1</v>
      </c>
      <c r="AL172">
        <v>-0.97299999999999998</v>
      </c>
      <c r="AM172">
        <v>-0.5</v>
      </c>
      <c r="AN172">
        <v>-0.11799999999999999</v>
      </c>
      <c r="AO172">
        <v>-0.85399999999999998</v>
      </c>
      <c r="AP172">
        <v>0.316</v>
      </c>
      <c r="AQ172">
        <v>-0.45</v>
      </c>
      <c r="AR172">
        <v>-0.218</v>
      </c>
      <c r="AS172">
        <v>0.41499999999999998</v>
      </c>
      <c r="AT172">
        <v>0.27200000000000002</v>
      </c>
      <c r="AU172">
        <v>-0.34799999999999998</v>
      </c>
      <c r="AV172">
        <v>-1.2999999999999999E-2</v>
      </c>
      <c r="AW172">
        <v>-0.34300000000000003</v>
      </c>
      <c r="AX172">
        <v>-0.115</v>
      </c>
      <c r="AY172">
        <v>0.214</v>
      </c>
      <c r="AZ172">
        <v>0.20499999999999999</v>
      </c>
      <c r="BA172">
        <v>0.83899999999999997</v>
      </c>
      <c r="BB172">
        <v>0.25600000000000001</v>
      </c>
      <c r="BC172">
        <v>0.65600000000000003</v>
      </c>
      <c r="BD172">
        <v>2.3E-2</v>
      </c>
      <c r="BE172">
        <v>-0.247</v>
      </c>
      <c r="BF172">
        <v>0.22</v>
      </c>
      <c r="BG172">
        <v>0.222</v>
      </c>
      <c r="BH172">
        <v>0.437</v>
      </c>
      <c r="BI172">
        <v>0.32800000000000001</v>
      </c>
      <c r="BJ172">
        <v>-0.217</v>
      </c>
      <c r="BK172">
        <v>-0.20399999999999999</v>
      </c>
      <c r="BL172">
        <v>-0.14399999999999999</v>
      </c>
      <c r="BM172">
        <v>-0.874</v>
      </c>
    </row>
    <row r="173" spans="1:65" x14ac:dyDescent="0.3">
      <c r="A173" t="s">
        <v>85</v>
      </c>
      <c r="B173">
        <v>9.5334925143853097E-3</v>
      </c>
      <c r="C173">
        <v>1.0661643000662999E-2</v>
      </c>
      <c r="M173" t="s">
        <v>169</v>
      </c>
      <c r="N173">
        <v>0.54</v>
      </c>
      <c r="O173">
        <v>0.54500000000000004</v>
      </c>
      <c r="P173" t="s">
        <v>57</v>
      </c>
      <c r="Q173">
        <v>0</v>
      </c>
      <c r="R173">
        <v>0</v>
      </c>
      <c r="S173">
        <v>0</v>
      </c>
      <c r="T173">
        <v>-0.77500000000000002</v>
      </c>
      <c r="U173">
        <v>-0.91300000000000003</v>
      </c>
      <c r="V173">
        <v>-0.747</v>
      </c>
      <c r="W173">
        <v>-0.82699999999999996</v>
      </c>
      <c r="X173">
        <v>-0.89300000000000002</v>
      </c>
      <c r="Y173">
        <v>-0.70599999999999996</v>
      </c>
      <c r="Z173">
        <v>-0.60399999999999998</v>
      </c>
      <c r="AA173">
        <v>-0.88800000000000001</v>
      </c>
      <c r="AB173">
        <v>8.0000000000000002E-3</v>
      </c>
      <c r="AC173">
        <v>6.0000000000000001E-3</v>
      </c>
      <c r="AD173">
        <v>0.435</v>
      </c>
      <c r="AE173">
        <v>0.36499999999999999</v>
      </c>
      <c r="AF173">
        <v>0.14499999999999999</v>
      </c>
      <c r="AG173">
        <v>-0.94099999999999995</v>
      </c>
      <c r="AH173">
        <v>0.26700000000000002</v>
      </c>
      <c r="AI173">
        <v>-0.85</v>
      </c>
      <c r="AJ173">
        <v>-0.746</v>
      </c>
      <c r="AK173">
        <v>-0.94299999999999995</v>
      </c>
      <c r="AL173">
        <v>-0.46100000000000002</v>
      </c>
      <c r="AM173">
        <v>-0.252</v>
      </c>
      <c r="AN173">
        <v>-0.56499999999999995</v>
      </c>
      <c r="AO173">
        <v>-0.33100000000000002</v>
      </c>
      <c r="AP173">
        <v>0.38</v>
      </c>
      <c r="AQ173">
        <v>-0.60199999999999998</v>
      </c>
      <c r="AR173">
        <v>-0.621</v>
      </c>
      <c r="AS173">
        <v>0.375</v>
      </c>
      <c r="AT173">
        <v>0.29499999999999998</v>
      </c>
      <c r="AU173">
        <v>-0.19</v>
      </c>
      <c r="AV173">
        <v>-3.5000000000000003E-2</v>
      </c>
      <c r="AW173">
        <v>-0.188</v>
      </c>
      <c r="AX173">
        <v>-0.57299999999999995</v>
      </c>
      <c r="AY173">
        <v>0.06</v>
      </c>
      <c r="AZ173">
        <v>-0.185</v>
      </c>
      <c r="BA173">
        <v>0.63900000000000001</v>
      </c>
      <c r="BB173">
        <v>0.64800000000000002</v>
      </c>
      <c r="BC173">
        <v>0.32600000000000001</v>
      </c>
      <c r="BD173">
        <v>-0.26200000000000001</v>
      </c>
      <c r="BE173">
        <v>-0.54300000000000004</v>
      </c>
      <c r="BF173">
        <v>-1.7000000000000001E-2</v>
      </c>
      <c r="BG173">
        <v>0.42</v>
      </c>
      <c r="BH173">
        <v>0.33100000000000002</v>
      </c>
      <c r="BI173">
        <v>0.438</v>
      </c>
      <c r="BJ173">
        <v>-0.501</v>
      </c>
      <c r="BK173">
        <v>0.82699999999999996</v>
      </c>
      <c r="BL173">
        <v>0.54800000000000004</v>
      </c>
      <c r="BM173">
        <v>-0.379</v>
      </c>
    </row>
    <row r="174" spans="1:65" x14ac:dyDescent="0.3">
      <c r="A174" t="s">
        <v>228</v>
      </c>
      <c r="B174">
        <v>0</v>
      </c>
      <c r="C174">
        <v>0</v>
      </c>
      <c r="M174" t="s">
        <v>238</v>
      </c>
      <c r="N174">
        <v>0.54</v>
      </c>
      <c r="O174">
        <v>0.46600000000000003</v>
      </c>
      <c r="P174" t="s">
        <v>68</v>
      </c>
      <c r="Q174">
        <v>0</v>
      </c>
      <c r="R174">
        <v>0</v>
      </c>
      <c r="S174">
        <v>0.68795311076333299</v>
      </c>
      <c r="T174">
        <v>-0.77500000000000002</v>
      </c>
      <c r="U174">
        <v>-0.56999999999999995</v>
      </c>
      <c r="V174">
        <v>-0.68100000000000005</v>
      </c>
      <c r="W174">
        <v>-0.872</v>
      </c>
      <c r="X174">
        <v>-0.78700000000000003</v>
      </c>
      <c r="Y174">
        <v>-0.82399999999999995</v>
      </c>
      <c r="Z174">
        <v>-0.81899999999999995</v>
      </c>
      <c r="AA174">
        <v>-0.81399999999999995</v>
      </c>
      <c r="AB174">
        <v>-0.36499999999999999</v>
      </c>
      <c r="AC174">
        <v>-0.36299999999999999</v>
      </c>
      <c r="AD174">
        <v>-8.2000000000000003E-2</v>
      </c>
      <c r="AE174">
        <v>0.504</v>
      </c>
      <c r="AF174">
        <v>0.35299999999999998</v>
      </c>
      <c r="AG174">
        <v>-0.90200000000000002</v>
      </c>
      <c r="AH174">
        <v>-0.748</v>
      </c>
      <c r="AI174">
        <v>0.09</v>
      </c>
      <c r="AJ174">
        <v>4.5999999999999999E-2</v>
      </c>
      <c r="AK174">
        <v>0.55100000000000005</v>
      </c>
      <c r="AL174">
        <v>-0.71699999999999997</v>
      </c>
      <c r="AM174">
        <v>8.5999999999999993E-2</v>
      </c>
      <c r="AN174">
        <v>-0.61899999999999999</v>
      </c>
      <c r="AO174">
        <v>-0.112</v>
      </c>
      <c r="AP174">
        <v>-0.50900000000000001</v>
      </c>
      <c r="AQ174">
        <v>-0.14599999999999999</v>
      </c>
      <c r="AR174">
        <v>0.873</v>
      </c>
      <c r="AS174">
        <v>-0.63200000000000001</v>
      </c>
      <c r="AT174">
        <v>-1</v>
      </c>
      <c r="AU174">
        <v>-0.81899999999999995</v>
      </c>
      <c r="AV174">
        <v>-0.29299999999999998</v>
      </c>
      <c r="AW174">
        <v>-0.71799999999999997</v>
      </c>
      <c r="AX174">
        <v>-0.77600000000000002</v>
      </c>
      <c r="AY174">
        <v>0.32700000000000001</v>
      </c>
      <c r="AZ174">
        <v>-0.27</v>
      </c>
      <c r="BA174">
        <v>0.40100000000000002</v>
      </c>
      <c r="BB174">
        <v>-5.0000000000000001E-3</v>
      </c>
      <c r="BC174">
        <v>4.0000000000000001E-3</v>
      </c>
      <c r="BD174">
        <v>0.71399999999999997</v>
      </c>
      <c r="BE174">
        <v>0.433</v>
      </c>
      <c r="BF174">
        <v>0.23499999999999999</v>
      </c>
      <c r="BG174">
        <v>8.9999999999999993E-3</v>
      </c>
      <c r="BH174">
        <v>0.11</v>
      </c>
      <c r="BI174">
        <v>0.35899999999999999</v>
      </c>
      <c r="BJ174">
        <v>0.17699999999999999</v>
      </c>
      <c r="BK174">
        <v>0.71699999999999997</v>
      </c>
      <c r="BL174">
        <v>-3.0000000000000001E-3</v>
      </c>
      <c r="BM174">
        <v>0.378</v>
      </c>
    </row>
    <row r="175" spans="1:65" x14ac:dyDescent="0.3">
      <c r="A175" t="s">
        <v>255</v>
      </c>
      <c r="B175">
        <v>0</v>
      </c>
      <c r="C175">
        <v>0</v>
      </c>
      <c r="M175" t="s">
        <v>170</v>
      </c>
      <c r="N175">
        <v>0.53600000000000003</v>
      </c>
      <c r="O175">
        <v>0.45600000000000002</v>
      </c>
      <c r="P175" t="s">
        <v>57</v>
      </c>
      <c r="Q175">
        <v>0</v>
      </c>
      <c r="R175">
        <v>0</v>
      </c>
      <c r="S175">
        <v>0.42158061851666701</v>
      </c>
      <c r="T175">
        <v>-0.75</v>
      </c>
      <c r="U175">
        <v>-0.82699999999999996</v>
      </c>
      <c r="V175">
        <v>-0.75</v>
      </c>
      <c r="W175">
        <v>-0.78900000000000003</v>
      </c>
      <c r="X175">
        <v>-0.83399999999999996</v>
      </c>
      <c r="Y175">
        <v>-0.81</v>
      </c>
      <c r="Z175">
        <v>-0.80600000000000005</v>
      </c>
      <c r="AA175">
        <v>-0.879</v>
      </c>
      <c r="AB175">
        <v>-0.26800000000000002</v>
      </c>
      <c r="AC175">
        <v>-0.26800000000000002</v>
      </c>
      <c r="AD175">
        <v>0.45800000000000002</v>
      </c>
      <c r="AE175">
        <v>0.42199999999999999</v>
      </c>
      <c r="AF175">
        <v>0.20200000000000001</v>
      </c>
      <c r="AG175">
        <v>-0.6</v>
      </c>
      <c r="AH175">
        <v>-0.17299999999999999</v>
      </c>
      <c r="AI175">
        <v>-0.625</v>
      </c>
      <c r="AJ175">
        <v>-0.33100000000000002</v>
      </c>
      <c r="AK175">
        <v>-0.21099999999999999</v>
      </c>
      <c r="AL175">
        <v>-0.28000000000000003</v>
      </c>
      <c r="AM175">
        <v>-0.28399999999999997</v>
      </c>
      <c r="AN175">
        <v>-0.57199999999999995</v>
      </c>
      <c r="AO175">
        <v>-0.34399999999999997</v>
      </c>
      <c r="AP175">
        <v>0.193</v>
      </c>
      <c r="AQ175">
        <v>-0.56699999999999995</v>
      </c>
      <c r="AR175">
        <v>0.115</v>
      </c>
      <c r="AS175">
        <v>0.35399999999999998</v>
      </c>
      <c r="AT175">
        <v>0.27400000000000002</v>
      </c>
      <c r="AU175">
        <v>0.17499999999999999</v>
      </c>
      <c r="AV175">
        <v>0.14199999999999999</v>
      </c>
      <c r="AW175">
        <v>-0.45100000000000001</v>
      </c>
      <c r="AX175">
        <v>-0.183</v>
      </c>
      <c r="AY175">
        <v>-0.40799999999999997</v>
      </c>
      <c r="AZ175">
        <v>-0.42499999999999999</v>
      </c>
      <c r="BA175">
        <v>0.65200000000000002</v>
      </c>
      <c r="BB175">
        <v>0.23499999999999999</v>
      </c>
      <c r="BC175">
        <v>0.42299999999999999</v>
      </c>
      <c r="BD175">
        <v>-0.309</v>
      </c>
      <c r="BE175">
        <v>-0.70299999999999996</v>
      </c>
      <c r="BF175">
        <v>0.21199999999999999</v>
      </c>
      <c r="BG175">
        <v>-0.113</v>
      </c>
      <c r="BH175">
        <v>0.11799999999999999</v>
      </c>
      <c r="BI175">
        <v>-3.3000000000000002E-2</v>
      </c>
      <c r="BJ175">
        <v>-8.3000000000000004E-2</v>
      </c>
      <c r="BK175">
        <v>0.29899999999999999</v>
      </c>
      <c r="BL175">
        <v>-0.17100000000000001</v>
      </c>
      <c r="BM175">
        <v>3.5000000000000003E-2</v>
      </c>
    </row>
    <row r="176" spans="1:65" x14ac:dyDescent="0.3">
      <c r="A176" t="s">
        <v>138</v>
      </c>
      <c r="B176">
        <v>0</v>
      </c>
      <c r="C176">
        <v>0</v>
      </c>
      <c r="M176" t="s">
        <v>217</v>
      </c>
      <c r="N176">
        <v>0.53500000000000003</v>
      </c>
      <c r="O176">
        <v>0.504</v>
      </c>
      <c r="P176" t="s">
        <v>57</v>
      </c>
      <c r="Q176">
        <v>0</v>
      </c>
      <c r="R176">
        <v>0</v>
      </c>
      <c r="S176">
        <v>0.52211867099999998</v>
      </c>
      <c r="T176">
        <v>-0.75900000000000001</v>
      </c>
      <c r="U176">
        <v>-0.86399999999999999</v>
      </c>
      <c r="V176">
        <v>-0.84699999999999998</v>
      </c>
      <c r="W176">
        <v>-0.81799999999999995</v>
      </c>
      <c r="X176">
        <v>-0.9</v>
      </c>
      <c r="Y176">
        <v>-0.79300000000000004</v>
      </c>
      <c r="Z176">
        <v>-0.75900000000000001</v>
      </c>
      <c r="AA176">
        <v>-0.88500000000000001</v>
      </c>
      <c r="AB176">
        <v>-0.16200000000000001</v>
      </c>
      <c r="AC176">
        <v>-0.16200000000000001</v>
      </c>
      <c r="AD176">
        <v>0.375</v>
      </c>
      <c r="AE176">
        <v>0.44</v>
      </c>
      <c r="AF176">
        <v>0.18</v>
      </c>
      <c r="AG176">
        <v>-0.97399999999999998</v>
      </c>
      <c r="AH176">
        <v>-0.17</v>
      </c>
      <c r="AI176">
        <v>-0.754</v>
      </c>
      <c r="AJ176">
        <v>-0.98399999999999999</v>
      </c>
      <c r="AK176">
        <v>-0.89900000000000002</v>
      </c>
      <c r="AL176">
        <v>-0.72</v>
      </c>
      <c r="AM176">
        <v>-0.28799999999999998</v>
      </c>
      <c r="AN176">
        <v>-0.72699999999999998</v>
      </c>
      <c r="AO176">
        <v>-0.63800000000000001</v>
      </c>
      <c r="AP176">
        <v>0.371</v>
      </c>
      <c r="AQ176">
        <v>-0.33100000000000002</v>
      </c>
      <c r="AR176">
        <v>-2.5999999999999999E-2</v>
      </c>
      <c r="AS176">
        <v>0.41099999999999998</v>
      </c>
      <c r="AT176">
        <v>0.47099999999999997</v>
      </c>
      <c r="AU176">
        <v>0.22700000000000001</v>
      </c>
      <c r="AV176">
        <v>4.5999999999999999E-2</v>
      </c>
      <c r="AW176">
        <v>-0.22900000000000001</v>
      </c>
      <c r="AX176">
        <v>-0.432</v>
      </c>
      <c r="AY176">
        <v>-4.2999999999999997E-2</v>
      </c>
      <c r="AZ176">
        <v>-0.24299999999999999</v>
      </c>
      <c r="BA176">
        <v>-6.8000000000000005E-2</v>
      </c>
      <c r="BB176">
        <v>0.13900000000000001</v>
      </c>
      <c r="BC176">
        <v>0.51300000000000001</v>
      </c>
      <c r="BD176">
        <v>-0.156</v>
      </c>
      <c r="BE176">
        <v>-0.05</v>
      </c>
      <c r="BF176">
        <v>0.17499999999999999</v>
      </c>
      <c r="BG176">
        <v>5.2999999999999999E-2</v>
      </c>
      <c r="BH176">
        <v>-0.26700000000000002</v>
      </c>
      <c r="BI176">
        <v>-6.6000000000000003E-2</v>
      </c>
      <c r="BJ176">
        <v>-3.5000000000000003E-2</v>
      </c>
      <c r="BK176">
        <v>0.505</v>
      </c>
      <c r="BL176">
        <v>0.60099999999999998</v>
      </c>
      <c r="BM176">
        <v>-0.65</v>
      </c>
    </row>
    <row r="177" spans="1:65" x14ac:dyDescent="0.3">
      <c r="A177" t="s">
        <v>186</v>
      </c>
      <c r="B177">
        <v>0</v>
      </c>
      <c r="C177">
        <v>0</v>
      </c>
      <c r="M177" t="s">
        <v>257</v>
      </c>
      <c r="N177">
        <v>0.53400000000000003</v>
      </c>
      <c r="O177">
        <v>0.39900000000000002</v>
      </c>
      <c r="P177" t="s">
        <v>57</v>
      </c>
      <c r="Q177">
        <v>0</v>
      </c>
      <c r="R177">
        <v>0</v>
      </c>
      <c r="S177">
        <v>0.24272685166666699</v>
      </c>
      <c r="T177">
        <v>-0.78300000000000003</v>
      </c>
      <c r="U177">
        <v>-0.68600000000000005</v>
      </c>
      <c r="V177">
        <v>-0.85</v>
      </c>
      <c r="W177">
        <v>-0.83899999999999997</v>
      </c>
      <c r="X177">
        <v>-0.84199999999999997</v>
      </c>
      <c r="Y177">
        <v>-0.81200000000000006</v>
      </c>
      <c r="Z177">
        <v>-0.75700000000000001</v>
      </c>
      <c r="AA177">
        <v>-0.83399999999999996</v>
      </c>
      <c r="AB177">
        <v>-0.20499999999999999</v>
      </c>
      <c r="AC177">
        <v>-0.20799999999999999</v>
      </c>
      <c r="AD177">
        <v>0.25</v>
      </c>
      <c r="AE177">
        <v>-3.1E-2</v>
      </c>
      <c r="AF177">
        <v>0.245</v>
      </c>
      <c r="AG177">
        <v>-0.65900000000000003</v>
      </c>
      <c r="AH177">
        <v>-0.64900000000000002</v>
      </c>
      <c r="AI177">
        <v>-0.71399999999999997</v>
      </c>
      <c r="AJ177">
        <v>-0.436</v>
      </c>
      <c r="AK177">
        <v>-0.42699999999999999</v>
      </c>
      <c r="AL177">
        <v>-0.81100000000000005</v>
      </c>
      <c r="AM177">
        <v>-3.2000000000000001E-2</v>
      </c>
      <c r="AN177">
        <v>-0.41899999999999998</v>
      </c>
      <c r="AO177">
        <v>-0.17699999999999999</v>
      </c>
      <c r="AP177">
        <v>0.35499999999999998</v>
      </c>
      <c r="AQ177">
        <v>-0.19800000000000001</v>
      </c>
      <c r="AR177">
        <v>-0.192</v>
      </c>
      <c r="AS177">
        <v>-0.12</v>
      </c>
      <c r="AT177">
        <v>9.6000000000000002E-2</v>
      </c>
      <c r="AU177">
        <v>0.24399999999999999</v>
      </c>
      <c r="AV177">
        <v>1.4E-2</v>
      </c>
      <c r="AW177">
        <v>0.123</v>
      </c>
      <c r="AX177">
        <v>-0.39700000000000002</v>
      </c>
      <c r="AY177">
        <v>-0.68700000000000006</v>
      </c>
      <c r="AZ177">
        <v>-0.36099999999999999</v>
      </c>
      <c r="BA177">
        <v>-0.13800000000000001</v>
      </c>
      <c r="BB177">
        <v>0.125</v>
      </c>
      <c r="BC177">
        <v>-2.3E-2</v>
      </c>
      <c r="BD177">
        <v>-0.1</v>
      </c>
      <c r="BE177">
        <v>-8.4000000000000005E-2</v>
      </c>
      <c r="BF177">
        <v>0.13700000000000001</v>
      </c>
      <c r="BG177">
        <v>0.30199999999999999</v>
      </c>
      <c r="BH177">
        <v>-3.0000000000000001E-3</v>
      </c>
      <c r="BI177">
        <v>-1.7000000000000001E-2</v>
      </c>
      <c r="BJ177">
        <v>0.47099999999999997</v>
      </c>
      <c r="BK177">
        <v>0.97799999999999998</v>
      </c>
      <c r="BL177">
        <v>-0.64200000000000002</v>
      </c>
      <c r="BM177">
        <v>0.308</v>
      </c>
    </row>
    <row r="178" spans="1:65" x14ac:dyDescent="0.3">
      <c r="A178" t="s">
        <v>230</v>
      </c>
      <c r="B178">
        <v>0</v>
      </c>
      <c r="C178">
        <v>0</v>
      </c>
      <c r="M178" t="s">
        <v>251</v>
      </c>
      <c r="N178">
        <v>0.53400000000000003</v>
      </c>
      <c r="O178">
        <v>0.376</v>
      </c>
      <c r="P178" t="s">
        <v>55</v>
      </c>
      <c r="Q178">
        <v>0</v>
      </c>
      <c r="R178">
        <v>0</v>
      </c>
      <c r="S178">
        <v>0</v>
      </c>
      <c r="T178">
        <v>-0.67800000000000005</v>
      </c>
      <c r="U178">
        <v>-0.28199999999999997</v>
      </c>
      <c r="V178">
        <v>-0.155</v>
      </c>
      <c r="W178">
        <v>-0.874</v>
      </c>
      <c r="X178">
        <v>-0.58499999999999996</v>
      </c>
      <c r="Y178">
        <v>-0.83499999999999996</v>
      </c>
      <c r="Z178">
        <v>-0.879</v>
      </c>
      <c r="AA178">
        <v>-0.93500000000000005</v>
      </c>
      <c r="AB178">
        <v>-0.26700000000000002</v>
      </c>
      <c r="AC178">
        <v>-0.26700000000000002</v>
      </c>
      <c r="AD178">
        <v>0.121</v>
      </c>
      <c r="AE178">
        <v>-0.27</v>
      </c>
      <c r="AF178">
        <v>0.14099999999999999</v>
      </c>
      <c r="AG178">
        <v>-0.61499999999999999</v>
      </c>
      <c r="AH178">
        <v>-0.20599999999999999</v>
      </c>
      <c r="AI178">
        <v>-0.32400000000000001</v>
      </c>
      <c r="AJ178">
        <v>1</v>
      </c>
      <c r="AK178">
        <v>-0.34</v>
      </c>
      <c r="AL178">
        <v>-0.57799999999999996</v>
      </c>
      <c r="AM178">
        <v>0.68600000000000005</v>
      </c>
      <c r="AN178">
        <v>-1</v>
      </c>
      <c r="AO178">
        <v>0.79800000000000004</v>
      </c>
      <c r="AP178">
        <v>-0.27200000000000002</v>
      </c>
      <c r="AQ178">
        <v>-0.65300000000000002</v>
      </c>
      <c r="AR178">
        <v>-0.66900000000000004</v>
      </c>
      <c r="AS178">
        <v>-0.45700000000000002</v>
      </c>
      <c r="AT178">
        <v>-0.68200000000000005</v>
      </c>
      <c r="AU178">
        <v>-0.437</v>
      </c>
      <c r="AV178">
        <v>-0.26400000000000001</v>
      </c>
      <c r="AW178">
        <v>-0.40500000000000003</v>
      </c>
      <c r="AX178">
        <v>-0.81499999999999995</v>
      </c>
      <c r="AY178">
        <v>-0.61499999999999999</v>
      </c>
      <c r="AZ178">
        <v>-0.39300000000000002</v>
      </c>
      <c r="BA178">
        <v>0.54100000000000004</v>
      </c>
      <c r="BB178">
        <v>0.875</v>
      </c>
      <c r="BC178">
        <v>0.67900000000000005</v>
      </c>
      <c r="BD178">
        <v>-0.376</v>
      </c>
      <c r="BE178">
        <v>0.16800000000000001</v>
      </c>
      <c r="BF178">
        <v>-7.0999999999999994E-2</v>
      </c>
      <c r="BG178">
        <v>-6.0999999999999999E-2</v>
      </c>
      <c r="BH178">
        <v>-1.4999999999999999E-2</v>
      </c>
      <c r="BI178">
        <v>0.08</v>
      </c>
      <c r="BJ178">
        <v>0.97199999999999998</v>
      </c>
      <c r="BK178">
        <v>-6.9000000000000006E-2</v>
      </c>
      <c r="BL178">
        <v>0.45400000000000001</v>
      </c>
      <c r="BM178">
        <v>1</v>
      </c>
    </row>
    <row r="179" spans="1:65" x14ac:dyDescent="0.3">
      <c r="A179" t="s">
        <v>182</v>
      </c>
      <c r="B179">
        <v>0</v>
      </c>
      <c r="C179">
        <v>2.68309263256939E-2</v>
      </c>
      <c r="M179" t="s">
        <v>231</v>
      </c>
      <c r="N179">
        <v>0.53400000000000003</v>
      </c>
      <c r="O179">
        <v>0.51500000000000001</v>
      </c>
      <c r="P179" t="s">
        <v>71</v>
      </c>
      <c r="Q179">
        <v>0</v>
      </c>
      <c r="R179">
        <v>0</v>
      </c>
      <c r="S179">
        <v>0.16350241333333301</v>
      </c>
      <c r="T179">
        <v>-0.93100000000000005</v>
      </c>
      <c r="U179">
        <v>-0.92100000000000004</v>
      </c>
      <c r="V179">
        <v>-0.95699999999999996</v>
      </c>
      <c r="W179">
        <v>-0.91200000000000003</v>
      </c>
      <c r="X179">
        <v>-0.95099999999999996</v>
      </c>
      <c r="Y179">
        <v>-0.84299999999999997</v>
      </c>
      <c r="Z179">
        <v>-0.85499999999999998</v>
      </c>
      <c r="AA179">
        <v>-0.86599999999999999</v>
      </c>
      <c r="AB179">
        <v>-9.6000000000000002E-2</v>
      </c>
      <c r="AC179">
        <v>-9.5000000000000001E-2</v>
      </c>
      <c r="AD179">
        <v>0.53600000000000003</v>
      </c>
      <c r="AE179">
        <v>0.52900000000000003</v>
      </c>
      <c r="AF179">
        <v>0.316</v>
      </c>
      <c r="AG179">
        <v>-0.94099999999999995</v>
      </c>
      <c r="AH179">
        <v>-0.93300000000000005</v>
      </c>
      <c r="AI179">
        <v>-0.47499999999999998</v>
      </c>
      <c r="AJ179">
        <v>-0.83399999999999996</v>
      </c>
      <c r="AK179">
        <v>-0.36199999999999999</v>
      </c>
      <c r="AL179">
        <v>-0.81299999999999994</v>
      </c>
      <c r="AM179">
        <v>-0.48199999999999998</v>
      </c>
      <c r="AN179">
        <v>-0.84599999999999997</v>
      </c>
      <c r="AO179">
        <v>-0.69699999999999995</v>
      </c>
      <c r="AP179">
        <v>-0.14499999999999999</v>
      </c>
      <c r="AQ179">
        <v>4.0000000000000001E-3</v>
      </c>
      <c r="AR179">
        <v>0.34899999999999998</v>
      </c>
      <c r="AS179">
        <v>-4.8000000000000001E-2</v>
      </c>
      <c r="AT179">
        <v>-0.40100000000000002</v>
      </c>
      <c r="AU179">
        <v>-0.71799999999999997</v>
      </c>
      <c r="AV179">
        <v>0.152</v>
      </c>
      <c r="AW179">
        <v>-0.55600000000000005</v>
      </c>
      <c r="AX179">
        <v>-0.52200000000000002</v>
      </c>
      <c r="AY179">
        <v>0.45200000000000001</v>
      </c>
      <c r="AZ179">
        <v>-3.1E-2</v>
      </c>
      <c r="BA179">
        <v>0.72799999999999998</v>
      </c>
      <c r="BB179">
        <v>0.59099999999999997</v>
      </c>
      <c r="BC179">
        <v>0.52700000000000002</v>
      </c>
      <c r="BD179">
        <v>-0.95199999999999996</v>
      </c>
      <c r="BE179">
        <v>-0.76800000000000002</v>
      </c>
      <c r="BF179">
        <v>-0.17799999999999999</v>
      </c>
      <c r="BG179">
        <v>-1</v>
      </c>
      <c r="BH179">
        <v>-0.98399999999999999</v>
      </c>
      <c r="BI179">
        <v>0</v>
      </c>
      <c r="BJ179">
        <v>-0.314</v>
      </c>
      <c r="BK179">
        <v>-0.316</v>
      </c>
      <c r="BL179">
        <v>0.35099999999999998</v>
      </c>
      <c r="BM179">
        <v>-7.6999999999999999E-2</v>
      </c>
    </row>
    <row r="180" spans="1:65" x14ac:dyDescent="0.3">
      <c r="A180" t="s">
        <v>60</v>
      </c>
      <c r="B180">
        <v>1.4269527464952501E-2</v>
      </c>
      <c r="C180">
        <v>9.3190117559870597E-3</v>
      </c>
      <c r="M180" t="s">
        <v>187</v>
      </c>
      <c r="N180">
        <v>0.53300000000000003</v>
      </c>
      <c r="O180">
        <v>0.46200000000000002</v>
      </c>
      <c r="P180" t="s">
        <v>53</v>
      </c>
      <c r="Q180">
        <v>0</v>
      </c>
      <c r="R180">
        <v>0</v>
      </c>
      <c r="S180">
        <v>0.14765889026666701</v>
      </c>
      <c r="T180">
        <v>-0.86399999999999999</v>
      </c>
      <c r="U180">
        <v>-0.92300000000000004</v>
      </c>
      <c r="V180">
        <v>-0.85299999999999998</v>
      </c>
      <c r="W180">
        <v>-0.84299999999999997</v>
      </c>
      <c r="X180">
        <v>-0.89600000000000002</v>
      </c>
      <c r="Y180">
        <v>-0.84299999999999997</v>
      </c>
      <c r="Z180">
        <v>-0.8</v>
      </c>
      <c r="AA180">
        <v>-0.90500000000000003</v>
      </c>
      <c r="AB180">
        <v>-4.7E-2</v>
      </c>
      <c r="AC180">
        <v>-4.7E-2</v>
      </c>
      <c r="AD180">
        <v>0.51200000000000001</v>
      </c>
      <c r="AE180">
        <v>0.52800000000000002</v>
      </c>
      <c r="AF180">
        <v>0.184</v>
      </c>
      <c r="AG180">
        <v>-0.501</v>
      </c>
      <c r="AH180">
        <v>-0.317</v>
      </c>
      <c r="AI180">
        <v>-0.83099999999999996</v>
      </c>
      <c r="AJ180">
        <v>-0.67</v>
      </c>
      <c r="AK180">
        <v>-0.93600000000000005</v>
      </c>
      <c r="AL180">
        <v>-0.58699999999999997</v>
      </c>
      <c r="AM180">
        <v>7.3999999999999996E-2</v>
      </c>
      <c r="AN180">
        <v>-0.52500000000000002</v>
      </c>
      <c r="AO180">
        <v>-0.14699999999999999</v>
      </c>
      <c r="AP180">
        <v>0.747</v>
      </c>
      <c r="AQ180">
        <v>-0.69899999999999995</v>
      </c>
      <c r="AR180">
        <v>-0.373</v>
      </c>
      <c r="AS180">
        <v>0.223</v>
      </c>
      <c r="AT180">
        <v>-0.17599999999999999</v>
      </c>
      <c r="AU180">
        <v>-0.86899999999999999</v>
      </c>
      <c r="AV180">
        <v>0.45300000000000001</v>
      </c>
      <c r="AW180">
        <v>-0.46899999999999997</v>
      </c>
      <c r="AX180">
        <v>-0.28599999999999998</v>
      </c>
      <c r="AY180">
        <v>0.06</v>
      </c>
      <c r="AZ180">
        <v>0.189</v>
      </c>
      <c r="BA180">
        <v>0.94899999999999995</v>
      </c>
      <c r="BB180">
        <v>9.7000000000000003E-2</v>
      </c>
      <c r="BC180">
        <v>2.3E-2</v>
      </c>
      <c r="BD180">
        <v>-0.52600000000000002</v>
      </c>
      <c r="BE180">
        <v>-0.312</v>
      </c>
      <c r="BF180">
        <v>6.7000000000000004E-2</v>
      </c>
      <c r="BG180">
        <v>-0.29799999999999999</v>
      </c>
      <c r="BH180">
        <v>-9.0999999999999998E-2</v>
      </c>
      <c r="BI180">
        <v>-0.16500000000000001</v>
      </c>
      <c r="BJ180">
        <v>0.152</v>
      </c>
      <c r="BK180">
        <v>-0.36</v>
      </c>
      <c r="BL180">
        <v>8.6999999999999994E-2</v>
      </c>
      <c r="BM180">
        <v>-7.2999999999999995E-2</v>
      </c>
    </row>
    <row r="181" spans="1:65" x14ac:dyDescent="0.3">
      <c r="A181" t="s">
        <v>261</v>
      </c>
      <c r="B181">
        <v>0</v>
      </c>
      <c r="C181">
        <v>0</v>
      </c>
      <c r="M181" t="s">
        <v>157</v>
      </c>
      <c r="N181">
        <v>0.53200000000000003</v>
      </c>
      <c r="O181">
        <v>0.39700000000000002</v>
      </c>
      <c r="P181" t="s">
        <v>57</v>
      </c>
      <c r="Q181">
        <v>0</v>
      </c>
      <c r="R181">
        <v>0</v>
      </c>
      <c r="S181">
        <v>0.12882522041</v>
      </c>
      <c r="T181">
        <v>-0.67200000000000004</v>
      </c>
      <c r="U181">
        <v>-0.46</v>
      </c>
      <c r="V181">
        <v>-0.52900000000000003</v>
      </c>
      <c r="W181">
        <v>-0.56899999999999995</v>
      </c>
      <c r="X181">
        <v>-0.40899999999999997</v>
      </c>
      <c r="Y181">
        <v>-0.77200000000000002</v>
      </c>
      <c r="Z181">
        <v>-0.752</v>
      </c>
      <c r="AA181">
        <v>-0.88</v>
      </c>
      <c r="AB181">
        <v>-0.28199999999999997</v>
      </c>
      <c r="AC181">
        <v>-0.28000000000000003</v>
      </c>
      <c r="AD181">
        <v>-0.20300000000000001</v>
      </c>
      <c r="AE181">
        <v>-1</v>
      </c>
      <c r="AF181">
        <v>0.23200000000000001</v>
      </c>
      <c r="AG181">
        <v>6.4000000000000001E-2</v>
      </c>
      <c r="AH181">
        <v>0.78900000000000003</v>
      </c>
      <c r="AI181">
        <v>-0.13900000000000001</v>
      </c>
      <c r="AJ181">
        <v>0.19400000000000001</v>
      </c>
      <c r="AK181">
        <v>-0.70699999999999996</v>
      </c>
      <c r="AL181">
        <v>-0.20899999999999999</v>
      </c>
      <c r="AM181">
        <v>0.69599999999999995</v>
      </c>
      <c r="AN181">
        <v>-0.93</v>
      </c>
      <c r="AO181">
        <v>0.20699999999999999</v>
      </c>
      <c r="AP181">
        <v>0.20200000000000001</v>
      </c>
      <c r="AQ181">
        <v>-0.55800000000000005</v>
      </c>
      <c r="AR181">
        <v>-0.56999999999999995</v>
      </c>
      <c r="AS181">
        <v>0.34799999999999998</v>
      </c>
      <c r="AT181">
        <v>-0.98399999999999999</v>
      </c>
      <c r="AU181">
        <v>-0.29199999999999998</v>
      </c>
      <c r="AV181">
        <v>0.29199999999999998</v>
      </c>
      <c r="AW181">
        <v>-0.16900000000000001</v>
      </c>
      <c r="AX181">
        <v>-0.20699999999999999</v>
      </c>
      <c r="AY181">
        <v>-0.78800000000000003</v>
      </c>
      <c r="AZ181">
        <v>-0.22</v>
      </c>
      <c r="BA181">
        <v>0.32100000000000001</v>
      </c>
      <c r="BB181">
        <v>-0.91200000000000003</v>
      </c>
      <c r="BC181">
        <v>-0.14599999999999999</v>
      </c>
      <c r="BD181">
        <v>0.11799999999999999</v>
      </c>
      <c r="BE181">
        <v>6.8000000000000005E-2</v>
      </c>
      <c r="BF181">
        <v>0.25700000000000001</v>
      </c>
      <c r="BG181">
        <v>0.80500000000000005</v>
      </c>
      <c r="BH181">
        <v>0.97099999999999997</v>
      </c>
      <c r="BI181">
        <v>0.38400000000000001</v>
      </c>
      <c r="BJ181">
        <v>1</v>
      </c>
      <c r="BK181">
        <v>0.123</v>
      </c>
      <c r="BL181">
        <v>-0.89600000000000002</v>
      </c>
      <c r="BM181">
        <v>-0.36499999999999999</v>
      </c>
    </row>
    <row r="182" spans="1:65" x14ac:dyDescent="0.3">
      <c r="A182" t="s">
        <v>178</v>
      </c>
      <c r="B182">
        <v>0</v>
      </c>
      <c r="C182">
        <v>0</v>
      </c>
      <c r="M182" t="s">
        <v>223</v>
      </c>
      <c r="N182">
        <v>0.53100000000000003</v>
      </c>
      <c r="O182">
        <v>0.56499999999999995</v>
      </c>
      <c r="P182" t="s">
        <v>68</v>
      </c>
      <c r="Q182">
        <v>0</v>
      </c>
      <c r="R182">
        <v>0</v>
      </c>
      <c r="S182">
        <v>4.1345687643333302E-2</v>
      </c>
      <c r="T182">
        <v>-0.95199999999999996</v>
      </c>
      <c r="U182">
        <v>-0.90600000000000003</v>
      </c>
      <c r="V182">
        <v>-0.91800000000000004</v>
      </c>
      <c r="W182">
        <v>-0.92800000000000005</v>
      </c>
      <c r="X182">
        <v>-0.93</v>
      </c>
      <c r="Y182">
        <v>-0.93799999999999994</v>
      </c>
      <c r="Z182">
        <v>-0.89300000000000002</v>
      </c>
      <c r="AA182">
        <v>-0.88600000000000001</v>
      </c>
      <c r="AB182">
        <v>5.3999999999999999E-2</v>
      </c>
      <c r="AC182">
        <v>4.7E-2</v>
      </c>
      <c r="AD182">
        <v>0.437</v>
      </c>
      <c r="AE182">
        <v>0.45200000000000001</v>
      </c>
      <c r="AF182">
        <v>0.27200000000000002</v>
      </c>
      <c r="AG182">
        <v>-0.96599999999999997</v>
      </c>
      <c r="AH182">
        <v>-1</v>
      </c>
      <c r="AI182">
        <v>-0.47899999999999998</v>
      </c>
      <c r="AJ182">
        <v>-0.47699999999999998</v>
      </c>
      <c r="AK182">
        <v>1</v>
      </c>
      <c r="AL182">
        <v>-0.58499999999999996</v>
      </c>
      <c r="AM182">
        <v>-0.34899999999999998</v>
      </c>
      <c r="AN182">
        <v>-0.96599999999999997</v>
      </c>
      <c r="AO182">
        <v>-0.66400000000000003</v>
      </c>
      <c r="AP182">
        <v>-0.42399999999999999</v>
      </c>
      <c r="AQ182">
        <v>0.32100000000000001</v>
      </c>
      <c r="AR182">
        <v>0.109</v>
      </c>
      <c r="AS182">
        <v>-0.86399999999999999</v>
      </c>
      <c r="AT182">
        <v>-0.89200000000000002</v>
      </c>
      <c r="AU182">
        <v>-0.311</v>
      </c>
      <c r="AV182">
        <v>1.4999999999999999E-2</v>
      </c>
      <c r="AW182">
        <v>-0.45400000000000001</v>
      </c>
      <c r="AX182">
        <v>-0.502</v>
      </c>
      <c r="AY182">
        <v>0.53600000000000003</v>
      </c>
      <c r="AZ182">
        <v>-0.13400000000000001</v>
      </c>
      <c r="BA182">
        <v>0.75700000000000001</v>
      </c>
      <c r="BB182">
        <v>-0.56699999999999995</v>
      </c>
      <c r="BC182">
        <v>-0.38700000000000001</v>
      </c>
      <c r="BD182">
        <v>-1</v>
      </c>
      <c r="BE182">
        <v>-0.68500000000000005</v>
      </c>
      <c r="BF182">
        <v>8.7999999999999995E-2</v>
      </c>
      <c r="BG182">
        <v>-0.20200000000000001</v>
      </c>
      <c r="BH182">
        <v>-1</v>
      </c>
      <c r="BI182">
        <v>0.10299999999999999</v>
      </c>
      <c r="BJ182">
        <v>-0.61699999999999999</v>
      </c>
      <c r="BK182">
        <v>0.25700000000000001</v>
      </c>
      <c r="BL182">
        <v>0.13400000000000001</v>
      </c>
      <c r="BM182">
        <v>0.55100000000000005</v>
      </c>
    </row>
    <row r="183" spans="1:65" x14ac:dyDescent="0.3">
      <c r="A183" t="s">
        <v>168</v>
      </c>
      <c r="B183">
        <v>0</v>
      </c>
      <c r="C183">
        <v>0</v>
      </c>
      <c r="M183" t="s">
        <v>191</v>
      </c>
      <c r="N183">
        <v>0.53</v>
      </c>
      <c r="O183">
        <v>0.61899999999999999</v>
      </c>
      <c r="P183" t="s">
        <v>71</v>
      </c>
      <c r="Q183">
        <v>0</v>
      </c>
      <c r="R183">
        <v>0</v>
      </c>
      <c r="S183">
        <v>1.8404105043333301</v>
      </c>
      <c r="T183">
        <v>-0.97599999999999998</v>
      </c>
      <c r="U183">
        <v>-0.97099999999999997</v>
      </c>
      <c r="V183">
        <v>-0.92700000000000005</v>
      </c>
      <c r="W183">
        <v>-0.95099999999999996</v>
      </c>
      <c r="X183">
        <v>-0.95499999999999996</v>
      </c>
      <c r="Y183">
        <v>-0.85199999999999998</v>
      </c>
      <c r="Z183">
        <v>-0.78300000000000003</v>
      </c>
      <c r="AA183">
        <v>-0.86599999999999999</v>
      </c>
      <c r="AB183">
        <v>3.5999999999999997E-2</v>
      </c>
      <c r="AC183">
        <v>3.3000000000000002E-2</v>
      </c>
      <c r="AD183">
        <v>9.0999999999999998E-2</v>
      </c>
      <c r="AE183">
        <v>8.5000000000000006E-2</v>
      </c>
      <c r="AF183">
        <v>0.38700000000000001</v>
      </c>
      <c r="AG183">
        <v>-0.95599999999999996</v>
      </c>
      <c r="AH183">
        <v>-1</v>
      </c>
      <c r="AI183">
        <v>-0.85099999999999998</v>
      </c>
      <c r="AJ183">
        <v>-0.45400000000000001</v>
      </c>
      <c r="AK183">
        <v>-0.17299999999999999</v>
      </c>
      <c r="AL183">
        <v>-0.60399999999999998</v>
      </c>
      <c r="AM183">
        <v>-0.41</v>
      </c>
      <c r="AN183">
        <v>-0.13</v>
      </c>
      <c r="AO183">
        <v>-0.35</v>
      </c>
      <c r="AP183">
        <v>-0.50800000000000001</v>
      </c>
      <c r="AQ183">
        <v>-0.156</v>
      </c>
      <c r="AR183">
        <v>2.4E-2</v>
      </c>
      <c r="AS183">
        <v>-0.315</v>
      </c>
      <c r="AT183">
        <v>-1</v>
      </c>
      <c r="AU183">
        <v>-0.70499999999999996</v>
      </c>
      <c r="AV183">
        <v>-0.36299999999999999</v>
      </c>
      <c r="AW183">
        <v>-0.82099999999999995</v>
      </c>
      <c r="AX183">
        <v>-0.78600000000000003</v>
      </c>
      <c r="AY183">
        <v>0.82099999999999995</v>
      </c>
      <c r="AZ183">
        <v>-0.77500000000000002</v>
      </c>
      <c r="BA183">
        <v>-0.24199999999999999</v>
      </c>
      <c r="BB183">
        <v>-0.90100000000000002</v>
      </c>
      <c r="BC183">
        <v>-0.17799999999999999</v>
      </c>
      <c r="BD183">
        <v>9.8000000000000004E-2</v>
      </c>
      <c r="BE183">
        <v>-0.214</v>
      </c>
      <c r="BF183">
        <v>0.20300000000000001</v>
      </c>
      <c r="BG183">
        <v>-0.43099999999999999</v>
      </c>
      <c r="BH183">
        <v>0.252</v>
      </c>
      <c r="BI183">
        <v>0.78500000000000003</v>
      </c>
      <c r="BJ183">
        <v>-9.8000000000000004E-2</v>
      </c>
      <c r="BK183">
        <v>-0.626</v>
      </c>
      <c r="BL183">
        <v>0.71599999999999997</v>
      </c>
      <c r="BM183">
        <v>0.51900000000000002</v>
      </c>
    </row>
    <row r="184" spans="1:65" x14ac:dyDescent="0.3">
      <c r="A184" t="s">
        <v>600</v>
      </c>
      <c r="B184">
        <v>8.7893719883964903E-3</v>
      </c>
      <c r="C184">
        <v>7.6043160321382598E-3</v>
      </c>
      <c r="M184" t="s">
        <v>129</v>
      </c>
      <c r="N184">
        <v>0.52800000000000002</v>
      </c>
      <c r="O184">
        <v>0.373</v>
      </c>
      <c r="P184" t="s">
        <v>57</v>
      </c>
      <c r="Q184">
        <v>0</v>
      </c>
      <c r="R184">
        <v>0</v>
      </c>
      <c r="S184">
        <v>0.10844969692</v>
      </c>
      <c r="T184">
        <v>-0.82</v>
      </c>
      <c r="U184">
        <v>-0.51200000000000001</v>
      </c>
      <c r="V184">
        <v>-0.379</v>
      </c>
      <c r="W184">
        <v>-0.86</v>
      </c>
      <c r="X184">
        <v>-0.57199999999999995</v>
      </c>
      <c r="Y184">
        <v>-0.93700000000000006</v>
      </c>
      <c r="Z184">
        <v>-0.94799999999999995</v>
      </c>
      <c r="AA184">
        <v>-0.83699999999999997</v>
      </c>
      <c r="AB184">
        <v>-0.123</v>
      </c>
      <c r="AC184">
        <v>-0.123</v>
      </c>
      <c r="AD184">
        <v>-0.13</v>
      </c>
      <c r="AE184">
        <v>9.4E-2</v>
      </c>
      <c r="AF184">
        <v>0.03</v>
      </c>
      <c r="AG184">
        <v>-0.65</v>
      </c>
      <c r="AH184">
        <v>-0.20399999999999999</v>
      </c>
      <c r="AI184">
        <v>2.7E-2</v>
      </c>
      <c r="AJ184">
        <v>0.86599999999999999</v>
      </c>
      <c r="AK184">
        <v>0.24099999999999999</v>
      </c>
      <c r="AL184">
        <v>-0.51600000000000001</v>
      </c>
      <c r="AM184">
        <v>-0.26900000000000002</v>
      </c>
      <c r="AN184">
        <v>-0.33</v>
      </c>
      <c r="AO184">
        <v>0.75600000000000001</v>
      </c>
      <c r="AP184">
        <v>-0.17299999999999999</v>
      </c>
      <c r="AQ184">
        <v>-0.35</v>
      </c>
      <c r="AR184">
        <v>-0.45900000000000002</v>
      </c>
      <c r="AS184">
        <v>-9.7000000000000003E-2</v>
      </c>
      <c r="AT184">
        <v>-2E-3</v>
      </c>
      <c r="AU184">
        <v>-0.30199999999999999</v>
      </c>
      <c r="AV184">
        <v>-0.34399999999999997</v>
      </c>
      <c r="AW184">
        <v>-0.35799999999999998</v>
      </c>
      <c r="AX184">
        <v>-0.74</v>
      </c>
      <c r="AY184">
        <v>-1</v>
      </c>
      <c r="AZ184">
        <v>-0.70799999999999996</v>
      </c>
      <c r="BA184">
        <v>-0.115</v>
      </c>
      <c r="BB184">
        <v>-0.26400000000000001</v>
      </c>
      <c r="BC184">
        <v>-0.751</v>
      </c>
      <c r="BD184">
        <v>0.20100000000000001</v>
      </c>
      <c r="BE184">
        <v>-0.28000000000000003</v>
      </c>
      <c r="BF184">
        <v>0.28599999999999998</v>
      </c>
      <c r="BG184">
        <v>-0.248</v>
      </c>
      <c r="BH184">
        <v>-0.49199999999999999</v>
      </c>
      <c r="BI184">
        <v>-0.64200000000000002</v>
      </c>
      <c r="BJ184">
        <v>0.16600000000000001</v>
      </c>
      <c r="BK184">
        <v>0.73699999999999999</v>
      </c>
      <c r="BL184">
        <v>0.219</v>
      </c>
      <c r="BM184">
        <v>0.92400000000000004</v>
      </c>
    </row>
    <row r="185" spans="1:65" x14ac:dyDescent="0.3">
      <c r="A185" t="s">
        <v>128</v>
      </c>
      <c r="B185">
        <v>0</v>
      </c>
      <c r="C185">
        <v>0</v>
      </c>
      <c r="M185" t="s">
        <v>183</v>
      </c>
      <c r="N185">
        <v>0.52300000000000002</v>
      </c>
      <c r="O185">
        <v>0.57899999999999996</v>
      </c>
      <c r="P185" t="s">
        <v>68</v>
      </c>
      <c r="Q185">
        <v>0</v>
      </c>
      <c r="R185">
        <v>0</v>
      </c>
      <c r="S185">
        <v>0.31190432639833299</v>
      </c>
      <c r="T185">
        <v>-0.89600000000000002</v>
      </c>
      <c r="U185">
        <v>-0.97899999999999998</v>
      </c>
      <c r="V185">
        <v>-0.93600000000000005</v>
      </c>
      <c r="W185">
        <v>-0.90300000000000002</v>
      </c>
      <c r="X185">
        <v>-0.97499999999999998</v>
      </c>
      <c r="Y185">
        <v>-0.82099999999999995</v>
      </c>
      <c r="Z185">
        <v>-0.73199999999999998</v>
      </c>
      <c r="AA185">
        <v>-0.92800000000000005</v>
      </c>
      <c r="AB185">
        <v>-0.17299999999999999</v>
      </c>
      <c r="AC185">
        <v>-0.17100000000000001</v>
      </c>
      <c r="AD185">
        <v>0.33200000000000002</v>
      </c>
      <c r="AE185">
        <v>0.38500000000000001</v>
      </c>
      <c r="AF185">
        <v>0.14099999999999999</v>
      </c>
      <c r="AG185">
        <v>-0.71199999999999997</v>
      </c>
      <c r="AH185">
        <v>-0.71799999999999997</v>
      </c>
      <c r="AI185">
        <v>-1</v>
      </c>
      <c r="AJ185">
        <v>-0.80300000000000005</v>
      </c>
      <c r="AK185">
        <v>-0.87</v>
      </c>
      <c r="AL185">
        <v>-0.91400000000000003</v>
      </c>
      <c r="AM185">
        <v>-6.0999999999999999E-2</v>
      </c>
      <c r="AN185">
        <v>-0.72599999999999998</v>
      </c>
      <c r="AO185">
        <v>-0.75600000000000001</v>
      </c>
      <c r="AP185">
        <v>0.34100000000000003</v>
      </c>
      <c r="AQ185">
        <v>-0.56100000000000005</v>
      </c>
      <c r="AR185">
        <v>-0.77600000000000002</v>
      </c>
      <c r="AS185">
        <v>-4.8000000000000001E-2</v>
      </c>
      <c r="AT185">
        <v>8.7999999999999995E-2</v>
      </c>
      <c r="AU185">
        <v>-0.83399999999999996</v>
      </c>
      <c r="AV185">
        <v>0.34399999999999997</v>
      </c>
      <c r="AW185">
        <v>-0.52100000000000002</v>
      </c>
      <c r="AX185">
        <v>-0.311</v>
      </c>
      <c r="AY185">
        <v>0.308</v>
      </c>
      <c r="AZ185">
        <v>0.06</v>
      </c>
      <c r="BA185">
        <v>0.93300000000000005</v>
      </c>
      <c r="BB185">
        <v>0.52600000000000002</v>
      </c>
      <c r="BC185">
        <v>0.41699999999999998</v>
      </c>
      <c r="BD185">
        <v>-0.35099999999999998</v>
      </c>
      <c r="BE185">
        <v>8.0000000000000002E-3</v>
      </c>
      <c r="BF185">
        <v>0.13500000000000001</v>
      </c>
      <c r="BG185">
        <v>0.4</v>
      </c>
      <c r="BH185">
        <v>-0.61599999999999999</v>
      </c>
      <c r="BI185">
        <v>0.53300000000000003</v>
      </c>
      <c r="BJ185">
        <v>-0.255</v>
      </c>
      <c r="BK185">
        <v>0.14000000000000001</v>
      </c>
      <c r="BL185">
        <v>9.8000000000000004E-2</v>
      </c>
      <c r="BM185">
        <v>-0.25600000000000001</v>
      </c>
    </row>
    <row r="186" spans="1:65" x14ac:dyDescent="0.3">
      <c r="A186" t="s">
        <v>189</v>
      </c>
      <c r="B186">
        <v>0</v>
      </c>
      <c r="C186">
        <v>0</v>
      </c>
      <c r="M186" t="s">
        <v>224</v>
      </c>
      <c r="N186">
        <v>0.52100000000000002</v>
      </c>
      <c r="O186">
        <v>0.438</v>
      </c>
      <c r="P186" t="s">
        <v>71</v>
      </c>
      <c r="Q186">
        <v>0</v>
      </c>
      <c r="R186">
        <v>0</v>
      </c>
      <c r="S186">
        <v>0.50921467608433302</v>
      </c>
      <c r="T186">
        <v>-0.96199999999999997</v>
      </c>
      <c r="U186">
        <v>-0.94299999999999995</v>
      </c>
      <c r="V186">
        <v>-0.90500000000000003</v>
      </c>
      <c r="W186">
        <v>-0.95499999999999996</v>
      </c>
      <c r="X186">
        <v>-0.95399999999999996</v>
      </c>
      <c r="Y186">
        <v>-0.86599999999999999</v>
      </c>
      <c r="Z186">
        <v>-0.82099999999999995</v>
      </c>
      <c r="AA186">
        <v>-0.95599999999999996</v>
      </c>
      <c r="AB186">
        <v>0.10299999999999999</v>
      </c>
      <c r="AC186">
        <v>0.10299999999999999</v>
      </c>
      <c r="AD186">
        <v>-2.1999999999999999E-2</v>
      </c>
      <c r="AE186">
        <v>-0.33</v>
      </c>
      <c r="AF186">
        <v>0.32700000000000001</v>
      </c>
      <c r="AG186">
        <v>-0.89</v>
      </c>
      <c r="AH186">
        <v>-0.621</v>
      </c>
      <c r="AI186">
        <v>-0.96199999999999997</v>
      </c>
      <c r="AJ186">
        <v>-9.7000000000000003E-2</v>
      </c>
      <c r="AK186">
        <v>-0.496</v>
      </c>
      <c r="AL186">
        <v>-0.63400000000000001</v>
      </c>
      <c r="AM186">
        <v>-0.65800000000000003</v>
      </c>
      <c r="AN186">
        <v>-0.502</v>
      </c>
      <c r="AO186">
        <v>-1.7000000000000001E-2</v>
      </c>
      <c r="AP186">
        <v>-0.25800000000000001</v>
      </c>
      <c r="AQ186">
        <v>-0.68700000000000006</v>
      </c>
      <c r="AR186">
        <v>-0.51600000000000001</v>
      </c>
      <c r="AS186">
        <v>-0.41699999999999998</v>
      </c>
      <c r="AT186">
        <v>0.69699999999999995</v>
      </c>
      <c r="AU186">
        <v>0.34200000000000003</v>
      </c>
      <c r="AV186">
        <v>-0.223</v>
      </c>
      <c r="AW186">
        <v>-0.72699999999999998</v>
      </c>
      <c r="AX186">
        <v>-0.78100000000000003</v>
      </c>
      <c r="AY186">
        <v>0.55600000000000005</v>
      </c>
      <c r="AZ186">
        <v>-0.128</v>
      </c>
      <c r="BA186">
        <v>-0.42599999999999999</v>
      </c>
      <c r="BB186">
        <v>-0.79500000000000004</v>
      </c>
      <c r="BC186">
        <v>-0.93100000000000005</v>
      </c>
      <c r="BD186">
        <v>-0.32500000000000001</v>
      </c>
      <c r="BE186">
        <v>-0.7</v>
      </c>
      <c r="BF186">
        <v>-0.45</v>
      </c>
      <c r="BG186">
        <v>-4.0000000000000001E-3</v>
      </c>
      <c r="BH186">
        <v>0.12</v>
      </c>
      <c r="BI186">
        <v>0.78600000000000003</v>
      </c>
      <c r="BJ186">
        <v>0.20599999999999999</v>
      </c>
      <c r="BK186">
        <v>-0.52700000000000002</v>
      </c>
      <c r="BL186">
        <v>0.23699999999999999</v>
      </c>
      <c r="BM186">
        <v>0.83</v>
      </c>
    </row>
    <row r="187" spans="1:65" x14ac:dyDescent="0.3">
      <c r="A187" t="s">
        <v>238</v>
      </c>
      <c r="B187">
        <v>0</v>
      </c>
      <c r="C187">
        <v>0</v>
      </c>
      <c r="M187" t="s">
        <v>207</v>
      </c>
      <c r="N187">
        <v>0.51900000000000002</v>
      </c>
      <c r="O187">
        <v>0.36599999999999999</v>
      </c>
      <c r="P187" t="s">
        <v>53</v>
      </c>
      <c r="Q187">
        <v>0</v>
      </c>
      <c r="R187">
        <v>0</v>
      </c>
      <c r="S187">
        <v>0</v>
      </c>
      <c r="T187">
        <v>-0.73299999999999998</v>
      </c>
      <c r="U187">
        <v>-0.34300000000000003</v>
      </c>
      <c r="V187">
        <v>-0.73199999999999998</v>
      </c>
      <c r="W187">
        <v>-0.84899999999999998</v>
      </c>
      <c r="X187">
        <v>-0.73799999999999999</v>
      </c>
      <c r="Y187">
        <v>-0.93500000000000005</v>
      </c>
      <c r="Z187">
        <v>-0.96</v>
      </c>
      <c r="AA187">
        <v>-0.86</v>
      </c>
      <c r="AB187">
        <v>-0.47699999999999998</v>
      </c>
      <c r="AC187">
        <v>-0.47699999999999998</v>
      </c>
      <c r="AD187">
        <v>-8.5999999999999993E-2</v>
      </c>
      <c r="AE187">
        <v>-5.8000000000000003E-2</v>
      </c>
      <c r="AF187">
        <v>2.9000000000000001E-2</v>
      </c>
      <c r="AG187">
        <v>-0.79100000000000004</v>
      </c>
      <c r="AH187">
        <v>-0.60699999999999998</v>
      </c>
      <c r="AI187">
        <v>-0.24199999999999999</v>
      </c>
      <c r="AJ187">
        <v>-0.498</v>
      </c>
      <c r="AK187">
        <v>1.0999999999999999E-2</v>
      </c>
      <c r="AL187">
        <v>-0.83599999999999997</v>
      </c>
      <c r="AM187">
        <v>-0.124</v>
      </c>
      <c r="AN187">
        <v>-1</v>
      </c>
      <c r="AO187">
        <v>-0.126</v>
      </c>
      <c r="AP187">
        <v>-0.313</v>
      </c>
      <c r="AQ187">
        <v>0.38400000000000001</v>
      </c>
      <c r="AR187">
        <v>-0.433</v>
      </c>
      <c r="AS187">
        <v>-0.23100000000000001</v>
      </c>
      <c r="AT187">
        <v>0.71</v>
      </c>
      <c r="AU187">
        <v>0.28199999999999997</v>
      </c>
      <c r="AV187">
        <v>-0.27100000000000002</v>
      </c>
      <c r="AW187">
        <v>-0.57999999999999996</v>
      </c>
      <c r="AX187">
        <v>-0.59</v>
      </c>
      <c r="AY187">
        <v>-0.77400000000000002</v>
      </c>
      <c r="AZ187">
        <v>-0.45600000000000002</v>
      </c>
      <c r="BA187">
        <v>0.64</v>
      </c>
      <c r="BB187">
        <v>-0.67</v>
      </c>
      <c r="BC187">
        <v>0.81499999999999995</v>
      </c>
      <c r="BD187">
        <v>0.92700000000000005</v>
      </c>
      <c r="BE187">
        <v>0.50700000000000001</v>
      </c>
      <c r="BF187">
        <v>1</v>
      </c>
      <c r="BG187">
        <v>-1</v>
      </c>
      <c r="BH187">
        <v>-0.67200000000000004</v>
      </c>
      <c r="BI187">
        <v>-0.84299999999999997</v>
      </c>
      <c r="BJ187">
        <v>1</v>
      </c>
      <c r="BK187">
        <v>0.27500000000000002</v>
      </c>
      <c r="BL187">
        <v>0.61</v>
      </c>
      <c r="BM187">
        <v>0.11899999999999999</v>
      </c>
    </row>
    <row r="188" spans="1:65" x14ac:dyDescent="0.3">
      <c r="A188" t="s">
        <v>242</v>
      </c>
      <c r="B188">
        <v>0</v>
      </c>
      <c r="C188">
        <v>0</v>
      </c>
      <c r="M188" t="s">
        <v>221</v>
      </c>
      <c r="N188">
        <v>0.51900000000000002</v>
      </c>
      <c r="O188">
        <v>0.502</v>
      </c>
      <c r="P188" t="s">
        <v>57</v>
      </c>
      <c r="Q188">
        <v>0</v>
      </c>
      <c r="R188">
        <v>-1E-3</v>
      </c>
      <c r="S188">
        <v>0.69591718821000004</v>
      </c>
      <c r="T188">
        <v>-0.83499999999999996</v>
      </c>
      <c r="U188">
        <v>-0.92900000000000005</v>
      </c>
      <c r="V188">
        <v>-0.91</v>
      </c>
      <c r="W188">
        <v>-0.72299999999999998</v>
      </c>
      <c r="X188">
        <v>-0.88900000000000001</v>
      </c>
      <c r="Y188">
        <v>-0.85399999999999998</v>
      </c>
      <c r="Z188">
        <v>-0.81399999999999995</v>
      </c>
      <c r="AA188">
        <v>-0.875</v>
      </c>
      <c r="AB188">
        <v>-0.33600000000000002</v>
      </c>
      <c r="AC188">
        <v>-0.33900000000000002</v>
      </c>
      <c r="AD188">
        <v>0.36899999999999999</v>
      </c>
      <c r="AE188">
        <v>0.36299999999999999</v>
      </c>
      <c r="AF188">
        <v>-0.04</v>
      </c>
      <c r="AG188">
        <v>-0.28000000000000003</v>
      </c>
      <c r="AH188">
        <v>3.4000000000000002E-2</v>
      </c>
      <c r="AI188">
        <v>-0.93100000000000005</v>
      </c>
      <c r="AJ188">
        <v>-0.83099999999999996</v>
      </c>
      <c r="AK188">
        <v>-0.83899999999999997</v>
      </c>
      <c r="AL188">
        <v>-0.47199999999999998</v>
      </c>
      <c r="AM188">
        <v>-0.27500000000000002</v>
      </c>
      <c r="AN188">
        <v>-0.48099999999999998</v>
      </c>
      <c r="AO188">
        <v>-0.67</v>
      </c>
      <c r="AP188">
        <v>0.46600000000000003</v>
      </c>
      <c r="AQ188">
        <v>-0.64300000000000002</v>
      </c>
      <c r="AR188">
        <v>-0.159</v>
      </c>
      <c r="AS188">
        <v>0.83699999999999997</v>
      </c>
      <c r="AT188">
        <v>0.39200000000000002</v>
      </c>
      <c r="AU188">
        <v>-0.17100000000000001</v>
      </c>
      <c r="AV188">
        <v>2.5999999999999999E-2</v>
      </c>
      <c r="AW188">
        <v>4.9000000000000002E-2</v>
      </c>
      <c r="AX188">
        <v>0.38700000000000001</v>
      </c>
      <c r="AY188">
        <v>6.0000000000000001E-3</v>
      </c>
      <c r="AZ188">
        <v>7.3999999999999996E-2</v>
      </c>
      <c r="BA188">
        <v>0.8</v>
      </c>
      <c r="BB188">
        <v>-9.5000000000000001E-2</v>
      </c>
      <c r="BC188">
        <v>-8.0000000000000002E-3</v>
      </c>
      <c r="BD188">
        <v>-0.49</v>
      </c>
      <c r="BE188">
        <v>-0.39400000000000002</v>
      </c>
      <c r="BF188">
        <v>-7.8E-2</v>
      </c>
      <c r="BG188">
        <v>-0.80800000000000005</v>
      </c>
      <c r="BH188">
        <v>-1</v>
      </c>
      <c r="BI188">
        <v>-0.76200000000000001</v>
      </c>
      <c r="BJ188">
        <v>-1.4E-2</v>
      </c>
      <c r="BK188">
        <v>-0.01</v>
      </c>
      <c r="BL188">
        <v>-0.59699999999999998</v>
      </c>
      <c r="BM188">
        <v>-0.112</v>
      </c>
    </row>
    <row r="189" spans="1:65" x14ac:dyDescent="0.3">
      <c r="A189" t="s">
        <v>133</v>
      </c>
      <c r="B189">
        <v>0</v>
      </c>
      <c r="C189">
        <v>0</v>
      </c>
      <c r="M189" t="s">
        <v>235</v>
      </c>
      <c r="N189">
        <v>0.51800000000000002</v>
      </c>
      <c r="O189">
        <v>0.432</v>
      </c>
      <c r="P189" t="s">
        <v>57</v>
      </c>
      <c r="Q189">
        <v>0</v>
      </c>
      <c r="R189">
        <v>0</v>
      </c>
      <c r="S189">
        <v>0.57689061787666696</v>
      </c>
      <c r="T189">
        <v>-0.82799999999999996</v>
      </c>
      <c r="U189">
        <v>-0.92100000000000004</v>
      </c>
      <c r="V189">
        <v>-0.81899999999999995</v>
      </c>
      <c r="W189">
        <v>-0.81399999999999995</v>
      </c>
      <c r="X189">
        <v>-0.89400000000000002</v>
      </c>
      <c r="Y189">
        <v>-0.80600000000000005</v>
      </c>
      <c r="Z189">
        <v>-0.748</v>
      </c>
      <c r="AA189">
        <v>-0.89</v>
      </c>
      <c r="AB189">
        <v>-0.37</v>
      </c>
      <c r="AC189">
        <v>-0.36699999999999999</v>
      </c>
      <c r="AD189">
        <v>0.437</v>
      </c>
      <c r="AE189">
        <v>0.35499999999999998</v>
      </c>
      <c r="AF189">
        <v>-0.122</v>
      </c>
      <c r="AG189">
        <v>-0.20300000000000001</v>
      </c>
      <c r="AH189">
        <v>-0.627</v>
      </c>
      <c r="AI189">
        <v>-0.99</v>
      </c>
      <c r="AJ189">
        <v>-0.66300000000000003</v>
      </c>
      <c r="AK189">
        <v>-0.72799999999999998</v>
      </c>
      <c r="AL189">
        <v>0.501</v>
      </c>
      <c r="AM189">
        <v>-0.252</v>
      </c>
      <c r="AN189">
        <v>-0.67900000000000005</v>
      </c>
      <c r="AO189">
        <v>-0.73299999999999998</v>
      </c>
      <c r="AP189">
        <v>0.52100000000000002</v>
      </c>
      <c r="AQ189">
        <v>-0.70199999999999996</v>
      </c>
      <c r="AR189">
        <v>-0.42799999999999999</v>
      </c>
      <c r="AS189">
        <v>4.8000000000000001E-2</v>
      </c>
      <c r="AT189">
        <v>-4.2000000000000003E-2</v>
      </c>
      <c r="AU189">
        <v>-0.71099999999999997</v>
      </c>
      <c r="AV189">
        <v>0.35899999999999999</v>
      </c>
      <c r="AW189">
        <v>3.5999999999999997E-2</v>
      </c>
      <c r="AX189">
        <v>0.35399999999999998</v>
      </c>
      <c r="AY189">
        <v>-5.6000000000000001E-2</v>
      </c>
      <c r="AZ189">
        <v>0.153</v>
      </c>
      <c r="BA189">
        <v>0.55000000000000004</v>
      </c>
      <c r="BB189">
        <v>1</v>
      </c>
      <c r="BC189">
        <v>-9.8000000000000004E-2</v>
      </c>
      <c r="BD189">
        <v>-0.45800000000000002</v>
      </c>
      <c r="BE189">
        <v>-0.36199999999999999</v>
      </c>
      <c r="BF189">
        <v>0.15</v>
      </c>
      <c r="BG189">
        <v>5.2999999999999999E-2</v>
      </c>
      <c r="BH189">
        <v>0.747</v>
      </c>
      <c r="BI189">
        <v>-0.124</v>
      </c>
      <c r="BJ189">
        <v>-0.182</v>
      </c>
      <c r="BK189">
        <v>-0.104</v>
      </c>
      <c r="BL189">
        <v>-0.73099999999999998</v>
      </c>
      <c r="BM189">
        <v>-2E-3</v>
      </c>
    </row>
    <row r="190" spans="1:65" x14ac:dyDescent="0.3">
      <c r="A190" t="s">
        <v>109</v>
      </c>
      <c r="B190">
        <v>9.4596865913319905E-3</v>
      </c>
      <c r="C190">
        <v>6.0431548848453804E-3</v>
      </c>
      <c r="M190" t="s">
        <v>219</v>
      </c>
      <c r="N190">
        <v>0.51800000000000002</v>
      </c>
      <c r="O190">
        <v>0.43099999999999999</v>
      </c>
      <c r="P190" t="s">
        <v>57</v>
      </c>
      <c r="Q190">
        <v>0</v>
      </c>
      <c r="R190">
        <v>0</v>
      </c>
      <c r="S190">
        <v>0.403405819666667</v>
      </c>
      <c r="T190">
        <v>-0.85</v>
      </c>
      <c r="U190">
        <v>-0.95799999999999996</v>
      </c>
      <c r="V190">
        <v>-0.873</v>
      </c>
      <c r="W190">
        <v>-0.80300000000000005</v>
      </c>
      <c r="X190">
        <v>-0.91200000000000003</v>
      </c>
      <c r="Y190">
        <v>-0.84099999999999997</v>
      </c>
      <c r="Z190">
        <v>-0.79</v>
      </c>
      <c r="AA190">
        <v>-0.93400000000000005</v>
      </c>
      <c r="AB190">
        <v>-0.191</v>
      </c>
      <c r="AC190">
        <v>-0.193</v>
      </c>
      <c r="AD190">
        <v>0.379</v>
      </c>
      <c r="AE190">
        <v>0.28000000000000003</v>
      </c>
      <c r="AF190">
        <v>-6.0999999999999999E-2</v>
      </c>
      <c r="AG190">
        <v>-0.40500000000000003</v>
      </c>
      <c r="AH190">
        <v>0.375</v>
      </c>
      <c r="AI190">
        <v>-0.96099999999999997</v>
      </c>
      <c r="AJ190">
        <v>-0.81899999999999995</v>
      </c>
      <c r="AK190">
        <v>-0.97199999999999998</v>
      </c>
      <c r="AL190">
        <v>-0.308</v>
      </c>
      <c r="AM190">
        <v>-0.20899999999999999</v>
      </c>
      <c r="AN190">
        <v>-0.84299999999999997</v>
      </c>
      <c r="AO190">
        <v>-0.35499999999999998</v>
      </c>
      <c r="AP190">
        <v>0.56699999999999995</v>
      </c>
      <c r="AQ190">
        <v>-0.74299999999999999</v>
      </c>
      <c r="AR190">
        <v>-0.55000000000000004</v>
      </c>
      <c r="AS190">
        <v>0.63500000000000001</v>
      </c>
      <c r="AT190">
        <v>0.34</v>
      </c>
      <c r="AU190">
        <v>-0.38800000000000001</v>
      </c>
      <c r="AV190">
        <v>-1.0999999999999999E-2</v>
      </c>
      <c r="AW190">
        <v>0.13400000000000001</v>
      </c>
      <c r="AX190">
        <v>2E-3</v>
      </c>
      <c r="AY190">
        <v>-0.30199999999999999</v>
      </c>
      <c r="AZ190">
        <v>-0.29199999999999998</v>
      </c>
      <c r="BA190">
        <v>0.871</v>
      </c>
      <c r="BB190">
        <v>0.44500000000000001</v>
      </c>
      <c r="BC190">
        <v>0.253</v>
      </c>
      <c r="BD190">
        <v>-0.67700000000000005</v>
      </c>
      <c r="BE190">
        <v>-0.39800000000000002</v>
      </c>
      <c r="BF190">
        <v>3.2000000000000001E-2</v>
      </c>
      <c r="BG190">
        <v>1</v>
      </c>
      <c r="BH190">
        <v>1</v>
      </c>
      <c r="BI190">
        <v>-0.217</v>
      </c>
      <c r="BJ190">
        <v>-0.56799999999999995</v>
      </c>
      <c r="BK190">
        <v>-0.13</v>
      </c>
      <c r="BL190">
        <v>-5.8000000000000003E-2</v>
      </c>
      <c r="BM190">
        <v>0.16500000000000001</v>
      </c>
    </row>
    <row r="191" spans="1:65" x14ac:dyDescent="0.3">
      <c r="A191" t="s">
        <v>121</v>
      </c>
      <c r="B191">
        <v>4.2534203645765101E-2</v>
      </c>
      <c r="C191">
        <v>3.19632662573614E-2</v>
      </c>
      <c r="M191" t="s">
        <v>248</v>
      </c>
      <c r="N191">
        <v>0.51600000000000001</v>
      </c>
      <c r="O191">
        <v>0.40400000000000003</v>
      </c>
      <c r="P191" t="s">
        <v>57</v>
      </c>
      <c r="Q191">
        <v>0</v>
      </c>
      <c r="R191">
        <v>0</v>
      </c>
      <c r="S191">
        <v>0</v>
      </c>
      <c r="T191">
        <v>-0.77600000000000002</v>
      </c>
      <c r="U191">
        <v>-0.84299999999999997</v>
      </c>
      <c r="V191">
        <v>-0.82199999999999995</v>
      </c>
      <c r="W191">
        <v>-0.81799999999999995</v>
      </c>
      <c r="X191">
        <v>-0.86899999999999999</v>
      </c>
      <c r="Y191">
        <v>-0.83799999999999997</v>
      </c>
      <c r="Z191">
        <v>-0.84599999999999997</v>
      </c>
      <c r="AA191">
        <v>-0.93600000000000005</v>
      </c>
      <c r="AB191">
        <v>-0.45200000000000001</v>
      </c>
      <c r="AC191">
        <v>-0.45400000000000001</v>
      </c>
      <c r="AD191">
        <v>0.32900000000000001</v>
      </c>
      <c r="AE191">
        <v>0.39600000000000002</v>
      </c>
      <c r="AF191">
        <v>-7.9000000000000001E-2</v>
      </c>
      <c r="AG191">
        <v>-0.19700000000000001</v>
      </c>
      <c r="AH191">
        <v>0.20899999999999999</v>
      </c>
      <c r="AI191">
        <v>-0.83299999999999996</v>
      </c>
      <c r="AJ191">
        <v>-0.28100000000000003</v>
      </c>
      <c r="AK191">
        <v>-0.51500000000000001</v>
      </c>
      <c r="AL191">
        <v>-0.74099999999999999</v>
      </c>
      <c r="AM191">
        <v>-1.2999999999999999E-2</v>
      </c>
      <c r="AN191">
        <v>-1</v>
      </c>
      <c r="AO191">
        <v>-5.5E-2</v>
      </c>
      <c r="AP191">
        <v>-0.13700000000000001</v>
      </c>
      <c r="AQ191">
        <v>-0.59299999999999997</v>
      </c>
      <c r="AR191">
        <v>-0.91100000000000003</v>
      </c>
      <c r="AS191">
        <v>-0.05</v>
      </c>
      <c r="AT191">
        <v>1</v>
      </c>
      <c r="AU191">
        <v>0.24199999999999999</v>
      </c>
      <c r="AV191">
        <v>-0.29599999999999999</v>
      </c>
      <c r="AW191">
        <v>-0.56499999999999995</v>
      </c>
      <c r="AX191">
        <v>-9.2999999999999999E-2</v>
      </c>
      <c r="AY191">
        <v>-0.435</v>
      </c>
      <c r="AZ191">
        <v>-0.82899999999999996</v>
      </c>
      <c r="BA191">
        <v>0.52400000000000002</v>
      </c>
      <c r="BB191">
        <v>0.63900000000000001</v>
      </c>
      <c r="BC191">
        <v>0.191</v>
      </c>
      <c r="BD191">
        <v>0.28100000000000003</v>
      </c>
      <c r="BE191">
        <v>0.1</v>
      </c>
      <c r="BF191">
        <v>0.46300000000000002</v>
      </c>
      <c r="BG191">
        <v>0.47</v>
      </c>
      <c r="BH191">
        <v>-0.54300000000000004</v>
      </c>
      <c r="BI191">
        <v>0.22500000000000001</v>
      </c>
      <c r="BJ191">
        <v>0.19600000000000001</v>
      </c>
      <c r="BK191">
        <v>0.58499999999999996</v>
      </c>
      <c r="BL191">
        <v>-0.70499999999999996</v>
      </c>
      <c r="BM191">
        <v>3.2000000000000001E-2</v>
      </c>
    </row>
    <row r="192" spans="1:65" x14ac:dyDescent="0.3">
      <c r="A192" t="s">
        <v>148</v>
      </c>
      <c r="B192">
        <v>0</v>
      </c>
      <c r="C192">
        <v>0</v>
      </c>
      <c r="M192" t="s">
        <v>202</v>
      </c>
      <c r="N192">
        <v>0.51500000000000001</v>
      </c>
      <c r="O192">
        <v>0.42799999999999999</v>
      </c>
      <c r="P192" t="s">
        <v>57</v>
      </c>
      <c r="Q192">
        <v>0</v>
      </c>
      <c r="R192">
        <v>0</v>
      </c>
      <c r="S192">
        <v>0</v>
      </c>
      <c r="T192">
        <v>-0.876</v>
      </c>
      <c r="U192">
        <v>-0.94299999999999995</v>
      </c>
      <c r="V192">
        <v>-0.89200000000000002</v>
      </c>
      <c r="W192">
        <v>-0.89</v>
      </c>
      <c r="X192">
        <v>-0.94499999999999995</v>
      </c>
      <c r="Y192">
        <v>-0.85099999999999998</v>
      </c>
      <c r="Z192">
        <v>-0.78400000000000003</v>
      </c>
      <c r="AA192">
        <v>-0.93400000000000005</v>
      </c>
      <c r="AB192">
        <v>-0.30199999999999999</v>
      </c>
      <c r="AC192">
        <v>-0.30499999999999999</v>
      </c>
      <c r="AD192">
        <v>0.30299999999999999</v>
      </c>
      <c r="AE192">
        <v>0.13600000000000001</v>
      </c>
      <c r="AF192">
        <v>1.7000000000000001E-2</v>
      </c>
      <c r="AG192">
        <v>-0.51400000000000001</v>
      </c>
      <c r="AH192">
        <v>-0.754</v>
      </c>
      <c r="AI192">
        <v>-0.91300000000000003</v>
      </c>
      <c r="AJ192">
        <v>-0.68500000000000005</v>
      </c>
      <c r="AK192">
        <v>-0.42099999999999999</v>
      </c>
      <c r="AL192">
        <v>-0.83499999999999996</v>
      </c>
      <c r="AM192">
        <v>-0.251</v>
      </c>
      <c r="AN192">
        <v>-1</v>
      </c>
      <c r="AO192">
        <v>-0.78800000000000003</v>
      </c>
      <c r="AP192">
        <v>0.107</v>
      </c>
      <c r="AQ192">
        <v>-0.34899999999999998</v>
      </c>
      <c r="AR192">
        <v>-0.107</v>
      </c>
      <c r="AS192">
        <v>-0.28399999999999997</v>
      </c>
      <c r="AT192">
        <v>-0.49</v>
      </c>
      <c r="AU192">
        <v>-0.25800000000000001</v>
      </c>
      <c r="AV192">
        <v>-0.19700000000000001</v>
      </c>
      <c r="AW192">
        <v>-0.41399999999999998</v>
      </c>
      <c r="AX192">
        <v>7.6999999999999999E-2</v>
      </c>
      <c r="AY192">
        <v>0.17499999999999999</v>
      </c>
      <c r="AZ192">
        <v>-0.26900000000000002</v>
      </c>
      <c r="BA192">
        <v>-0.78300000000000003</v>
      </c>
      <c r="BB192">
        <v>-0.27600000000000002</v>
      </c>
      <c r="BC192">
        <v>0.65800000000000003</v>
      </c>
      <c r="BD192">
        <v>-0.154</v>
      </c>
      <c r="BE192">
        <v>-0.23300000000000001</v>
      </c>
      <c r="BF192">
        <v>0.48699999999999999</v>
      </c>
      <c r="BG192">
        <v>0.19500000000000001</v>
      </c>
      <c r="BH192">
        <v>0.39900000000000002</v>
      </c>
      <c r="BI192">
        <v>0.45200000000000001</v>
      </c>
      <c r="BJ192">
        <v>4.0000000000000001E-3</v>
      </c>
      <c r="BK192">
        <v>0.153</v>
      </c>
      <c r="BL192">
        <v>0.58499999999999996</v>
      </c>
      <c r="BM192">
        <v>0.20599999999999999</v>
      </c>
    </row>
    <row r="193" spans="1:65" x14ac:dyDescent="0.3">
      <c r="A193" t="s">
        <v>130</v>
      </c>
      <c r="B193">
        <v>1.0611106001503799E-2</v>
      </c>
      <c r="C193">
        <v>1.15259622835768E-2</v>
      </c>
      <c r="M193" t="s">
        <v>195</v>
      </c>
      <c r="N193">
        <v>0.51400000000000001</v>
      </c>
      <c r="O193">
        <v>0.45700000000000002</v>
      </c>
      <c r="P193" t="s">
        <v>57</v>
      </c>
      <c r="Q193">
        <v>0</v>
      </c>
      <c r="R193">
        <v>0</v>
      </c>
      <c r="S193">
        <v>0</v>
      </c>
      <c r="T193">
        <v>-0.94799999999999995</v>
      </c>
      <c r="U193">
        <v>-0.99099999999999999</v>
      </c>
      <c r="V193">
        <v>-0.997</v>
      </c>
      <c r="W193">
        <v>-0.93799999999999994</v>
      </c>
      <c r="X193">
        <v>-1</v>
      </c>
      <c r="Y193">
        <v>-0.85199999999999998</v>
      </c>
      <c r="Z193">
        <v>-0.69</v>
      </c>
      <c r="AA193">
        <v>-0.97799999999999998</v>
      </c>
      <c r="AB193">
        <v>-0.115</v>
      </c>
      <c r="AC193">
        <v>-0.11</v>
      </c>
      <c r="AD193">
        <v>4.0000000000000001E-3</v>
      </c>
      <c r="AE193">
        <v>0.19400000000000001</v>
      </c>
      <c r="AF193">
        <v>9.6000000000000002E-2</v>
      </c>
      <c r="AG193">
        <v>-1</v>
      </c>
      <c r="AH193">
        <v>-0.71799999999999997</v>
      </c>
      <c r="AI193">
        <v>-1</v>
      </c>
      <c r="AJ193">
        <v>-1</v>
      </c>
      <c r="AK193">
        <v>-1</v>
      </c>
      <c r="AL193">
        <v>-0.85699999999999998</v>
      </c>
      <c r="AM193">
        <v>-0.38</v>
      </c>
      <c r="AN193">
        <v>-1</v>
      </c>
      <c r="AO193">
        <v>-0.80100000000000005</v>
      </c>
      <c r="AP193">
        <v>0.311</v>
      </c>
      <c r="AQ193">
        <v>-0.66500000000000004</v>
      </c>
      <c r="AR193">
        <v>-0.84699999999999998</v>
      </c>
      <c r="AS193">
        <v>0.27900000000000003</v>
      </c>
      <c r="AT193">
        <v>0.30599999999999999</v>
      </c>
      <c r="AU193">
        <v>0.28699999999999998</v>
      </c>
      <c r="AV193">
        <v>0.152</v>
      </c>
      <c r="AW193">
        <v>2.5000000000000001E-2</v>
      </c>
      <c r="AX193">
        <v>-0.623</v>
      </c>
      <c r="AY193">
        <v>0</v>
      </c>
      <c r="AZ193">
        <v>5.8999999999999997E-2</v>
      </c>
      <c r="BA193">
        <v>-1.0999999999999999E-2</v>
      </c>
      <c r="BB193">
        <v>2.1999999999999999E-2</v>
      </c>
      <c r="BC193">
        <v>0.55300000000000005</v>
      </c>
      <c r="BD193">
        <v>-0.50900000000000001</v>
      </c>
      <c r="BE193">
        <v>-0.58699999999999997</v>
      </c>
      <c r="BF193">
        <v>-0.25600000000000001</v>
      </c>
      <c r="BG193">
        <v>0.26</v>
      </c>
      <c r="BH193">
        <v>0.435</v>
      </c>
      <c r="BI193">
        <v>0.90300000000000002</v>
      </c>
      <c r="BJ193">
        <v>-0.35899999999999999</v>
      </c>
      <c r="BK193">
        <v>-0.61099999999999999</v>
      </c>
      <c r="BL193">
        <v>0.21</v>
      </c>
      <c r="BM193">
        <v>-0.38600000000000001</v>
      </c>
    </row>
    <row r="194" spans="1:65" x14ac:dyDescent="0.3">
      <c r="A194" t="s">
        <v>219</v>
      </c>
      <c r="B194">
        <v>0</v>
      </c>
      <c r="C194">
        <v>0</v>
      </c>
      <c r="M194" t="s">
        <v>254</v>
      </c>
      <c r="N194">
        <v>0.51200000000000001</v>
      </c>
      <c r="O194">
        <v>0.40500000000000003</v>
      </c>
      <c r="P194" t="s">
        <v>57</v>
      </c>
      <c r="Q194">
        <v>0</v>
      </c>
      <c r="R194">
        <v>-1E-3</v>
      </c>
      <c r="S194">
        <v>0.29335211</v>
      </c>
      <c r="T194">
        <v>-0.92700000000000005</v>
      </c>
      <c r="U194">
        <v>-0.91300000000000003</v>
      </c>
      <c r="V194">
        <v>-0.92700000000000005</v>
      </c>
      <c r="W194">
        <v>-0.9</v>
      </c>
      <c r="X194">
        <v>-0.91900000000000004</v>
      </c>
      <c r="Y194">
        <v>-0.89700000000000002</v>
      </c>
      <c r="Z194">
        <v>-0.84599999999999997</v>
      </c>
      <c r="AA194">
        <v>-0.95899999999999996</v>
      </c>
      <c r="AB194">
        <v>-0.53</v>
      </c>
      <c r="AC194">
        <v>-0.52900000000000003</v>
      </c>
      <c r="AD194">
        <v>0.54900000000000004</v>
      </c>
      <c r="AE194">
        <v>0.42899999999999999</v>
      </c>
      <c r="AF194">
        <v>8.9999999999999993E-3</v>
      </c>
      <c r="AG194">
        <v>-5.8000000000000003E-2</v>
      </c>
      <c r="AH194">
        <v>-0.186</v>
      </c>
      <c r="AI194">
        <v>-0.72</v>
      </c>
      <c r="AJ194">
        <v>-0.55000000000000004</v>
      </c>
      <c r="AK194">
        <v>-1</v>
      </c>
      <c r="AL194">
        <v>-0.98899999999999999</v>
      </c>
      <c r="AM194">
        <v>0.27700000000000002</v>
      </c>
      <c r="AN194">
        <v>-0.80900000000000005</v>
      </c>
      <c r="AO194">
        <v>0.154</v>
      </c>
      <c r="AP194">
        <v>-0.34300000000000003</v>
      </c>
      <c r="AQ194">
        <v>-0.81499999999999995</v>
      </c>
      <c r="AR194">
        <v>-0.58499999999999996</v>
      </c>
      <c r="AS194">
        <v>-0.189</v>
      </c>
      <c r="AT194">
        <v>-0.61199999999999999</v>
      </c>
      <c r="AU194">
        <v>-0.42199999999999999</v>
      </c>
      <c r="AV194">
        <v>-0.43099999999999999</v>
      </c>
      <c r="AW194">
        <v>-0.16200000000000001</v>
      </c>
      <c r="AX194">
        <v>-0.26100000000000001</v>
      </c>
      <c r="AY194">
        <v>-0.41899999999999998</v>
      </c>
      <c r="AZ194">
        <v>-0.33100000000000002</v>
      </c>
      <c r="BA194">
        <v>0.30399999999999999</v>
      </c>
      <c r="BB194">
        <v>-0.27300000000000002</v>
      </c>
      <c r="BC194">
        <v>-3.7999999999999999E-2</v>
      </c>
      <c r="BD194">
        <v>0.32800000000000001</v>
      </c>
      <c r="BE194">
        <v>4.4999999999999998E-2</v>
      </c>
      <c r="BF194">
        <v>0.08</v>
      </c>
      <c r="BG194">
        <v>0.35899999999999999</v>
      </c>
      <c r="BH194">
        <v>-0.10299999999999999</v>
      </c>
      <c r="BI194">
        <v>0.39900000000000002</v>
      </c>
      <c r="BJ194">
        <v>0.65300000000000002</v>
      </c>
      <c r="BK194">
        <v>0.35599999999999998</v>
      </c>
      <c r="BL194">
        <v>-0.622</v>
      </c>
      <c r="BM194">
        <v>-0.26900000000000002</v>
      </c>
    </row>
    <row r="195" spans="1:65" x14ac:dyDescent="0.3">
      <c r="A195" t="s">
        <v>227</v>
      </c>
      <c r="B195">
        <v>0</v>
      </c>
      <c r="C195">
        <v>0</v>
      </c>
      <c r="M195" t="s">
        <v>230</v>
      </c>
      <c r="N195">
        <v>0.50800000000000001</v>
      </c>
      <c r="O195">
        <v>0.39200000000000002</v>
      </c>
      <c r="P195" t="s">
        <v>71</v>
      </c>
      <c r="Q195">
        <v>0</v>
      </c>
      <c r="R195">
        <v>-1E-3</v>
      </c>
      <c r="S195">
        <v>0.66988717906333295</v>
      </c>
      <c r="T195">
        <v>-1</v>
      </c>
      <c r="U195">
        <v>-0.98</v>
      </c>
      <c r="V195">
        <v>-1</v>
      </c>
      <c r="W195">
        <v>-0.996</v>
      </c>
      <c r="X195">
        <v>-0.998</v>
      </c>
      <c r="Y195">
        <v>-0.95699999999999996</v>
      </c>
      <c r="Z195">
        <v>-0.93899999999999995</v>
      </c>
      <c r="AA195">
        <v>-0.96099999999999997</v>
      </c>
      <c r="AB195">
        <v>-0.48799999999999999</v>
      </c>
      <c r="AC195">
        <v>-0.48799999999999999</v>
      </c>
      <c r="AD195">
        <v>0.23899999999999999</v>
      </c>
      <c r="AE195">
        <v>0.46400000000000002</v>
      </c>
      <c r="AF195">
        <v>0.129</v>
      </c>
      <c r="AG195">
        <v>-0.95699999999999996</v>
      </c>
      <c r="AH195">
        <v>-0.92300000000000004</v>
      </c>
      <c r="AI195">
        <v>-0.97399999999999998</v>
      </c>
      <c r="AJ195">
        <v>-0.79800000000000004</v>
      </c>
      <c r="AK195">
        <v>-0.92800000000000005</v>
      </c>
      <c r="AL195">
        <v>-0.93700000000000006</v>
      </c>
      <c r="AM195">
        <v>-0.64500000000000002</v>
      </c>
      <c r="AN195">
        <v>-0.11</v>
      </c>
      <c r="AO195">
        <v>0.186</v>
      </c>
      <c r="AP195">
        <v>-0.73199999999999998</v>
      </c>
      <c r="AQ195">
        <v>-0.61099999999999999</v>
      </c>
      <c r="AR195">
        <v>-0.66900000000000004</v>
      </c>
      <c r="AS195">
        <v>-0.68100000000000005</v>
      </c>
      <c r="AT195">
        <v>0.42</v>
      </c>
      <c r="AU195">
        <v>-3.2000000000000001E-2</v>
      </c>
      <c r="AV195">
        <v>-0.36699999999999999</v>
      </c>
      <c r="AW195">
        <v>-0.57499999999999996</v>
      </c>
      <c r="AX195">
        <v>-0.81499999999999995</v>
      </c>
      <c r="AY195">
        <v>-0.42899999999999999</v>
      </c>
      <c r="AZ195">
        <v>-0.70099999999999996</v>
      </c>
      <c r="BA195">
        <v>0.63</v>
      </c>
      <c r="BB195">
        <v>-1</v>
      </c>
      <c r="BC195">
        <v>0.32900000000000001</v>
      </c>
      <c r="BD195">
        <v>3.5999999999999997E-2</v>
      </c>
      <c r="BE195">
        <v>-0.02</v>
      </c>
      <c r="BF195">
        <v>0.20799999999999999</v>
      </c>
      <c r="BG195">
        <v>-0.70299999999999996</v>
      </c>
      <c r="BH195">
        <v>-0.437</v>
      </c>
      <c r="BI195">
        <v>-3.4000000000000002E-2</v>
      </c>
      <c r="BJ195">
        <v>0.50800000000000001</v>
      </c>
      <c r="BK195">
        <v>0.35699999999999998</v>
      </c>
      <c r="BL195">
        <v>-0.32800000000000001</v>
      </c>
      <c r="BM195">
        <v>9.9000000000000005E-2</v>
      </c>
    </row>
    <row r="196" spans="1:65" x14ac:dyDescent="0.3">
      <c r="A196" t="s">
        <v>147</v>
      </c>
      <c r="B196">
        <v>0</v>
      </c>
      <c r="C196">
        <v>0</v>
      </c>
      <c r="M196" t="s">
        <v>212</v>
      </c>
      <c r="N196">
        <v>0.50700000000000001</v>
      </c>
      <c r="O196">
        <v>0.38900000000000001</v>
      </c>
      <c r="P196" t="s">
        <v>57</v>
      </c>
      <c r="Q196">
        <v>0</v>
      </c>
      <c r="R196">
        <v>0</v>
      </c>
      <c r="S196">
        <v>0.66774722218333304</v>
      </c>
      <c r="T196">
        <v>-0.97499999999999998</v>
      </c>
      <c r="U196">
        <v>-1</v>
      </c>
      <c r="V196">
        <v>-0.94199999999999995</v>
      </c>
      <c r="W196">
        <v>-0.95</v>
      </c>
      <c r="X196">
        <v>-0.98699999999999999</v>
      </c>
      <c r="Y196">
        <v>-0.93500000000000005</v>
      </c>
      <c r="Z196">
        <v>-0.89600000000000002</v>
      </c>
      <c r="AA196">
        <v>-0.94499999999999995</v>
      </c>
      <c r="AB196">
        <v>-0.317</v>
      </c>
      <c r="AC196">
        <v>-0.314</v>
      </c>
      <c r="AD196">
        <v>0.214</v>
      </c>
      <c r="AE196">
        <v>0.27700000000000002</v>
      </c>
      <c r="AF196">
        <v>-4.1000000000000002E-2</v>
      </c>
      <c r="AG196">
        <v>-0.83899999999999997</v>
      </c>
      <c r="AH196">
        <v>-0.67200000000000004</v>
      </c>
      <c r="AI196">
        <v>-1</v>
      </c>
      <c r="AJ196">
        <v>-0.38800000000000001</v>
      </c>
      <c r="AK196">
        <v>-0.57599999999999996</v>
      </c>
      <c r="AL196">
        <v>-0.432</v>
      </c>
      <c r="AM196">
        <v>-0.113</v>
      </c>
      <c r="AN196">
        <v>-0.32600000000000001</v>
      </c>
      <c r="AO196">
        <v>-0.65400000000000003</v>
      </c>
      <c r="AP196">
        <v>-0.25800000000000001</v>
      </c>
      <c r="AQ196">
        <v>-0.76400000000000001</v>
      </c>
      <c r="AR196">
        <v>-0.72099999999999997</v>
      </c>
      <c r="AS196">
        <v>-4.4999999999999998E-2</v>
      </c>
      <c r="AT196">
        <v>-0.375</v>
      </c>
      <c r="AU196">
        <v>-0.74399999999999999</v>
      </c>
      <c r="AV196">
        <v>0.42299999999999999</v>
      </c>
      <c r="AW196">
        <v>-0.374</v>
      </c>
      <c r="AX196">
        <v>-0.64</v>
      </c>
      <c r="AY196">
        <v>-0.19600000000000001</v>
      </c>
      <c r="AZ196">
        <v>0.40100000000000002</v>
      </c>
      <c r="BA196">
        <v>0.68100000000000005</v>
      </c>
      <c r="BB196">
        <v>0.38</v>
      </c>
      <c r="BC196">
        <v>-0.497</v>
      </c>
      <c r="BD196">
        <v>-0.56799999999999995</v>
      </c>
      <c r="BE196">
        <v>-0.3</v>
      </c>
      <c r="BF196">
        <v>-0.23799999999999999</v>
      </c>
      <c r="BG196">
        <v>0.76400000000000001</v>
      </c>
      <c r="BH196">
        <v>0.60799999999999998</v>
      </c>
      <c r="BI196">
        <v>-8.4000000000000005E-2</v>
      </c>
      <c r="BJ196">
        <v>-0.61399999999999999</v>
      </c>
      <c r="BK196">
        <v>0.29099999999999998</v>
      </c>
      <c r="BL196">
        <v>-0.41899999999999998</v>
      </c>
      <c r="BM196">
        <v>0.23499999999999999</v>
      </c>
    </row>
    <row r="197" spans="1:65" x14ac:dyDescent="0.3">
      <c r="A197" t="s">
        <v>67</v>
      </c>
      <c r="B197">
        <v>1.5002817521871201E-2</v>
      </c>
      <c r="C197">
        <v>1.04818445035063E-2</v>
      </c>
      <c r="M197" t="s">
        <v>181</v>
      </c>
      <c r="N197">
        <v>0.50600000000000001</v>
      </c>
      <c r="O197">
        <v>0.439</v>
      </c>
      <c r="P197" t="s">
        <v>68</v>
      </c>
      <c r="Q197">
        <v>0</v>
      </c>
      <c r="R197">
        <v>-7.0000000000000001E-3</v>
      </c>
      <c r="S197">
        <v>0.26549612897000002</v>
      </c>
      <c r="T197">
        <v>-0.89200000000000002</v>
      </c>
      <c r="U197">
        <v>-0.999</v>
      </c>
      <c r="V197">
        <v>-0.97899999999999998</v>
      </c>
      <c r="W197">
        <v>-0.86599999999999999</v>
      </c>
      <c r="X197">
        <v>-0.98799999999999999</v>
      </c>
      <c r="Y197">
        <v>-0.86199999999999999</v>
      </c>
      <c r="Z197">
        <v>-0.83399999999999996</v>
      </c>
      <c r="AA197">
        <v>-0.92300000000000004</v>
      </c>
      <c r="AB197">
        <v>-0.35299999999999998</v>
      </c>
      <c r="AC197">
        <v>-0.35299999999999998</v>
      </c>
      <c r="AD197">
        <v>0.28499999999999998</v>
      </c>
      <c r="AE197">
        <v>0.254</v>
      </c>
      <c r="AF197">
        <v>-0.25900000000000001</v>
      </c>
      <c r="AG197">
        <v>-0.57199999999999995</v>
      </c>
      <c r="AH197">
        <v>-0.64700000000000002</v>
      </c>
      <c r="AI197">
        <v>-0.98399999999999999</v>
      </c>
      <c r="AJ197">
        <v>-1</v>
      </c>
      <c r="AK197">
        <v>-1</v>
      </c>
      <c r="AL197">
        <v>-0.72899999999999998</v>
      </c>
      <c r="AM197">
        <v>-0.34599999999999997</v>
      </c>
      <c r="AN197">
        <v>-0.94</v>
      </c>
      <c r="AO197">
        <v>-0.82199999999999995</v>
      </c>
      <c r="AP197">
        <v>0.32600000000000001</v>
      </c>
      <c r="AQ197">
        <v>-0.27300000000000002</v>
      </c>
      <c r="AR197">
        <v>-0.314</v>
      </c>
      <c r="AS197">
        <v>0.45500000000000002</v>
      </c>
      <c r="AT197">
        <v>-0.27700000000000002</v>
      </c>
      <c r="AU197">
        <v>-0.40799999999999997</v>
      </c>
      <c r="AV197">
        <v>-6.6000000000000003E-2</v>
      </c>
      <c r="AW197">
        <v>-0.64900000000000002</v>
      </c>
      <c r="AX197">
        <v>0.221</v>
      </c>
      <c r="AY197">
        <v>0.36199999999999999</v>
      </c>
      <c r="AZ197">
        <v>9.4E-2</v>
      </c>
      <c r="BA197">
        <v>0.26</v>
      </c>
      <c r="BB197">
        <v>0.63</v>
      </c>
      <c r="BC197">
        <v>0.28799999999999998</v>
      </c>
      <c r="BD197">
        <v>8.4000000000000005E-2</v>
      </c>
      <c r="BE197">
        <v>0.253</v>
      </c>
      <c r="BF197">
        <v>0.34599999999999997</v>
      </c>
      <c r="BG197">
        <v>0.24</v>
      </c>
      <c r="BH197">
        <v>0.92300000000000004</v>
      </c>
      <c r="BI197">
        <v>-0.1</v>
      </c>
      <c r="BJ197">
        <v>-1</v>
      </c>
      <c r="BK197">
        <v>0.79800000000000004</v>
      </c>
      <c r="BL197">
        <v>-0.42399999999999999</v>
      </c>
      <c r="BM197">
        <v>-0.80200000000000005</v>
      </c>
    </row>
    <row r="198" spans="1:65" x14ac:dyDescent="0.3">
      <c r="A198" t="s">
        <v>90</v>
      </c>
      <c r="B198">
        <v>1.9756898457745899E-2</v>
      </c>
      <c r="C198">
        <v>1.344593182064E-2</v>
      </c>
      <c r="M198" t="s">
        <v>213</v>
      </c>
      <c r="N198">
        <v>0.505</v>
      </c>
      <c r="O198">
        <v>0.496</v>
      </c>
      <c r="P198" t="s">
        <v>57</v>
      </c>
      <c r="Q198">
        <v>0</v>
      </c>
      <c r="R198">
        <v>-2E-3</v>
      </c>
      <c r="S198">
        <v>0.63666666666666705</v>
      </c>
      <c r="T198">
        <v>-0.95099999999999996</v>
      </c>
      <c r="U198">
        <v>-1</v>
      </c>
      <c r="V198">
        <v>-0.98499999999999999</v>
      </c>
      <c r="W198">
        <v>-0.88600000000000001</v>
      </c>
      <c r="X198">
        <v>-0.98199999999999998</v>
      </c>
      <c r="Y198">
        <v>-0.90500000000000003</v>
      </c>
      <c r="Z198">
        <v>-0.82399999999999995</v>
      </c>
      <c r="AA198">
        <v>-0.95099999999999996</v>
      </c>
      <c r="AB198">
        <v>-0.375</v>
      </c>
      <c r="AC198">
        <v>-0.372</v>
      </c>
      <c r="AD198">
        <v>0.34899999999999998</v>
      </c>
      <c r="AE198">
        <v>0.36499999999999999</v>
      </c>
      <c r="AF198">
        <v>-0.22800000000000001</v>
      </c>
      <c r="AG198">
        <v>-0.60899999999999999</v>
      </c>
      <c r="AH198">
        <v>-0.57799999999999996</v>
      </c>
      <c r="AI198">
        <v>-1</v>
      </c>
      <c r="AJ198">
        <v>-0.94799999999999995</v>
      </c>
      <c r="AK198">
        <v>-1</v>
      </c>
      <c r="AL198">
        <v>-0.437</v>
      </c>
      <c r="AM198">
        <v>-0.60399999999999998</v>
      </c>
      <c r="AN198">
        <v>-0.749</v>
      </c>
      <c r="AO198">
        <v>-0.92300000000000004</v>
      </c>
      <c r="AP198">
        <v>0.53500000000000003</v>
      </c>
      <c r="AQ198">
        <v>-0.88500000000000001</v>
      </c>
      <c r="AR198">
        <v>-0.40600000000000003</v>
      </c>
      <c r="AS198">
        <v>0.36899999999999999</v>
      </c>
      <c r="AT198">
        <v>0.20899999999999999</v>
      </c>
      <c r="AU198">
        <v>0.154</v>
      </c>
      <c r="AV198">
        <v>0.25600000000000001</v>
      </c>
      <c r="AW198">
        <v>0.154</v>
      </c>
      <c r="AX198">
        <v>0.16800000000000001</v>
      </c>
      <c r="AY198">
        <v>0.21299999999999999</v>
      </c>
      <c r="AZ198">
        <v>-0.41699999999999998</v>
      </c>
      <c r="BA198">
        <v>0.876</v>
      </c>
      <c r="BB198">
        <v>0.59299999999999997</v>
      </c>
      <c r="BC198">
        <v>-0.309</v>
      </c>
      <c r="BD198">
        <v>-0.85299999999999998</v>
      </c>
      <c r="BE198">
        <v>-1</v>
      </c>
      <c r="BF198">
        <v>-0.497</v>
      </c>
      <c r="BG198">
        <v>-0.26200000000000001</v>
      </c>
      <c r="BH198">
        <v>-1</v>
      </c>
      <c r="BI198">
        <v>-0.371</v>
      </c>
      <c r="BJ198">
        <v>-0.20899999999999999</v>
      </c>
      <c r="BK198">
        <v>-0.11600000000000001</v>
      </c>
      <c r="BL198">
        <v>-0.311</v>
      </c>
      <c r="BM198">
        <v>-0.621</v>
      </c>
    </row>
    <row r="199" spans="1:65" x14ac:dyDescent="0.3">
      <c r="A199" t="s">
        <v>79</v>
      </c>
      <c r="B199">
        <v>1.0680713516989499E-2</v>
      </c>
      <c r="C199">
        <v>1.2576591298562E-2</v>
      </c>
      <c r="M199" t="s">
        <v>249</v>
      </c>
      <c r="N199">
        <v>0.501</v>
      </c>
      <c r="O199">
        <v>0.35299999999999998</v>
      </c>
      <c r="P199" t="s">
        <v>71</v>
      </c>
      <c r="Q199">
        <v>0</v>
      </c>
      <c r="R199">
        <v>0</v>
      </c>
      <c r="S199">
        <v>0</v>
      </c>
      <c r="T199">
        <v>-0.85399999999999998</v>
      </c>
      <c r="U199">
        <v>-0.56799999999999995</v>
      </c>
      <c r="V199">
        <v>-0.79800000000000004</v>
      </c>
      <c r="W199">
        <v>-0.91900000000000004</v>
      </c>
      <c r="X199">
        <v>-0.83099999999999996</v>
      </c>
      <c r="Y199">
        <v>-0.93899999999999995</v>
      </c>
      <c r="Z199">
        <v>-0.97199999999999998</v>
      </c>
      <c r="AA199">
        <v>-0.84099999999999997</v>
      </c>
      <c r="AB199">
        <v>-0.39</v>
      </c>
      <c r="AC199">
        <v>-0.40100000000000002</v>
      </c>
      <c r="AD199">
        <v>-1</v>
      </c>
      <c r="AE199">
        <v>-1</v>
      </c>
      <c r="AF199">
        <v>-5.6000000000000001E-2</v>
      </c>
      <c r="AG199">
        <v>-1</v>
      </c>
      <c r="AH199">
        <v>-1</v>
      </c>
      <c r="AI199">
        <v>-0.34399999999999997</v>
      </c>
      <c r="AJ199">
        <v>-0.63900000000000001</v>
      </c>
      <c r="AK199">
        <v>1</v>
      </c>
      <c r="AL199">
        <v>-0.66100000000000003</v>
      </c>
      <c r="AM199">
        <v>-0.55300000000000005</v>
      </c>
      <c r="AN199">
        <v>-1</v>
      </c>
      <c r="AO199">
        <v>-0.41299999999999998</v>
      </c>
      <c r="AP199">
        <v>-0.40500000000000003</v>
      </c>
      <c r="AQ199">
        <v>0.79800000000000004</v>
      </c>
      <c r="AR199">
        <v>0.91600000000000004</v>
      </c>
      <c r="AS199">
        <v>-0.66800000000000004</v>
      </c>
      <c r="AT199">
        <v>-1</v>
      </c>
      <c r="AU199">
        <v>-2.5999999999999999E-2</v>
      </c>
      <c r="AV199">
        <v>-0.67700000000000005</v>
      </c>
      <c r="AW199">
        <v>-0.02</v>
      </c>
      <c r="AX199">
        <v>-0.52400000000000002</v>
      </c>
      <c r="AY199">
        <v>-0.77800000000000002</v>
      </c>
      <c r="AZ199">
        <v>-9.9000000000000005E-2</v>
      </c>
      <c r="BA199">
        <v>-0.56200000000000006</v>
      </c>
      <c r="BB199">
        <v>-0.88600000000000001</v>
      </c>
      <c r="BC199">
        <v>0.875</v>
      </c>
      <c r="BD199">
        <v>0.49199999999999999</v>
      </c>
      <c r="BE199">
        <v>0.17699999999999999</v>
      </c>
      <c r="BF199">
        <v>0.73799999999999999</v>
      </c>
      <c r="BG199">
        <v>-0.63</v>
      </c>
      <c r="BH199">
        <v>-0.10299999999999999</v>
      </c>
      <c r="BI199">
        <v>-1</v>
      </c>
      <c r="BJ199">
        <v>0.155</v>
      </c>
      <c r="BK199">
        <v>0.36099999999999999</v>
      </c>
      <c r="BL199">
        <v>0.83599999999999997</v>
      </c>
      <c r="BM199">
        <v>0.72599999999999998</v>
      </c>
    </row>
    <row r="200" spans="1:65" x14ac:dyDescent="0.3">
      <c r="A200" t="s">
        <v>120</v>
      </c>
      <c r="B200">
        <v>8.4299107557595405E-3</v>
      </c>
      <c r="C200">
        <v>8.2983986929125106E-3</v>
      </c>
      <c r="M200" t="s">
        <v>245</v>
      </c>
      <c r="N200">
        <v>0.5</v>
      </c>
      <c r="O200">
        <v>0.372</v>
      </c>
      <c r="P200" t="s">
        <v>57</v>
      </c>
      <c r="Q200">
        <v>0</v>
      </c>
      <c r="R200">
        <v>0</v>
      </c>
      <c r="S200">
        <v>2.3430030333333299E-2</v>
      </c>
      <c r="T200">
        <v>-0.97</v>
      </c>
      <c r="U200">
        <v>-0.91900000000000004</v>
      </c>
      <c r="V200">
        <v>-0.90900000000000003</v>
      </c>
      <c r="W200">
        <v>-0.94499999999999995</v>
      </c>
      <c r="X200">
        <v>-0.92200000000000004</v>
      </c>
      <c r="Y200">
        <v>-0.98099999999999998</v>
      </c>
      <c r="Z200">
        <v>-0.98099999999999998</v>
      </c>
      <c r="AA200">
        <v>-0.94799999999999995</v>
      </c>
      <c r="AB200">
        <v>-0.14199999999999999</v>
      </c>
      <c r="AC200">
        <v>-0.14799999999999999</v>
      </c>
      <c r="AD200">
        <v>-0.33200000000000002</v>
      </c>
      <c r="AE200">
        <v>-0.30599999999999999</v>
      </c>
      <c r="AF200">
        <v>-0.14399999999999999</v>
      </c>
      <c r="AG200">
        <v>-0.38100000000000001</v>
      </c>
      <c r="AH200">
        <v>-0.71</v>
      </c>
      <c r="AI200">
        <v>-0.59399999999999997</v>
      </c>
      <c r="AJ200">
        <v>-0.38700000000000001</v>
      </c>
      <c r="AK200">
        <v>-0.55400000000000005</v>
      </c>
      <c r="AL200">
        <v>-0.84199999999999997</v>
      </c>
      <c r="AM200">
        <v>0.114</v>
      </c>
      <c r="AN200">
        <v>-0.90400000000000003</v>
      </c>
      <c r="AO200">
        <v>0.38100000000000001</v>
      </c>
      <c r="AP200">
        <v>-6.9000000000000006E-2</v>
      </c>
      <c r="AQ200">
        <v>-0.33100000000000002</v>
      </c>
      <c r="AR200">
        <v>-0.56000000000000005</v>
      </c>
      <c r="AS200">
        <v>-0.54400000000000004</v>
      </c>
      <c r="AT200">
        <v>-1</v>
      </c>
      <c r="AU200">
        <v>-0.78900000000000003</v>
      </c>
      <c r="AV200">
        <v>-0.121</v>
      </c>
      <c r="AW200">
        <v>-0.379</v>
      </c>
      <c r="AX200">
        <v>-0.26200000000000001</v>
      </c>
      <c r="AY200">
        <v>-0.81899999999999995</v>
      </c>
      <c r="AZ200">
        <v>-0.48099999999999998</v>
      </c>
      <c r="BA200">
        <v>0.46200000000000002</v>
      </c>
      <c r="BB200">
        <v>0.48599999999999999</v>
      </c>
      <c r="BC200">
        <v>-0.73</v>
      </c>
      <c r="BD200">
        <v>-1E-3</v>
      </c>
      <c r="BE200">
        <v>-0.41099999999999998</v>
      </c>
      <c r="BF200">
        <v>0.249</v>
      </c>
      <c r="BG200">
        <v>0.30199999999999999</v>
      </c>
      <c r="BH200">
        <v>-0.96</v>
      </c>
      <c r="BI200">
        <v>-0.54800000000000004</v>
      </c>
      <c r="BJ200">
        <v>0.17399999999999999</v>
      </c>
      <c r="BK200">
        <v>0.56499999999999995</v>
      </c>
      <c r="BL200">
        <v>-7.1999999999999995E-2</v>
      </c>
      <c r="BM200">
        <v>0.29099999999999998</v>
      </c>
    </row>
    <row r="201" spans="1:65" x14ac:dyDescent="0.3">
      <c r="A201" t="s">
        <v>94</v>
      </c>
      <c r="B201">
        <v>7.5647091948360902E-3</v>
      </c>
      <c r="C201">
        <v>7.6195055741211304E-3</v>
      </c>
      <c r="M201" t="s">
        <v>243</v>
      </c>
      <c r="N201">
        <v>0.499</v>
      </c>
      <c r="O201">
        <v>0.35399999999999998</v>
      </c>
      <c r="P201" t="s">
        <v>53</v>
      </c>
      <c r="Q201">
        <v>0</v>
      </c>
      <c r="R201">
        <v>0</v>
      </c>
      <c r="S201">
        <v>0</v>
      </c>
      <c r="T201">
        <v>-0.71299999999999997</v>
      </c>
      <c r="U201">
        <v>-0.251</v>
      </c>
      <c r="V201">
        <v>-0.73299999999999998</v>
      </c>
      <c r="W201">
        <v>-0.78300000000000003</v>
      </c>
      <c r="X201">
        <v>-0.65800000000000003</v>
      </c>
      <c r="Y201">
        <v>-0.89900000000000002</v>
      </c>
      <c r="Z201">
        <v>-0.94499999999999995</v>
      </c>
      <c r="AA201">
        <v>-0.92200000000000004</v>
      </c>
      <c r="AB201">
        <v>-0.57999999999999996</v>
      </c>
      <c r="AC201">
        <v>-0.57999999999999996</v>
      </c>
      <c r="AD201">
        <v>-0.28699999999999998</v>
      </c>
      <c r="AE201">
        <v>-0.54600000000000004</v>
      </c>
      <c r="AF201">
        <v>-0.52600000000000002</v>
      </c>
      <c r="AG201">
        <v>-0.41299999999999998</v>
      </c>
      <c r="AH201">
        <v>0.22</v>
      </c>
      <c r="AI201">
        <v>0.123</v>
      </c>
      <c r="AJ201">
        <v>-0.214</v>
      </c>
      <c r="AK201">
        <v>-0.35599999999999998</v>
      </c>
      <c r="AL201">
        <v>-0.80900000000000005</v>
      </c>
      <c r="AM201">
        <v>0.45300000000000001</v>
      </c>
      <c r="AN201">
        <v>-1</v>
      </c>
      <c r="AO201">
        <v>0.85699999999999998</v>
      </c>
      <c r="AP201">
        <v>-0.29199999999999998</v>
      </c>
      <c r="AQ201">
        <v>-0.76500000000000001</v>
      </c>
      <c r="AR201">
        <v>0.93600000000000005</v>
      </c>
      <c r="AS201">
        <v>8.0000000000000002E-3</v>
      </c>
      <c r="AT201">
        <v>-0.36299999999999999</v>
      </c>
      <c r="AU201">
        <v>-1.4E-2</v>
      </c>
      <c r="AV201">
        <v>-0.26</v>
      </c>
      <c r="AW201">
        <v>-0.33</v>
      </c>
      <c r="AX201">
        <v>-0.41299999999999998</v>
      </c>
      <c r="AY201">
        <v>-0.81200000000000006</v>
      </c>
      <c r="AZ201">
        <v>-0.36299999999999999</v>
      </c>
      <c r="BA201">
        <v>0.40799999999999997</v>
      </c>
      <c r="BB201">
        <v>0.52800000000000002</v>
      </c>
      <c r="BC201">
        <v>0.17</v>
      </c>
      <c r="BD201">
        <v>0.26100000000000001</v>
      </c>
      <c r="BE201">
        <v>-5.1999999999999998E-2</v>
      </c>
      <c r="BF201">
        <v>9.2999999999999999E-2</v>
      </c>
      <c r="BG201">
        <v>-0.627</v>
      </c>
      <c r="BH201">
        <v>0.10199999999999999</v>
      </c>
      <c r="BI201">
        <v>-0.90900000000000003</v>
      </c>
      <c r="BJ201">
        <v>1</v>
      </c>
      <c r="BK201">
        <v>0.28499999999999998</v>
      </c>
      <c r="BL201">
        <v>-0.85399999999999998</v>
      </c>
      <c r="BM201">
        <v>-2.5999999999999999E-2</v>
      </c>
    </row>
    <row r="202" spans="1:65" x14ac:dyDescent="0.3">
      <c r="A202" t="s">
        <v>113</v>
      </c>
      <c r="B202">
        <v>0</v>
      </c>
      <c r="C202">
        <v>0</v>
      </c>
      <c r="M202" t="s">
        <v>258</v>
      </c>
      <c r="N202">
        <v>0.497</v>
      </c>
      <c r="O202">
        <v>0.36399999999999999</v>
      </c>
      <c r="P202" t="s">
        <v>57</v>
      </c>
      <c r="Q202">
        <v>0</v>
      </c>
      <c r="R202">
        <v>0</v>
      </c>
      <c r="S202">
        <v>9.6916325930000005E-2</v>
      </c>
      <c r="T202">
        <v>-0.76600000000000001</v>
      </c>
      <c r="U202">
        <v>-0.60099999999999998</v>
      </c>
      <c r="V202">
        <v>-0.38200000000000001</v>
      </c>
      <c r="W202">
        <v>-0.90200000000000002</v>
      </c>
      <c r="X202">
        <v>-0.76300000000000001</v>
      </c>
      <c r="Y202">
        <v>-0.92400000000000004</v>
      </c>
      <c r="Z202">
        <v>-0.94399999999999995</v>
      </c>
      <c r="AA202">
        <v>-0.94599999999999995</v>
      </c>
      <c r="AB202">
        <v>-0.68700000000000006</v>
      </c>
      <c r="AC202">
        <v>-0.68500000000000005</v>
      </c>
      <c r="AD202">
        <v>-0.20200000000000001</v>
      </c>
      <c r="AE202">
        <v>-0.97399999999999998</v>
      </c>
      <c r="AF202">
        <v>-0.32</v>
      </c>
      <c r="AG202">
        <v>-0.76800000000000002</v>
      </c>
      <c r="AH202">
        <v>-0.41399999999999998</v>
      </c>
      <c r="AI202">
        <v>-0.45900000000000002</v>
      </c>
      <c r="AJ202">
        <v>1</v>
      </c>
      <c r="AK202">
        <v>3.5000000000000003E-2</v>
      </c>
      <c r="AL202">
        <v>-0.49</v>
      </c>
      <c r="AM202">
        <v>0.498</v>
      </c>
      <c r="AN202">
        <v>-0.68799999999999994</v>
      </c>
      <c r="AO202">
        <v>-2.7E-2</v>
      </c>
      <c r="AP202">
        <v>-0.308</v>
      </c>
      <c r="AQ202">
        <v>-0.66</v>
      </c>
      <c r="AR202">
        <v>-0.35699999999999998</v>
      </c>
      <c r="AS202">
        <v>-0.43</v>
      </c>
      <c r="AT202">
        <v>-0.30299999999999999</v>
      </c>
      <c r="AU202">
        <v>-0.23200000000000001</v>
      </c>
      <c r="AV202">
        <v>-0.28699999999999998</v>
      </c>
      <c r="AW202">
        <v>-0.35799999999999998</v>
      </c>
      <c r="AX202">
        <v>-0.71199999999999997</v>
      </c>
      <c r="AY202">
        <v>-0.78500000000000003</v>
      </c>
      <c r="AZ202">
        <v>0.39300000000000002</v>
      </c>
      <c r="BA202">
        <v>-6.4000000000000001E-2</v>
      </c>
      <c r="BB202">
        <v>-0.27400000000000002</v>
      </c>
      <c r="BC202">
        <v>-0.34</v>
      </c>
      <c r="BD202">
        <v>0.624</v>
      </c>
      <c r="BE202">
        <v>1</v>
      </c>
      <c r="BF202">
        <v>-8.9999999999999993E-3</v>
      </c>
      <c r="BG202">
        <v>1</v>
      </c>
      <c r="BH202">
        <v>1</v>
      </c>
      <c r="BI202">
        <v>-0.42399999999999999</v>
      </c>
      <c r="BJ202">
        <v>0.747</v>
      </c>
      <c r="BK202">
        <v>0.623</v>
      </c>
      <c r="BL202">
        <v>-0.21</v>
      </c>
      <c r="BM202">
        <v>1</v>
      </c>
    </row>
    <row r="203" spans="1:65" x14ac:dyDescent="0.3">
      <c r="A203" t="s">
        <v>134</v>
      </c>
      <c r="B203">
        <v>0</v>
      </c>
      <c r="C203">
        <v>0</v>
      </c>
      <c r="M203" t="s">
        <v>260</v>
      </c>
      <c r="N203">
        <v>0.49199999999999999</v>
      </c>
      <c r="O203">
        <v>0.34699999999999998</v>
      </c>
      <c r="P203" t="s">
        <v>57</v>
      </c>
      <c r="Q203">
        <v>0</v>
      </c>
      <c r="R203">
        <v>0</v>
      </c>
      <c r="S203">
        <v>6.7899322323333303E-2</v>
      </c>
      <c r="T203">
        <v>-0.96699999999999997</v>
      </c>
      <c r="U203">
        <v>-0.93799999999999994</v>
      </c>
      <c r="V203">
        <v>-0.89100000000000001</v>
      </c>
      <c r="W203">
        <v>-0.98199999999999998</v>
      </c>
      <c r="X203">
        <v>-0.95799999999999996</v>
      </c>
      <c r="Y203">
        <v>-0.97499999999999998</v>
      </c>
      <c r="Z203">
        <v>-0.96699999999999997</v>
      </c>
      <c r="AA203">
        <v>-0.99</v>
      </c>
      <c r="AB203">
        <v>-0.77800000000000002</v>
      </c>
      <c r="AC203">
        <v>-0.77500000000000002</v>
      </c>
      <c r="AD203">
        <v>-0.36899999999999999</v>
      </c>
      <c r="AE203">
        <v>-0.33700000000000002</v>
      </c>
      <c r="AF203">
        <v>-0.115</v>
      </c>
      <c r="AG203">
        <v>-0.84799999999999998</v>
      </c>
      <c r="AH203">
        <v>-0.68200000000000005</v>
      </c>
      <c r="AI203">
        <v>-0.73399999999999999</v>
      </c>
      <c r="AJ203">
        <v>-6.2E-2</v>
      </c>
      <c r="AK203">
        <v>-0.74299999999999999</v>
      </c>
      <c r="AL203">
        <v>-0.86299999999999999</v>
      </c>
      <c r="AM203">
        <v>0.51</v>
      </c>
      <c r="AN203">
        <v>-0.57799999999999996</v>
      </c>
      <c r="AO203">
        <v>-0.307</v>
      </c>
      <c r="AP203">
        <v>-0.309</v>
      </c>
      <c r="AQ203">
        <v>-0.83</v>
      </c>
      <c r="AR203">
        <v>-0.26200000000000001</v>
      </c>
      <c r="AS203">
        <v>-0.92200000000000004</v>
      </c>
      <c r="AT203">
        <v>-0.51600000000000001</v>
      </c>
      <c r="AU203">
        <v>-0.13200000000000001</v>
      </c>
      <c r="AV203">
        <v>-0.41399999999999998</v>
      </c>
      <c r="AW203">
        <v>-0.79400000000000004</v>
      </c>
      <c r="AX203">
        <v>-0.81499999999999995</v>
      </c>
      <c r="AY203">
        <v>-0.63700000000000001</v>
      </c>
      <c r="AZ203">
        <v>-0.33200000000000002</v>
      </c>
      <c r="BA203">
        <v>-0.10299999999999999</v>
      </c>
      <c r="BB203">
        <v>-0.61899999999999999</v>
      </c>
      <c r="BC203">
        <v>-9.4E-2</v>
      </c>
      <c r="BD203">
        <v>0.63</v>
      </c>
      <c r="BE203">
        <v>0.111</v>
      </c>
      <c r="BF203">
        <v>-7.1999999999999995E-2</v>
      </c>
      <c r="BG203">
        <v>0.54500000000000004</v>
      </c>
      <c r="BH203">
        <v>0.14099999999999999</v>
      </c>
      <c r="BI203">
        <v>9.4E-2</v>
      </c>
      <c r="BJ203">
        <v>1</v>
      </c>
      <c r="BK203">
        <v>0.111</v>
      </c>
      <c r="BL203">
        <v>0.32700000000000001</v>
      </c>
      <c r="BM203">
        <v>0.22800000000000001</v>
      </c>
    </row>
    <row r="204" spans="1:65" x14ac:dyDescent="0.3">
      <c r="A204" t="s">
        <v>116</v>
      </c>
      <c r="B204">
        <v>8.5122778367901393E-3</v>
      </c>
      <c r="C204">
        <v>8.5934395143109406E-3</v>
      </c>
      <c r="M204" t="s">
        <v>242</v>
      </c>
      <c r="N204">
        <v>0.49199999999999999</v>
      </c>
      <c r="O204">
        <v>0.34599999999999997</v>
      </c>
      <c r="P204" t="s">
        <v>57</v>
      </c>
      <c r="Q204">
        <v>0</v>
      </c>
      <c r="R204">
        <v>0</v>
      </c>
      <c r="S204">
        <v>0</v>
      </c>
      <c r="T204">
        <v>-0.80200000000000005</v>
      </c>
      <c r="U204">
        <v>-0.76600000000000001</v>
      </c>
      <c r="V204">
        <v>-0.53300000000000003</v>
      </c>
      <c r="W204">
        <v>-0.88200000000000001</v>
      </c>
      <c r="X204">
        <v>-0.79600000000000004</v>
      </c>
      <c r="Y204">
        <v>-0.93200000000000005</v>
      </c>
      <c r="Z204">
        <v>-0.93200000000000005</v>
      </c>
      <c r="AA204">
        <v>-0.99299999999999999</v>
      </c>
      <c r="AB204">
        <v>-0.74099999999999999</v>
      </c>
      <c r="AC204">
        <v>-0.74099999999999999</v>
      </c>
      <c r="AD204">
        <v>-0.66400000000000003</v>
      </c>
      <c r="AE204">
        <v>-0.91800000000000004</v>
      </c>
      <c r="AF204">
        <v>-0.312</v>
      </c>
      <c r="AG204">
        <v>-0.624</v>
      </c>
      <c r="AH204">
        <v>4.9000000000000002E-2</v>
      </c>
      <c r="AI204">
        <v>-0.59</v>
      </c>
      <c r="AJ204">
        <v>0.624</v>
      </c>
      <c r="AK204">
        <v>-0.4</v>
      </c>
      <c r="AL204">
        <v>-0.56699999999999995</v>
      </c>
      <c r="AM204">
        <v>0.85299999999999998</v>
      </c>
      <c r="AN204">
        <v>-1</v>
      </c>
      <c r="AO204">
        <v>-3.7999999999999999E-2</v>
      </c>
      <c r="AP204">
        <v>-0.23699999999999999</v>
      </c>
      <c r="AQ204">
        <v>-0.87</v>
      </c>
      <c r="AR204">
        <v>-0.49</v>
      </c>
      <c r="AS204">
        <v>-0.32600000000000001</v>
      </c>
      <c r="AT204">
        <v>-0.42899999999999999</v>
      </c>
      <c r="AU204">
        <v>0.159</v>
      </c>
      <c r="AV204">
        <v>-0.246</v>
      </c>
      <c r="AW204">
        <v>-0.27700000000000002</v>
      </c>
      <c r="AX204">
        <v>-0.41399999999999998</v>
      </c>
      <c r="AY204">
        <v>-0.98099999999999998</v>
      </c>
      <c r="AZ204">
        <v>-0.80500000000000005</v>
      </c>
      <c r="BA204">
        <v>-0.92200000000000004</v>
      </c>
      <c r="BB204">
        <v>-1</v>
      </c>
      <c r="BC204">
        <v>0.14099999999999999</v>
      </c>
      <c r="BD204">
        <v>0.66300000000000003</v>
      </c>
      <c r="BE204">
        <v>0.85299999999999998</v>
      </c>
      <c r="BF204">
        <v>0.28199999999999997</v>
      </c>
      <c r="BG204">
        <v>1</v>
      </c>
      <c r="BH204">
        <v>4.4999999999999998E-2</v>
      </c>
      <c r="BI204">
        <v>-0.193</v>
      </c>
      <c r="BJ204">
        <v>1</v>
      </c>
      <c r="BK204">
        <v>0.56499999999999995</v>
      </c>
      <c r="BL204">
        <v>0.14000000000000001</v>
      </c>
      <c r="BM204">
        <v>0.25800000000000001</v>
      </c>
    </row>
    <row r="205" spans="1:65" x14ac:dyDescent="0.3">
      <c r="A205" t="s">
        <v>268</v>
      </c>
      <c r="B205">
        <v>0</v>
      </c>
      <c r="C205">
        <v>0</v>
      </c>
      <c r="M205" t="s">
        <v>255</v>
      </c>
      <c r="N205">
        <v>0.48899999999999999</v>
      </c>
      <c r="O205">
        <v>0.51300000000000001</v>
      </c>
      <c r="P205" t="s">
        <v>57</v>
      </c>
      <c r="Q205">
        <v>0</v>
      </c>
      <c r="R205">
        <v>0</v>
      </c>
      <c r="S205">
        <v>0</v>
      </c>
      <c r="T205">
        <v>-0.86499999999999999</v>
      </c>
      <c r="U205">
        <v>-0.96099999999999997</v>
      </c>
      <c r="V205">
        <v>-0.86199999999999999</v>
      </c>
      <c r="W205">
        <v>-0.92100000000000004</v>
      </c>
      <c r="X205">
        <v>-0.97</v>
      </c>
      <c r="Y205">
        <v>-0.89200000000000002</v>
      </c>
      <c r="Z205">
        <v>-0.86599999999999999</v>
      </c>
      <c r="AA205">
        <v>-0.96499999999999997</v>
      </c>
      <c r="AB205">
        <v>-0.89</v>
      </c>
      <c r="AC205">
        <v>-0.89300000000000002</v>
      </c>
      <c r="AD205">
        <v>0.111</v>
      </c>
      <c r="AE205">
        <v>5.0000000000000001E-3</v>
      </c>
      <c r="AF205">
        <v>-0.63400000000000001</v>
      </c>
      <c r="AG205">
        <v>-1</v>
      </c>
      <c r="AH205">
        <v>-2.5999999999999999E-2</v>
      </c>
      <c r="AI205">
        <v>-1</v>
      </c>
      <c r="AJ205">
        <v>-0.77400000000000002</v>
      </c>
      <c r="AK205">
        <v>0.48899999999999999</v>
      </c>
      <c r="AL205">
        <v>-0.60899999999999999</v>
      </c>
      <c r="AM205">
        <v>-1</v>
      </c>
      <c r="AN205">
        <v>-0.75800000000000001</v>
      </c>
      <c r="AO205">
        <v>-0.83499999999999996</v>
      </c>
      <c r="AP205">
        <v>0.2</v>
      </c>
      <c r="AQ205">
        <v>-0.81899999999999995</v>
      </c>
      <c r="AR205">
        <v>0.63200000000000001</v>
      </c>
      <c r="AS205">
        <v>0.57799999999999996</v>
      </c>
      <c r="AT205">
        <v>0.28199999999999997</v>
      </c>
      <c r="AU205">
        <v>0.17799999999999999</v>
      </c>
      <c r="AV205">
        <v>-1</v>
      </c>
      <c r="AW205">
        <v>-0.02</v>
      </c>
      <c r="AX205">
        <v>-0.39300000000000002</v>
      </c>
      <c r="AY205">
        <v>-1.7999999999999999E-2</v>
      </c>
      <c r="AZ205">
        <v>-0.34699999999999998</v>
      </c>
      <c r="BA205">
        <v>-0.13</v>
      </c>
      <c r="BB205">
        <v>0.39</v>
      </c>
      <c r="BC205">
        <v>0.71899999999999997</v>
      </c>
      <c r="BD205">
        <v>-0.60899999999999999</v>
      </c>
      <c r="BE205">
        <v>-0.27700000000000002</v>
      </c>
      <c r="BF205">
        <v>-0.308</v>
      </c>
      <c r="BG205">
        <v>-0.66900000000000004</v>
      </c>
      <c r="BH205">
        <v>-0.45200000000000001</v>
      </c>
      <c r="BI205">
        <v>-0.26900000000000002</v>
      </c>
      <c r="BJ205">
        <v>-0.44500000000000001</v>
      </c>
      <c r="BK205">
        <v>-0.188</v>
      </c>
      <c r="BL205">
        <v>0.54700000000000004</v>
      </c>
      <c r="BM205">
        <v>0.17799999999999999</v>
      </c>
    </row>
    <row r="206" spans="1:65" x14ac:dyDescent="0.3">
      <c r="A206" t="s">
        <v>146</v>
      </c>
      <c r="B206">
        <v>5.5076929205472802E-2</v>
      </c>
      <c r="C206">
        <v>6.4787379412914001E-2</v>
      </c>
      <c r="M206" t="s">
        <v>256</v>
      </c>
      <c r="N206">
        <v>0.48499999999999999</v>
      </c>
      <c r="O206">
        <v>0.36399999999999999</v>
      </c>
      <c r="P206" t="s">
        <v>68</v>
      </c>
      <c r="Q206">
        <v>0</v>
      </c>
      <c r="R206">
        <v>0</v>
      </c>
      <c r="S206">
        <v>0</v>
      </c>
      <c r="T206">
        <v>-1</v>
      </c>
      <c r="U206">
        <v>-1</v>
      </c>
      <c r="V206">
        <v>-0.92900000000000005</v>
      </c>
      <c r="W206">
        <v>-1</v>
      </c>
      <c r="X206">
        <v>-1</v>
      </c>
      <c r="Y206">
        <v>-1</v>
      </c>
      <c r="Z206">
        <v>-0.995</v>
      </c>
      <c r="AA206">
        <v>-1</v>
      </c>
      <c r="AB206">
        <v>-1</v>
      </c>
      <c r="AC206">
        <v>-1</v>
      </c>
      <c r="AD206">
        <v>-7.1999999999999995E-2</v>
      </c>
      <c r="AE206">
        <v>-6.3E-2</v>
      </c>
      <c r="AF206">
        <v>-0.441</v>
      </c>
      <c r="AG206">
        <v>-1</v>
      </c>
      <c r="AH206">
        <v>-1</v>
      </c>
      <c r="AI206">
        <v>-1</v>
      </c>
      <c r="AJ206">
        <v>-0.60199999999999998</v>
      </c>
      <c r="AK206">
        <v>-0.49299999999999999</v>
      </c>
      <c r="AL206">
        <v>-0.57799999999999996</v>
      </c>
      <c r="AM206">
        <v>-0.56000000000000005</v>
      </c>
      <c r="AN206">
        <v>-1</v>
      </c>
      <c r="AO206">
        <v>-0.45100000000000001</v>
      </c>
      <c r="AP206">
        <v>-1</v>
      </c>
      <c r="AQ206">
        <v>-0.95299999999999996</v>
      </c>
      <c r="AR206">
        <v>-0.95099999999999996</v>
      </c>
      <c r="AS206">
        <v>-0.71399999999999997</v>
      </c>
      <c r="AT206">
        <v>-5.2999999999999999E-2</v>
      </c>
      <c r="AU206">
        <v>-0.109</v>
      </c>
      <c r="AV206">
        <v>-0.56299999999999994</v>
      </c>
      <c r="AW206">
        <v>-0.66500000000000004</v>
      </c>
      <c r="AX206">
        <v>-1</v>
      </c>
      <c r="AY206">
        <v>-0.28100000000000003</v>
      </c>
      <c r="AZ206">
        <v>-0.314</v>
      </c>
      <c r="BA206">
        <v>-0.39300000000000002</v>
      </c>
      <c r="BB206">
        <v>-0.15</v>
      </c>
      <c r="BC206">
        <v>3.3000000000000002E-2</v>
      </c>
      <c r="BD206">
        <v>0.46600000000000003</v>
      </c>
      <c r="BE206">
        <v>0.26600000000000001</v>
      </c>
      <c r="BF206">
        <v>9.9000000000000005E-2</v>
      </c>
      <c r="BG206">
        <v>0.63500000000000001</v>
      </c>
      <c r="BH206">
        <v>4.1000000000000002E-2</v>
      </c>
      <c r="BI206">
        <v>6.3E-2</v>
      </c>
      <c r="BJ206">
        <v>0.67200000000000004</v>
      </c>
      <c r="BK206">
        <v>-7.2999999999999995E-2</v>
      </c>
      <c r="BL206">
        <v>0.88700000000000001</v>
      </c>
      <c r="BM206">
        <v>1</v>
      </c>
    </row>
    <row r="207" spans="1:65" x14ac:dyDescent="0.3">
      <c r="A207" t="s">
        <v>136</v>
      </c>
      <c r="B207">
        <v>5.7024041984050797E-2</v>
      </c>
      <c r="C207">
        <v>6.5960829890523598E-2</v>
      </c>
      <c r="M207" t="s">
        <v>198</v>
      </c>
      <c r="N207">
        <v>0.48199999999999998</v>
      </c>
      <c r="O207">
        <v>0.34399999999999997</v>
      </c>
      <c r="P207" t="s">
        <v>57</v>
      </c>
      <c r="Q207">
        <v>0</v>
      </c>
      <c r="R207">
        <v>0</v>
      </c>
      <c r="S207">
        <v>0</v>
      </c>
      <c r="T207">
        <v>-0.83</v>
      </c>
      <c r="U207">
        <v>-0.82799999999999996</v>
      </c>
      <c r="V207">
        <v>-0.64800000000000002</v>
      </c>
      <c r="W207">
        <v>-0.81100000000000005</v>
      </c>
      <c r="X207">
        <v>-0.76400000000000001</v>
      </c>
      <c r="Y207">
        <v>-0.95599999999999996</v>
      </c>
      <c r="Z207">
        <v>-0.96199999999999997</v>
      </c>
      <c r="AA207">
        <v>-0.93799999999999994</v>
      </c>
      <c r="AB207">
        <v>-0.93899999999999995</v>
      </c>
      <c r="AC207">
        <v>-0.94</v>
      </c>
      <c r="AD207">
        <v>-0.219</v>
      </c>
      <c r="AE207">
        <v>-0.24</v>
      </c>
      <c r="AF207">
        <v>-1</v>
      </c>
      <c r="AG207">
        <v>-0.36</v>
      </c>
      <c r="AH207">
        <v>-0.14000000000000001</v>
      </c>
      <c r="AI207">
        <v>-0.82499999999999996</v>
      </c>
      <c r="AJ207">
        <v>-0.183</v>
      </c>
      <c r="AK207">
        <v>-0.14899999999999999</v>
      </c>
      <c r="AL207">
        <v>1</v>
      </c>
      <c r="AM207">
        <v>6.7000000000000004E-2</v>
      </c>
      <c r="AN207">
        <v>-1</v>
      </c>
      <c r="AO207">
        <v>-0.67800000000000005</v>
      </c>
      <c r="AP207">
        <v>0.311</v>
      </c>
      <c r="AQ207">
        <v>-0.122</v>
      </c>
      <c r="AR207">
        <v>-0.55000000000000004</v>
      </c>
      <c r="AS207">
        <v>0.745</v>
      </c>
      <c r="AT207">
        <v>-1</v>
      </c>
      <c r="AU207">
        <v>-0.56799999999999995</v>
      </c>
      <c r="AV207">
        <v>-0.126</v>
      </c>
      <c r="AW207">
        <v>-0.183</v>
      </c>
      <c r="AX207">
        <v>0.42</v>
      </c>
      <c r="AY207">
        <v>-0.93100000000000005</v>
      </c>
      <c r="AZ207">
        <v>-0.26800000000000002</v>
      </c>
      <c r="BA207">
        <v>-1</v>
      </c>
      <c r="BB207">
        <v>-1</v>
      </c>
      <c r="BC207">
        <v>6.6000000000000003E-2</v>
      </c>
      <c r="BD207">
        <v>5.8000000000000003E-2</v>
      </c>
      <c r="BE207">
        <v>0.48399999999999999</v>
      </c>
      <c r="BF207">
        <v>0.47099999999999997</v>
      </c>
      <c r="BG207">
        <v>-0.41299999999999998</v>
      </c>
      <c r="BH207">
        <v>-1</v>
      </c>
      <c r="BI207">
        <v>-1</v>
      </c>
      <c r="BJ207">
        <v>0.71</v>
      </c>
      <c r="BK207">
        <v>0.14000000000000001</v>
      </c>
      <c r="BL207">
        <v>-0.64800000000000002</v>
      </c>
      <c r="BM207">
        <v>0.82599999999999996</v>
      </c>
    </row>
    <row r="208" spans="1:65" x14ac:dyDescent="0.3">
      <c r="A208" t="s">
        <v>195</v>
      </c>
      <c r="B208">
        <v>0</v>
      </c>
      <c r="C208">
        <v>0</v>
      </c>
      <c r="M208" t="s">
        <v>261</v>
      </c>
      <c r="N208">
        <v>0.47799999999999998</v>
      </c>
      <c r="O208">
        <v>0.33700000000000002</v>
      </c>
      <c r="P208" t="s">
        <v>68</v>
      </c>
      <c r="Q208">
        <v>0</v>
      </c>
      <c r="R208">
        <v>0</v>
      </c>
      <c r="S208">
        <v>0</v>
      </c>
      <c r="T208">
        <v>-1</v>
      </c>
      <c r="U208">
        <v>-0.94299999999999995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-0.97299999999999998</v>
      </c>
      <c r="AB208">
        <v>-0.94099999999999995</v>
      </c>
      <c r="AC208">
        <v>-0.93500000000000005</v>
      </c>
      <c r="AD208">
        <v>-1</v>
      </c>
      <c r="AE208">
        <v>-0.73499999999999999</v>
      </c>
      <c r="AF208">
        <v>-0.55900000000000005</v>
      </c>
      <c r="AG208">
        <v>-1</v>
      </c>
      <c r="AH208">
        <v>-1</v>
      </c>
      <c r="AI208">
        <v>-0.872</v>
      </c>
      <c r="AJ208">
        <v>-0.96399999999999997</v>
      </c>
      <c r="AK208">
        <v>-0.29599999999999999</v>
      </c>
      <c r="AL208">
        <v>-0.93400000000000005</v>
      </c>
      <c r="AM208">
        <v>-0.79300000000000004</v>
      </c>
      <c r="AN208">
        <v>-1</v>
      </c>
      <c r="AO208">
        <v>-0.64800000000000002</v>
      </c>
      <c r="AP208">
        <v>-0.69699999999999995</v>
      </c>
      <c r="AQ208">
        <v>0.42299999999999999</v>
      </c>
      <c r="AR208">
        <v>0.41899999999999998</v>
      </c>
      <c r="AS208">
        <v>-0.441</v>
      </c>
      <c r="AT208">
        <v>0.79200000000000004</v>
      </c>
      <c r="AU208">
        <v>0.123</v>
      </c>
      <c r="AV208">
        <v>-0.60799999999999998</v>
      </c>
      <c r="AW208">
        <v>-0.95699999999999996</v>
      </c>
      <c r="AX208">
        <v>-1</v>
      </c>
      <c r="AY208">
        <v>-0.55800000000000005</v>
      </c>
      <c r="AZ208">
        <v>-0.42499999999999999</v>
      </c>
      <c r="BA208">
        <v>-0.35</v>
      </c>
      <c r="BB208">
        <v>-0.95699999999999996</v>
      </c>
      <c r="BC208">
        <v>-4.2999999999999997E-2</v>
      </c>
      <c r="BD208">
        <v>0.745</v>
      </c>
      <c r="BE208">
        <v>0.36099999999999999</v>
      </c>
      <c r="BF208">
        <v>0.40500000000000003</v>
      </c>
      <c r="BG208">
        <v>-1</v>
      </c>
      <c r="BH208">
        <v>-1</v>
      </c>
      <c r="BI208">
        <v>-1</v>
      </c>
      <c r="BJ208">
        <v>0.71299999999999997</v>
      </c>
      <c r="BK208">
        <v>-0.77400000000000002</v>
      </c>
      <c r="BL208">
        <v>-6.9000000000000006E-2</v>
      </c>
      <c r="BM208">
        <v>-0.315</v>
      </c>
    </row>
    <row r="209" spans="1:65" x14ac:dyDescent="0.3">
      <c r="A209" t="s">
        <v>160</v>
      </c>
      <c r="B209">
        <v>4.65413236542508E-3</v>
      </c>
      <c r="C209">
        <v>0</v>
      </c>
      <c r="M209" t="s">
        <v>263</v>
      </c>
      <c r="N209">
        <v>0.47699999999999998</v>
      </c>
      <c r="O209">
        <v>0.33600000000000002</v>
      </c>
      <c r="P209" t="s">
        <v>68</v>
      </c>
      <c r="Q209">
        <v>0</v>
      </c>
      <c r="R209">
        <v>0</v>
      </c>
      <c r="S209">
        <v>0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  <c r="AF209">
        <v>-1</v>
      </c>
      <c r="AG209">
        <v>-1</v>
      </c>
      <c r="AH209">
        <v>-1</v>
      </c>
      <c r="AI209">
        <v>-1</v>
      </c>
      <c r="AJ209">
        <v>-0.59599999999999997</v>
      </c>
      <c r="AK209">
        <v>0.66100000000000003</v>
      </c>
      <c r="AL209">
        <v>-0.57799999999999996</v>
      </c>
      <c r="AM209">
        <v>-0.96599999999999997</v>
      </c>
      <c r="AN209">
        <v>-1</v>
      </c>
      <c r="AO209">
        <v>-1</v>
      </c>
      <c r="AP209">
        <v>-0.51400000000000001</v>
      </c>
      <c r="AQ209">
        <v>0.187</v>
      </c>
      <c r="AR209">
        <v>-1</v>
      </c>
      <c r="AS209">
        <v>-0.59399999999999997</v>
      </c>
      <c r="AT209">
        <v>1.0999999999999999E-2</v>
      </c>
      <c r="AU209">
        <v>0.23599999999999999</v>
      </c>
      <c r="AV209">
        <v>-1</v>
      </c>
      <c r="AW209">
        <v>-1</v>
      </c>
      <c r="AX209">
        <v>-1</v>
      </c>
      <c r="AY209">
        <v>-0.32800000000000001</v>
      </c>
      <c r="AZ209">
        <v>-0.70799999999999996</v>
      </c>
      <c r="BA209">
        <v>-0.45600000000000002</v>
      </c>
      <c r="BB209">
        <v>-1</v>
      </c>
      <c r="BC209">
        <v>0.32900000000000001</v>
      </c>
      <c r="BD209">
        <v>0.32100000000000001</v>
      </c>
      <c r="BE209">
        <v>-0.28799999999999998</v>
      </c>
      <c r="BF209">
        <v>0.34200000000000003</v>
      </c>
      <c r="BG209">
        <v>1</v>
      </c>
      <c r="BH209">
        <v>-1</v>
      </c>
      <c r="BI209">
        <v>-1</v>
      </c>
      <c r="BJ209">
        <v>0.74199999999999999</v>
      </c>
      <c r="BK209">
        <v>-0.27900000000000003</v>
      </c>
      <c r="BL209">
        <v>-0.50900000000000001</v>
      </c>
      <c r="BM209">
        <v>1</v>
      </c>
    </row>
    <row r="210" spans="1:65" x14ac:dyDescent="0.3">
      <c r="A210" t="s">
        <v>247</v>
      </c>
      <c r="B210">
        <v>0</v>
      </c>
      <c r="C210">
        <v>0</v>
      </c>
      <c r="M210" t="s">
        <v>175</v>
      </c>
      <c r="N210">
        <v>0.47699999999999998</v>
      </c>
      <c r="O210">
        <v>0.34100000000000003</v>
      </c>
      <c r="P210" t="s">
        <v>53</v>
      </c>
      <c r="Q210">
        <v>0</v>
      </c>
      <c r="R210">
        <v>0</v>
      </c>
      <c r="S210">
        <v>0</v>
      </c>
      <c r="T210">
        <v>-0.92700000000000005</v>
      </c>
      <c r="U210">
        <v>-0.95</v>
      </c>
      <c r="V210">
        <v>-0.80100000000000005</v>
      </c>
      <c r="W210">
        <v>-0.92800000000000005</v>
      </c>
      <c r="X210">
        <v>-0.91100000000000003</v>
      </c>
      <c r="Y210">
        <v>-0.99299999999999999</v>
      </c>
      <c r="Z210">
        <v>-1</v>
      </c>
      <c r="AA210">
        <v>-1</v>
      </c>
      <c r="AB210">
        <v>-1</v>
      </c>
      <c r="AC210">
        <v>-1</v>
      </c>
      <c r="AD210">
        <v>-0.62</v>
      </c>
      <c r="AE210">
        <v>-0.98699999999999999</v>
      </c>
      <c r="AF210">
        <v>-1</v>
      </c>
      <c r="AG210">
        <v>-0.47899999999999998</v>
      </c>
      <c r="AH210">
        <v>-2.1999999999999999E-2</v>
      </c>
      <c r="AI210">
        <v>-0.69799999999999995</v>
      </c>
      <c r="AJ210">
        <v>0.60899999999999999</v>
      </c>
      <c r="AK210">
        <v>-0.38300000000000001</v>
      </c>
      <c r="AL210">
        <v>-0.29799999999999999</v>
      </c>
      <c r="AM210">
        <v>0.59499999999999997</v>
      </c>
      <c r="AN210">
        <v>-1</v>
      </c>
      <c r="AO210">
        <v>-0.22500000000000001</v>
      </c>
      <c r="AP210">
        <v>-0.33200000000000002</v>
      </c>
      <c r="AQ210">
        <v>-0.82899999999999996</v>
      </c>
      <c r="AR210">
        <v>-0.60299999999999998</v>
      </c>
      <c r="AS210">
        <v>-0.20699999999999999</v>
      </c>
      <c r="AT210">
        <v>-1</v>
      </c>
      <c r="AU210">
        <v>-0.53800000000000003</v>
      </c>
      <c r="AV210">
        <v>-0.48899999999999999</v>
      </c>
      <c r="AW210">
        <v>-0.81899999999999995</v>
      </c>
      <c r="AX210">
        <v>-9.6000000000000002E-2</v>
      </c>
      <c r="AY210">
        <v>-0.62</v>
      </c>
      <c r="AZ210">
        <v>-0.437</v>
      </c>
      <c r="BA210">
        <v>-0.501</v>
      </c>
      <c r="BB210">
        <v>-0.60599999999999998</v>
      </c>
      <c r="BC210">
        <v>0.38100000000000001</v>
      </c>
      <c r="BD210">
        <v>0.70199999999999996</v>
      </c>
      <c r="BE210">
        <v>0.53100000000000003</v>
      </c>
      <c r="BF210">
        <v>0.33200000000000002</v>
      </c>
      <c r="BG210">
        <v>-0.34300000000000003</v>
      </c>
      <c r="BH210">
        <v>-0.34</v>
      </c>
      <c r="BI210">
        <v>-0.94</v>
      </c>
      <c r="BJ210">
        <v>0.35799999999999998</v>
      </c>
      <c r="BK210">
        <v>0.58699999999999997</v>
      </c>
      <c r="BL210">
        <v>-0.59499999999999997</v>
      </c>
      <c r="BM210">
        <v>0.752</v>
      </c>
    </row>
    <row r="211" spans="1:65" x14ac:dyDescent="0.3">
      <c r="A211" t="s">
        <v>206</v>
      </c>
      <c r="B211">
        <v>0</v>
      </c>
      <c r="C211">
        <v>0</v>
      </c>
      <c r="M211" t="s">
        <v>259</v>
      </c>
      <c r="N211">
        <v>0.47699999999999998</v>
      </c>
      <c r="O211">
        <v>0.33600000000000002</v>
      </c>
      <c r="P211" t="s">
        <v>57</v>
      </c>
      <c r="Q211">
        <v>0</v>
      </c>
      <c r="R211">
        <v>0</v>
      </c>
      <c r="S211">
        <v>0</v>
      </c>
      <c r="T211">
        <v>-1</v>
      </c>
      <c r="U211">
        <v>-1</v>
      </c>
      <c r="V211">
        <v>-0.96599999999999997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-0.98299999999999998</v>
      </c>
      <c r="AC211">
        <v>-0.97899999999999998</v>
      </c>
      <c r="AD211">
        <v>-1</v>
      </c>
      <c r="AE211">
        <v>0.23400000000000001</v>
      </c>
      <c r="AF211">
        <v>-1</v>
      </c>
      <c r="AG211">
        <v>-0.91</v>
      </c>
      <c r="AH211">
        <v>-1</v>
      </c>
      <c r="AI211">
        <v>-0.96499999999999997</v>
      </c>
      <c r="AJ211">
        <v>0.186</v>
      </c>
      <c r="AK211">
        <v>-0.55300000000000005</v>
      </c>
      <c r="AL211">
        <v>-0.57799999999999996</v>
      </c>
      <c r="AM211">
        <v>-0.79200000000000004</v>
      </c>
      <c r="AN211">
        <v>-1</v>
      </c>
      <c r="AO211">
        <v>1</v>
      </c>
      <c r="AP211">
        <v>-0.93899999999999995</v>
      </c>
      <c r="AQ211">
        <v>-1</v>
      </c>
      <c r="AR211">
        <v>-1</v>
      </c>
      <c r="AS211">
        <v>-0.94699999999999995</v>
      </c>
      <c r="AT211">
        <v>-0.76600000000000001</v>
      </c>
      <c r="AU211">
        <v>-0.28799999999999998</v>
      </c>
      <c r="AV211">
        <v>-0.80100000000000005</v>
      </c>
      <c r="AW211">
        <v>-1</v>
      </c>
      <c r="AX211">
        <v>-1</v>
      </c>
      <c r="AY211">
        <v>-0.63300000000000001</v>
      </c>
      <c r="AZ211">
        <v>-0.745</v>
      </c>
      <c r="BA211">
        <v>-0.71</v>
      </c>
      <c r="BB211">
        <v>-1</v>
      </c>
      <c r="BC211">
        <v>-0.22900000000000001</v>
      </c>
      <c r="BD211">
        <v>0.54300000000000004</v>
      </c>
      <c r="BE211">
        <v>0.214</v>
      </c>
      <c r="BF211">
        <v>0.11799999999999999</v>
      </c>
      <c r="BG211">
        <v>0.157</v>
      </c>
      <c r="BH211">
        <v>6.8000000000000005E-2</v>
      </c>
      <c r="BI211">
        <v>-0.92200000000000004</v>
      </c>
      <c r="BJ211">
        <v>1</v>
      </c>
      <c r="BK211">
        <v>-1E-3</v>
      </c>
      <c r="BL211">
        <v>-0.13800000000000001</v>
      </c>
      <c r="BM211">
        <v>1</v>
      </c>
    </row>
    <row r="212" spans="1:65" x14ac:dyDescent="0.3">
      <c r="A212" t="s">
        <v>249</v>
      </c>
      <c r="B212">
        <v>0</v>
      </c>
      <c r="C212">
        <v>0</v>
      </c>
      <c r="M212" t="s">
        <v>239</v>
      </c>
      <c r="N212">
        <v>0.47699999999999998</v>
      </c>
      <c r="O212">
        <v>0.33900000000000002</v>
      </c>
      <c r="P212" t="s">
        <v>57</v>
      </c>
      <c r="Q212">
        <v>0</v>
      </c>
      <c r="R212">
        <v>0</v>
      </c>
      <c r="S212">
        <v>1.64736529558667</v>
      </c>
      <c r="T212">
        <v>-0.88600000000000001</v>
      </c>
      <c r="U212">
        <v>-0.86299999999999999</v>
      </c>
      <c r="V212">
        <v>-0.63400000000000001</v>
      </c>
      <c r="W212">
        <v>-0.94599999999999995</v>
      </c>
      <c r="X212">
        <v>-0.89500000000000002</v>
      </c>
      <c r="Y212">
        <v>-0.96</v>
      </c>
      <c r="Z212">
        <v>-0.97799999999999998</v>
      </c>
      <c r="AA212">
        <v>-0.97</v>
      </c>
      <c r="AB212">
        <v>-1</v>
      </c>
      <c r="AC212">
        <v>-1</v>
      </c>
      <c r="AD212">
        <v>-0.88200000000000001</v>
      </c>
      <c r="AE212">
        <v>-1</v>
      </c>
      <c r="AF212">
        <v>-0.83099999999999996</v>
      </c>
      <c r="AG212">
        <v>-0.77800000000000002</v>
      </c>
      <c r="AH212">
        <v>-0.77300000000000002</v>
      </c>
      <c r="AI212">
        <v>-0.70599999999999996</v>
      </c>
      <c r="AJ212">
        <v>-0.39700000000000002</v>
      </c>
      <c r="AK212">
        <v>1</v>
      </c>
      <c r="AL212">
        <v>1</v>
      </c>
      <c r="AM212">
        <v>-0.80300000000000005</v>
      </c>
      <c r="AN212">
        <v>-1</v>
      </c>
      <c r="AO212">
        <v>-0.47</v>
      </c>
      <c r="AP212">
        <v>-0.32400000000000001</v>
      </c>
      <c r="AQ212">
        <v>-0.35899999999999999</v>
      </c>
      <c r="AR212">
        <v>0.81499999999999995</v>
      </c>
      <c r="AS212">
        <v>0.26700000000000002</v>
      </c>
      <c r="AT212">
        <v>-1</v>
      </c>
      <c r="AU212">
        <v>-0.51400000000000001</v>
      </c>
      <c r="AV212">
        <v>-0.64300000000000002</v>
      </c>
      <c r="AW212">
        <v>-0.84399999999999997</v>
      </c>
      <c r="AX212">
        <v>-0.107</v>
      </c>
      <c r="AY212">
        <v>-0.66400000000000003</v>
      </c>
      <c r="AZ212">
        <v>0.17399999999999999</v>
      </c>
      <c r="BA212">
        <v>-0.247</v>
      </c>
      <c r="BB212">
        <v>-0.25800000000000001</v>
      </c>
      <c r="BC212">
        <v>-0.121</v>
      </c>
      <c r="BD212">
        <v>-0.53900000000000003</v>
      </c>
      <c r="BE212">
        <v>-0.54500000000000004</v>
      </c>
      <c r="BF212">
        <v>0.34300000000000003</v>
      </c>
      <c r="BG212">
        <v>-0.92300000000000004</v>
      </c>
      <c r="BH212">
        <v>-0.54100000000000004</v>
      </c>
      <c r="BI212">
        <v>-0.20499999999999999</v>
      </c>
      <c r="BJ212">
        <v>0.29399999999999998</v>
      </c>
      <c r="BK212">
        <v>0.21199999999999999</v>
      </c>
      <c r="BL212">
        <v>-0.188</v>
      </c>
      <c r="BM212">
        <v>0.92</v>
      </c>
    </row>
    <row r="213" spans="1:65" x14ac:dyDescent="0.3">
      <c r="M213" t="s">
        <v>267</v>
      </c>
      <c r="N213">
        <v>0.47699999999999998</v>
      </c>
      <c r="O213">
        <v>0.33600000000000002</v>
      </c>
      <c r="P213" t="s">
        <v>53</v>
      </c>
      <c r="Q213">
        <v>0</v>
      </c>
      <c r="R213">
        <v>0</v>
      </c>
      <c r="S213">
        <v>0</v>
      </c>
      <c r="T213">
        <v>-1</v>
      </c>
      <c r="U213">
        <v>-0.98</v>
      </c>
      <c r="V213">
        <v>-0.93500000000000005</v>
      </c>
      <c r="W213">
        <v>-1</v>
      </c>
      <c r="X213">
        <v>-0.98899999999999999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-0.88500000000000001</v>
      </c>
      <c r="AH213">
        <v>-0.753</v>
      </c>
      <c r="AI213">
        <v>-1</v>
      </c>
      <c r="AJ213">
        <v>-0.157</v>
      </c>
      <c r="AK213">
        <v>-0.39200000000000002</v>
      </c>
      <c r="AL213">
        <v>-0.68500000000000005</v>
      </c>
      <c r="AM213">
        <v>-0.217</v>
      </c>
      <c r="AN213">
        <v>-1</v>
      </c>
      <c r="AO213">
        <v>-0.36399999999999999</v>
      </c>
      <c r="AP213">
        <v>-0.80200000000000005</v>
      </c>
      <c r="AQ213">
        <v>-0.46700000000000003</v>
      </c>
      <c r="AR213">
        <v>-0.59899999999999998</v>
      </c>
      <c r="AS213">
        <v>-0.54500000000000004</v>
      </c>
      <c r="AT213">
        <v>-1</v>
      </c>
      <c r="AU213">
        <v>-0.37</v>
      </c>
      <c r="AV213">
        <v>-0.66300000000000003</v>
      </c>
      <c r="AW213">
        <v>-0.60099999999999998</v>
      </c>
      <c r="AX213">
        <v>-0.80200000000000005</v>
      </c>
      <c r="AY213">
        <v>-0.58399999999999996</v>
      </c>
      <c r="AZ213">
        <v>-1</v>
      </c>
      <c r="BA213">
        <v>-0.48499999999999999</v>
      </c>
      <c r="BB213">
        <v>0.10299999999999999</v>
      </c>
      <c r="BC213">
        <v>0.31900000000000001</v>
      </c>
      <c r="BD213">
        <v>1</v>
      </c>
      <c r="BE213">
        <v>3.1E-2</v>
      </c>
      <c r="BF213">
        <v>0.24099999999999999</v>
      </c>
      <c r="BG213">
        <v>0.16800000000000001</v>
      </c>
      <c r="BH213">
        <v>7.2999999999999995E-2</v>
      </c>
      <c r="BI213">
        <v>-1</v>
      </c>
      <c r="BJ213">
        <v>0.998</v>
      </c>
      <c r="BK213">
        <v>0.26700000000000002</v>
      </c>
      <c r="BL213">
        <v>0.317</v>
      </c>
      <c r="BM213">
        <v>0.60099999999999998</v>
      </c>
    </row>
    <row r="214" spans="1:65" x14ac:dyDescent="0.3">
      <c r="M214" t="s">
        <v>268</v>
      </c>
      <c r="N214">
        <v>0.47699999999999998</v>
      </c>
      <c r="O214">
        <v>0.33600000000000002</v>
      </c>
      <c r="P214" t="s">
        <v>71</v>
      </c>
      <c r="Q214">
        <v>0</v>
      </c>
      <c r="R214">
        <v>0</v>
      </c>
      <c r="S214">
        <v>0</v>
      </c>
      <c r="T214">
        <v>-0.996</v>
      </c>
      <c r="U214">
        <v>-1</v>
      </c>
      <c r="V214">
        <v>-0.93300000000000005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-1</v>
      </c>
      <c r="AH214">
        <v>-0.82299999999999995</v>
      </c>
      <c r="AI214">
        <v>-1</v>
      </c>
      <c r="AJ214">
        <v>-0.48</v>
      </c>
      <c r="AK214">
        <v>-0.26400000000000001</v>
      </c>
      <c r="AL214">
        <v>-0.39700000000000002</v>
      </c>
      <c r="AM214">
        <v>-0.58499999999999996</v>
      </c>
      <c r="AN214">
        <v>-1</v>
      </c>
      <c r="AO214">
        <v>-0.95699999999999996</v>
      </c>
      <c r="AP214">
        <v>-1.7000000000000001E-2</v>
      </c>
      <c r="AQ214">
        <v>-0.58499999999999996</v>
      </c>
      <c r="AR214">
        <v>-0.378</v>
      </c>
      <c r="AS214">
        <v>0.17100000000000001</v>
      </c>
      <c r="AT214">
        <v>-0.502</v>
      </c>
      <c r="AU214">
        <v>-0.35599999999999998</v>
      </c>
      <c r="AV214">
        <v>-0.78300000000000003</v>
      </c>
      <c r="AW214">
        <v>-0.81899999999999995</v>
      </c>
      <c r="AX214">
        <v>-0.41699999999999998</v>
      </c>
      <c r="AY214">
        <v>-0.49199999999999999</v>
      </c>
      <c r="AZ214">
        <v>-0.77400000000000002</v>
      </c>
      <c r="BA214">
        <v>-0.87</v>
      </c>
      <c r="BB214">
        <v>-0.621</v>
      </c>
      <c r="BC214">
        <v>-0.47699999999999998</v>
      </c>
      <c r="BD214">
        <v>0.85299999999999998</v>
      </c>
      <c r="BE214">
        <v>0.755</v>
      </c>
      <c r="BF214">
        <v>-2.3E-2</v>
      </c>
      <c r="BG214">
        <v>0.62</v>
      </c>
      <c r="BH214">
        <v>0.69799999999999995</v>
      </c>
      <c r="BI214">
        <v>-0.70799999999999996</v>
      </c>
      <c r="BJ214">
        <v>1</v>
      </c>
      <c r="BK214">
        <v>-0.02</v>
      </c>
      <c r="BL214">
        <v>0.68899999999999995</v>
      </c>
      <c r="BM214">
        <v>0.96499999999999997</v>
      </c>
    </row>
  </sheetData>
  <autoFilter ref="M3:BM214" xr:uid="{9EA1304B-5B19-4913-BCAD-20C9E5A6DBFF}">
    <sortState xmlns:xlrd2="http://schemas.microsoft.com/office/spreadsheetml/2017/richdata2" ref="M4:BM214">
      <sortCondition descending="1" ref="N3:N214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58FF-6914-46DE-9D47-3DE68DBCD665}">
  <dimension ref="A1:BK214"/>
  <sheetViews>
    <sheetView workbookViewId="0">
      <selection activeCell="F11" sqref="F11"/>
    </sheetView>
  </sheetViews>
  <sheetFormatPr defaultRowHeight="14.4" x14ac:dyDescent="0.3"/>
  <sheetData>
    <row r="1" spans="1:63" x14ac:dyDescent="0.3">
      <c r="A1" t="s">
        <v>306</v>
      </c>
      <c r="B1" t="s">
        <v>603</v>
      </c>
      <c r="C1" t="s">
        <v>604</v>
      </c>
      <c r="K1" t="s">
        <v>275</v>
      </c>
    </row>
    <row r="2" spans="1:63" x14ac:dyDescent="0.3">
      <c r="A2" t="s">
        <v>192</v>
      </c>
      <c r="B2">
        <v>0</v>
      </c>
      <c r="C2">
        <v>0</v>
      </c>
    </row>
    <row r="3" spans="1:63" x14ac:dyDescent="0.3">
      <c r="A3" t="s">
        <v>72</v>
      </c>
      <c r="B3">
        <v>0</v>
      </c>
      <c r="C3">
        <v>0</v>
      </c>
      <c r="K3" t="s">
        <v>0</v>
      </c>
      <c r="L3" t="s">
        <v>1</v>
      </c>
      <c r="M3" t="s">
        <v>2</v>
      </c>
      <c r="N3" t="s">
        <v>3</v>
      </c>
      <c r="O3" t="s">
        <v>4</v>
      </c>
      <c r="P3" t="s">
        <v>5</v>
      </c>
      <c r="Q3" t="s">
        <v>274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  <c r="AA3" t="s">
        <v>15</v>
      </c>
      <c r="AB3" t="s">
        <v>16</v>
      </c>
      <c r="AC3" t="s">
        <v>17</v>
      </c>
      <c r="AD3" t="s">
        <v>18</v>
      </c>
      <c r="AE3" t="s">
        <v>19</v>
      </c>
      <c r="AF3" t="s">
        <v>20</v>
      </c>
      <c r="AG3" t="s">
        <v>21</v>
      </c>
      <c r="AH3" t="s">
        <v>22</v>
      </c>
      <c r="AI3" t="s">
        <v>23</v>
      </c>
      <c r="AJ3" t="s">
        <v>24</v>
      </c>
      <c r="AK3" t="s">
        <v>25</v>
      </c>
      <c r="AL3" t="s">
        <v>26</v>
      </c>
      <c r="AM3" t="s">
        <v>27</v>
      </c>
      <c r="AN3" t="s">
        <v>28</v>
      </c>
      <c r="AO3" t="s">
        <v>29</v>
      </c>
      <c r="AP3" t="s">
        <v>30</v>
      </c>
      <c r="AQ3" t="s">
        <v>31</v>
      </c>
      <c r="AR3" t="s">
        <v>32</v>
      </c>
      <c r="AS3" t="s">
        <v>33</v>
      </c>
      <c r="AT3" t="s">
        <v>34</v>
      </c>
      <c r="AU3" t="s">
        <v>35</v>
      </c>
      <c r="AV3" t="s">
        <v>36</v>
      </c>
      <c r="AW3" t="s">
        <v>37</v>
      </c>
      <c r="AX3" t="s">
        <v>38</v>
      </c>
      <c r="AY3" t="s">
        <v>39</v>
      </c>
      <c r="AZ3" t="s">
        <v>40</v>
      </c>
      <c r="BA3" t="s">
        <v>41</v>
      </c>
      <c r="BB3" t="s">
        <v>42</v>
      </c>
      <c r="BC3" t="s">
        <v>43</v>
      </c>
      <c r="BD3" t="s">
        <v>44</v>
      </c>
      <c r="BE3" t="s">
        <v>45</v>
      </c>
      <c r="BF3" t="s">
        <v>46</v>
      </c>
      <c r="BG3" t="s">
        <v>47</v>
      </c>
      <c r="BH3" t="s">
        <v>48</v>
      </c>
      <c r="BI3" t="s">
        <v>49</v>
      </c>
      <c r="BJ3" t="s">
        <v>50</v>
      </c>
      <c r="BK3" t="s">
        <v>51</v>
      </c>
    </row>
    <row r="4" spans="1:63" x14ac:dyDescent="0.3">
      <c r="A4" t="s">
        <v>98</v>
      </c>
      <c r="B4">
        <v>0</v>
      </c>
      <c r="C4">
        <v>0</v>
      </c>
      <c r="K4" t="s">
        <v>91</v>
      </c>
      <c r="L4">
        <v>3.6120000000000001</v>
      </c>
      <c r="M4">
        <v>3.3759999999999999</v>
      </c>
      <c r="N4" t="s">
        <v>57</v>
      </c>
      <c r="O4">
        <v>0</v>
      </c>
      <c r="P4">
        <v>0</v>
      </c>
      <c r="Q4">
        <v>0</v>
      </c>
      <c r="R4">
        <v>1</v>
      </c>
      <c r="S4">
        <v>1</v>
      </c>
      <c r="T4">
        <v>0.60599999999999998</v>
      </c>
      <c r="U4">
        <v>1</v>
      </c>
      <c r="V4">
        <v>1</v>
      </c>
      <c r="W4">
        <v>1</v>
      </c>
      <c r="X4">
        <v>0.97299999999999998</v>
      </c>
      <c r="Y4">
        <v>1</v>
      </c>
      <c r="Z4">
        <v>0.69499999999999995</v>
      </c>
      <c r="AA4">
        <v>0.69099999999999995</v>
      </c>
      <c r="AB4">
        <v>0.92900000000000005</v>
      </c>
      <c r="AC4">
        <v>0.85899999999999999</v>
      </c>
      <c r="AD4">
        <v>1</v>
      </c>
      <c r="AE4">
        <v>1</v>
      </c>
      <c r="AF4">
        <v>0.93799999999999994</v>
      </c>
      <c r="AG4">
        <v>1</v>
      </c>
      <c r="AH4">
        <v>-0.41499999999999998</v>
      </c>
      <c r="AI4">
        <v>0.72799999999999998</v>
      </c>
      <c r="AJ4">
        <v>0.253</v>
      </c>
      <c r="AK4">
        <v>0.29599999999999999</v>
      </c>
      <c r="AL4">
        <v>-5.2999999999999999E-2</v>
      </c>
      <c r="AM4">
        <v>-0.41099999999999998</v>
      </c>
      <c r="AN4">
        <v>0.313</v>
      </c>
      <c r="AO4">
        <v>0.63200000000000001</v>
      </c>
      <c r="AP4">
        <v>0.92700000000000005</v>
      </c>
      <c r="AQ4">
        <v>0.53200000000000003</v>
      </c>
      <c r="AR4">
        <v>0.182</v>
      </c>
      <c r="AS4">
        <v>0.309</v>
      </c>
      <c r="AT4">
        <v>0.33</v>
      </c>
      <c r="AU4">
        <v>0.41399999999999998</v>
      </c>
      <c r="AV4">
        <v>0.90800000000000003</v>
      </c>
      <c r="AW4">
        <v>-4.4999999999999998E-2</v>
      </c>
      <c r="AX4">
        <v>0.13600000000000001</v>
      </c>
      <c r="AY4">
        <v>-0.17599999999999999</v>
      </c>
      <c r="AZ4">
        <v>0.53700000000000003</v>
      </c>
      <c r="BA4">
        <v>-0.253</v>
      </c>
      <c r="BB4">
        <v>8.0000000000000002E-3</v>
      </c>
      <c r="BC4">
        <v>0.54100000000000004</v>
      </c>
      <c r="BD4">
        <v>0.64700000000000002</v>
      </c>
      <c r="BE4">
        <v>0.217</v>
      </c>
      <c r="BF4">
        <v>0.151</v>
      </c>
      <c r="BG4">
        <v>0.14199999999999999</v>
      </c>
      <c r="BH4">
        <v>-0.85699999999999998</v>
      </c>
      <c r="BI4">
        <v>0.70399999999999996</v>
      </c>
      <c r="BJ4">
        <v>-5.0999999999999997E-2</v>
      </c>
      <c r="BK4">
        <v>-0.25800000000000001</v>
      </c>
    </row>
    <row r="5" spans="1:63" x14ac:dyDescent="0.3">
      <c r="A5" t="s">
        <v>63</v>
      </c>
      <c r="B5">
        <v>0</v>
      </c>
      <c r="C5">
        <v>0</v>
      </c>
      <c r="K5" t="s">
        <v>87</v>
      </c>
      <c r="L5">
        <v>3.6120000000000001</v>
      </c>
      <c r="M5">
        <v>3.8650000000000002</v>
      </c>
      <c r="N5" t="s">
        <v>55</v>
      </c>
      <c r="O5">
        <v>0</v>
      </c>
      <c r="P5">
        <v>0</v>
      </c>
      <c r="Q5">
        <v>0</v>
      </c>
      <c r="R5">
        <v>0.753</v>
      </c>
      <c r="S5">
        <v>1</v>
      </c>
      <c r="T5">
        <v>0.51100000000000001</v>
      </c>
      <c r="U5">
        <v>0.89600000000000002</v>
      </c>
      <c r="V5">
        <v>0.88200000000000001</v>
      </c>
      <c r="W5">
        <v>0.996</v>
      </c>
      <c r="X5">
        <v>1</v>
      </c>
      <c r="Y5">
        <v>1</v>
      </c>
      <c r="Z5">
        <v>0.53500000000000003</v>
      </c>
      <c r="AA5">
        <v>0.54</v>
      </c>
      <c r="AB5">
        <v>1</v>
      </c>
      <c r="AC5">
        <v>0.99099999999999999</v>
      </c>
      <c r="AD5">
        <v>1</v>
      </c>
      <c r="AE5">
        <v>1</v>
      </c>
      <c r="AF5">
        <v>9.1999999999999998E-2</v>
      </c>
      <c r="AG5">
        <v>0.79700000000000004</v>
      </c>
      <c r="AH5">
        <v>0.29799999999999999</v>
      </c>
      <c r="AI5">
        <v>0.91800000000000004</v>
      </c>
      <c r="AJ5">
        <v>-0.122</v>
      </c>
      <c r="AK5">
        <v>-0.20399999999999999</v>
      </c>
      <c r="AL5">
        <v>0.32700000000000001</v>
      </c>
      <c r="AM5">
        <v>-0.17</v>
      </c>
      <c r="AN5">
        <v>3.3000000000000002E-2</v>
      </c>
      <c r="AO5">
        <v>0.439</v>
      </c>
      <c r="AP5">
        <v>2.3E-2</v>
      </c>
      <c r="AQ5">
        <v>-7.1999999999999995E-2</v>
      </c>
      <c r="AR5">
        <v>0.52700000000000002</v>
      </c>
      <c r="AS5">
        <v>0.52</v>
      </c>
      <c r="AT5">
        <v>-0.109</v>
      </c>
      <c r="AU5">
        <v>0.75900000000000001</v>
      </c>
      <c r="AV5">
        <v>0.41899999999999998</v>
      </c>
      <c r="AW5">
        <v>0.34399999999999997</v>
      </c>
      <c r="AX5">
        <v>-0.73499999999999999</v>
      </c>
      <c r="AY5">
        <v>0.03</v>
      </c>
      <c r="AZ5">
        <v>-0.26200000000000001</v>
      </c>
      <c r="BA5">
        <v>-0.245</v>
      </c>
      <c r="BB5">
        <v>0.13500000000000001</v>
      </c>
      <c r="BC5">
        <v>0.59299999999999997</v>
      </c>
      <c r="BD5">
        <v>0.51</v>
      </c>
      <c r="BE5">
        <v>-0.35099999999999998</v>
      </c>
      <c r="BF5">
        <v>-0.122</v>
      </c>
      <c r="BG5">
        <v>0.72799999999999998</v>
      </c>
      <c r="BH5">
        <v>-0.41599999999999998</v>
      </c>
      <c r="BI5">
        <v>0.223</v>
      </c>
      <c r="BJ5">
        <v>0.36899999999999999</v>
      </c>
      <c r="BK5">
        <v>0.29699999999999999</v>
      </c>
    </row>
    <row r="6" spans="1:63" x14ac:dyDescent="0.3">
      <c r="A6" t="s">
        <v>164</v>
      </c>
      <c r="B6">
        <v>0</v>
      </c>
      <c r="C6">
        <v>0</v>
      </c>
      <c r="K6" t="s">
        <v>52</v>
      </c>
      <c r="L6">
        <v>3.6120000000000001</v>
      </c>
      <c r="M6">
        <v>3.5550000000000002</v>
      </c>
      <c r="N6" t="s">
        <v>53</v>
      </c>
      <c r="O6">
        <v>0</v>
      </c>
      <c r="P6">
        <v>0</v>
      </c>
      <c r="Q6">
        <v>0</v>
      </c>
      <c r="R6">
        <v>1</v>
      </c>
      <c r="S6">
        <v>0.96599999999999997</v>
      </c>
      <c r="T6">
        <v>1</v>
      </c>
      <c r="U6">
        <v>1</v>
      </c>
      <c r="V6">
        <v>1</v>
      </c>
      <c r="W6">
        <v>1</v>
      </c>
      <c r="X6">
        <v>1</v>
      </c>
      <c r="Y6">
        <v>0.63100000000000001</v>
      </c>
      <c r="Z6">
        <v>0.72399999999999998</v>
      </c>
      <c r="AA6">
        <v>0.72299999999999998</v>
      </c>
      <c r="AB6">
        <v>1</v>
      </c>
      <c r="AC6">
        <v>1</v>
      </c>
      <c r="AD6">
        <v>0.99</v>
      </c>
      <c r="AE6">
        <v>1</v>
      </c>
      <c r="AF6">
        <v>0.20499999999999999</v>
      </c>
      <c r="AG6">
        <v>0.42099999999999999</v>
      </c>
      <c r="AH6">
        <v>0.54600000000000004</v>
      </c>
      <c r="AI6">
        <v>0.997</v>
      </c>
      <c r="AJ6">
        <v>1</v>
      </c>
      <c r="AK6">
        <v>0.55100000000000005</v>
      </c>
      <c r="AL6">
        <v>-0.187</v>
      </c>
      <c r="AM6">
        <v>-0.26300000000000001</v>
      </c>
      <c r="AN6">
        <v>5.5E-2</v>
      </c>
      <c r="AO6">
        <v>3.5999999999999997E-2</v>
      </c>
      <c r="AP6">
        <v>0.11799999999999999</v>
      </c>
      <c r="AQ6">
        <v>0.27100000000000002</v>
      </c>
      <c r="AR6">
        <v>0.157</v>
      </c>
      <c r="AS6">
        <v>-0.34599999999999997</v>
      </c>
      <c r="AT6">
        <v>0.72399999999999998</v>
      </c>
      <c r="AU6">
        <v>0.40300000000000002</v>
      </c>
      <c r="AV6">
        <v>1</v>
      </c>
      <c r="AW6">
        <v>0.36299999999999999</v>
      </c>
      <c r="AX6">
        <v>-6.2E-2</v>
      </c>
      <c r="AY6">
        <v>0.80400000000000005</v>
      </c>
      <c r="AZ6">
        <v>0.496</v>
      </c>
      <c r="BA6">
        <v>-4.2999999999999997E-2</v>
      </c>
      <c r="BB6">
        <v>0.05</v>
      </c>
      <c r="BC6">
        <v>0.06</v>
      </c>
      <c r="BD6">
        <v>0.53500000000000003</v>
      </c>
      <c r="BE6">
        <v>-2.1000000000000001E-2</v>
      </c>
      <c r="BF6">
        <v>1</v>
      </c>
      <c r="BG6">
        <v>0.64100000000000001</v>
      </c>
      <c r="BH6">
        <v>-0.36099999999999999</v>
      </c>
      <c r="BI6">
        <v>-0.36699999999999999</v>
      </c>
      <c r="BJ6">
        <v>0.61399999999999999</v>
      </c>
      <c r="BK6">
        <v>0.69299999999999995</v>
      </c>
    </row>
    <row r="7" spans="1:63" x14ac:dyDescent="0.3">
      <c r="A7" t="s">
        <v>73</v>
      </c>
      <c r="B7">
        <v>0</v>
      </c>
      <c r="C7">
        <v>0</v>
      </c>
      <c r="K7" t="s">
        <v>69</v>
      </c>
      <c r="L7">
        <v>3.6120000000000001</v>
      </c>
      <c r="M7">
        <v>3.597</v>
      </c>
      <c r="N7" t="s">
        <v>57</v>
      </c>
      <c r="O7">
        <v>0</v>
      </c>
      <c r="P7">
        <v>0</v>
      </c>
      <c r="Q7">
        <v>0</v>
      </c>
      <c r="R7">
        <v>0.90200000000000002</v>
      </c>
      <c r="S7">
        <v>1</v>
      </c>
      <c r="T7">
        <v>0.81699999999999995</v>
      </c>
      <c r="U7">
        <v>0.91100000000000003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0.19400000000000001</v>
      </c>
      <c r="AF7">
        <v>1</v>
      </c>
      <c r="AG7">
        <v>1</v>
      </c>
      <c r="AH7">
        <v>0.251</v>
      </c>
      <c r="AI7">
        <v>1</v>
      </c>
      <c r="AJ7">
        <v>0.23</v>
      </c>
      <c r="AK7">
        <v>7.2999999999999995E-2</v>
      </c>
      <c r="AL7">
        <v>0.54</v>
      </c>
      <c r="AM7">
        <v>0.42</v>
      </c>
      <c r="AN7">
        <v>0.223</v>
      </c>
      <c r="AO7">
        <v>0.56100000000000005</v>
      </c>
      <c r="AP7">
        <v>0.81299999999999994</v>
      </c>
      <c r="AQ7">
        <v>0.55700000000000005</v>
      </c>
      <c r="AR7">
        <v>0.25</v>
      </c>
      <c r="AS7">
        <v>-0.13900000000000001</v>
      </c>
      <c r="AT7">
        <v>2E-3</v>
      </c>
      <c r="AU7">
        <v>-0.26700000000000002</v>
      </c>
      <c r="AV7">
        <v>-0.13100000000000001</v>
      </c>
      <c r="AW7">
        <v>0.51500000000000001</v>
      </c>
      <c r="AX7">
        <v>-0.09</v>
      </c>
      <c r="AY7">
        <v>0.65500000000000003</v>
      </c>
      <c r="AZ7">
        <v>0.249</v>
      </c>
      <c r="BA7">
        <v>-3.0000000000000001E-3</v>
      </c>
      <c r="BB7">
        <v>0.126</v>
      </c>
      <c r="BC7">
        <v>0.215</v>
      </c>
      <c r="BD7">
        <v>-0.73199999999999998</v>
      </c>
      <c r="BE7">
        <v>-0.36299999999999999</v>
      </c>
      <c r="BF7">
        <v>0.186</v>
      </c>
      <c r="BG7">
        <v>0.93600000000000005</v>
      </c>
      <c r="BH7">
        <v>-0.81</v>
      </c>
      <c r="BI7">
        <v>8.2000000000000003E-2</v>
      </c>
      <c r="BJ7">
        <v>0.64</v>
      </c>
      <c r="BK7">
        <v>0.67900000000000005</v>
      </c>
    </row>
    <row r="8" spans="1:63" x14ac:dyDescent="0.3">
      <c r="A8" t="s">
        <v>263</v>
      </c>
      <c r="B8">
        <v>0</v>
      </c>
      <c r="C8">
        <v>0</v>
      </c>
      <c r="K8" t="s">
        <v>59</v>
      </c>
      <c r="L8">
        <v>3.6120000000000001</v>
      </c>
      <c r="M8">
        <v>2.7629999999999999</v>
      </c>
      <c r="N8" t="s">
        <v>57</v>
      </c>
      <c r="O8">
        <v>0</v>
      </c>
      <c r="P8">
        <v>0</v>
      </c>
      <c r="Q8">
        <v>0</v>
      </c>
      <c r="R8">
        <v>1</v>
      </c>
      <c r="S8">
        <v>0.64600000000000002</v>
      </c>
      <c r="T8">
        <v>1</v>
      </c>
      <c r="U8">
        <v>1</v>
      </c>
      <c r="V8">
        <v>1</v>
      </c>
      <c r="W8">
        <v>1</v>
      </c>
      <c r="X8">
        <v>1</v>
      </c>
      <c r="Y8">
        <v>0.73699999999999999</v>
      </c>
      <c r="Z8">
        <v>1</v>
      </c>
      <c r="AA8">
        <v>1</v>
      </c>
      <c r="AB8">
        <v>0.73499999999999999</v>
      </c>
      <c r="AC8">
        <v>0.749</v>
      </c>
      <c r="AD8">
        <v>0.92800000000000005</v>
      </c>
      <c r="AE8">
        <v>1</v>
      </c>
      <c r="AF8">
        <v>1</v>
      </c>
      <c r="AG8">
        <v>-0.13800000000000001</v>
      </c>
      <c r="AH8">
        <v>1</v>
      </c>
      <c r="AI8">
        <v>-0.315</v>
      </c>
      <c r="AJ8">
        <v>1</v>
      </c>
      <c r="AK8">
        <v>0.88200000000000001</v>
      </c>
      <c r="AL8">
        <v>1</v>
      </c>
      <c r="AM8">
        <v>0.45100000000000001</v>
      </c>
      <c r="AN8">
        <v>0.65200000000000002</v>
      </c>
      <c r="AO8">
        <v>-0.80800000000000005</v>
      </c>
      <c r="AP8">
        <v>-0.66500000000000004</v>
      </c>
      <c r="AQ8">
        <v>0.30299999999999999</v>
      </c>
      <c r="AR8">
        <v>0.59399999999999997</v>
      </c>
      <c r="AS8">
        <v>9.7000000000000003E-2</v>
      </c>
      <c r="AT8">
        <v>0.69699999999999995</v>
      </c>
      <c r="AU8">
        <v>-0.54800000000000004</v>
      </c>
      <c r="AV8">
        <v>0.90800000000000003</v>
      </c>
      <c r="AW8">
        <v>0.32600000000000001</v>
      </c>
      <c r="AX8">
        <v>5.3999999999999999E-2</v>
      </c>
      <c r="AY8">
        <v>0.47</v>
      </c>
      <c r="AZ8">
        <v>0.60399999999999998</v>
      </c>
      <c r="BA8">
        <v>0.25</v>
      </c>
      <c r="BB8">
        <v>0.29199999999999998</v>
      </c>
      <c r="BC8">
        <v>0.30299999999999999</v>
      </c>
      <c r="BD8">
        <v>0.59399999999999997</v>
      </c>
      <c r="BE8">
        <v>4.2999999999999997E-2</v>
      </c>
      <c r="BF8">
        <v>9.7000000000000003E-2</v>
      </c>
      <c r="BG8">
        <v>0.90700000000000003</v>
      </c>
      <c r="BH8">
        <v>-0.34499999999999997</v>
      </c>
      <c r="BI8">
        <v>-0.437</v>
      </c>
      <c r="BJ8">
        <v>0.52100000000000002</v>
      </c>
      <c r="BK8">
        <v>0.80200000000000005</v>
      </c>
    </row>
    <row r="9" spans="1:63" x14ac:dyDescent="0.3">
      <c r="A9" t="s">
        <v>177</v>
      </c>
      <c r="B9">
        <v>0</v>
      </c>
      <c r="C9">
        <v>0</v>
      </c>
      <c r="K9" t="s">
        <v>54</v>
      </c>
      <c r="L9">
        <v>3.6120000000000001</v>
      </c>
      <c r="M9">
        <v>3.6219999999999999</v>
      </c>
      <c r="N9" t="s">
        <v>55</v>
      </c>
      <c r="O9">
        <v>0</v>
      </c>
      <c r="P9">
        <v>0</v>
      </c>
      <c r="Q9">
        <v>0</v>
      </c>
      <c r="R9">
        <v>1</v>
      </c>
      <c r="S9">
        <v>1</v>
      </c>
      <c r="T9">
        <v>0.64200000000000002</v>
      </c>
      <c r="U9">
        <v>1</v>
      </c>
      <c r="V9">
        <v>0.93799999999999994</v>
      </c>
      <c r="W9">
        <v>1</v>
      </c>
      <c r="X9">
        <v>1</v>
      </c>
      <c r="Y9">
        <v>1</v>
      </c>
      <c r="Z9">
        <v>0.68700000000000006</v>
      </c>
      <c r="AA9">
        <v>0.68899999999999995</v>
      </c>
      <c r="AB9">
        <v>1</v>
      </c>
      <c r="AC9">
        <v>1</v>
      </c>
      <c r="AD9">
        <v>1</v>
      </c>
      <c r="AE9">
        <v>0.55700000000000005</v>
      </c>
      <c r="AF9">
        <v>2E-3</v>
      </c>
      <c r="AG9">
        <v>0.80500000000000005</v>
      </c>
      <c r="AH9">
        <v>-0.26100000000000001</v>
      </c>
      <c r="AI9">
        <v>1</v>
      </c>
      <c r="AJ9">
        <v>0.752</v>
      </c>
      <c r="AK9">
        <v>-0.20499999999999999</v>
      </c>
      <c r="AL9">
        <v>0.13300000000000001</v>
      </c>
      <c r="AM9">
        <v>-0.80500000000000005</v>
      </c>
      <c r="AN9">
        <v>6.4000000000000001E-2</v>
      </c>
      <c r="AO9">
        <v>0.751</v>
      </c>
      <c r="AP9">
        <v>1</v>
      </c>
      <c r="AQ9">
        <v>0.29299999999999998</v>
      </c>
      <c r="AR9">
        <v>0.40500000000000003</v>
      </c>
      <c r="AS9">
        <v>0.47499999999999998</v>
      </c>
      <c r="AT9">
        <v>0.41699999999999998</v>
      </c>
      <c r="AU9">
        <v>0.26</v>
      </c>
      <c r="AV9">
        <v>0.76700000000000002</v>
      </c>
      <c r="AW9">
        <v>0.42599999999999999</v>
      </c>
      <c r="AX9">
        <v>0.17899999999999999</v>
      </c>
      <c r="AY9">
        <v>0.88500000000000001</v>
      </c>
      <c r="AZ9">
        <v>0.104</v>
      </c>
      <c r="BA9">
        <v>0.58299999999999996</v>
      </c>
      <c r="BB9">
        <v>-0.29899999999999999</v>
      </c>
      <c r="BC9">
        <v>-0.20100000000000001</v>
      </c>
      <c r="BD9">
        <v>0.29299999999999998</v>
      </c>
      <c r="BE9">
        <v>-0.371</v>
      </c>
      <c r="BF9">
        <v>0.371</v>
      </c>
      <c r="BG9">
        <v>0.68200000000000005</v>
      </c>
      <c r="BH9">
        <v>-0.52700000000000002</v>
      </c>
      <c r="BI9">
        <v>-0.40100000000000002</v>
      </c>
      <c r="BJ9">
        <v>0.71699999999999997</v>
      </c>
      <c r="BK9">
        <v>0.495</v>
      </c>
    </row>
    <row r="10" spans="1:63" x14ac:dyDescent="0.3">
      <c r="A10" t="s">
        <v>159</v>
      </c>
      <c r="B10">
        <v>0</v>
      </c>
      <c r="C10">
        <v>0</v>
      </c>
      <c r="K10" t="s">
        <v>60</v>
      </c>
      <c r="L10">
        <v>3.5289999999999999</v>
      </c>
      <c r="M10">
        <v>2.754</v>
      </c>
      <c r="N10" t="s">
        <v>57</v>
      </c>
      <c r="O10">
        <v>1.6E-2</v>
      </c>
      <c r="P10">
        <v>1.4E-2</v>
      </c>
      <c r="Q10">
        <v>1E-3</v>
      </c>
      <c r="R10">
        <v>0.99299999999999999</v>
      </c>
      <c r="S10">
        <v>0.84899999999999998</v>
      </c>
      <c r="T10">
        <v>0.79700000000000004</v>
      </c>
      <c r="U10">
        <v>1</v>
      </c>
      <c r="V10">
        <v>0.96899999999999997</v>
      </c>
      <c r="W10">
        <v>0.78600000000000003</v>
      </c>
      <c r="X10">
        <v>0.51400000000000001</v>
      </c>
      <c r="Y10">
        <v>0.755</v>
      </c>
      <c r="Z10">
        <v>0.75700000000000001</v>
      </c>
      <c r="AA10">
        <v>0.752</v>
      </c>
      <c r="AB10">
        <v>0.77800000000000002</v>
      </c>
      <c r="AC10">
        <v>0.79800000000000004</v>
      </c>
      <c r="AD10">
        <v>0.95599999999999996</v>
      </c>
      <c r="AE10">
        <v>1</v>
      </c>
      <c r="AF10">
        <v>1</v>
      </c>
      <c r="AG10">
        <v>0.41799999999999998</v>
      </c>
      <c r="AH10">
        <v>0.13700000000000001</v>
      </c>
      <c r="AI10">
        <v>0.13300000000000001</v>
      </c>
      <c r="AJ10">
        <v>0.61</v>
      </c>
      <c r="AK10">
        <v>0.55600000000000005</v>
      </c>
      <c r="AL10">
        <v>9.0999999999999998E-2</v>
      </c>
      <c r="AM10">
        <v>-0.11799999999999999</v>
      </c>
      <c r="AN10">
        <v>0.47799999999999998</v>
      </c>
      <c r="AO10">
        <v>0.22700000000000001</v>
      </c>
      <c r="AP10">
        <v>-8.1000000000000003E-2</v>
      </c>
      <c r="AQ10">
        <v>0.58399999999999996</v>
      </c>
      <c r="AR10">
        <v>0.76800000000000002</v>
      </c>
      <c r="AS10">
        <v>0.38400000000000001</v>
      </c>
      <c r="AT10">
        <v>0.42799999999999999</v>
      </c>
      <c r="AU10">
        <v>-0.1</v>
      </c>
      <c r="AV10">
        <v>0.95799999999999996</v>
      </c>
      <c r="AW10">
        <v>-0.59099999999999997</v>
      </c>
      <c r="AX10">
        <v>7.6999999999999999E-2</v>
      </c>
      <c r="AY10">
        <v>0.42299999999999999</v>
      </c>
      <c r="AZ10">
        <v>0.629</v>
      </c>
      <c r="BA10">
        <v>-0.314</v>
      </c>
      <c r="BB10">
        <v>0.21099999999999999</v>
      </c>
      <c r="BC10">
        <v>1.9E-2</v>
      </c>
      <c r="BD10">
        <v>0.625</v>
      </c>
      <c r="BE10">
        <v>0.23400000000000001</v>
      </c>
      <c r="BF10">
        <v>-0.28799999999999998</v>
      </c>
      <c r="BG10">
        <v>0.20399999999999999</v>
      </c>
      <c r="BH10">
        <v>-0.48799999999999999</v>
      </c>
      <c r="BI10">
        <v>0.29199999999999998</v>
      </c>
      <c r="BJ10">
        <v>0.253</v>
      </c>
      <c r="BK10">
        <v>0.20599999999999999</v>
      </c>
    </row>
    <row r="11" spans="1:63" x14ac:dyDescent="0.3">
      <c r="A11" t="s">
        <v>172</v>
      </c>
      <c r="B11">
        <v>0</v>
      </c>
      <c r="C11">
        <v>0</v>
      </c>
      <c r="K11" t="s">
        <v>58</v>
      </c>
      <c r="L11">
        <v>3.4969999999999999</v>
      </c>
      <c r="M11">
        <v>3.72</v>
      </c>
      <c r="N11" t="s">
        <v>57</v>
      </c>
      <c r="O11">
        <v>0</v>
      </c>
      <c r="P11">
        <v>0</v>
      </c>
      <c r="Q11">
        <v>0</v>
      </c>
      <c r="R11">
        <v>0.73699999999999999</v>
      </c>
      <c r="S11">
        <v>0.61</v>
      </c>
      <c r="T11">
        <v>0.67800000000000005</v>
      </c>
      <c r="U11">
        <v>0.68700000000000006</v>
      </c>
      <c r="V11">
        <v>0.67500000000000004</v>
      </c>
      <c r="W11">
        <v>1</v>
      </c>
      <c r="X11">
        <v>1</v>
      </c>
      <c r="Y11">
        <v>0.97799999999999998</v>
      </c>
      <c r="Z11">
        <v>0.55600000000000005</v>
      </c>
      <c r="AA11">
        <v>0.55900000000000005</v>
      </c>
      <c r="AB11">
        <v>0.89400000000000002</v>
      </c>
      <c r="AC11">
        <v>0.83899999999999997</v>
      </c>
      <c r="AD11">
        <v>0.89100000000000001</v>
      </c>
      <c r="AE11">
        <v>0.84699999999999998</v>
      </c>
      <c r="AF11">
        <v>6.3E-2</v>
      </c>
      <c r="AG11">
        <v>-0.123</v>
      </c>
      <c r="AH11">
        <v>2.7E-2</v>
      </c>
      <c r="AI11">
        <v>0.129</v>
      </c>
      <c r="AJ11">
        <v>0.84699999999999998</v>
      </c>
      <c r="AK11">
        <v>0.13500000000000001</v>
      </c>
      <c r="AL11">
        <v>0.94799999999999995</v>
      </c>
      <c r="AM11">
        <v>-0.47699999999999998</v>
      </c>
      <c r="AN11">
        <v>0.54</v>
      </c>
      <c r="AO11">
        <v>0.16900000000000001</v>
      </c>
      <c r="AP11">
        <v>-0.25800000000000001</v>
      </c>
      <c r="AQ11">
        <v>-2.3E-2</v>
      </c>
      <c r="AR11">
        <v>0.29899999999999999</v>
      </c>
      <c r="AS11">
        <v>-0.16800000000000001</v>
      </c>
      <c r="AT11">
        <v>0.20499999999999999</v>
      </c>
      <c r="AU11">
        <v>0.159</v>
      </c>
      <c r="AV11">
        <v>0.17</v>
      </c>
      <c r="AW11">
        <v>0.51800000000000002</v>
      </c>
      <c r="AX11">
        <v>0.77400000000000002</v>
      </c>
      <c r="AY11">
        <v>0.495</v>
      </c>
      <c r="AZ11">
        <v>-4.9000000000000002E-2</v>
      </c>
      <c r="BA11">
        <v>0.10199999999999999</v>
      </c>
      <c r="BB11">
        <v>0.55300000000000005</v>
      </c>
      <c r="BC11">
        <v>0.50700000000000001</v>
      </c>
      <c r="BD11">
        <v>0.54600000000000004</v>
      </c>
      <c r="BE11">
        <v>0.21099999999999999</v>
      </c>
      <c r="BF11">
        <v>4.8000000000000001E-2</v>
      </c>
      <c r="BG11">
        <v>0.82899999999999996</v>
      </c>
      <c r="BH11">
        <v>-7.4999999999999997E-2</v>
      </c>
      <c r="BI11">
        <v>-0.35799999999999998</v>
      </c>
      <c r="BJ11">
        <v>0.19700000000000001</v>
      </c>
      <c r="BK11">
        <v>0.34699999999999998</v>
      </c>
    </row>
    <row r="12" spans="1:63" x14ac:dyDescent="0.3">
      <c r="A12" t="s">
        <v>145</v>
      </c>
      <c r="B12">
        <v>0</v>
      </c>
      <c r="C12">
        <v>0</v>
      </c>
      <c r="K12" t="s">
        <v>75</v>
      </c>
      <c r="L12">
        <v>3.3780000000000001</v>
      </c>
      <c r="M12">
        <v>2.577</v>
      </c>
      <c r="N12" t="s">
        <v>55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0.70199999999999996</v>
      </c>
      <c r="V12">
        <v>1</v>
      </c>
      <c r="W12">
        <v>0.86</v>
      </c>
      <c r="X12">
        <v>0.81</v>
      </c>
      <c r="Y12">
        <v>0.47</v>
      </c>
      <c r="Z12">
        <v>0.55700000000000005</v>
      </c>
      <c r="AA12">
        <v>0.55600000000000005</v>
      </c>
      <c r="AB12">
        <v>0.64400000000000002</v>
      </c>
      <c r="AC12">
        <v>0.81</v>
      </c>
      <c r="AD12">
        <v>0.97799999999999998</v>
      </c>
      <c r="AE12">
        <v>0.23699999999999999</v>
      </c>
      <c r="AF12">
        <v>1</v>
      </c>
      <c r="AG12">
        <v>1</v>
      </c>
      <c r="AH12">
        <v>1</v>
      </c>
      <c r="AI12">
        <v>0.38400000000000001</v>
      </c>
      <c r="AJ12">
        <v>-0.22500000000000001</v>
      </c>
      <c r="AK12">
        <v>0.75</v>
      </c>
      <c r="AL12">
        <v>-0.02</v>
      </c>
      <c r="AM12">
        <v>1</v>
      </c>
      <c r="AN12">
        <v>0.77500000000000002</v>
      </c>
      <c r="AO12">
        <v>-9.7000000000000003E-2</v>
      </c>
      <c r="AP12">
        <v>-0.185</v>
      </c>
      <c r="AQ12">
        <v>-0.221</v>
      </c>
      <c r="AR12">
        <v>0.34300000000000003</v>
      </c>
      <c r="AS12">
        <v>0.114</v>
      </c>
      <c r="AT12">
        <v>-0.22800000000000001</v>
      </c>
      <c r="AU12">
        <v>0.47</v>
      </c>
      <c r="AV12">
        <v>-0.33600000000000002</v>
      </c>
      <c r="AW12">
        <v>-4.8000000000000001E-2</v>
      </c>
      <c r="AX12">
        <v>-0.71399999999999997</v>
      </c>
      <c r="AY12">
        <v>-0.34399999999999997</v>
      </c>
      <c r="AZ12">
        <v>0.126</v>
      </c>
      <c r="BA12">
        <v>0.84699999999999998</v>
      </c>
      <c r="BB12">
        <v>0.16600000000000001</v>
      </c>
      <c r="BC12">
        <v>0.73899999999999999</v>
      </c>
      <c r="BD12">
        <v>0.32600000000000001</v>
      </c>
      <c r="BE12">
        <v>-1E-3</v>
      </c>
      <c r="BF12">
        <v>0.315</v>
      </c>
      <c r="BG12">
        <v>0.28299999999999997</v>
      </c>
      <c r="BH12">
        <v>0.154</v>
      </c>
      <c r="BI12">
        <v>0.81899999999999995</v>
      </c>
      <c r="BJ12">
        <v>0.621</v>
      </c>
      <c r="BK12">
        <v>0.97399999999999998</v>
      </c>
    </row>
    <row r="13" spans="1:63" x14ac:dyDescent="0.3">
      <c r="A13" t="s">
        <v>256</v>
      </c>
      <c r="B13">
        <v>0</v>
      </c>
      <c r="C13">
        <v>0</v>
      </c>
      <c r="K13" t="s">
        <v>67</v>
      </c>
      <c r="L13">
        <v>3.3239999999999998</v>
      </c>
      <c r="M13">
        <v>2.9630000000000001</v>
      </c>
      <c r="N13" t="s">
        <v>68</v>
      </c>
      <c r="O13">
        <v>0</v>
      </c>
      <c r="P13">
        <v>0</v>
      </c>
      <c r="Q13">
        <v>0</v>
      </c>
      <c r="R13">
        <v>0.621</v>
      </c>
      <c r="S13">
        <v>0.14000000000000001</v>
      </c>
      <c r="T13">
        <v>0.39700000000000002</v>
      </c>
      <c r="U13">
        <v>0.92300000000000004</v>
      </c>
      <c r="V13">
        <v>0.53900000000000003</v>
      </c>
      <c r="W13">
        <v>0.84799999999999998</v>
      </c>
      <c r="X13">
        <v>0.81599999999999995</v>
      </c>
      <c r="Y13">
        <v>1</v>
      </c>
      <c r="Z13">
        <v>0.63200000000000001</v>
      </c>
      <c r="AA13">
        <v>0.63300000000000001</v>
      </c>
      <c r="AB13">
        <v>0.94599999999999995</v>
      </c>
      <c r="AC13">
        <v>0.86</v>
      </c>
      <c r="AD13">
        <v>0.85399999999999998</v>
      </c>
      <c r="AE13">
        <v>1</v>
      </c>
      <c r="AF13">
        <v>0.59</v>
      </c>
      <c r="AG13">
        <v>0.154</v>
      </c>
      <c r="AH13">
        <v>-0.45400000000000001</v>
      </c>
      <c r="AI13">
        <v>-0.03</v>
      </c>
      <c r="AJ13">
        <v>9.6000000000000002E-2</v>
      </c>
      <c r="AK13">
        <v>-3.5000000000000003E-2</v>
      </c>
      <c r="AL13">
        <v>0.628</v>
      </c>
      <c r="AM13">
        <v>-0.68500000000000005</v>
      </c>
      <c r="AN13">
        <v>0.375</v>
      </c>
      <c r="AO13">
        <v>0.28699999999999998</v>
      </c>
      <c r="AP13">
        <v>0.44800000000000001</v>
      </c>
      <c r="AQ13">
        <v>0.59899999999999998</v>
      </c>
      <c r="AR13">
        <v>0.28299999999999997</v>
      </c>
      <c r="AS13">
        <v>-0.498</v>
      </c>
      <c r="AT13">
        <v>0.61399999999999999</v>
      </c>
      <c r="AU13">
        <v>-0.33700000000000002</v>
      </c>
      <c r="AV13">
        <v>0.64400000000000002</v>
      </c>
      <c r="AW13">
        <v>0.41</v>
      </c>
      <c r="AX13">
        <v>0.114</v>
      </c>
      <c r="AY13">
        <v>0.84299999999999997</v>
      </c>
      <c r="AZ13">
        <v>0.74099999999999999</v>
      </c>
      <c r="BA13">
        <v>0.22600000000000001</v>
      </c>
      <c r="BB13">
        <v>-0.159</v>
      </c>
      <c r="BC13">
        <v>-0.188</v>
      </c>
      <c r="BD13">
        <v>0.438</v>
      </c>
      <c r="BE13">
        <v>-0.41699999999999998</v>
      </c>
      <c r="BF13">
        <v>0.14599999999999999</v>
      </c>
      <c r="BG13">
        <v>0.34599999999999997</v>
      </c>
      <c r="BH13">
        <v>-0.96099999999999997</v>
      </c>
      <c r="BI13">
        <v>0.17199999999999999</v>
      </c>
      <c r="BJ13">
        <v>0.73</v>
      </c>
      <c r="BK13">
        <v>-0.151</v>
      </c>
    </row>
    <row r="14" spans="1:63" x14ac:dyDescent="0.3">
      <c r="A14" t="s">
        <v>222</v>
      </c>
      <c r="B14">
        <v>0</v>
      </c>
      <c r="C14">
        <v>0</v>
      </c>
      <c r="K14" t="s">
        <v>86</v>
      </c>
      <c r="L14">
        <v>3.23</v>
      </c>
      <c r="M14">
        <v>3.5339999999999998</v>
      </c>
      <c r="N14" t="s">
        <v>57</v>
      </c>
      <c r="O14">
        <v>3.4000000000000002E-2</v>
      </c>
      <c r="P14">
        <v>3.3000000000000002E-2</v>
      </c>
      <c r="Q14">
        <v>0</v>
      </c>
      <c r="R14">
        <v>0.68799999999999994</v>
      </c>
      <c r="S14">
        <v>0.79400000000000004</v>
      </c>
      <c r="T14">
        <v>0.80100000000000005</v>
      </c>
      <c r="U14">
        <v>0.52</v>
      </c>
      <c r="V14">
        <v>0.76700000000000002</v>
      </c>
      <c r="W14">
        <v>0.68799999999999994</v>
      </c>
      <c r="X14">
        <v>0.66700000000000004</v>
      </c>
      <c r="Y14">
        <v>0.60199999999999998</v>
      </c>
      <c r="Z14">
        <v>0.67600000000000005</v>
      </c>
      <c r="AA14">
        <v>0.67200000000000004</v>
      </c>
      <c r="AB14">
        <v>1</v>
      </c>
      <c r="AC14">
        <v>0.93400000000000005</v>
      </c>
      <c r="AD14">
        <v>0.93700000000000006</v>
      </c>
      <c r="AE14">
        <v>-2.5999999999999999E-2</v>
      </c>
      <c r="AF14">
        <v>1</v>
      </c>
      <c r="AG14">
        <v>0.53500000000000003</v>
      </c>
      <c r="AH14">
        <v>1</v>
      </c>
      <c r="AI14">
        <v>0.45600000000000002</v>
      </c>
      <c r="AJ14">
        <v>1.6E-2</v>
      </c>
      <c r="AK14">
        <v>0.14699999999999999</v>
      </c>
      <c r="AL14">
        <v>0.69899999999999995</v>
      </c>
      <c r="AM14">
        <v>0.31900000000000001</v>
      </c>
      <c r="AN14">
        <v>0.41599999999999998</v>
      </c>
      <c r="AO14">
        <v>-0.13100000000000001</v>
      </c>
      <c r="AP14">
        <v>-0.245</v>
      </c>
      <c r="AQ14">
        <v>0.252</v>
      </c>
      <c r="AR14">
        <v>0.54600000000000004</v>
      </c>
      <c r="AS14">
        <v>0.17100000000000001</v>
      </c>
      <c r="AT14">
        <v>-3.1E-2</v>
      </c>
      <c r="AU14">
        <v>-0.32700000000000001</v>
      </c>
      <c r="AV14">
        <v>-0.23899999999999999</v>
      </c>
      <c r="AW14">
        <v>-1.4999999999999999E-2</v>
      </c>
      <c r="AX14">
        <v>-0.32600000000000001</v>
      </c>
      <c r="AY14">
        <v>0.67800000000000005</v>
      </c>
      <c r="AZ14">
        <v>0.185</v>
      </c>
      <c r="BA14">
        <v>5.8000000000000003E-2</v>
      </c>
      <c r="BB14">
        <v>-0.186</v>
      </c>
      <c r="BC14">
        <v>-7.0000000000000007E-2</v>
      </c>
      <c r="BD14">
        <v>0.24399999999999999</v>
      </c>
      <c r="BE14">
        <v>-0.151</v>
      </c>
      <c r="BF14">
        <v>0.36699999999999999</v>
      </c>
      <c r="BG14">
        <v>0.85299999999999998</v>
      </c>
      <c r="BH14">
        <v>-6.0999999999999999E-2</v>
      </c>
      <c r="BI14">
        <v>0.12</v>
      </c>
      <c r="BJ14">
        <v>0.60899999999999999</v>
      </c>
      <c r="BK14">
        <v>0.875</v>
      </c>
    </row>
    <row r="15" spans="1:63" x14ac:dyDescent="0.3">
      <c r="A15" t="s">
        <v>253</v>
      </c>
      <c r="B15">
        <v>0</v>
      </c>
      <c r="C15">
        <v>0</v>
      </c>
      <c r="K15" t="s">
        <v>126</v>
      </c>
      <c r="L15">
        <v>2.9369999999999998</v>
      </c>
      <c r="M15">
        <v>2.169</v>
      </c>
      <c r="N15" t="s">
        <v>57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0.184</v>
      </c>
      <c r="X15">
        <v>-0.57499999999999996</v>
      </c>
      <c r="Y15">
        <v>0.38900000000000001</v>
      </c>
      <c r="Z15">
        <v>0.34799999999999998</v>
      </c>
      <c r="AA15">
        <v>0.34699999999999998</v>
      </c>
      <c r="AB15">
        <v>0.76600000000000001</v>
      </c>
      <c r="AC15">
        <v>0.79300000000000004</v>
      </c>
      <c r="AD15">
        <v>1</v>
      </c>
      <c r="AE15">
        <v>1</v>
      </c>
      <c r="AF15">
        <v>1</v>
      </c>
      <c r="AG15">
        <v>1</v>
      </c>
      <c r="AH15">
        <v>0.58799999999999997</v>
      </c>
      <c r="AI15">
        <v>0.89800000000000002</v>
      </c>
      <c r="AJ15">
        <v>1</v>
      </c>
      <c r="AK15">
        <v>0.42399999999999999</v>
      </c>
      <c r="AL15">
        <v>-0.80900000000000005</v>
      </c>
      <c r="AM15">
        <v>0.44500000000000001</v>
      </c>
      <c r="AN15">
        <v>0.34100000000000003</v>
      </c>
      <c r="AO15">
        <v>0.35499999999999998</v>
      </c>
      <c r="AP15">
        <v>0.38200000000000001</v>
      </c>
      <c r="AQ15">
        <v>0.7</v>
      </c>
      <c r="AR15">
        <v>0.66400000000000003</v>
      </c>
      <c r="AS15">
        <v>0.36599999999999999</v>
      </c>
      <c r="AT15">
        <v>0.13700000000000001</v>
      </c>
      <c r="AU15">
        <v>-0.44500000000000001</v>
      </c>
      <c r="AV15">
        <v>0.85799999999999998</v>
      </c>
      <c r="AW15">
        <v>-0.52800000000000002</v>
      </c>
      <c r="AX15">
        <v>0.35799999999999998</v>
      </c>
      <c r="AY15">
        <v>0.41299999999999998</v>
      </c>
      <c r="AZ15">
        <v>-0.318</v>
      </c>
      <c r="BA15">
        <v>0.93200000000000005</v>
      </c>
      <c r="BB15">
        <v>0.33600000000000002</v>
      </c>
      <c r="BC15">
        <v>0.23400000000000001</v>
      </c>
      <c r="BD15">
        <v>0.79900000000000004</v>
      </c>
      <c r="BE15">
        <v>-1</v>
      </c>
      <c r="BF15">
        <v>-0.38200000000000001</v>
      </c>
      <c r="BG15">
        <v>-1</v>
      </c>
      <c r="BH15">
        <v>0.53300000000000003</v>
      </c>
      <c r="BI15">
        <v>-0.127</v>
      </c>
      <c r="BJ15">
        <v>0.91700000000000004</v>
      </c>
      <c r="BK15">
        <v>0.46400000000000002</v>
      </c>
    </row>
    <row r="16" spans="1:63" x14ac:dyDescent="0.3">
      <c r="A16" t="s">
        <v>185</v>
      </c>
      <c r="B16">
        <v>0</v>
      </c>
      <c r="C16">
        <v>9.4957380248814394E-2</v>
      </c>
      <c r="K16" t="s">
        <v>70</v>
      </c>
      <c r="L16">
        <v>2.92</v>
      </c>
      <c r="M16">
        <v>3.6709999999999998</v>
      </c>
      <c r="N16" t="s">
        <v>71</v>
      </c>
      <c r="O16">
        <v>0</v>
      </c>
      <c r="P16">
        <v>0</v>
      </c>
      <c r="Q16">
        <v>0</v>
      </c>
      <c r="R16">
        <v>8.6999999999999994E-2</v>
      </c>
      <c r="S16">
        <v>0.432</v>
      </c>
      <c r="T16">
        <v>-0.19</v>
      </c>
      <c r="U16">
        <v>0.2</v>
      </c>
      <c r="V16">
        <v>0.191</v>
      </c>
      <c r="W16">
        <v>0.58199999999999996</v>
      </c>
      <c r="X16">
        <v>0.73</v>
      </c>
      <c r="Y16">
        <v>0.879</v>
      </c>
      <c r="Z16">
        <v>0.97299999999999998</v>
      </c>
      <c r="AA16">
        <v>0.96799999999999997</v>
      </c>
      <c r="AB16">
        <v>0.78900000000000003</v>
      </c>
      <c r="AC16">
        <v>0.78700000000000003</v>
      </c>
      <c r="AD16">
        <v>1</v>
      </c>
      <c r="AE16">
        <v>-0.129</v>
      </c>
      <c r="AF16">
        <v>-0.58699999999999997</v>
      </c>
      <c r="AG16">
        <v>0.44400000000000001</v>
      </c>
      <c r="AH16">
        <v>-0.63800000000000001</v>
      </c>
      <c r="AI16">
        <v>0.17100000000000001</v>
      </c>
      <c r="AJ16">
        <v>-0.49099999999999999</v>
      </c>
      <c r="AK16">
        <v>-0.30599999999999999</v>
      </c>
      <c r="AL16">
        <v>0.66</v>
      </c>
      <c r="AM16">
        <v>-0.439</v>
      </c>
      <c r="AN16">
        <v>-0.48899999999999999</v>
      </c>
      <c r="AO16">
        <v>0.79900000000000004</v>
      </c>
      <c r="AP16">
        <v>0.125</v>
      </c>
      <c r="AQ16">
        <v>-0.77600000000000002</v>
      </c>
      <c r="AR16">
        <v>0.68600000000000005</v>
      </c>
      <c r="AS16">
        <v>0.40699999999999997</v>
      </c>
      <c r="AT16">
        <v>4.3999999999999997E-2</v>
      </c>
      <c r="AU16">
        <v>7.1999999999999995E-2</v>
      </c>
      <c r="AV16">
        <v>0.11899999999999999</v>
      </c>
      <c r="AW16">
        <v>0.67600000000000005</v>
      </c>
      <c r="AX16">
        <v>8.5999999999999993E-2</v>
      </c>
      <c r="AY16">
        <v>0.61399999999999999</v>
      </c>
      <c r="AZ16">
        <v>-0.94099999999999995</v>
      </c>
      <c r="BA16">
        <v>0.86699999999999999</v>
      </c>
      <c r="BB16">
        <v>-9.0999999999999998E-2</v>
      </c>
      <c r="BC16">
        <v>0.377</v>
      </c>
      <c r="BD16">
        <v>0.58299999999999996</v>
      </c>
      <c r="BE16">
        <v>-0.45700000000000002</v>
      </c>
      <c r="BF16">
        <v>-4.0000000000000001E-3</v>
      </c>
      <c r="BG16">
        <v>0.71799999999999997</v>
      </c>
      <c r="BH16">
        <v>-0.34899999999999998</v>
      </c>
      <c r="BI16">
        <v>-0.53200000000000003</v>
      </c>
      <c r="BJ16">
        <v>1</v>
      </c>
      <c r="BK16">
        <v>9.6000000000000002E-2</v>
      </c>
    </row>
    <row r="17" spans="1:63" x14ac:dyDescent="0.3">
      <c r="A17" t="s">
        <v>165</v>
      </c>
      <c r="B17">
        <v>0</v>
      </c>
      <c r="C17">
        <v>0</v>
      </c>
      <c r="K17" t="s">
        <v>66</v>
      </c>
      <c r="L17">
        <v>2.9009999999999998</v>
      </c>
      <c r="M17">
        <v>2.2559999999999998</v>
      </c>
      <c r="N17" t="s">
        <v>55</v>
      </c>
      <c r="O17">
        <v>0</v>
      </c>
      <c r="P17">
        <v>0</v>
      </c>
      <c r="Q17">
        <v>0</v>
      </c>
      <c r="R17">
        <v>0.61099999999999999</v>
      </c>
      <c r="S17">
        <v>-4.0000000000000001E-3</v>
      </c>
      <c r="T17">
        <v>1</v>
      </c>
      <c r="U17">
        <v>0.67100000000000004</v>
      </c>
      <c r="V17">
        <v>0.65800000000000003</v>
      </c>
      <c r="W17">
        <v>0.82</v>
      </c>
      <c r="X17">
        <v>0.98299999999999998</v>
      </c>
      <c r="Y17">
        <v>0.42399999999999999</v>
      </c>
      <c r="Z17">
        <v>0.42</v>
      </c>
      <c r="AA17">
        <v>0.41899999999999998</v>
      </c>
      <c r="AB17">
        <v>0.89400000000000002</v>
      </c>
      <c r="AC17">
        <v>0.81499999999999995</v>
      </c>
      <c r="AD17">
        <v>0.751</v>
      </c>
      <c r="AE17">
        <v>1</v>
      </c>
      <c r="AF17">
        <v>1</v>
      </c>
      <c r="AG17">
        <v>-0.63500000000000001</v>
      </c>
      <c r="AH17">
        <v>1</v>
      </c>
      <c r="AI17">
        <v>-0.185</v>
      </c>
      <c r="AJ17">
        <v>1</v>
      </c>
      <c r="AK17">
        <v>0.377</v>
      </c>
      <c r="AL17">
        <v>1</v>
      </c>
      <c r="AM17">
        <v>0.215</v>
      </c>
      <c r="AN17">
        <v>-0.28199999999999997</v>
      </c>
      <c r="AO17">
        <v>-0.56499999999999995</v>
      </c>
      <c r="AP17">
        <v>-0.497</v>
      </c>
      <c r="AQ17">
        <v>0.69499999999999995</v>
      </c>
      <c r="AR17">
        <v>-0.375</v>
      </c>
      <c r="AS17">
        <v>-2.7E-2</v>
      </c>
      <c r="AT17">
        <v>-0.11899999999999999</v>
      </c>
      <c r="AU17">
        <v>0.14599999999999999</v>
      </c>
      <c r="AV17">
        <v>0.379</v>
      </c>
      <c r="AW17">
        <v>0.23799999999999999</v>
      </c>
      <c r="AX17">
        <v>-0.35799999999999998</v>
      </c>
      <c r="AY17">
        <v>5.2999999999999999E-2</v>
      </c>
      <c r="AZ17">
        <v>-0.182</v>
      </c>
      <c r="BA17">
        <v>7.0000000000000001E-3</v>
      </c>
      <c r="BB17">
        <v>0.60199999999999998</v>
      </c>
      <c r="BC17">
        <v>0.73</v>
      </c>
      <c r="BD17">
        <v>0.622</v>
      </c>
      <c r="BE17">
        <v>-0.114</v>
      </c>
      <c r="BF17">
        <v>-0.53700000000000003</v>
      </c>
      <c r="BG17">
        <v>0.54200000000000004</v>
      </c>
      <c r="BH17">
        <v>-0.85199999999999998</v>
      </c>
      <c r="BI17">
        <v>9.9000000000000005E-2</v>
      </c>
      <c r="BJ17">
        <v>0.66900000000000004</v>
      </c>
      <c r="BK17">
        <v>0.82199999999999995</v>
      </c>
    </row>
    <row r="18" spans="1:63" x14ac:dyDescent="0.3">
      <c r="A18" t="s">
        <v>179</v>
      </c>
      <c r="B18">
        <v>0</v>
      </c>
      <c r="C18">
        <v>0</v>
      </c>
      <c r="K18" t="s">
        <v>73</v>
      </c>
      <c r="L18">
        <v>2.8340000000000001</v>
      </c>
      <c r="M18">
        <v>2.9750000000000001</v>
      </c>
      <c r="N18" t="s">
        <v>57</v>
      </c>
      <c r="O18">
        <v>0</v>
      </c>
      <c r="P18">
        <v>0</v>
      </c>
      <c r="Q18">
        <v>0</v>
      </c>
      <c r="R18">
        <v>0.249</v>
      </c>
      <c r="S18">
        <v>0.52800000000000002</v>
      </c>
      <c r="T18">
        <v>-3.1E-2</v>
      </c>
      <c r="U18">
        <v>0.371</v>
      </c>
      <c r="V18">
        <v>0.36099999999999999</v>
      </c>
      <c r="W18">
        <v>0.53400000000000003</v>
      </c>
      <c r="X18">
        <v>0.67200000000000004</v>
      </c>
      <c r="Y18">
        <v>0.57099999999999995</v>
      </c>
      <c r="Z18">
        <v>0.91200000000000003</v>
      </c>
      <c r="AA18">
        <v>0.91100000000000003</v>
      </c>
      <c r="AB18">
        <v>0.86299999999999999</v>
      </c>
      <c r="AC18">
        <v>0.91400000000000003</v>
      </c>
      <c r="AD18">
        <v>0.94499999999999995</v>
      </c>
      <c r="AE18">
        <v>-7.6999999999999999E-2</v>
      </c>
      <c r="AF18">
        <v>0.65100000000000002</v>
      </c>
      <c r="AG18">
        <v>0.92400000000000004</v>
      </c>
      <c r="AH18">
        <v>-3.7999999999999999E-2</v>
      </c>
      <c r="AI18">
        <v>-0.27300000000000002</v>
      </c>
      <c r="AJ18">
        <v>-0.625</v>
      </c>
      <c r="AK18">
        <v>-5.8000000000000003E-2</v>
      </c>
      <c r="AL18">
        <v>0.32</v>
      </c>
      <c r="AM18">
        <v>0.58299999999999996</v>
      </c>
      <c r="AN18">
        <v>0.34200000000000003</v>
      </c>
      <c r="AO18">
        <v>0.114</v>
      </c>
      <c r="AP18">
        <v>-0.51400000000000001</v>
      </c>
      <c r="AQ18">
        <v>0.13800000000000001</v>
      </c>
      <c r="AR18">
        <v>0.32100000000000001</v>
      </c>
      <c r="AS18">
        <v>0.24099999999999999</v>
      </c>
      <c r="AT18">
        <v>-0.16200000000000001</v>
      </c>
      <c r="AU18">
        <v>-0.23799999999999999</v>
      </c>
      <c r="AV18">
        <v>-0.21199999999999999</v>
      </c>
      <c r="AW18">
        <v>0.442</v>
      </c>
      <c r="AX18">
        <v>-0.39300000000000002</v>
      </c>
      <c r="AY18">
        <v>0.67</v>
      </c>
      <c r="AZ18">
        <v>0.39300000000000002</v>
      </c>
      <c r="BA18">
        <v>0.65700000000000003</v>
      </c>
      <c r="BB18">
        <v>-0.40899999999999997</v>
      </c>
      <c r="BC18">
        <v>-0.23400000000000001</v>
      </c>
      <c r="BD18">
        <v>0.34</v>
      </c>
      <c r="BE18">
        <v>-4.3999999999999997E-2</v>
      </c>
      <c r="BF18">
        <v>0.29099999999999998</v>
      </c>
      <c r="BG18">
        <v>0.95799999999999996</v>
      </c>
      <c r="BH18">
        <v>-0.47799999999999998</v>
      </c>
      <c r="BI18">
        <v>-8.8999999999999996E-2</v>
      </c>
      <c r="BJ18">
        <v>0.20300000000000001</v>
      </c>
      <c r="BK18">
        <v>0.42599999999999999</v>
      </c>
    </row>
    <row r="19" spans="1:63" x14ac:dyDescent="0.3">
      <c r="A19" t="s">
        <v>204</v>
      </c>
      <c r="B19">
        <v>0</v>
      </c>
      <c r="C19">
        <v>4.1222562351258103E-2</v>
      </c>
      <c r="K19" t="s">
        <v>163</v>
      </c>
      <c r="L19">
        <v>2.64</v>
      </c>
      <c r="M19">
        <v>3.544</v>
      </c>
      <c r="N19" t="s">
        <v>68</v>
      </c>
      <c r="O19">
        <v>2.7E-2</v>
      </c>
      <c r="P19">
        <v>2.4E-2</v>
      </c>
      <c r="Q19">
        <v>3.0000000000000001E-3</v>
      </c>
      <c r="R19">
        <v>0.499</v>
      </c>
      <c r="S19">
        <v>0.28100000000000003</v>
      </c>
      <c r="T19">
        <v>0.11</v>
      </c>
      <c r="U19">
        <v>0.375</v>
      </c>
      <c r="V19">
        <v>0.126</v>
      </c>
      <c r="W19">
        <v>0.67300000000000004</v>
      </c>
      <c r="X19">
        <v>0.95299999999999996</v>
      </c>
      <c r="Y19">
        <v>0.191</v>
      </c>
      <c r="Z19">
        <v>0.70199999999999996</v>
      </c>
      <c r="AA19">
        <v>0.69699999999999995</v>
      </c>
      <c r="AB19">
        <v>0.90400000000000003</v>
      </c>
      <c r="AC19">
        <v>0.88800000000000001</v>
      </c>
      <c r="AD19">
        <v>0.84499999999999997</v>
      </c>
      <c r="AE19">
        <v>2.1999999999999999E-2</v>
      </c>
      <c r="AF19">
        <v>0.11600000000000001</v>
      </c>
      <c r="AG19">
        <v>-0.16500000000000001</v>
      </c>
      <c r="AH19">
        <v>-0.34100000000000003</v>
      </c>
      <c r="AI19">
        <v>0.34599999999999997</v>
      </c>
      <c r="AJ19">
        <v>6.0000000000000001E-3</v>
      </c>
      <c r="AK19">
        <v>-5.6000000000000001E-2</v>
      </c>
      <c r="AL19">
        <v>-0.23599999999999999</v>
      </c>
      <c r="AM19">
        <v>-0.61699999999999999</v>
      </c>
      <c r="AN19">
        <v>0.82499999999999996</v>
      </c>
      <c r="AO19">
        <v>0.20899999999999999</v>
      </c>
      <c r="AP19">
        <v>-0.249</v>
      </c>
      <c r="AQ19">
        <v>0.34</v>
      </c>
      <c r="AR19">
        <v>0.86399999999999999</v>
      </c>
      <c r="AS19">
        <v>0.25800000000000001</v>
      </c>
      <c r="AT19">
        <v>0.436</v>
      </c>
      <c r="AU19">
        <v>0.442</v>
      </c>
      <c r="AV19">
        <v>0.32500000000000001</v>
      </c>
      <c r="AW19">
        <v>0.39700000000000002</v>
      </c>
      <c r="AX19">
        <v>4.3999999999999997E-2</v>
      </c>
      <c r="AY19">
        <v>0.38400000000000001</v>
      </c>
      <c r="AZ19">
        <v>0.60699999999999998</v>
      </c>
      <c r="BA19">
        <v>0.46600000000000003</v>
      </c>
      <c r="BB19">
        <v>-0.29299999999999998</v>
      </c>
      <c r="BC19">
        <v>-0.375</v>
      </c>
      <c r="BD19">
        <v>0.39900000000000002</v>
      </c>
      <c r="BE19">
        <v>-0.373</v>
      </c>
      <c r="BF19">
        <v>-0.309</v>
      </c>
      <c r="BG19">
        <v>0.80800000000000005</v>
      </c>
      <c r="BH19">
        <v>-0.48299999999999998</v>
      </c>
      <c r="BI19">
        <v>0.215</v>
      </c>
      <c r="BJ19">
        <v>0.29499999999999998</v>
      </c>
      <c r="BK19">
        <v>4.7E-2</v>
      </c>
    </row>
    <row r="20" spans="1:63" x14ac:dyDescent="0.3">
      <c r="A20" t="s">
        <v>194</v>
      </c>
      <c r="B20">
        <v>0</v>
      </c>
      <c r="C20">
        <v>0</v>
      </c>
      <c r="K20" t="s">
        <v>130</v>
      </c>
      <c r="L20">
        <v>2.6240000000000001</v>
      </c>
      <c r="M20">
        <v>1.87</v>
      </c>
      <c r="N20" t="s">
        <v>71</v>
      </c>
      <c r="O20">
        <v>0</v>
      </c>
      <c r="P20">
        <v>0</v>
      </c>
      <c r="Q20">
        <v>0</v>
      </c>
      <c r="R20">
        <v>0.33</v>
      </c>
      <c r="S20">
        <v>0.65800000000000003</v>
      </c>
      <c r="T20">
        <v>-0.46700000000000003</v>
      </c>
      <c r="U20">
        <v>0.58899999999999997</v>
      </c>
      <c r="V20">
        <v>0.20300000000000001</v>
      </c>
      <c r="W20">
        <v>0.22700000000000001</v>
      </c>
      <c r="X20">
        <v>-0.08</v>
      </c>
      <c r="Y20">
        <v>0.47</v>
      </c>
      <c r="Z20">
        <v>1</v>
      </c>
      <c r="AA20">
        <v>1</v>
      </c>
      <c r="AB20">
        <v>0.871</v>
      </c>
      <c r="AC20">
        <v>0.996</v>
      </c>
      <c r="AD20">
        <v>0.96599999999999997</v>
      </c>
      <c r="AE20">
        <v>-0.26500000000000001</v>
      </c>
      <c r="AF20">
        <v>-0.50800000000000001</v>
      </c>
      <c r="AG20">
        <v>1</v>
      </c>
      <c r="AH20">
        <v>-0.754</v>
      </c>
      <c r="AI20">
        <v>4.1000000000000002E-2</v>
      </c>
      <c r="AJ20">
        <v>-0.67800000000000005</v>
      </c>
      <c r="AK20">
        <v>0.10100000000000001</v>
      </c>
      <c r="AL20">
        <v>-0.54600000000000004</v>
      </c>
      <c r="AM20">
        <v>-0.20200000000000001</v>
      </c>
      <c r="AN20">
        <v>-0.54300000000000004</v>
      </c>
      <c r="AO20">
        <v>0.83399999999999996</v>
      </c>
      <c r="AP20">
        <v>0.81100000000000005</v>
      </c>
      <c r="AQ20">
        <v>0.495</v>
      </c>
      <c r="AR20">
        <v>0.92200000000000004</v>
      </c>
      <c r="AS20">
        <v>0.36299999999999999</v>
      </c>
      <c r="AT20">
        <v>0.95599999999999996</v>
      </c>
      <c r="AU20">
        <v>0.373</v>
      </c>
      <c r="AV20">
        <v>0.83499999999999996</v>
      </c>
      <c r="AW20">
        <v>4.5999999999999999E-2</v>
      </c>
      <c r="AX20">
        <v>0.16700000000000001</v>
      </c>
      <c r="AY20">
        <v>-0.35299999999999998</v>
      </c>
      <c r="AZ20">
        <v>0.14099999999999999</v>
      </c>
      <c r="BA20">
        <v>0.65700000000000003</v>
      </c>
      <c r="BB20">
        <v>-0.28199999999999997</v>
      </c>
      <c r="BC20">
        <v>0.33</v>
      </c>
      <c r="BD20">
        <v>0.64600000000000002</v>
      </c>
      <c r="BE20">
        <v>1</v>
      </c>
      <c r="BF20">
        <v>-0.36399999999999999</v>
      </c>
      <c r="BG20">
        <v>-0.78600000000000003</v>
      </c>
      <c r="BH20">
        <v>-1</v>
      </c>
      <c r="BI20">
        <v>0.36099999999999999</v>
      </c>
      <c r="BJ20">
        <v>-1.9E-2</v>
      </c>
      <c r="BK20">
        <v>-0.45500000000000002</v>
      </c>
    </row>
    <row r="21" spans="1:63" x14ac:dyDescent="0.3">
      <c r="A21" t="s">
        <v>169</v>
      </c>
      <c r="B21">
        <v>0</v>
      </c>
      <c r="C21">
        <v>0</v>
      </c>
      <c r="K21" t="s">
        <v>82</v>
      </c>
      <c r="L21">
        <v>2.61</v>
      </c>
      <c r="M21">
        <v>3.2120000000000002</v>
      </c>
      <c r="N21" t="s">
        <v>71</v>
      </c>
      <c r="O21">
        <v>0</v>
      </c>
      <c r="P21">
        <v>0</v>
      </c>
      <c r="Q21">
        <v>0</v>
      </c>
      <c r="R21">
        <v>-0.11700000000000001</v>
      </c>
      <c r="S21">
        <v>0.40799999999999997</v>
      </c>
      <c r="T21">
        <v>-0.56599999999999995</v>
      </c>
      <c r="U21">
        <v>0.127</v>
      </c>
      <c r="V21">
        <v>5.5E-2</v>
      </c>
      <c r="W21">
        <v>0.433</v>
      </c>
      <c r="X21">
        <v>0.59299999999999997</v>
      </c>
      <c r="Y21">
        <v>0.84799999999999998</v>
      </c>
      <c r="Z21">
        <v>0.81299999999999994</v>
      </c>
      <c r="AA21">
        <v>0.80900000000000005</v>
      </c>
      <c r="AB21">
        <v>0.86499999999999999</v>
      </c>
      <c r="AC21">
        <v>0.76700000000000002</v>
      </c>
      <c r="AD21">
        <v>0.93899999999999995</v>
      </c>
      <c r="AE21">
        <v>-0.158</v>
      </c>
      <c r="AF21">
        <v>-0.60499999999999998</v>
      </c>
      <c r="AG21">
        <v>0.57399999999999995</v>
      </c>
      <c r="AH21">
        <v>-0.65</v>
      </c>
      <c r="AI21">
        <v>0.29799999999999999</v>
      </c>
      <c r="AJ21">
        <v>-0.49099999999999999</v>
      </c>
      <c r="AK21">
        <v>-0.30599999999999999</v>
      </c>
      <c r="AL21">
        <v>0.621</v>
      </c>
      <c r="AM21">
        <v>-0.439</v>
      </c>
      <c r="AN21">
        <v>-0.49099999999999999</v>
      </c>
      <c r="AO21">
        <v>0.871</v>
      </c>
      <c r="AP21">
        <v>0.22500000000000001</v>
      </c>
      <c r="AQ21">
        <v>-0.77200000000000002</v>
      </c>
      <c r="AR21">
        <v>0.68600000000000005</v>
      </c>
      <c r="AS21">
        <v>0.40300000000000002</v>
      </c>
      <c r="AT21">
        <v>4.3999999999999997E-2</v>
      </c>
      <c r="AU21">
        <v>0.12</v>
      </c>
      <c r="AV21">
        <v>0.11899999999999999</v>
      </c>
      <c r="AW21">
        <v>0.56299999999999994</v>
      </c>
      <c r="AX21">
        <v>0.02</v>
      </c>
      <c r="AY21">
        <v>0.55300000000000005</v>
      </c>
      <c r="AZ21">
        <v>-0.78700000000000003</v>
      </c>
      <c r="BA21">
        <v>0.34100000000000003</v>
      </c>
      <c r="BB21">
        <v>-9.0999999999999998E-2</v>
      </c>
      <c r="BC21">
        <v>0.377</v>
      </c>
      <c r="BD21">
        <v>0.60199999999999998</v>
      </c>
      <c r="BE21">
        <v>-0.32700000000000001</v>
      </c>
      <c r="BF21">
        <v>0.33500000000000002</v>
      </c>
      <c r="BG21">
        <v>0.67300000000000004</v>
      </c>
      <c r="BH21">
        <v>-0.40300000000000002</v>
      </c>
      <c r="BI21">
        <v>-0.36</v>
      </c>
      <c r="BJ21">
        <v>-0.27700000000000002</v>
      </c>
      <c r="BK21">
        <v>9.6000000000000002E-2</v>
      </c>
    </row>
    <row r="22" spans="1:63" x14ac:dyDescent="0.3">
      <c r="A22" t="s">
        <v>100</v>
      </c>
      <c r="B22">
        <v>0</v>
      </c>
      <c r="C22">
        <v>0</v>
      </c>
      <c r="K22" t="s">
        <v>167</v>
      </c>
      <c r="L22">
        <v>2.6019999999999999</v>
      </c>
      <c r="M22">
        <v>2.246</v>
      </c>
      <c r="N22" t="s">
        <v>57</v>
      </c>
      <c r="O22">
        <v>0</v>
      </c>
      <c r="P22">
        <v>0</v>
      </c>
      <c r="Q22">
        <v>0</v>
      </c>
      <c r="R22">
        <v>0.71299999999999997</v>
      </c>
      <c r="S22">
        <v>0.61099999999999999</v>
      </c>
      <c r="T22">
        <v>0.23200000000000001</v>
      </c>
      <c r="U22">
        <v>0.68300000000000005</v>
      </c>
      <c r="V22">
        <v>0.433</v>
      </c>
      <c r="W22">
        <v>0.27500000000000002</v>
      </c>
      <c r="X22">
        <v>-7.0000000000000001E-3</v>
      </c>
      <c r="Y22">
        <v>0.34300000000000003</v>
      </c>
      <c r="Z22">
        <v>0.23300000000000001</v>
      </c>
      <c r="AA22">
        <v>0.23599999999999999</v>
      </c>
      <c r="AB22">
        <v>0.99399999999999999</v>
      </c>
      <c r="AC22">
        <v>0.89</v>
      </c>
      <c r="AD22">
        <v>0.877</v>
      </c>
      <c r="AE22">
        <v>0.83399999999999996</v>
      </c>
      <c r="AF22">
        <v>-0.13900000000000001</v>
      </c>
      <c r="AG22">
        <v>0.11600000000000001</v>
      </c>
      <c r="AH22">
        <v>-0.40100000000000002</v>
      </c>
      <c r="AI22">
        <v>0.13900000000000001</v>
      </c>
      <c r="AJ22">
        <v>0.27800000000000002</v>
      </c>
      <c r="AK22">
        <v>0.113</v>
      </c>
      <c r="AL22">
        <v>-0.28799999999999998</v>
      </c>
      <c r="AM22">
        <v>-0.69799999999999995</v>
      </c>
      <c r="AN22">
        <v>0.72099999999999997</v>
      </c>
      <c r="AO22">
        <v>0.29199999999999998</v>
      </c>
      <c r="AP22">
        <v>0.79100000000000004</v>
      </c>
      <c r="AQ22">
        <v>7.5999999999999998E-2</v>
      </c>
      <c r="AR22">
        <v>0.81499999999999995</v>
      </c>
      <c r="AS22">
        <v>0.80400000000000005</v>
      </c>
      <c r="AT22">
        <v>0.59399999999999997</v>
      </c>
      <c r="AU22">
        <v>-0.22900000000000001</v>
      </c>
      <c r="AV22">
        <v>0.84199999999999997</v>
      </c>
      <c r="AW22">
        <v>0.182</v>
      </c>
      <c r="AX22">
        <v>0.495</v>
      </c>
      <c r="AY22">
        <v>0.755</v>
      </c>
      <c r="AZ22">
        <v>-0.27100000000000002</v>
      </c>
      <c r="BA22">
        <v>0.61799999999999999</v>
      </c>
      <c r="BB22">
        <v>8.6999999999999994E-2</v>
      </c>
      <c r="BC22">
        <v>0.41299999999999998</v>
      </c>
      <c r="BD22">
        <v>0.44400000000000001</v>
      </c>
      <c r="BE22">
        <v>-0.99399999999999999</v>
      </c>
      <c r="BF22">
        <v>-1</v>
      </c>
      <c r="BG22">
        <v>-0.44700000000000001</v>
      </c>
      <c r="BH22">
        <v>0.16500000000000001</v>
      </c>
      <c r="BI22">
        <v>3.7999999999999999E-2</v>
      </c>
      <c r="BJ22">
        <v>2.5000000000000001E-2</v>
      </c>
      <c r="BK22">
        <v>-0.151</v>
      </c>
    </row>
    <row r="23" spans="1:63" x14ac:dyDescent="0.3">
      <c r="A23" t="s">
        <v>175</v>
      </c>
      <c r="B23">
        <v>0</v>
      </c>
      <c r="C23">
        <v>0</v>
      </c>
      <c r="K23" t="s">
        <v>137</v>
      </c>
      <c r="L23">
        <v>2.593</v>
      </c>
      <c r="M23">
        <v>1.8620000000000001</v>
      </c>
      <c r="N23" t="s">
        <v>57</v>
      </c>
      <c r="O23">
        <v>0</v>
      </c>
      <c r="P23">
        <v>0</v>
      </c>
      <c r="Q23">
        <v>0</v>
      </c>
      <c r="R23">
        <v>0.79900000000000004</v>
      </c>
      <c r="S23">
        <v>0.628</v>
      </c>
      <c r="T23">
        <v>0.58799999999999997</v>
      </c>
      <c r="U23">
        <v>0.72499999999999998</v>
      </c>
      <c r="V23">
        <v>0.60099999999999998</v>
      </c>
      <c r="W23">
        <v>0.41299999999999998</v>
      </c>
      <c r="X23">
        <v>0.161</v>
      </c>
      <c r="Y23">
        <v>0.16400000000000001</v>
      </c>
      <c r="Z23">
        <v>0.2</v>
      </c>
      <c r="AA23">
        <v>0.2</v>
      </c>
      <c r="AB23">
        <v>0.82199999999999995</v>
      </c>
      <c r="AC23">
        <v>0.58299999999999996</v>
      </c>
      <c r="AD23">
        <v>0.88800000000000001</v>
      </c>
      <c r="AE23">
        <v>0.877</v>
      </c>
      <c r="AF23">
        <v>0.45700000000000002</v>
      </c>
      <c r="AG23">
        <v>0.33700000000000002</v>
      </c>
      <c r="AH23">
        <v>-3.4000000000000002E-2</v>
      </c>
      <c r="AI23">
        <v>1</v>
      </c>
      <c r="AJ23">
        <v>1</v>
      </c>
      <c r="AK23">
        <v>0.184</v>
      </c>
      <c r="AL23">
        <v>-0.76</v>
      </c>
      <c r="AM23">
        <v>-0.52800000000000002</v>
      </c>
      <c r="AN23">
        <v>0.45700000000000002</v>
      </c>
      <c r="AO23">
        <v>0.25</v>
      </c>
      <c r="AP23">
        <v>0.47199999999999998</v>
      </c>
      <c r="AQ23">
        <v>0.47199999999999998</v>
      </c>
      <c r="AR23">
        <v>0.55900000000000005</v>
      </c>
      <c r="AS23">
        <v>3.7999999999999999E-2</v>
      </c>
      <c r="AT23">
        <v>0.45900000000000002</v>
      </c>
      <c r="AU23">
        <v>0.08</v>
      </c>
      <c r="AV23">
        <v>0.998</v>
      </c>
      <c r="AW23">
        <v>-0.629</v>
      </c>
      <c r="AX23">
        <v>2E-3</v>
      </c>
      <c r="AY23">
        <v>0.747</v>
      </c>
      <c r="AZ23">
        <v>0.52500000000000002</v>
      </c>
      <c r="BA23">
        <v>0.27300000000000002</v>
      </c>
      <c r="BB23">
        <v>-8.0000000000000002E-3</v>
      </c>
      <c r="BC23">
        <v>4.9000000000000002E-2</v>
      </c>
      <c r="BD23">
        <v>0.52600000000000002</v>
      </c>
      <c r="BE23">
        <v>-0.13500000000000001</v>
      </c>
      <c r="BF23">
        <v>0.54400000000000004</v>
      </c>
      <c r="BG23">
        <v>0.223</v>
      </c>
      <c r="BH23">
        <v>-0.623</v>
      </c>
      <c r="BI23">
        <v>0.27300000000000002</v>
      </c>
      <c r="BJ23">
        <v>-4.9000000000000002E-2</v>
      </c>
      <c r="BK23">
        <v>0.54700000000000004</v>
      </c>
    </row>
    <row r="24" spans="1:63" x14ac:dyDescent="0.3">
      <c r="A24" t="s">
        <v>193</v>
      </c>
      <c r="B24">
        <v>0</v>
      </c>
      <c r="C24">
        <v>0</v>
      </c>
      <c r="K24" t="s">
        <v>136</v>
      </c>
      <c r="L24">
        <v>2.5590000000000002</v>
      </c>
      <c r="M24">
        <v>2.8250000000000002</v>
      </c>
      <c r="N24" t="s">
        <v>71</v>
      </c>
      <c r="O24">
        <v>0</v>
      </c>
      <c r="P24">
        <v>0</v>
      </c>
      <c r="Q24">
        <v>0</v>
      </c>
      <c r="R24">
        <v>-0.29399999999999998</v>
      </c>
      <c r="S24">
        <v>0.28000000000000003</v>
      </c>
      <c r="T24">
        <v>-0.85299999999999998</v>
      </c>
      <c r="U24">
        <v>0.315</v>
      </c>
      <c r="V24">
        <v>-0.04</v>
      </c>
      <c r="W24">
        <v>0.44700000000000001</v>
      </c>
      <c r="X24">
        <v>0.53100000000000003</v>
      </c>
      <c r="Y24">
        <v>1</v>
      </c>
      <c r="Z24">
        <v>1</v>
      </c>
      <c r="AA24">
        <v>1</v>
      </c>
      <c r="AB24">
        <v>0.56100000000000005</v>
      </c>
      <c r="AC24">
        <v>0.73</v>
      </c>
      <c r="AD24">
        <v>0.88900000000000001</v>
      </c>
      <c r="AE24">
        <v>-1.7999999999999999E-2</v>
      </c>
      <c r="AF24">
        <v>-0.745</v>
      </c>
      <c r="AG24">
        <v>1</v>
      </c>
      <c r="AH24">
        <v>-0.93500000000000005</v>
      </c>
      <c r="AI24">
        <v>-0.54400000000000004</v>
      </c>
      <c r="AJ24">
        <v>-0.92200000000000004</v>
      </c>
      <c r="AK24">
        <v>0.151</v>
      </c>
      <c r="AL24">
        <v>0.432</v>
      </c>
      <c r="AM24">
        <v>-0.54200000000000004</v>
      </c>
      <c r="AN24">
        <v>-0.64700000000000002</v>
      </c>
      <c r="AO24">
        <v>0.94399999999999995</v>
      </c>
      <c r="AP24">
        <v>1</v>
      </c>
      <c r="AQ24">
        <v>-0.33500000000000002</v>
      </c>
      <c r="AR24">
        <v>0.14499999999999999</v>
      </c>
      <c r="AS24">
        <v>3.5000000000000003E-2</v>
      </c>
      <c r="AT24">
        <v>0.41199999999999998</v>
      </c>
      <c r="AU24">
        <v>0.26900000000000002</v>
      </c>
      <c r="AV24">
        <v>0.23</v>
      </c>
      <c r="AW24">
        <v>0.503</v>
      </c>
      <c r="AX24">
        <v>-0.21199999999999999</v>
      </c>
      <c r="AY24">
        <v>0.74299999999999999</v>
      </c>
      <c r="AZ24">
        <v>0.38900000000000001</v>
      </c>
      <c r="BA24">
        <v>0.39100000000000001</v>
      </c>
      <c r="BB24">
        <v>-0.151</v>
      </c>
      <c r="BC24">
        <v>-0.21299999999999999</v>
      </c>
      <c r="BD24">
        <v>0.60099999999999998</v>
      </c>
      <c r="BE24">
        <v>-0.67900000000000005</v>
      </c>
      <c r="BF24">
        <v>0.29299999999999998</v>
      </c>
      <c r="BG24">
        <v>0.39200000000000002</v>
      </c>
      <c r="BH24">
        <v>-0.90700000000000003</v>
      </c>
      <c r="BI24">
        <v>-1</v>
      </c>
      <c r="BJ24">
        <v>-0.247</v>
      </c>
      <c r="BK24">
        <v>-0.89800000000000002</v>
      </c>
    </row>
    <row r="25" spans="1:63" x14ac:dyDescent="0.3">
      <c r="A25" t="s">
        <v>259</v>
      </c>
      <c r="B25">
        <v>0</v>
      </c>
      <c r="C25">
        <v>0</v>
      </c>
      <c r="K25" t="s">
        <v>84</v>
      </c>
      <c r="L25">
        <v>2.5230000000000001</v>
      </c>
      <c r="M25">
        <v>1.9319999999999999</v>
      </c>
      <c r="N25" t="s">
        <v>57</v>
      </c>
      <c r="O25">
        <v>0</v>
      </c>
      <c r="P25">
        <v>0</v>
      </c>
      <c r="Q25">
        <v>0</v>
      </c>
      <c r="R25">
        <v>0.32600000000000001</v>
      </c>
      <c r="S25">
        <v>0.39200000000000002</v>
      </c>
      <c r="T25">
        <v>0.23499999999999999</v>
      </c>
      <c r="U25">
        <v>0.47599999999999998</v>
      </c>
      <c r="V25">
        <v>0.39900000000000002</v>
      </c>
      <c r="W25">
        <v>0.13800000000000001</v>
      </c>
      <c r="X25">
        <v>-4.8000000000000001E-2</v>
      </c>
      <c r="Y25">
        <v>0.49299999999999999</v>
      </c>
      <c r="Z25">
        <v>0.47299999999999998</v>
      </c>
      <c r="AA25">
        <v>0.47</v>
      </c>
      <c r="AB25">
        <v>0.88400000000000001</v>
      </c>
      <c r="AC25">
        <v>0.92400000000000004</v>
      </c>
      <c r="AD25">
        <v>0.94599999999999995</v>
      </c>
      <c r="AE25">
        <v>-0.17499999999999999</v>
      </c>
      <c r="AF25">
        <v>0.65700000000000003</v>
      </c>
      <c r="AG25">
        <v>0.65500000000000003</v>
      </c>
      <c r="AH25">
        <v>-0.40300000000000002</v>
      </c>
      <c r="AI25">
        <v>1</v>
      </c>
      <c r="AJ25">
        <v>0.65300000000000002</v>
      </c>
      <c r="AK25">
        <v>-0.112</v>
      </c>
      <c r="AL25">
        <v>-7.0000000000000007E-2</v>
      </c>
      <c r="AM25">
        <v>-0.40699999999999997</v>
      </c>
      <c r="AN25">
        <v>5.8000000000000003E-2</v>
      </c>
      <c r="AO25">
        <v>0.54300000000000004</v>
      </c>
      <c r="AP25">
        <v>0.46600000000000003</v>
      </c>
      <c r="AQ25">
        <v>0.99199999999999999</v>
      </c>
      <c r="AR25">
        <v>0.51200000000000001</v>
      </c>
      <c r="AS25">
        <v>-0.16300000000000001</v>
      </c>
      <c r="AT25">
        <v>0.192</v>
      </c>
      <c r="AU25">
        <v>-0.23200000000000001</v>
      </c>
      <c r="AV25">
        <v>8.5000000000000006E-2</v>
      </c>
      <c r="AW25">
        <v>0.36399999999999999</v>
      </c>
      <c r="AX25">
        <v>-0.14099999999999999</v>
      </c>
      <c r="AY25">
        <v>0.47599999999999998</v>
      </c>
      <c r="AZ25">
        <v>0.44400000000000001</v>
      </c>
      <c r="BA25">
        <v>0.33300000000000002</v>
      </c>
      <c r="BB25">
        <v>-0.502</v>
      </c>
      <c r="BC25">
        <v>-2.3E-2</v>
      </c>
      <c r="BD25">
        <v>-0.60299999999999998</v>
      </c>
      <c r="BE25">
        <v>-0.496</v>
      </c>
      <c r="BF25">
        <v>0.188</v>
      </c>
      <c r="BG25">
        <v>-0.108</v>
      </c>
      <c r="BH25">
        <v>-1</v>
      </c>
      <c r="BI25">
        <v>-0.20399999999999999</v>
      </c>
      <c r="BJ25">
        <v>0.437</v>
      </c>
      <c r="BK25">
        <v>0.63800000000000001</v>
      </c>
    </row>
    <row r="26" spans="1:63" x14ac:dyDescent="0.3">
      <c r="A26" t="s">
        <v>127</v>
      </c>
      <c r="B26">
        <v>7.3280821500735796E-2</v>
      </c>
      <c r="C26">
        <v>6.1629947944613801E-2</v>
      </c>
      <c r="K26" t="s">
        <v>90</v>
      </c>
      <c r="L26">
        <v>2.5179999999999998</v>
      </c>
      <c r="M26">
        <v>2.327</v>
      </c>
      <c r="N26" t="s">
        <v>68</v>
      </c>
      <c r="O26">
        <v>0</v>
      </c>
      <c r="P26">
        <v>0</v>
      </c>
      <c r="Q26">
        <v>0</v>
      </c>
      <c r="R26">
        <v>0.34</v>
      </c>
      <c r="S26">
        <v>-0.216</v>
      </c>
      <c r="T26">
        <v>-7.0000000000000001E-3</v>
      </c>
      <c r="U26">
        <v>0.64300000000000002</v>
      </c>
      <c r="V26">
        <v>0.16800000000000001</v>
      </c>
      <c r="W26">
        <v>0.67900000000000005</v>
      </c>
      <c r="X26">
        <v>0.75700000000000001</v>
      </c>
      <c r="Y26">
        <v>0.58099999999999996</v>
      </c>
      <c r="Z26">
        <v>0.311</v>
      </c>
      <c r="AA26">
        <v>0.313</v>
      </c>
      <c r="AB26">
        <v>0.79800000000000004</v>
      </c>
      <c r="AC26">
        <v>0.77900000000000003</v>
      </c>
      <c r="AD26">
        <v>0.69299999999999995</v>
      </c>
      <c r="AE26">
        <v>1</v>
      </c>
      <c r="AF26">
        <v>0.57499999999999996</v>
      </c>
      <c r="AG26">
        <v>-0.214</v>
      </c>
      <c r="AH26">
        <v>-0.45900000000000002</v>
      </c>
      <c r="AI26">
        <v>-0.30599999999999999</v>
      </c>
      <c r="AJ26">
        <v>8.7999999999999995E-2</v>
      </c>
      <c r="AK26">
        <v>-3.5000000000000003E-2</v>
      </c>
      <c r="AL26">
        <v>0.433</v>
      </c>
      <c r="AM26">
        <v>-0.68500000000000005</v>
      </c>
      <c r="AN26">
        <v>0.42799999999999999</v>
      </c>
      <c r="AO26">
        <v>5.7000000000000002E-2</v>
      </c>
      <c r="AP26">
        <v>0.312</v>
      </c>
      <c r="AQ26">
        <v>0.59899999999999998</v>
      </c>
      <c r="AR26">
        <v>0.28299999999999997</v>
      </c>
      <c r="AS26">
        <v>-0.498</v>
      </c>
      <c r="AT26">
        <v>0.61399999999999999</v>
      </c>
      <c r="AU26">
        <v>-0.33700000000000002</v>
      </c>
      <c r="AV26">
        <v>0.63900000000000001</v>
      </c>
      <c r="AW26">
        <v>0.41399999999999998</v>
      </c>
      <c r="AX26">
        <v>0.114</v>
      </c>
      <c r="AY26">
        <v>0.84299999999999997</v>
      </c>
      <c r="AZ26">
        <v>0.56100000000000005</v>
      </c>
      <c r="BA26">
        <v>0.44800000000000001</v>
      </c>
      <c r="BB26">
        <v>-0.159</v>
      </c>
      <c r="BC26">
        <v>-0.188</v>
      </c>
      <c r="BD26">
        <v>0.3</v>
      </c>
      <c r="BE26">
        <v>-0.187</v>
      </c>
      <c r="BF26">
        <v>2.7E-2</v>
      </c>
      <c r="BG26">
        <v>0.58799999999999997</v>
      </c>
      <c r="BH26">
        <v>-0.85399999999999998</v>
      </c>
      <c r="BI26">
        <v>0.34599999999999997</v>
      </c>
      <c r="BJ26">
        <v>-0.38200000000000001</v>
      </c>
      <c r="BK26">
        <v>-0.151</v>
      </c>
    </row>
    <row r="27" spans="1:63" x14ac:dyDescent="0.3">
      <c r="A27" t="s">
        <v>173</v>
      </c>
      <c r="B27">
        <v>0</v>
      </c>
      <c r="C27">
        <v>0</v>
      </c>
      <c r="K27" t="s">
        <v>146</v>
      </c>
      <c r="L27">
        <v>2.4710000000000001</v>
      </c>
      <c r="M27">
        <v>2.472</v>
      </c>
      <c r="N27" t="s">
        <v>71</v>
      </c>
      <c r="O27">
        <v>0</v>
      </c>
      <c r="P27">
        <v>0</v>
      </c>
      <c r="Q27">
        <v>0</v>
      </c>
      <c r="R27">
        <v>-0.308</v>
      </c>
      <c r="S27">
        <v>0.26300000000000001</v>
      </c>
      <c r="T27">
        <v>-0.84799999999999998</v>
      </c>
      <c r="U27">
        <v>0.26500000000000001</v>
      </c>
      <c r="V27">
        <v>-6.7000000000000004E-2</v>
      </c>
      <c r="W27">
        <v>0.35799999999999998</v>
      </c>
      <c r="X27">
        <v>0.39600000000000002</v>
      </c>
      <c r="Y27">
        <v>0.94599999999999995</v>
      </c>
      <c r="Z27">
        <v>1</v>
      </c>
      <c r="AA27">
        <v>1</v>
      </c>
      <c r="AB27">
        <v>0.59599999999999997</v>
      </c>
      <c r="AC27">
        <v>0.75600000000000001</v>
      </c>
      <c r="AD27">
        <v>0.88500000000000001</v>
      </c>
      <c r="AE27">
        <v>-8.8999999999999996E-2</v>
      </c>
      <c r="AF27">
        <v>-0.77100000000000002</v>
      </c>
      <c r="AG27">
        <v>1</v>
      </c>
      <c r="AH27">
        <v>-0.94399999999999995</v>
      </c>
      <c r="AI27">
        <v>-0.56799999999999995</v>
      </c>
      <c r="AJ27">
        <v>-0.92600000000000005</v>
      </c>
      <c r="AK27">
        <v>0.151</v>
      </c>
      <c r="AL27">
        <v>0.35699999999999998</v>
      </c>
      <c r="AM27">
        <v>-0.54200000000000004</v>
      </c>
      <c r="AN27">
        <v>-0.65800000000000003</v>
      </c>
      <c r="AO27">
        <v>0.93500000000000005</v>
      </c>
      <c r="AP27">
        <v>1</v>
      </c>
      <c r="AQ27">
        <v>-0.33500000000000002</v>
      </c>
      <c r="AR27">
        <v>0.14499999999999999</v>
      </c>
      <c r="AS27">
        <v>3.5000000000000003E-2</v>
      </c>
      <c r="AT27">
        <v>0.41199999999999998</v>
      </c>
      <c r="AU27">
        <v>0.26900000000000002</v>
      </c>
      <c r="AV27">
        <v>0.223</v>
      </c>
      <c r="AW27">
        <v>0.40899999999999997</v>
      </c>
      <c r="AX27">
        <v>-0.21199999999999999</v>
      </c>
      <c r="AY27">
        <v>0.74299999999999999</v>
      </c>
      <c r="AZ27">
        <v>0.438</v>
      </c>
      <c r="BA27">
        <v>0.498</v>
      </c>
      <c r="BB27">
        <v>-0.151</v>
      </c>
      <c r="BC27">
        <v>-0.21299999999999999</v>
      </c>
      <c r="BD27">
        <v>0.624</v>
      </c>
      <c r="BE27">
        <v>-0.70499999999999996</v>
      </c>
      <c r="BF27">
        <v>0.311</v>
      </c>
      <c r="BG27">
        <v>0.27</v>
      </c>
      <c r="BH27">
        <v>-0.89300000000000002</v>
      </c>
      <c r="BI27">
        <v>-1</v>
      </c>
      <c r="BJ27">
        <v>-8.5000000000000006E-2</v>
      </c>
      <c r="BK27">
        <v>-0.89800000000000002</v>
      </c>
    </row>
    <row r="28" spans="1:63" x14ac:dyDescent="0.3">
      <c r="A28" t="s">
        <v>241</v>
      </c>
      <c r="B28">
        <v>0</v>
      </c>
      <c r="C28">
        <v>0</v>
      </c>
      <c r="K28" t="s">
        <v>77</v>
      </c>
      <c r="L28">
        <v>2.4249999999999998</v>
      </c>
      <c r="M28">
        <v>1.841</v>
      </c>
      <c r="N28" t="s">
        <v>57</v>
      </c>
      <c r="O28">
        <v>0</v>
      </c>
      <c r="P28">
        <v>0</v>
      </c>
      <c r="Q28">
        <v>0</v>
      </c>
      <c r="R28">
        <v>0.69099999999999995</v>
      </c>
      <c r="S28">
        <v>-1.4E-2</v>
      </c>
      <c r="T28">
        <v>0.99</v>
      </c>
      <c r="U28">
        <v>0.68799999999999994</v>
      </c>
      <c r="V28">
        <v>0.60299999999999998</v>
      </c>
      <c r="W28">
        <v>0.48699999999999999</v>
      </c>
      <c r="X28">
        <v>0.433</v>
      </c>
      <c r="Y28">
        <v>0.112</v>
      </c>
      <c r="Z28">
        <v>0.14899999999999999</v>
      </c>
      <c r="AA28">
        <v>0.14799999999999999</v>
      </c>
      <c r="AB28">
        <v>0.90500000000000003</v>
      </c>
      <c r="AC28">
        <v>0.70099999999999996</v>
      </c>
      <c r="AD28">
        <v>0.64300000000000002</v>
      </c>
      <c r="AE28">
        <v>1</v>
      </c>
      <c r="AF28">
        <v>1</v>
      </c>
      <c r="AG28">
        <v>-0.46100000000000002</v>
      </c>
      <c r="AH28">
        <v>0.72799999999999998</v>
      </c>
      <c r="AI28">
        <v>-0.22800000000000001</v>
      </c>
      <c r="AJ28">
        <v>1</v>
      </c>
      <c r="AK28">
        <v>0.63300000000000001</v>
      </c>
      <c r="AL28">
        <v>0.309</v>
      </c>
      <c r="AM28">
        <v>-0.39200000000000002</v>
      </c>
      <c r="AN28">
        <v>0.60899999999999999</v>
      </c>
      <c r="AO28">
        <v>-0.624</v>
      </c>
      <c r="AP28">
        <v>-0.60399999999999998</v>
      </c>
      <c r="AQ28">
        <v>0.73399999999999999</v>
      </c>
      <c r="AR28">
        <v>2.1000000000000001E-2</v>
      </c>
      <c r="AS28">
        <v>-0.56699999999999995</v>
      </c>
      <c r="AT28">
        <v>0.41</v>
      </c>
      <c r="AU28">
        <v>0.08</v>
      </c>
      <c r="AV28">
        <v>0.89700000000000002</v>
      </c>
      <c r="AW28">
        <v>-0.28599999999999998</v>
      </c>
      <c r="AX28">
        <v>0.03</v>
      </c>
      <c r="AY28">
        <v>0.74399999999999999</v>
      </c>
      <c r="AZ28">
        <v>0.218</v>
      </c>
      <c r="BA28">
        <v>0.45</v>
      </c>
      <c r="BB28">
        <v>9.8000000000000004E-2</v>
      </c>
      <c r="BC28">
        <v>0.17100000000000001</v>
      </c>
      <c r="BD28">
        <v>0.26800000000000002</v>
      </c>
      <c r="BE28">
        <v>1</v>
      </c>
      <c r="BF28">
        <v>1</v>
      </c>
      <c r="BG28">
        <v>5.6000000000000001E-2</v>
      </c>
      <c r="BH28">
        <v>-0.29499999999999998</v>
      </c>
      <c r="BI28">
        <v>0.28499999999999998</v>
      </c>
      <c r="BJ28">
        <v>0.73399999999999999</v>
      </c>
      <c r="BK28">
        <v>0.55700000000000005</v>
      </c>
    </row>
    <row r="29" spans="1:63" x14ac:dyDescent="0.3">
      <c r="A29" t="s">
        <v>123</v>
      </c>
      <c r="B29">
        <v>7.4430184898375704E-2</v>
      </c>
      <c r="C29">
        <v>4.9028047788409898E-2</v>
      </c>
      <c r="K29" t="s">
        <v>101</v>
      </c>
      <c r="L29">
        <v>2.3660000000000001</v>
      </c>
      <c r="M29">
        <v>2.74</v>
      </c>
      <c r="N29" t="s">
        <v>71</v>
      </c>
      <c r="O29">
        <v>2.5000000000000001E-2</v>
      </c>
      <c r="P29">
        <v>2.1999999999999999E-2</v>
      </c>
      <c r="Q29">
        <v>3.0000000000000001E-3</v>
      </c>
      <c r="R29">
        <v>0.33100000000000002</v>
      </c>
      <c r="S29">
        <v>0.40899999999999997</v>
      </c>
      <c r="T29">
        <v>-0.13100000000000001</v>
      </c>
      <c r="U29">
        <v>0.32400000000000001</v>
      </c>
      <c r="V29">
        <v>0.11899999999999999</v>
      </c>
      <c r="W29">
        <v>0.48399999999999999</v>
      </c>
      <c r="X29">
        <v>0.35</v>
      </c>
      <c r="Y29">
        <v>6.2E-2</v>
      </c>
      <c r="Z29">
        <v>0.72299999999999998</v>
      </c>
      <c r="AA29">
        <v>0.71799999999999997</v>
      </c>
      <c r="AB29">
        <v>0.75</v>
      </c>
      <c r="AC29">
        <v>0.86</v>
      </c>
      <c r="AD29">
        <v>0.99099999999999999</v>
      </c>
      <c r="AE29">
        <v>-0.318</v>
      </c>
      <c r="AF29">
        <v>-8.4000000000000005E-2</v>
      </c>
      <c r="AG29">
        <v>0.57399999999999995</v>
      </c>
      <c r="AH29">
        <v>-0.499</v>
      </c>
      <c r="AI29">
        <v>1</v>
      </c>
      <c r="AJ29">
        <v>0.28999999999999998</v>
      </c>
      <c r="AK29">
        <v>-0.30499999999999999</v>
      </c>
      <c r="AL29">
        <v>-0.94299999999999995</v>
      </c>
      <c r="AM29">
        <v>-0.72199999999999998</v>
      </c>
      <c r="AN29">
        <v>0.55600000000000005</v>
      </c>
      <c r="AO29">
        <v>0.76500000000000001</v>
      </c>
      <c r="AP29">
        <v>0.74</v>
      </c>
      <c r="AQ29">
        <v>0.81299999999999994</v>
      </c>
      <c r="AR29">
        <v>0.69599999999999995</v>
      </c>
      <c r="AS29">
        <v>0.12</v>
      </c>
      <c r="AT29">
        <v>0.191</v>
      </c>
      <c r="AU29">
        <v>-0.28899999999999998</v>
      </c>
      <c r="AV29">
        <v>0.54600000000000004</v>
      </c>
      <c r="AW29">
        <v>0.503</v>
      </c>
      <c r="AX29">
        <v>-0.16300000000000001</v>
      </c>
      <c r="AY29">
        <v>0.67100000000000004</v>
      </c>
      <c r="AZ29">
        <v>-0.49</v>
      </c>
      <c r="BA29">
        <v>0.96599999999999997</v>
      </c>
      <c r="BB29">
        <v>-0.371</v>
      </c>
      <c r="BC29">
        <v>-0.73</v>
      </c>
      <c r="BD29">
        <v>0.54600000000000004</v>
      </c>
      <c r="BE29">
        <v>-0.59299999999999997</v>
      </c>
      <c r="BF29">
        <v>0.24099999999999999</v>
      </c>
      <c r="BG29">
        <v>0.80900000000000005</v>
      </c>
      <c r="BH29">
        <v>-0.61499999999999999</v>
      </c>
      <c r="BI29">
        <v>-0.83799999999999997</v>
      </c>
      <c r="BJ29">
        <v>0.66</v>
      </c>
      <c r="BK29">
        <v>0.64500000000000002</v>
      </c>
    </row>
    <row r="30" spans="1:63" x14ac:dyDescent="0.3">
      <c r="A30" t="s">
        <v>102</v>
      </c>
      <c r="B30">
        <v>0</v>
      </c>
      <c r="C30">
        <v>0</v>
      </c>
      <c r="K30" t="s">
        <v>599</v>
      </c>
      <c r="L30">
        <v>2.359</v>
      </c>
      <c r="M30">
        <v>1.746</v>
      </c>
      <c r="N30" t="s">
        <v>57</v>
      </c>
      <c r="O30">
        <v>0</v>
      </c>
      <c r="P30">
        <v>0</v>
      </c>
      <c r="Q30">
        <v>0</v>
      </c>
      <c r="R30">
        <v>0.84699999999999998</v>
      </c>
      <c r="S30">
        <v>0.872</v>
      </c>
      <c r="T30">
        <v>1</v>
      </c>
      <c r="U30">
        <v>0.53700000000000003</v>
      </c>
      <c r="V30">
        <v>0.86299999999999999</v>
      </c>
      <c r="W30">
        <v>0.23100000000000001</v>
      </c>
      <c r="X30">
        <v>-0.08</v>
      </c>
      <c r="Y30">
        <v>-0.224</v>
      </c>
      <c r="Z30">
        <v>0.215</v>
      </c>
      <c r="AA30">
        <v>0.214</v>
      </c>
      <c r="AB30">
        <v>0.80700000000000005</v>
      </c>
      <c r="AC30">
        <v>0.76600000000000001</v>
      </c>
      <c r="AD30">
        <v>0.79200000000000004</v>
      </c>
      <c r="AE30">
        <v>0.96399999999999997</v>
      </c>
      <c r="AF30">
        <v>1</v>
      </c>
      <c r="AG30">
        <v>0.189</v>
      </c>
      <c r="AH30">
        <v>1</v>
      </c>
      <c r="AI30">
        <v>0.64900000000000002</v>
      </c>
      <c r="AJ30">
        <v>0.61699999999999999</v>
      </c>
      <c r="AK30">
        <v>0.17599999999999999</v>
      </c>
      <c r="AL30">
        <v>-0.72299999999999998</v>
      </c>
      <c r="AM30">
        <v>0.64100000000000001</v>
      </c>
      <c r="AN30">
        <v>0.60099999999999998</v>
      </c>
      <c r="AO30">
        <v>-0.32200000000000001</v>
      </c>
      <c r="AP30">
        <v>0.13600000000000001</v>
      </c>
      <c r="AQ30">
        <v>0.47099999999999997</v>
      </c>
      <c r="AR30">
        <v>0.252</v>
      </c>
      <c r="AS30">
        <v>-0.14299999999999999</v>
      </c>
      <c r="AT30">
        <v>-4.1000000000000002E-2</v>
      </c>
      <c r="AU30">
        <v>-0.28199999999999997</v>
      </c>
      <c r="AV30">
        <v>0.46200000000000002</v>
      </c>
      <c r="AW30">
        <v>-0.19400000000000001</v>
      </c>
      <c r="AX30">
        <v>-0.33</v>
      </c>
      <c r="AY30">
        <v>0.94299999999999995</v>
      </c>
      <c r="AZ30">
        <v>-0.35899999999999999</v>
      </c>
      <c r="BA30">
        <v>0.98499999999999999</v>
      </c>
      <c r="BB30">
        <v>0.14799999999999999</v>
      </c>
      <c r="BC30">
        <v>3.5000000000000003E-2</v>
      </c>
      <c r="BD30">
        <v>0.35</v>
      </c>
      <c r="BE30">
        <v>1</v>
      </c>
      <c r="BF30">
        <v>0.46800000000000003</v>
      </c>
      <c r="BG30">
        <v>0.3</v>
      </c>
      <c r="BH30">
        <v>0.64500000000000002</v>
      </c>
      <c r="BI30">
        <v>-0.68</v>
      </c>
      <c r="BJ30">
        <v>0.81499999999999995</v>
      </c>
      <c r="BK30">
        <v>1</v>
      </c>
    </row>
    <row r="31" spans="1:63" x14ac:dyDescent="0.3">
      <c r="A31" t="s">
        <v>144</v>
      </c>
      <c r="B31">
        <v>0</v>
      </c>
      <c r="C31">
        <v>0</v>
      </c>
      <c r="K31" t="s">
        <v>85</v>
      </c>
      <c r="L31">
        <v>2.3580000000000001</v>
      </c>
      <c r="M31">
        <v>1.8340000000000001</v>
      </c>
      <c r="N31" t="s">
        <v>57</v>
      </c>
      <c r="O31">
        <v>0</v>
      </c>
      <c r="P31">
        <v>0</v>
      </c>
      <c r="Q31">
        <v>0</v>
      </c>
      <c r="R31">
        <v>0.55000000000000004</v>
      </c>
      <c r="S31">
        <v>0.58799999999999997</v>
      </c>
      <c r="T31">
        <v>0.40200000000000002</v>
      </c>
      <c r="U31">
        <v>0.60199999999999998</v>
      </c>
      <c r="V31">
        <v>0.54700000000000004</v>
      </c>
      <c r="W31">
        <v>0.17</v>
      </c>
      <c r="X31">
        <v>0.128</v>
      </c>
      <c r="Y31">
        <v>-0.11700000000000001</v>
      </c>
      <c r="Z31">
        <v>0.56399999999999995</v>
      </c>
      <c r="AA31">
        <v>0.56499999999999995</v>
      </c>
      <c r="AB31">
        <v>0.92600000000000005</v>
      </c>
      <c r="AC31">
        <v>0.91100000000000003</v>
      </c>
      <c r="AD31">
        <v>0.88200000000000001</v>
      </c>
      <c r="AE31">
        <v>0.504</v>
      </c>
      <c r="AF31">
        <v>1</v>
      </c>
      <c r="AG31">
        <v>0.47199999999999998</v>
      </c>
      <c r="AH31">
        <v>0.10199999999999999</v>
      </c>
      <c r="AI31">
        <v>0.19500000000000001</v>
      </c>
      <c r="AJ31">
        <v>0.47899999999999998</v>
      </c>
      <c r="AK31">
        <v>-0.04</v>
      </c>
      <c r="AL31">
        <v>-0.91200000000000003</v>
      </c>
      <c r="AM31">
        <v>0.17199999999999999</v>
      </c>
      <c r="AN31">
        <v>0.36699999999999999</v>
      </c>
      <c r="AO31">
        <v>-5.6000000000000001E-2</v>
      </c>
      <c r="AP31">
        <v>-0.22500000000000001</v>
      </c>
      <c r="AQ31">
        <v>0.61699999999999999</v>
      </c>
      <c r="AR31">
        <v>1</v>
      </c>
      <c r="AS31">
        <v>0.251</v>
      </c>
      <c r="AT31">
        <v>0.432</v>
      </c>
      <c r="AU31">
        <v>0.65900000000000003</v>
      </c>
      <c r="AV31">
        <v>0.51800000000000002</v>
      </c>
      <c r="AW31">
        <v>-0.34</v>
      </c>
      <c r="AX31">
        <v>-0.29799999999999999</v>
      </c>
      <c r="AY31">
        <v>0.58299999999999996</v>
      </c>
      <c r="AZ31">
        <v>0.23799999999999999</v>
      </c>
      <c r="BA31">
        <v>0.65</v>
      </c>
      <c r="BB31">
        <v>-0.21</v>
      </c>
      <c r="BC31">
        <v>-0.64600000000000002</v>
      </c>
      <c r="BD31">
        <v>0.42399999999999999</v>
      </c>
      <c r="BE31">
        <v>-0.81299999999999994</v>
      </c>
      <c r="BF31">
        <v>0.372</v>
      </c>
      <c r="BG31">
        <v>-7.4999999999999997E-2</v>
      </c>
      <c r="BH31">
        <v>-0.44</v>
      </c>
      <c r="BI31">
        <v>-0.157</v>
      </c>
      <c r="BJ31">
        <v>0.34699999999999998</v>
      </c>
      <c r="BK31">
        <v>0.38700000000000001</v>
      </c>
    </row>
    <row r="32" spans="1:63" x14ac:dyDescent="0.3">
      <c r="A32" t="s">
        <v>153</v>
      </c>
      <c r="B32">
        <v>7.5533963794598799E-2</v>
      </c>
      <c r="C32">
        <v>8.7366035367514305E-2</v>
      </c>
      <c r="K32" t="s">
        <v>109</v>
      </c>
      <c r="L32">
        <v>2.34</v>
      </c>
      <c r="M32">
        <v>3.1379999999999999</v>
      </c>
      <c r="N32" t="s">
        <v>57</v>
      </c>
      <c r="O32">
        <v>0</v>
      </c>
      <c r="P32">
        <v>0</v>
      </c>
      <c r="Q32">
        <v>0</v>
      </c>
      <c r="R32">
        <v>-0.02</v>
      </c>
      <c r="S32">
        <v>-0.124</v>
      </c>
      <c r="T32">
        <v>-0.47699999999999998</v>
      </c>
      <c r="U32">
        <v>0.216</v>
      </c>
      <c r="V32">
        <v>-0.156</v>
      </c>
      <c r="W32">
        <v>0.42499999999999999</v>
      </c>
      <c r="X32">
        <v>0.67</v>
      </c>
      <c r="Y32">
        <v>0.54</v>
      </c>
      <c r="Z32">
        <v>0.67600000000000005</v>
      </c>
      <c r="AA32">
        <v>0.67500000000000004</v>
      </c>
      <c r="AB32">
        <v>0.872</v>
      </c>
      <c r="AC32">
        <v>0.84499999999999997</v>
      </c>
      <c r="AD32">
        <v>0.86399999999999999</v>
      </c>
      <c r="AE32">
        <v>0.14699999999999999</v>
      </c>
      <c r="AF32">
        <v>-0.222</v>
      </c>
      <c r="AG32">
        <v>0.09</v>
      </c>
      <c r="AH32">
        <v>-0.96399999999999997</v>
      </c>
      <c r="AI32">
        <v>-0.75800000000000001</v>
      </c>
      <c r="AJ32">
        <v>-0.81599999999999995</v>
      </c>
      <c r="AK32">
        <v>-0.17399999999999999</v>
      </c>
      <c r="AL32">
        <v>0.21099999999999999</v>
      </c>
      <c r="AM32">
        <v>-0.67900000000000005</v>
      </c>
      <c r="AN32">
        <v>-0.20799999999999999</v>
      </c>
      <c r="AO32">
        <v>0.498</v>
      </c>
      <c r="AP32">
        <v>-5.6000000000000001E-2</v>
      </c>
      <c r="AQ32">
        <v>8.9999999999999993E-3</v>
      </c>
      <c r="AR32">
        <v>0.30599999999999999</v>
      </c>
      <c r="AS32">
        <v>0.41299999999999998</v>
      </c>
      <c r="AT32">
        <v>-1E-3</v>
      </c>
      <c r="AU32">
        <v>-2E-3</v>
      </c>
      <c r="AV32">
        <v>0.40300000000000002</v>
      </c>
      <c r="AW32">
        <v>0.499</v>
      </c>
      <c r="AX32">
        <v>-0.40100000000000002</v>
      </c>
      <c r="AY32">
        <v>0.91</v>
      </c>
      <c r="AZ32">
        <v>0.66800000000000004</v>
      </c>
      <c r="BA32">
        <v>0.96699999999999997</v>
      </c>
      <c r="BB32">
        <v>-0.20699999999999999</v>
      </c>
      <c r="BC32">
        <v>1.4E-2</v>
      </c>
      <c r="BD32">
        <v>0.55700000000000005</v>
      </c>
      <c r="BE32">
        <v>-0.215</v>
      </c>
      <c r="BF32">
        <v>-0.33900000000000002</v>
      </c>
      <c r="BG32">
        <v>0.84099999999999997</v>
      </c>
      <c r="BH32">
        <v>-0.65600000000000003</v>
      </c>
      <c r="BI32">
        <v>-0.14599999999999999</v>
      </c>
      <c r="BJ32">
        <v>0.90300000000000002</v>
      </c>
      <c r="BK32">
        <v>-0.70899999999999996</v>
      </c>
    </row>
    <row r="33" spans="1:63" x14ac:dyDescent="0.3">
      <c r="A33" t="s">
        <v>64</v>
      </c>
      <c r="B33">
        <v>0</v>
      </c>
      <c r="C33">
        <v>0</v>
      </c>
      <c r="K33" t="s">
        <v>97</v>
      </c>
      <c r="L33">
        <v>2.2639999999999998</v>
      </c>
      <c r="M33">
        <v>2.93</v>
      </c>
      <c r="N33" t="s">
        <v>57</v>
      </c>
      <c r="O33">
        <v>0</v>
      </c>
      <c r="P33">
        <v>0</v>
      </c>
      <c r="Q33">
        <v>0</v>
      </c>
      <c r="R33">
        <v>-0.02</v>
      </c>
      <c r="S33">
        <v>0.153</v>
      </c>
      <c r="T33">
        <v>-0.27700000000000002</v>
      </c>
      <c r="U33">
        <v>-1.7000000000000001E-2</v>
      </c>
      <c r="V33">
        <v>-4.9000000000000002E-2</v>
      </c>
      <c r="W33">
        <v>0.30599999999999999</v>
      </c>
      <c r="X33">
        <v>0.439</v>
      </c>
      <c r="Y33">
        <v>0.38400000000000001</v>
      </c>
      <c r="Z33">
        <v>0.75700000000000001</v>
      </c>
      <c r="AA33">
        <v>0.753</v>
      </c>
      <c r="AB33">
        <v>0.84799999999999998</v>
      </c>
      <c r="AC33">
        <v>0.874</v>
      </c>
      <c r="AD33">
        <v>0.90300000000000002</v>
      </c>
      <c r="AE33">
        <v>-0.61099999999999999</v>
      </c>
      <c r="AF33">
        <v>0.41199999999999998</v>
      </c>
      <c r="AG33">
        <v>0.61799999999999999</v>
      </c>
      <c r="AH33">
        <v>-0.28499999999999998</v>
      </c>
      <c r="AI33">
        <v>5.2999999999999999E-2</v>
      </c>
      <c r="AJ33">
        <v>-0.77900000000000003</v>
      </c>
      <c r="AK33">
        <v>-0.11899999999999999</v>
      </c>
      <c r="AL33">
        <v>0.26100000000000001</v>
      </c>
      <c r="AM33">
        <v>-9.1999999999999998E-2</v>
      </c>
      <c r="AN33">
        <v>0.16900000000000001</v>
      </c>
      <c r="AO33">
        <v>0.27700000000000002</v>
      </c>
      <c r="AP33">
        <v>-0.112</v>
      </c>
      <c r="AQ33">
        <v>4.2999999999999997E-2</v>
      </c>
      <c r="AR33">
        <v>0.20799999999999999</v>
      </c>
      <c r="AS33">
        <v>-0.34</v>
      </c>
      <c r="AT33">
        <v>-0.13500000000000001</v>
      </c>
      <c r="AU33">
        <v>-0.27700000000000002</v>
      </c>
      <c r="AV33">
        <v>-0.55100000000000005</v>
      </c>
      <c r="AW33">
        <v>0.64800000000000002</v>
      </c>
      <c r="AX33">
        <v>9.7000000000000003E-2</v>
      </c>
      <c r="AY33">
        <v>0.80700000000000005</v>
      </c>
      <c r="AZ33">
        <v>0.58399999999999996</v>
      </c>
      <c r="BA33">
        <v>0.52</v>
      </c>
      <c r="BB33">
        <v>-0.33700000000000002</v>
      </c>
      <c r="BC33">
        <v>-0.107</v>
      </c>
      <c r="BD33">
        <v>0.47199999999999998</v>
      </c>
      <c r="BE33">
        <v>-0.17599999999999999</v>
      </c>
      <c r="BF33">
        <v>0.84799999999999998</v>
      </c>
      <c r="BG33">
        <v>0.92100000000000004</v>
      </c>
      <c r="BH33">
        <v>-0.59399999999999997</v>
      </c>
      <c r="BI33">
        <v>-0.251</v>
      </c>
      <c r="BJ33">
        <v>0.41899999999999998</v>
      </c>
      <c r="BK33">
        <v>0.433</v>
      </c>
    </row>
    <row r="34" spans="1:63" x14ac:dyDescent="0.3">
      <c r="A34" t="s">
        <v>56</v>
      </c>
      <c r="B34">
        <v>0</v>
      </c>
      <c r="C34">
        <v>0</v>
      </c>
      <c r="K34" t="s">
        <v>65</v>
      </c>
      <c r="L34">
        <v>2.2480000000000002</v>
      </c>
      <c r="M34">
        <v>2.4289999999999998</v>
      </c>
      <c r="N34" t="s">
        <v>57</v>
      </c>
      <c r="O34">
        <v>0</v>
      </c>
      <c r="P34">
        <v>0</v>
      </c>
      <c r="Q34">
        <v>0</v>
      </c>
      <c r="R34">
        <v>5.8999999999999997E-2</v>
      </c>
      <c r="S34">
        <v>-7.4999999999999997E-2</v>
      </c>
      <c r="T34">
        <v>0.40300000000000002</v>
      </c>
      <c r="U34">
        <v>2.9000000000000001E-2</v>
      </c>
      <c r="V34">
        <v>0.16800000000000001</v>
      </c>
      <c r="W34">
        <v>0.28799999999999998</v>
      </c>
      <c r="X34">
        <v>0.45600000000000002</v>
      </c>
      <c r="Y34">
        <v>0.35</v>
      </c>
      <c r="Z34">
        <v>0.56799999999999995</v>
      </c>
      <c r="AA34">
        <v>0.56599999999999995</v>
      </c>
      <c r="AB34">
        <v>0.85399999999999998</v>
      </c>
      <c r="AC34">
        <v>0.90800000000000003</v>
      </c>
      <c r="AD34">
        <v>0.77100000000000002</v>
      </c>
      <c r="AE34">
        <v>0.13700000000000001</v>
      </c>
      <c r="AF34">
        <v>0.11700000000000001</v>
      </c>
      <c r="AG34">
        <v>-0.40699999999999997</v>
      </c>
      <c r="AH34">
        <v>0.85299999999999998</v>
      </c>
      <c r="AI34">
        <v>6.8000000000000005E-2</v>
      </c>
      <c r="AJ34">
        <v>-2.1999999999999999E-2</v>
      </c>
      <c r="AK34">
        <v>-0.36099999999999999</v>
      </c>
      <c r="AL34">
        <v>0.97799999999999998</v>
      </c>
      <c r="AM34">
        <v>-3.5999999999999997E-2</v>
      </c>
      <c r="AN34">
        <v>-0.10299999999999999</v>
      </c>
      <c r="AO34">
        <v>-0.28199999999999997</v>
      </c>
      <c r="AP34">
        <v>-0.55100000000000005</v>
      </c>
      <c r="AQ34">
        <v>6.0000000000000001E-3</v>
      </c>
      <c r="AR34">
        <v>0.55400000000000005</v>
      </c>
      <c r="AS34">
        <v>0.47599999999999998</v>
      </c>
      <c r="AT34">
        <v>-0.105</v>
      </c>
      <c r="AU34">
        <v>-0.44600000000000001</v>
      </c>
      <c r="AV34">
        <v>-0.04</v>
      </c>
      <c r="AW34">
        <v>0.59099999999999997</v>
      </c>
      <c r="AX34">
        <v>-0.29299999999999998</v>
      </c>
      <c r="AY34">
        <v>0.53400000000000003</v>
      </c>
      <c r="AZ34">
        <v>0.36599999999999999</v>
      </c>
      <c r="BA34">
        <v>-3.4000000000000002E-2</v>
      </c>
      <c r="BB34">
        <v>-0.38300000000000001</v>
      </c>
      <c r="BC34">
        <v>-0.69199999999999995</v>
      </c>
      <c r="BD34">
        <v>-0.154</v>
      </c>
      <c r="BE34">
        <v>-0.43</v>
      </c>
      <c r="BF34">
        <v>-0.33600000000000002</v>
      </c>
      <c r="BG34">
        <v>0.78800000000000003</v>
      </c>
      <c r="BH34">
        <v>-0.27800000000000002</v>
      </c>
      <c r="BI34">
        <v>0.104</v>
      </c>
      <c r="BJ34">
        <v>0.73699999999999999</v>
      </c>
      <c r="BK34">
        <v>0.69299999999999995</v>
      </c>
    </row>
    <row r="35" spans="1:63" x14ac:dyDescent="0.3">
      <c r="A35" t="s">
        <v>62</v>
      </c>
      <c r="B35">
        <v>6.4198713405221305E-2</v>
      </c>
      <c r="C35">
        <v>0</v>
      </c>
      <c r="K35" t="s">
        <v>92</v>
      </c>
      <c r="L35">
        <v>2.2050000000000001</v>
      </c>
      <c r="M35">
        <v>2.1320000000000001</v>
      </c>
      <c r="N35" t="s">
        <v>57</v>
      </c>
      <c r="O35">
        <v>0</v>
      </c>
      <c r="P35">
        <v>0</v>
      </c>
      <c r="Q35">
        <v>0</v>
      </c>
      <c r="R35">
        <v>0.41599999999999998</v>
      </c>
      <c r="S35">
        <v>0.14599999999999999</v>
      </c>
      <c r="T35">
        <v>0.371</v>
      </c>
      <c r="U35">
        <v>0.23599999999999999</v>
      </c>
      <c r="V35">
        <v>0.13500000000000001</v>
      </c>
      <c r="W35">
        <v>0.38100000000000001</v>
      </c>
      <c r="X35">
        <v>0.26</v>
      </c>
      <c r="Y35">
        <v>0.126</v>
      </c>
      <c r="Z35">
        <v>0.14399999999999999</v>
      </c>
      <c r="AA35">
        <v>0.14099999999999999</v>
      </c>
      <c r="AB35">
        <v>0.77700000000000002</v>
      </c>
      <c r="AC35">
        <v>0.93799999999999994</v>
      </c>
      <c r="AD35">
        <v>0.84399999999999997</v>
      </c>
      <c r="AE35">
        <v>0.222</v>
      </c>
      <c r="AF35">
        <v>-0.113</v>
      </c>
      <c r="AG35">
        <v>-0.27400000000000002</v>
      </c>
      <c r="AH35">
        <v>-0.377</v>
      </c>
      <c r="AI35">
        <v>0.998</v>
      </c>
      <c r="AJ35">
        <v>1</v>
      </c>
      <c r="AK35">
        <v>-0.34200000000000003</v>
      </c>
      <c r="AL35">
        <v>-0.16300000000000001</v>
      </c>
      <c r="AM35">
        <v>-0.86599999999999999</v>
      </c>
      <c r="AN35">
        <v>-7.4999999999999997E-2</v>
      </c>
      <c r="AO35">
        <v>0.182</v>
      </c>
      <c r="AP35">
        <v>0.68300000000000005</v>
      </c>
      <c r="AQ35">
        <v>0.432</v>
      </c>
      <c r="AR35">
        <v>0.36699999999999999</v>
      </c>
      <c r="AS35">
        <v>0.39100000000000001</v>
      </c>
      <c r="AT35">
        <v>0.38100000000000001</v>
      </c>
      <c r="AU35">
        <v>-0.434</v>
      </c>
      <c r="AV35">
        <v>0.66300000000000003</v>
      </c>
      <c r="AW35">
        <v>0.22</v>
      </c>
      <c r="AX35">
        <v>0.51700000000000002</v>
      </c>
      <c r="AY35">
        <v>0.92800000000000005</v>
      </c>
      <c r="AZ35">
        <v>0.55100000000000005</v>
      </c>
      <c r="BA35">
        <v>0.90200000000000002</v>
      </c>
      <c r="BB35">
        <v>-3.2000000000000001E-2</v>
      </c>
      <c r="BC35">
        <v>-5.1999999999999998E-2</v>
      </c>
      <c r="BD35">
        <v>-0.78200000000000003</v>
      </c>
      <c r="BE35">
        <v>-0.45</v>
      </c>
      <c r="BF35">
        <v>0.56799999999999995</v>
      </c>
      <c r="BG35">
        <v>0.69</v>
      </c>
      <c r="BH35">
        <v>-0.58299999999999996</v>
      </c>
      <c r="BI35">
        <v>-9.8000000000000004E-2</v>
      </c>
      <c r="BJ35">
        <v>0.30399999999999999</v>
      </c>
      <c r="BK35">
        <v>0.20799999999999999</v>
      </c>
    </row>
    <row r="36" spans="1:63" x14ac:dyDescent="0.3">
      <c r="A36" t="s">
        <v>117</v>
      </c>
      <c r="B36">
        <v>0</v>
      </c>
      <c r="C36">
        <v>0</v>
      </c>
      <c r="K36" t="s">
        <v>79</v>
      </c>
      <c r="L36">
        <v>2.1789999999999998</v>
      </c>
      <c r="M36">
        <v>2.5329999999999999</v>
      </c>
      <c r="N36" t="s">
        <v>68</v>
      </c>
      <c r="O36">
        <v>0</v>
      </c>
      <c r="P36">
        <v>0</v>
      </c>
      <c r="Q36">
        <v>0</v>
      </c>
      <c r="R36">
        <v>0.03</v>
      </c>
      <c r="S36">
        <v>-0.222</v>
      </c>
      <c r="T36">
        <v>-3.6999999999999998E-2</v>
      </c>
      <c r="U36">
        <v>0.252</v>
      </c>
      <c r="V36">
        <v>-2.3E-2</v>
      </c>
      <c r="W36">
        <v>0.34</v>
      </c>
      <c r="X36">
        <v>0.51</v>
      </c>
      <c r="Y36">
        <v>0.33300000000000002</v>
      </c>
      <c r="Z36">
        <v>0.71499999999999997</v>
      </c>
      <c r="AA36">
        <v>0.71399999999999997</v>
      </c>
      <c r="AB36">
        <v>0.83599999999999997</v>
      </c>
      <c r="AC36">
        <v>0.76500000000000001</v>
      </c>
      <c r="AD36">
        <v>0.73599999999999999</v>
      </c>
      <c r="AE36">
        <v>0.22800000000000001</v>
      </c>
      <c r="AF36">
        <v>-0.32900000000000001</v>
      </c>
      <c r="AG36">
        <v>-0.27500000000000002</v>
      </c>
      <c r="AH36">
        <v>-0.49</v>
      </c>
      <c r="AI36">
        <v>6.3E-2</v>
      </c>
      <c r="AJ36">
        <v>0.27300000000000002</v>
      </c>
      <c r="AK36">
        <v>-0.14599999999999999</v>
      </c>
      <c r="AL36">
        <v>0.28000000000000003</v>
      </c>
      <c r="AM36">
        <v>-0.88600000000000001</v>
      </c>
      <c r="AN36">
        <v>1.9E-2</v>
      </c>
      <c r="AO36">
        <v>8.7999999999999995E-2</v>
      </c>
      <c r="AP36">
        <v>0.33100000000000002</v>
      </c>
      <c r="AQ36">
        <v>0.23699999999999999</v>
      </c>
      <c r="AR36">
        <v>0.377</v>
      </c>
      <c r="AS36">
        <v>-7.6999999999999999E-2</v>
      </c>
      <c r="AT36">
        <v>0.995</v>
      </c>
      <c r="AU36">
        <v>-0.30599999999999999</v>
      </c>
      <c r="AV36">
        <v>0.54200000000000004</v>
      </c>
      <c r="AW36">
        <v>0.65400000000000003</v>
      </c>
      <c r="AX36">
        <v>-4.8000000000000001E-2</v>
      </c>
      <c r="AY36">
        <v>0.71</v>
      </c>
      <c r="AZ36">
        <v>0.69599999999999995</v>
      </c>
      <c r="BA36">
        <v>-0.58399999999999996</v>
      </c>
      <c r="BB36">
        <v>-0.23799999999999999</v>
      </c>
      <c r="BC36">
        <v>-0.55800000000000005</v>
      </c>
      <c r="BD36">
        <v>7.5999999999999998E-2</v>
      </c>
      <c r="BE36">
        <v>-0.56899999999999995</v>
      </c>
      <c r="BF36">
        <v>8.5999999999999993E-2</v>
      </c>
      <c r="BG36">
        <v>0.66400000000000003</v>
      </c>
      <c r="BH36">
        <v>-0.47199999999999998</v>
      </c>
      <c r="BI36">
        <v>-0.04</v>
      </c>
      <c r="BJ36">
        <v>0.47199999999999998</v>
      </c>
      <c r="BK36">
        <v>3.4000000000000002E-2</v>
      </c>
    </row>
    <row r="37" spans="1:63" x14ac:dyDescent="0.3">
      <c r="A37" t="s">
        <v>70</v>
      </c>
      <c r="B37">
        <v>0</v>
      </c>
      <c r="C37">
        <v>0</v>
      </c>
      <c r="K37" t="s">
        <v>600</v>
      </c>
      <c r="L37">
        <v>2.1739999999999999</v>
      </c>
      <c r="M37">
        <v>2.3119999999999998</v>
      </c>
      <c r="N37" t="s">
        <v>68</v>
      </c>
      <c r="O37">
        <v>0</v>
      </c>
      <c r="P37">
        <v>0</v>
      </c>
      <c r="Q37">
        <v>0</v>
      </c>
      <c r="R37">
        <v>0.28499999999999998</v>
      </c>
      <c r="S37">
        <v>9.8000000000000004E-2</v>
      </c>
      <c r="T37">
        <v>0.184</v>
      </c>
      <c r="U37">
        <v>0.26900000000000002</v>
      </c>
      <c r="V37">
        <v>0.104</v>
      </c>
      <c r="W37">
        <v>7.3999999999999996E-2</v>
      </c>
      <c r="X37">
        <v>-1.4E-2</v>
      </c>
      <c r="Y37">
        <v>2.3E-2</v>
      </c>
      <c r="Z37">
        <v>0.77200000000000002</v>
      </c>
      <c r="AA37">
        <v>0.76800000000000002</v>
      </c>
      <c r="AB37">
        <v>1</v>
      </c>
      <c r="AC37">
        <v>0.91200000000000003</v>
      </c>
      <c r="AD37">
        <v>0.89700000000000002</v>
      </c>
      <c r="AE37">
        <v>7.0000000000000007E-2</v>
      </c>
      <c r="AF37">
        <v>-5.1999999999999998E-2</v>
      </c>
      <c r="AG37">
        <v>-0.122</v>
      </c>
      <c r="AH37">
        <v>-0.22800000000000001</v>
      </c>
      <c r="AI37">
        <v>-2.5999999999999999E-2</v>
      </c>
      <c r="AJ37">
        <v>0.157</v>
      </c>
      <c r="AK37">
        <v>0.14399999999999999</v>
      </c>
      <c r="AL37">
        <v>-0.28000000000000003</v>
      </c>
      <c r="AM37">
        <v>-0.20100000000000001</v>
      </c>
      <c r="AN37">
        <v>-0.51100000000000001</v>
      </c>
      <c r="AO37">
        <v>0.13900000000000001</v>
      </c>
      <c r="AP37">
        <v>3.5000000000000003E-2</v>
      </c>
      <c r="AQ37">
        <v>0.33400000000000002</v>
      </c>
      <c r="AR37">
        <v>0.63600000000000001</v>
      </c>
      <c r="AS37">
        <v>0.34200000000000003</v>
      </c>
      <c r="AT37">
        <v>0.36099999999999999</v>
      </c>
      <c r="AU37">
        <v>-0.13300000000000001</v>
      </c>
      <c r="AV37">
        <v>0.34599999999999997</v>
      </c>
      <c r="AW37">
        <v>0.61</v>
      </c>
      <c r="AX37">
        <v>0.124</v>
      </c>
      <c r="AY37">
        <v>0.76200000000000001</v>
      </c>
      <c r="AZ37">
        <v>0.51100000000000001</v>
      </c>
      <c r="BA37">
        <v>0.66300000000000003</v>
      </c>
      <c r="BB37">
        <v>-0.26700000000000002</v>
      </c>
      <c r="BC37">
        <v>-0.32200000000000001</v>
      </c>
      <c r="BD37">
        <v>0.68200000000000005</v>
      </c>
      <c r="BE37">
        <v>-1</v>
      </c>
      <c r="BF37">
        <v>-2.4E-2</v>
      </c>
      <c r="BG37">
        <v>-6.9000000000000006E-2</v>
      </c>
      <c r="BH37">
        <v>-0.69299999999999995</v>
      </c>
      <c r="BI37">
        <v>-2.5000000000000001E-2</v>
      </c>
      <c r="BJ37">
        <v>0.97899999999999998</v>
      </c>
      <c r="BK37">
        <v>0.14000000000000001</v>
      </c>
    </row>
    <row r="38" spans="1:63" x14ac:dyDescent="0.3">
      <c r="A38" t="s">
        <v>82</v>
      </c>
      <c r="B38">
        <v>0</v>
      </c>
      <c r="C38">
        <v>0</v>
      </c>
      <c r="K38" t="s">
        <v>597</v>
      </c>
      <c r="L38">
        <v>2.1589999999999998</v>
      </c>
      <c r="M38">
        <v>2.274</v>
      </c>
      <c r="N38" t="s">
        <v>57</v>
      </c>
      <c r="O38">
        <v>0</v>
      </c>
      <c r="P38">
        <v>0</v>
      </c>
      <c r="Q38">
        <v>0</v>
      </c>
      <c r="R38">
        <v>0.23</v>
      </c>
      <c r="S38">
        <v>-0.16900000000000001</v>
      </c>
      <c r="T38">
        <v>0.54100000000000004</v>
      </c>
      <c r="U38">
        <v>0.184</v>
      </c>
      <c r="V38">
        <v>0.20599999999999999</v>
      </c>
      <c r="W38">
        <v>0.29799999999999999</v>
      </c>
      <c r="X38">
        <v>0.46700000000000003</v>
      </c>
      <c r="Y38">
        <v>0.17</v>
      </c>
      <c r="Z38">
        <v>0.41</v>
      </c>
      <c r="AA38">
        <v>0.41099999999999998</v>
      </c>
      <c r="AB38">
        <v>0.78500000000000003</v>
      </c>
      <c r="AC38">
        <v>0.70899999999999996</v>
      </c>
      <c r="AD38">
        <v>0.752</v>
      </c>
      <c r="AE38">
        <v>0.52700000000000002</v>
      </c>
      <c r="AF38">
        <v>-0.121</v>
      </c>
      <c r="AG38">
        <v>-0.72199999999999998</v>
      </c>
      <c r="AH38">
        <v>0.47599999999999998</v>
      </c>
      <c r="AI38">
        <v>2.8000000000000001E-2</v>
      </c>
      <c r="AJ38">
        <v>1</v>
      </c>
      <c r="AK38">
        <v>-7.1999999999999995E-2</v>
      </c>
      <c r="AL38">
        <v>0.32500000000000001</v>
      </c>
      <c r="AM38">
        <v>-0.60399999999999998</v>
      </c>
      <c r="AN38">
        <v>0.36399999999999999</v>
      </c>
      <c r="AO38">
        <v>-0.13100000000000001</v>
      </c>
      <c r="AP38">
        <v>-0.33700000000000002</v>
      </c>
      <c r="AQ38">
        <v>6.0000000000000001E-3</v>
      </c>
      <c r="AR38">
        <v>9.6000000000000002E-2</v>
      </c>
      <c r="AS38">
        <v>-0.35</v>
      </c>
      <c r="AT38">
        <v>0.57199999999999995</v>
      </c>
      <c r="AU38">
        <v>2.3E-2</v>
      </c>
      <c r="AV38">
        <v>0.43</v>
      </c>
      <c r="AW38">
        <v>0.64600000000000002</v>
      </c>
      <c r="AX38">
        <v>-7.8E-2</v>
      </c>
      <c r="AY38">
        <v>0.88900000000000001</v>
      </c>
      <c r="AZ38">
        <v>0.36699999999999999</v>
      </c>
      <c r="BA38">
        <v>0.90700000000000003</v>
      </c>
      <c r="BB38">
        <v>-0.3</v>
      </c>
      <c r="BC38">
        <v>-0.32</v>
      </c>
      <c r="BD38">
        <v>-9.6000000000000002E-2</v>
      </c>
      <c r="BE38">
        <v>-0.63200000000000001</v>
      </c>
      <c r="BF38">
        <v>4.3999999999999997E-2</v>
      </c>
      <c r="BG38">
        <v>0.376</v>
      </c>
      <c r="BH38">
        <v>-0.39400000000000002</v>
      </c>
      <c r="BI38">
        <v>-0.68</v>
      </c>
      <c r="BJ38">
        <v>0.874</v>
      </c>
      <c r="BK38">
        <v>0.90300000000000002</v>
      </c>
    </row>
    <row r="39" spans="1:63" x14ac:dyDescent="0.3">
      <c r="A39" t="s">
        <v>200</v>
      </c>
      <c r="B39">
        <v>0</v>
      </c>
      <c r="C39">
        <v>0</v>
      </c>
      <c r="K39" t="s">
        <v>116</v>
      </c>
      <c r="L39">
        <v>2.105</v>
      </c>
      <c r="M39">
        <v>2.1869999999999998</v>
      </c>
      <c r="N39" t="s">
        <v>53</v>
      </c>
      <c r="O39">
        <v>0</v>
      </c>
      <c r="P39">
        <v>0</v>
      </c>
      <c r="Q39">
        <v>0</v>
      </c>
      <c r="R39">
        <v>0.29699999999999999</v>
      </c>
      <c r="S39">
        <v>0.32900000000000001</v>
      </c>
      <c r="T39">
        <v>6.6000000000000003E-2</v>
      </c>
      <c r="U39">
        <v>0.16700000000000001</v>
      </c>
      <c r="V39">
        <v>8.5000000000000006E-2</v>
      </c>
      <c r="W39">
        <v>0.188</v>
      </c>
      <c r="X39">
        <v>0.156</v>
      </c>
      <c r="Y39">
        <v>2.1999999999999999E-2</v>
      </c>
      <c r="Z39">
        <v>0.41499999999999998</v>
      </c>
      <c r="AA39">
        <v>0.40899999999999997</v>
      </c>
      <c r="AB39">
        <v>0.85299999999999998</v>
      </c>
      <c r="AC39">
        <v>0.91300000000000003</v>
      </c>
      <c r="AD39">
        <v>0.88200000000000001</v>
      </c>
      <c r="AE39">
        <v>-0.127</v>
      </c>
      <c r="AF39">
        <v>-0.36899999999999999</v>
      </c>
      <c r="AG39">
        <v>0.111</v>
      </c>
      <c r="AH39">
        <v>-0.34499999999999997</v>
      </c>
      <c r="AI39">
        <v>1</v>
      </c>
      <c r="AJ39">
        <v>0.24199999999999999</v>
      </c>
      <c r="AK39">
        <v>-6.8000000000000005E-2</v>
      </c>
      <c r="AL39">
        <v>-0.58099999999999996</v>
      </c>
      <c r="AM39">
        <v>-0.56899999999999995</v>
      </c>
      <c r="AN39">
        <v>0.23100000000000001</v>
      </c>
      <c r="AO39">
        <v>0.47199999999999998</v>
      </c>
      <c r="AP39">
        <v>-0.38600000000000001</v>
      </c>
      <c r="AQ39">
        <v>0.245</v>
      </c>
      <c r="AR39">
        <v>0.36699999999999999</v>
      </c>
      <c r="AS39">
        <v>0.42299999999999999</v>
      </c>
      <c r="AT39">
        <v>0.436</v>
      </c>
      <c r="AU39">
        <v>-0.443</v>
      </c>
      <c r="AV39">
        <v>0.51400000000000001</v>
      </c>
      <c r="AW39">
        <v>0.33400000000000002</v>
      </c>
      <c r="AX39">
        <v>-0.16800000000000001</v>
      </c>
      <c r="AY39">
        <v>0.997</v>
      </c>
      <c r="AZ39">
        <v>0.65200000000000002</v>
      </c>
      <c r="BA39">
        <v>0.69699999999999995</v>
      </c>
      <c r="BB39">
        <v>-0.255</v>
      </c>
      <c r="BC39">
        <v>-0.24399999999999999</v>
      </c>
      <c r="BD39">
        <v>0.46300000000000002</v>
      </c>
      <c r="BE39">
        <v>0.33200000000000002</v>
      </c>
      <c r="BF39">
        <v>0.45800000000000002</v>
      </c>
      <c r="BG39">
        <v>0.55800000000000005</v>
      </c>
      <c r="BH39">
        <v>-0.17199999999999999</v>
      </c>
      <c r="BI39">
        <v>4.3999999999999997E-2</v>
      </c>
      <c r="BJ39">
        <v>0.23599999999999999</v>
      </c>
      <c r="BK39">
        <v>0.44600000000000001</v>
      </c>
    </row>
    <row r="40" spans="1:63" x14ac:dyDescent="0.3">
      <c r="A40" t="s">
        <v>601</v>
      </c>
      <c r="B40">
        <v>0</v>
      </c>
      <c r="C40">
        <v>0</v>
      </c>
      <c r="K40" t="s">
        <v>64</v>
      </c>
      <c r="L40">
        <v>2.0529999999999999</v>
      </c>
      <c r="M40">
        <v>1.7030000000000001</v>
      </c>
      <c r="N40" t="s">
        <v>55</v>
      </c>
      <c r="O40">
        <v>0</v>
      </c>
      <c r="P40">
        <v>0</v>
      </c>
      <c r="Q40">
        <v>0</v>
      </c>
      <c r="R40">
        <v>-2.4E-2</v>
      </c>
      <c r="S40">
        <v>-4.5999999999999999E-2</v>
      </c>
      <c r="T40">
        <v>-0.154</v>
      </c>
      <c r="U40">
        <v>0.249</v>
      </c>
      <c r="V40">
        <v>0.06</v>
      </c>
      <c r="W40">
        <v>0.17</v>
      </c>
      <c r="X40">
        <v>0.28699999999999998</v>
      </c>
      <c r="Y40">
        <v>0.30399999999999999</v>
      </c>
      <c r="Z40">
        <v>0.505</v>
      </c>
      <c r="AA40">
        <v>0.50800000000000001</v>
      </c>
      <c r="AB40">
        <v>0.85599999999999998</v>
      </c>
      <c r="AC40">
        <v>0.78700000000000003</v>
      </c>
      <c r="AD40">
        <v>0.78800000000000003</v>
      </c>
      <c r="AE40">
        <v>0.36299999999999999</v>
      </c>
      <c r="AF40">
        <v>-0.16</v>
      </c>
      <c r="AG40">
        <v>0.621</v>
      </c>
      <c r="AH40">
        <v>-0.56100000000000005</v>
      </c>
      <c r="AI40">
        <v>-0.47599999999999998</v>
      </c>
      <c r="AJ40">
        <v>-0.40699999999999997</v>
      </c>
      <c r="AK40">
        <v>0.40799999999999997</v>
      </c>
      <c r="AL40">
        <v>-0.32500000000000001</v>
      </c>
      <c r="AM40">
        <v>-0.34300000000000003</v>
      </c>
      <c r="AN40">
        <v>-0.32</v>
      </c>
      <c r="AO40">
        <v>0.28999999999999998</v>
      </c>
      <c r="AP40">
        <v>-0.624</v>
      </c>
      <c r="AQ40">
        <v>-1.4E-2</v>
      </c>
      <c r="AR40">
        <v>-0.52400000000000002</v>
      </c>
      <c r="AS40">
        <v>-0.79100000000000004</v>
      </c>
      <c r="AT40">
        <v>0.17199999999999999</v>
      </c>
      <c r="AU40">
        <v>0.26400000000000001</v>
      </c>
      <c r="AV40">
        <v>0.44</v>
      </c>
      <c r="AW40">
        <v>0.60899999999999999</v>
      </c>
      <c r="AX40">
        <v>-9.5000000000000001E-2</v>
      </c>
      <c r="AY40">
        <v>-0.214</v>
      </c>
      <c r="AZ40">
        <v>0.70199999999999996</v>
      </c>
      <c r="BA40">
        <v>0.76</v>
      </c>
      <c r="BB40">
        <v>1.7999999999999999E-2</v>
      </c>
      <c r="BC40">
        <v>0.47699999999999998</v>
      </c>
      <c r="BD40">
        <v>0.502</v>
      </c>
      <c r="BE40">
        <v>-0.107</v>
      </c>
      <c r="BF40">
        <v>0.72</v>
      </c>
      <c r="BG40">
        <v>9.8000000000000004E-2</v>
      </c>
      <c r="BH40">
        <v>-0.79100000000000004</v>
      </c>
      <c r="BI40">
        <v>0.16400000000000001</v>
      </c>
      <c r="BJ40">
        <v>0.98099999999999998</v>
      </c>
      <c r="BK40">
        <v>0.109</v>
      </c>
    </row>
    <row r="41" spans="1:63" x14ac:dyDescent="0.3">
      <c r="A41" t="s">
        <v>110</v>
      </c>
      <c r="B41">
        <v>0</v>
      </c>
      <c r="C41">
        <v>0</v>
      </c>
      <c r="K41" t="s">
        <v>118</v>
      </c>
      <c r="L41">
        <v>2.016</v>
      </c>
      <c r="M41">
        <v>1.5580000000000001</v>
      </c>
      <c r="N41" t="s">
        <v>57</v>
      </c>
      <c r="O41">
        <v>0</v>
      </c>
      <c r="P41">
        <v>0</v>
      </c>
      <c r="Q41">
        <v>0</v>
      </c>
      <c r="R41">
        <v>0.16900000000000001</v>
      </c>
      <c r="S41">
        <v>-0.09</v>
      </c>
      <c r="T41">
        <v>-2.7E-2</v>
      </c>
      <c r="U41">
        <v>0.28699999999999998</v>
      </c>
      <c r="V41">
        <v>0.05</v>
      </c>
      <c r="W41">
        <v>0.20799999999999999</v>
      </c>
      <c r="X41">
        <v>9.8000000000000004E-2</v>
      </c>
      <c r="Y41">
        <v>0.30199999999999999</v>
      </c>
      <c r="Z41">
        <v>0.182</v>
      </c>
      <c r="AA41">
        <v>0.17699999999999999</v>
      </c>
      <c r="AB41">
        <v>0.877</v>
      </c>
      <c r="AC41">
        <v>0.78100000000000003</v>
      </c>
      <c r="AD41">
        <v>0.755</v>
      </c>
      <c r="AE41">
        <v>0.35499999999999998</v>
      </c>
      <c r="AF41">
        <v>0.69499999999999995</v>
      </c>
      <c r="AG41">
        <v>-4.7E-2</v>
      </c>
      <c r="AH41">
        <v>-0.11899999999999999</v>
      </c>
      <c r="AI41">
        <v>0.69099999999999995</v>
      </c>
      <c r="AJ41">
        <v>-0.13900000000000001</v>
      </c>
      <c r="AK41">
        <v>-0.27</v>
      </c>
      <c r="AL41">
        <v>0.255</v>
      </c>
      <c r="AM41">
        <v>-0.56200000000000006</v>
      </c>
      <c r="AN41">
        <v>0.21</v>
      </c>
      <c r="AO41">
        <v>0.114</v>
      </c>
      <c r="AP41">
        <v>8.8999999999999996E-2</v>
      </c>
      <c r="AQ41">
        <v>0.48499999999999999</v>
      </c>
      <c r="AR41">
        <v>0.55700000000000005</v>
      </c>
      <c r="AS41">
        <v>0.38</v>
      </c>
      <c r="AT41">
        <v>0.14000000000000001</v>
      </c>
      <c r="AU41">
        <v>-0.23899999999999999</v>
      </c>
      <c r="AV41">
        <v>0.26</v>
      </c>
      <c r="AW41">
        <v>-0.30599999999999999</v>
      </c>
      <c r="AX41">
        <v>4.4999999999999998E-2</v>
      </c>
      <c r="AY41">
        <v>0.80400000000000005</v>
      </c>
      <c r="AZ41">
        <v>0.91800000000000004</v>
      </c>
      <c r="BA41">
        <v>-7.8E-2</v>
      </c>
      <c r="BB41">
        <v>-0.78200000000000003</v>
      </c>
      <c r="BC41">
        <v>-0.47899999999999998</v>
      </c>
      <c r="BD41">
        <v>0.123</v>
      </c>
      <c r="BE41">
        <v>0.26600000000000001</v>
      </c>
      <c r="BF41">
        <v>0.27600000000000002</v>
      </c>
      <c r="BG41">
        <v>0.27600000000000002</v>
      </c>
      <c r="BH41">
        <v>-0.98699999999999999</v>
      </c>
      <c r="BI41">
        <v>0.90400000000000003</v>
      </c>
      <c r="BJ41">
        <v>-0.56499999999999995</v>
      </c>
      <c r="BK41">
        <v>0.113</v>
      </c>
    </row>
    <row r="42" spans="1:63" x14ac:dyDescent="0.3">
      <c r="A42" t="s">
        <v>135</v>
      </c>
      <c r="B42">
        <v>0</v>
      </c>
      <c r="C42">
        <v>0</v>
      </c>
      <c r="K42" t="s">
        <v>100</v>
      </c>
      <c r="L42">
        <v>1.992</v>
      </c>
      <c r="M42">
        <v>2.3969999999999998</v>
      </c>
      <c r="N42" t="s">
        <v>68</v>
      </c>
      <c r="O42">
        <v>0</v>
      </c>
      <c r="P42">
        <v>0</v>
      </c>
      <c r="Q42">
        <v>0</v>
      </c>
      <c r="R42">
        <v>5.8999999999999997E-2</v>
      </c>
      <c r="S42">
        <v>4.0000000000000001E-3</v>
      </c>
      <c r="T42">
        <v>7.9000000000000001E-2</v>
      </c>
      <c r="U42">
        <v>-0.23499999999999999</v>
      </c>
      <c r="V42">
        <v>-0.13900000000000001</v>
      </c>
      <c r="W42">
        <v>0.152</v>
      </c>
      <c r="X42">
        <v>0.215</v>
      </c>
      <c r="Y42">
        <v>0.223</v>
      </c>
      <c r="Z42">
        <v>0.58899999999999997</v>
      </c>
      <c r="AA42">
        <v>0.58499999999999996</v>
      </c>
      <c r="AB42">
        <v>0.79200000000000004</v>
      </c>
      <c r="AC42">
        <v>0.69799999999999995</v>
      </c>
      <c r="AD42">
        <v>0.80600000000000005</v>
      </c>
      <c r="AE42">
        <v>-0.42499999999999999</v>
      </c>
      <c r="AF42">
        <v>-0.64</v>
      </c>
      <c r="AG42">
        <v>-0.22800000000000001</v>
      </c>
      <c r="AH42">
        <v>5.1999999999999998E-2</v>
      </c>
      <c r="AI42">
        <v>0.23200000000000001</v>
      </c>
      <c r="AJ42">
        <v>-0.252</v>
      </c>
      <c r="AK42">
        <v>-6.9000000000000006E-2</v>
      </c>
      <c r="AL42">
        <v>0.32900000000000001</v>
      </c>
      <c r="AM42">
        <v>-0.48699999999999999</v>
      </c>
      <c r="AN42">
        <v>0.34200000000000003</v>
      </c>
      <c r="AO42">
        <v>0.26200000000000001</v>
      </c>
      <c r="AP42">
        <v>-0.161</v>
      </c>
      <c r="AQ42">
        <v>-0.32200000000000001</v>
      </c>
      <c r="AR42">
        <v>6.4000000000000001E-2</v>
      </c>
      <c r="AS42">
        <v>-0.52400000000000002</v>
      </c>
      <c r="AT42">
        <v>0.20699999999999999</v>
      </c>
      <c r="AU42">
        <v>-0.32900000000000001</v>
      </c>
      <c r="AV42">
        <v>-0.20899999999999999</v>
      </c>
      <c r="AW42">
        <v>0.69</v>
      </c>
      <c r="AX42">
        <v>0.51</v>
      </c>
      <c r="AY42">
        <v>0.90800000000000003</v>
      </c>
      <c r="AZ42">
        <v>0.90200000000000002</v>
      </c>
      <c r="BA42">
        <v>0.61299999999999999</v>
      </c>
      <c r="BB42">
        <v>-2.5999999999999999E-2</v>
      </c>
      <c r="BC42">
        <v>-8.8999999999999996E-2</v>
      </c>
      <c r="BD42">
        <v>0.36599999999999999</v>
      </c>
      <c r="BE42">
        <v>-0.43099999999999999</v>
      </c>
      <c r="BF42">
        <v>-9.8000000000000004E-2</v>
      </c>
      <c r="BG42">
        <v>0.51500000000000001</v>
      </c>
      <c r="BH42">
        <v>-0.28699999999999998</v>
      </c>
      <c r="BI42">
        <v>2.7E-2</v>
      </c>
      <c r="BJ42">
        <v>0.88200000000000001</v>
      </c>
      <c r="BK42">
        <v>0.371</v>
      </c>
    </row>
    <row r="43" spans="1:63" x14ac:dyDescent="0.3">
      <c r="A43" t="s">
        <v>112</v>
      </c>
      <c r="B43">
        <v>0</v>
      </c>
      <c r="C43">
        <v>5.8870500405884103E-2</v>
      </c>
      <c r="K43" t="s">
        <v>106</v>
      </c>
      <c r="L43">
        <v>1.9890000000000001</v>
      </c>
      <c r="M43">
        <v>1.637</v>
      </c>
      <c r="N43" t="s">
        <v>57</v>
      </c>
      <c r="O43">
        <v>0</v>
      </c>
      <c r="P43">
        <v>0</v>
      </c>
      <c r="Q43">
        <v>0</v>
      </c>
      <c r="R43">
        <v>0.35</v>
      </c>
      <c r="S43">
        <v>0.72399999999999998</v>
      </c>
      <c r="T43">
        <v>0.42399999999999999</v>
      </c>
      <c r="U43">
        <v>8.1000000000000003E-2</v>
      </c>
      <c r="V43">
        <v>0.435</v>
      </c>
      <c r="W43">
        <v>-0.189</v>
      </c>
      <c r="X43">
        <v>-0.51900000000000002</v>
      </c>
      <c r="Y43">
        <v>-0.14799999999999999</v>
      </c>
      <c r="Z43">
        <v>0.46600000000000003</v>
      </c>
      <c r="AA43">
        <v>0.46100000000000002</v>
      </c>
      <c r="AB43">
        <v>0.81399999999999995</v>
      </c>
      <c r="AC43">
        <v>0.89900000000000002</v>
      </c>
      <c r="AD43">
        <v>0.94</v>
      </c>
      <c r="AE43">
        <v>-0.11899999999999999</v>
      </c>
      <c r="AF43">
        <v>0.56799999999999995</v>
      </c>
      <c r="AG43">
        <v>0.60399999999999998</v>
      </c>
      <c r="AH43">
        <v>1</v>
      </c>
      <c r="AI43">
        <v>0.56999999999999995</v>
      </c>
      <c r="AJ43">
        <v>-0.42099999999999999</v>
      </c>
      <c r="AK43">
        <v>0.75</v>
      </c>
      <c r="AL43">
        <v>-0.17599999999999999</v>
      </c>
      <c r="AM43">
        <v>0.68899999999999995</v>
      </c>
      <c r="AN43">
        <v>-0.20399999999999999</v>
      </c>
      <c r="AO43">
        <v>-0.21099999999999999</v>
      </c>
      <c r="AP43">
        <v>0.38700000000000001</v>
      </c>
      <c r="AQ43">
        <v>-0.48299999999999998</v>
      </c>
      <c r="AR43">
        <v>0.27100000000000002</v>
      </c>
      <c r="AS43">
        <v>0.19900000000000001</v>
      </c>
      <c r="AT43">
        <v>6.0000000000000001E-3</v>
      </c>
      <c r="AU43">
        <v>-0.434</v>
      </c>
      <c r="AV43">
        <v>-0.26200000000000001</v>
      </c>
      <c r="AW43">
        <v>-0.13200000000000001</v>
      </c>
      <c r="AX43">
        <v>-0.109</v>
      </c>
      <c r="AY43">
        <v>0.59599999999999997</v>
      </c>
      <c r="AZ43">
        <v>-0.17699999999999999</v>
      </c>
      <c r="BA43">
        <v>0.45500000000000002</v>
      </c>
      <c r="BB43">
        <v>0.17799999999999999</v>
      </c>
      <c r="BC43">
        <v>0.504</v>
      </c>
      <c r="BD43">
        <v>0.29599999999999999</v>
      </c>
      <c r="BE43">
        <v>7.2999999999999995E-2</v>
      </c>
      <c r="BF43">
        <v>0.41799999999999998</v>
      </c>
      <c r="BG43">
        <v>-0.05</v>
      </c>
      <c r="BH43">
        <v>0.17899999999999999</v>
      </c>
      <c r="BI43">
        <v>-7.0000000000000001E-3</v>
      </c>
      <c r="BJ43">
        <v>0.21199999999999999</v>
      </c>
      <c r="BK43">
        <v>0.85099999999999998</v>
      </c>
    </row>
    <row r="44" spans="1:63" x14ac:dyDescent="0.3">
      <c r="A44" t="s">
        <v>156</v>
      </c>
      <c r="B44">
        <v>0</v>
      </c>
      <c r="C44">
        <v>0</v>
      </c>
      <c r="K44" t="s">
        <v>74</v>
      </c>
      <c r="L44">
        <v>1.97</v>
      </c>
      <c r="M44">
        <v>1.5449999999999999</v>
      </c>
      <c r="N44" t="s">
        <v>53</v>
      </c>
      <c r="O44">
        <v>0</v>
      </c>
      <c r="P44">
        <v>0</v>
      </c>
      <c r="Q44">
        <v>0</v>
      </c>
      <c r="R44">
        <v>0.23499999999999999</v>
      </c>
      <c r="S44">
        <v>-9.9000000000000005E-2</v>
      </c>
      <c r="T44">
        <v>0.58599999999999997</v>
      </c>
      <c r="U44">
        <v>0.27400000000000002</v>
      </c>
      <c r="V44">
        <v>0.33300000000000002</v>
      </c>
      <c r="W44">
        <v>0.125</v>
      </c>
      <c r="X44">
        <v>5.0000000000000001E-3</v>
      </c>
      <c r="Y44">
        <v>1.9E-2</v>
      </c>
      <c r="Z44">
        <v>0.45300000000000001</v>
      </c>
      <c r="AA44">
        <v>0.45200000000000001</v>
      </c>
      <c r="AB44">
        <v>0.64100000000000001</v>
      </c>
      <c r="AC44">
        <v>0.754</v>
      </c>
      <c r="AD44">
        <v>0.72299999999999998</v>
      </c>
      <c r="AE44">
        <v>0.61899999999999999</v>
      </c>
      <c r="AF44">
        <v>0.497</v>
      </c>
      <c r="AG44">
        <v>-0.12</v>
      </c>
      <c r="AH44">
        <v>1</v>
      </c>
      <c r="AI44">
        <v>2.5000000000000001E-2</v>
      </c>
      <c r="AJ44">
        <v>0.158</v>
      </c>
      <c r="AK44">
        <v>0.78600000000000003</v>
      </c>
      <c r="AL44">
        <v>0.155</v>
      </c>
      <c r="AM44">
        <v>0.13600000000000001</v>
      </c>
      <c r="AN44">
        <v>0.14499999999999999</v>
      </c>
      <c r="AO44">
        <v>-0.30599999999999999</v>
      </c>
      <c r="AP44">
        <v>-0.23799999999999999</v>
      </c>
      <c r="AQ44">
        <v>0.186</v>
      </c>
      <c r="AR44">
        <v>-0.23200000000000001</v>
      </c>
      <c r="AS44">
        <v>-0.62</v>
      </c>
      <c r="AT44">
        <v>0.33</v>
      </c>
      <c r="AU44">
        <v>-0.60699999999999998</v>
      </c>
      <c r="AV44">
        <v>0.21299999999999999</v>
      </c>
      <c r="AW44">
        <v>0.23400000000000001</v>
      </c>
      <c r="AX44">
        <v>-0.128</v>
      </c>
      <c r="AY44">
        <v>0.878</v>
      </c>
      <c r="AZ44">
        <v>0.28599999999999998</v>
      </c>
      <c r="BA44">
        <v>0.16200000000000001</v>
      </c>
      <c r="BB44">
        <v>-6.7000000000000004E-2</v>
      </c>
      <c r="BC44">
        <v>4.2999999999999997E-2</v>
      </c>
      <c r="BD44">
        <v>0.16400000000000001</v>
      </c>
      <c r="BE44">
        <v>0.34200000000000003</v>
      </c>
      <c r="BF44">
        <v>-0.14199999999999999</v>
      </c>
      <c r="BG44">
        <v>0.24099999999999999</v>
      </c>
      <c r="BH44">
        <v>-0.70199999999999996</v>
      </c>
      <c r="BI44">
        <v>-0.11600000000000001</v>
      </c>
      <c r="BJ44">
        <v>0.83199999999999996</v>
      </c>
      <c r="BK44">
        <v>0.745</v>
      </c>
    </row>
    <row r="45" spans="1:63" x14ac:dyDescent="0.3">
      <c r="A45" t="s">
        <v>246</v>
      </c>
      <c r="B45">
        <v>0</v>
      </c>
      <c r="C45">
        <v>0</v>
      </c>
      <c r="K45" t="s">
        <v>120</v>
      </c>
      <c r="L45">
        <v>1.9690000000000001</v>
      </c>
      <c r="M45">
        <v>2.2210000000000001</v>
      </c>
      <c r="N45" t="s">
        <v>71</v>
      </c>
      <c r="O45">
        <v>0</v>
      </c>
      <c r="P45">
        <v>0</v>
      </c>
      <c r="Q45">
        <v>0</v>
      </c>
      <c r="R45">
        <v>-0.27500000000000002</v>
      </c>
      <c r="S45">
        <v>0.45600000000000002</v>
      </c>
      <c r="T45">
        <v>-0.63400000000000001</v>
      </c>
      <c r="U45">
        <v>-2.1000000000000001E-2</v>
      </c>
      <c r="V45">
        <v>4.0000000000000001E-3</v>
      </c>
      <c r="W45">
        <v>-0.05</v>
      </c>
      <c r="X45">
        <v>-0.32600000000000001</v>
      </c>
      <c r="Y45">
        <v>0.25800000000000001</v>
      </c>
      <c r="Z45">
        <v>1</v>
      </c>
      <c r="AA45">
        <v>1</v>
      </c>
      <c r="AB45">
        <v>0.90500000000000003</v>
      </c>
      <c r="AC45">
        <v>0.97199999999999998</v>
      </c>
      <c r="AD45">
        <v>0.95699999999999996</v>
      </c>
      <c r="AE45">
        <v>-0.14399999999999999</v>
      </c>
      <c r="AF45">
        <v>-0.36399999999999999</v>
      </c>
      <c r="AG45">
        <v>1</v>
      </c>
      <c r="AH45">
        <v>-0.45500000000000002</v>
      </c>
      <c r="AI45">
        <v>-0.218</v>
      </c>
      <c r="AJ45">
        <v>-0.874</v>
      </c>
      <c r="AK45">
        <v>0.55200000000000005</v>
      </c>
      <c r="AL45">
        <v>-0.19800000000000001</v>
      </c>
      <c r="AM45">
        <v>0.55600000000000005</v>
      </c>
      <c r="AN45">
        <v>-0.623</v>
      </c>
      <c r="AO45">
        <v>0.55000000000000004</v>
      </c>
      <c r="AP45">
        <v>0.30099999999999999</v>
      </c>
      <c r="AQ45">
        <v>-0.86</v>
      </c>
      <c r="AR45">
        <v>0.48</v>
      </c>
      <c r="AS45">
        <v>0.40200000000000002</v>
      </c>
      <c r="AT45">
        <v>9.7000000000000003E-2</v>
      </c>
      <c r="AU45">
        <v>-0.53500000000000003</v>
      </c>
      <c r="AV45">
        <v>-0.152</v>
      </c>
      <c r="AW45">
        <v>0.41199999999999998</v>
      </c>
      <c r="AX45">
        <v>-6.0999999999999999E-2</v>
      </c>
      <c r="AY45">
        <v>0.8</v>
      </c>
      <c r="AZ45">
        <v>-0.158</v>
      </c>
      <c r="BA45">
        <v>-9.5000000000000001E-2</v>
      </c>
      <c r="BB45">
        <v>0.20100000000000001</v>
      </c>
      <c r="BC45">
        <v>7.2999999999999995E-2</v>
      </c>
      <c r="BD45">
        <v>0.69299999999999995</v>
      </c>
      <c r="BE45">
        <v>-1</v>
      </c>
      <c r="BF45">
        <v>-0.67</v>
      </c>
      <c r="BG45">
        <v>0.36499999999999999</v>
      </c>
      <c r="BH45">
        <v>-0.35099999999999998</v>
      </c>
      <c r="BI45">
        <v>-0.45900000000000002</v>
      </c>
      <c r="BJ45">
        <v>-0.183</v>
      </c>
      <c r="BK45">
        <v>-7.9000000000000001E-2</v>
      </c>
    </row>
    <row r="46" spans="1:63" x14ac:dyDescent="0.3">
      <c r="A46" t="s">
        <v>58</v>
      </c>
      <c r="B46">
        <v>0</v>
      </c>
      <c r="C46">
        <v>0</v>
      </c>
      <c r="K46" t="s">
        <v>121</v>
      </c>
      <c r="L46">
        <v>1.9079999999999999</v>
      </c>
      <c r="M46">
        <v>4.1559999999999997</v>
      </c>
      <c r="N46" t="s">
        <v>57</v>
      </c>
      <c r="O46">
        <v>5.5E-2</v>
      </c>
      <c r="P46">
        <v>2.7E-2</v>
      </c>
      <c r="Q46">
        <v>2.8000000000000001E-2</v>
      </c>
      <c r="R46">
        <v>-0.25</v>
      </c>
      <c r="S46">
        <v>-0.26600000000000001</v>
      </c>
      <c r="T46">
        <v>-0.77200000000000002</v>
      </c>
      <c r="U46">
        <v>9.1999999999999998E-2</v>
      </c>
      <c r="V46">
        <v>-0.34300000000000003</v>
      </c>
      <c r="W46">
        <v>0.26100000000000001</v>
      </c>
      <c r="X46">
        <v>0.53300000000000003</v>
      </c>
      <c r="Y46">
        <v>0.42899999999999999</v>
      </c>
      <c r="Z46">
        <v>0.50800000000000001</v>
      </c>
      <c r="AA46">
        <v>0.50800000000000001</v>
      </c>
      <c r="AB46">
        <v>0.77700000000000002</v>
      </c>
      <c r="AC46">
        <v>0.83099999999999996</v>
      </c>
      <c r="AD46">
        <v>0.77100000000000002</v>
      </c>
      <c r="AE46">
        <v>0.123</v>
      </c>
      <c r="AF46">
        <v>-0.218</v>
      </c>
      <c r="AG46">
        <v>6.3E-2</v>
      </c>
      <c r="AH46">
        <v>-0.96399999999999997</v>
      </c>
      <c r="AI46">
        <v>-0.76200000000000001</v>
      </c>
      <c r="AJ46">
        <v>-0.83</v>
      </c>
      <c r="AK46">
        <v>-0.17399999999999999</v>
      </c>
      <c r="AL46">
        <v>0.221</v>
      </c>
      <c r="AM46">
        <v>-0.67900000000000005</v>
      </c>
      <c r="AN46">
        <v>-0.20599999999999999</v>
      </c>
      <c r="AO46">
        <v>0.46300000000000002</v>
      </c>
      <c r="AP46">
        <v>-4.5999999999999999E-2</v>
      </c>
      <c r="AQ46">
        <v>8.9999999999999993E-3</v>
      </c>
      <c r="AR46">
        <v>0.30599999999999999</v>
      </c>
      <c r="AS46">
        <v>0.41299999999999998</v>
      </c>
      <c r="AT46">
        <v>-1E-3</v>
      </c>
      <c r="AU46">
        <v>-2E-3</v>
      </c>
      <c r="AV46">
        <v>0.379</v>
      </c>
      <c r="AW46">
        <v>0.436</v>
      </c>
      <c r="AX46">
        <v>-0.40100000000000002</v>
      </c>
      <c r="AY46">
        <v>0.91</v>
      </c>
      <c r="AZ46">
        <v>0.68799999999999994</v>
      </c>
      <c r="BA46">
        <v>0.65300000000000002</v>
      </c>
      <c r="BB46">
        <v>-0.20699999999999999</v>
      </c>
      <c r="BC46">
        <v>1.4E-2</v>
      </c>
      <c r="BD46">
        <v>0.55000000000000004</v>
      </c>
      <c r="BE46">
        <v>-0.128</v>
      </c>
      <c r="BF46">
        <v>-0.39500000000000002</v>
      </c>
      <c r="BG46">
        <v>0.82399999999999995</v>
      </c>
      <c r="BH46">
        <v>-0.68</v>
      </c>
      <c r="BI46">
        <v>-0.08</v>
      </c>
      <c r="BJ46">
        <v>-0.182</v>
      </c>
      <c r="BK46">
        <v>-0.70899999999999996</v>
      </c>
    </row>
    <row r="47" spans="1:63" x14ac:dyDescent="0.3">
      <c r="A47" t="s">
        <v>207</v>
      </c>
      <c r="B47">
        <v>0</v>
      </c>
      <c r="C47">
        <v>0</v>
      </c>
      <c r="K47" t="s">
        <v>72</v>
      </c>
      <c r="L47">
        <v>1.9039999999999999</v>
      </c>
      <c r="M47">
        <v>1.556</v>
      </c>
      <c r="N47" t="s">
        <v>57</v>
      </c>
      <c r="O47">
        <v>0</v>
      </c>
      <c r="P47">
        <v>0</v>
      </c>
      <c r="Q47">
        <v>0</v>
      </c>
      <c r="R47">
        <v>0.26600000000000001</v>
      </c>
      <c r="S47">
        <v>-0.21299999999999999</v>
      </c>
      <c r="T47">
        <v>0.12</v>
      </c>
      <c r="U47">
        <v>0.49299999999999999</v>
      </c>
      <c r="V47">
        <v>0.151</v>
      </c>
      <c r="W47">
        <v>0.20699999999999999</v>
      </c>
      <c r="X47">
        <v>0.20599999999999999</v>
      </c>
      <c r="Y47">
        <v>9.1999999999999998E-2</v>
      </c>
      <c r="Z47">
        <v>8.5999999999999993E-2</v>
      </c>
      <c r="AA47">
        <v>8.5000000000000006E-2</v>
      </c>
      <c r="AB47">
        <v>0.77600000000000002</v>
      </c>
      <c r="AC47">
        <v>0.75900000000000001</v>
      </c>
      <c r="AD47">
        <v>0.67200000000000004</v>
      </c>
      <c r="AE47">
        <v>0.90800000000000003</v>
      </c>
      <c r="AF47">
        <v>0.92500000000000004</v>
      </c>
      <c r="AG47">
        <v>-0.60099999999999998</v>
      </c>
      <c r="AH47">
        <v>-0.52400000000000002</v>
      </c>
      <c r="AI47">
        <v>-0.45600000000000002</v>
      </c>
      <c r="AJ47">
        <v>0.24399999999999999</v>
      </c>
      <c r="AK47">
        <v>-0.34200000000000003</v>
      </c>
      <c r="AL47">
        <v>-6.8000000000000005E-2</v>
      </c>
      <c r="AM47">
        <v>-0.79100000000000004</v>
      </c>
      <c r="AN47">
        <v>0.497</v>
      </c>
      <c r="AO47">
        <v>1.7999999999999999E-2</v>
      </c>
      <c r="AP47">
        <v>-0.70199999999999996</v>
      </c>
      <c r="AQ47">
        <v>0.82099999999999995</v>
      </c>
      <c r="AR47">
        <v>0.55200000000000005</v>
      </c>
      <c r="AS47">
        <v>0.51100000000000001</v>
      </c>
      <c r="AT47">
        <v>0.30299999999999999</v>
      </c>
      <c r="AU47">
        <v>-2.1000000000000001E-2</v>
      </c>
      <c r="AV47">
        <v>0.71399999999999997</v>
      </c>
      <c r="AW47">
        <v>-1.7000000000000001E-2</v>
      </c>
      <c r="AX47">
        <v>7.1999999999999995E-2</v>
      </c>
      <c r="AY47">
        <v>-5.2999999999999999E-2</v>
      </c>
      <c r="AZ47">
        <v>6.0999999999999999E-2</v>
      </c>
      <c r="BA47">
        <v>0.35</v>
      </c>
      <c r="BB47">
        <v>0.33800000000000002</v>
      </c>
      <c r="BC47">
        <v>-9.0999999999999998E-2</v>
      </c>
      <c r="BD47">
        <v>0.45600000000000002</v>
      </c>
      <c r="BE47">
        <v>-0.38400000000000001</v>
      </c>
      <c r="BF47">
        <v>-1.7999999999999999E-2</v>
      </c>
      <c r="BG47">
        <v>9.8000000000000004E-2</v>
      </c>
      <c r="BH47">
        <v>-8.0000000000000002E-3</v>
      </c>
      <c r="BI47">
        <v>0.219</v>
      </c>
      <c r="BJ47">
        <v>0.221</v>
      </c>
      <c r="BK47">
        <v>-0.24099999999999999</v>
      </c>
    </row>
    <row r="48" spans="1:63" x14ac:dyDescent="0.3">
      <c r="A48" t="s">
        <v>220</v>
      </c>
      <c r="B48">
        <v>0</v>
      </c>
      <c r="C48">
        <v>0</v>
      </c>
      <c r="K48" t="s">
        <v>56</v>
      </c>
      <c r="L48">
        <v>1.8919999999999999</v>
      </c>
      <c r="M48">
        <v>1.9830000000000001</v>
      </c>
      <c r="N48" t="s">
        <v>55</v>
      </c>
      <c r="O48">
        <v>0</v>
      </c>
      <c r="P48">
        <v>0</v>
      </c>
      <c r="Q48">
        <v>0</v>
      </c>
      <c r="R48">
        <v>-7.0999999999999994E-2</v>
      </c>
      <c r="S48">
        <v>-0.20300000000000001</v>
      </c>
      <c r="T48">
        <v>-0.26700000000000002</v>
      </c>
      <c r="U48">
        <v>0.17299999999999999</v>
      </c>
      <c r="V48">
        <v>-7.4999999999999997E-2</v>
      </c>
      <c r="W48">
        <v>0.26600000000000001</v>
      </c>
      <c r="X48">
        <v>0.48599999999999999</v>
      </c>
      <c r="Y48">
        <v>0.17699999999999999</v>
      </c>
      <c r="Z48">
        <v>0.436</v>
      </c>
      <c r="AA48">
        <v>0.438</v>
      </c>
      <c r="AB48">
        <v>0.88900000000000001</v>
      </c>
      <c r="AC48">
        <v>0.68200000000000005</v>
      </c>
      <c r="AD48">
        <v>0.73499999999999999</v>
      </c>
      <c r="AE48">
        <v>0.41399999999999998</v>
      </c>
      <c r="AF48">
        <v>-0.13300000000000001</v>
      </c>
      <c r="AG48">
        <v>0.26500000000000001</v>
      </c>
      <c r="AH48">
        <v>-0.54800000000000004</v>
      </c>
      <c r="AI48">
        <v>-0.58799999999999997</v>
      </c>
      <c r="AJ48">
        <v>-0.40799999999999997</v>
      </c>
      <c r="AK48">
        <v>0.40799999999999997</v>
      </c>
      <c r="AL48">
        <v>-0.20300000000000001</v>
      </c>
      <c r="AM48">
        <v>-0.34300000000000003</v>
      </c>
      <c r="AN48">
        <v>-0.254</v>
      </c>
      <c r="AO48">
        <v>0.109</v>
      </c>
      <c r="AP48">
        <v>-0.3</v>
      </c>
      <c r="AQ48">
        <v>-1.4E-2</v>
      </c>
      <c r="AR48">
        <v>-0.52400000000000002</v>
      </c>
      <c r="AS48">
        <v>-0.79100000000000004</v>
      </c>
      <c r="AT48">
        <v>0.17199999999999999</v>
      </c>
      <c r="AU48">
        <v>0.26400000000000001</v>
      </c>
      <c r="AV48">
        <v>0.44</v>
      </c>
      <c r="AW48">
        <v>0.73499999999999999</v>
      </c>
      <c r="AX48">
        <v>-9.5000000000000001E-2</v>
      </c>
      <c r="AY48">
        <v>-0.214</v>
      </c>
      <c r="AZ48">
        <v>0.42599999999999999</v>
      </c>
      <c r="BA48">
        <v>1</v>
      </c>
      <c r="BB48">
        <v>1.7999999999999999E-2</v>
      </c>
      <c r="BC48">
        <v>0.47699999999999998</v>
      </c>
      <c r="BD48">
        <v>0.39500000000000002</v>
      </c>
      <c r="BE48">
        <v>-0.25700000000000001</v>
      </c>
      <c r="BF48">
        <v>0.46100000000000002</v>
      </c>
      <c r="BG48">
        <v>0.374</v>
      </c>
      <c r="BH48">
        <v>-0.68400000000000005</v>
      </c>
      <c r="BI48">
        <v>-0.10299999999999999</v>
      </c>
      <c r="BJ48">
        <v>0.621</v>
      </c>
      <c r="BK48">
        <v>0.109</v>
      </c>
    </row>
    <row r="49" spans="1:63" x14ac:dyDescent="0.3">
      <c r="A49" t="s">
        <v>217</v>
      </c>
      <c r="B49">
        <v>0</v>
      </c>
      <c r="C49">
        <v>0</v>
      </c>
      <c r="K49" t="s">
        <v>81</v>
      </c>
      <c r="L49">
        <v>1.88</v>
      </c>
      <c r="M49">
        <v>3.484</v>
      </c>
      <c r="N49" t="s">
        <v>55</v>
      </c>
      <c r="O49">
        <v>3.2000000000000001E-2</v>
      </c>
      <c r="P49">
        <v>3.0000000000000001E-3</v>
      </c>
      <c r="Q49">
        <v>2.8000000000000001E-2</v>
      </c>
      <c r="R49">
        <v>2.5999999999999999E-2</v>
      </c>
      <c r="S49">
        <v>-0.56200000000000006</v>
      </c>
      <c r="T49">
        <v>-0.47899999999999998</v>
      </c>
      <c r="U49">
        <v>0.40400000000000003</v>
      </c>
      <c r="V49">
        <v>-0.26100000000000001</v>
      </c>
      <c r="W49">
        <v>0.49099999999999999</v>
      </c>
      <c r="X49">
        <v>0.74</v>
      </c>
      <c r="Y49">
        <v>0.122</v>
      </c>
      <c r="Z49">
        <v>0.45</v>
      </c>
      <c r="AA49">
        <v>0.44700000000000001</v>
      </c>
      <c r="AB49">
        <v>0.81299999999999994</v>
      </c>
      <c r="AC49">
        <v>0.78900000000000003</v>
      </c>
      <c r="AD49">
        <v>0.63300000000000001</v>
      </c>
      <c r="AE49">
        <v>0.752</v>
      </c>
      <c r="AF49">
        <v>8.7999999999999995E-2</v>
      </c>
      <c r="AG49">
        <v>-0.53400000000000003</v>
      </c>
      <c r="AH49">
        <v>-0.90400000000000003</v>
      </c>
      <c r="AI49">
        <v>-0.86</v>
      </c>
      <c r="AJ49">
        <v>-0.49199999999999999</v>
      </c>
      <c r="AK49">
        <v>0.32500000000000001</v>
      </c>
      <c r="AL49">
        <v>-2.1000000000000001E-2</v>
      </c>
      <c r="AM49">
        <v>-0.82699999999999996</v>
      </c>
      <c r="AN49">
        <v>-0.128</v>
      </c>
      <c r="AO49">
        <v>-7.0999999999999994E-2</v>
      </c>
      <c r="AP49">
        <v>-0.251</v>
      </c>
      <c r="AQ49">
        <v>0.53800000000000003</v>
      </c>
      <c r="AR49">
        <v>0.26400000000000001</v>
      </c>
      <c r="AS49">
        <v>-0.314</v>
      </c>
      <c r="AT49">
        <v>0.433</v>
      </c>
      <c r="AU49">
        <v>0.246</v>
      </c>
      <c r="AV49">
        <v>1</v>
      </c>
      <c r="AW49">
        <v>0.72699999999999998</v>
      </c>
      <c r="AX49">
        <v>0.17299999999999999</v>
      </c>
      <c r="AY49">
        <v>0.77500000000000002</v>
      </c>
      <c r="AZ49">
        <v>0.39300000000000002</v>
      </c>
      <c r="BA49">
        <v>0.89500000000000002</v>
      </c>
      <c r="BB49">
        <v>0.28399999999999997</v>
      </c>
      <c r="BC49">
        <v>0.39700000000000002</v>
      </c>
      <c r="BD49">
        <v>0.61299999999999999</v>
      </c>
      <c r="BE49">
        <v>0.27</v>
      </c>
      <c r="BF49">
        <v>0.66300000000000003</v>
      </c>
      <c r="BG49">
        <v>0.35399999999999998</v>
      </c>
      <c r="BH49">
        <v>-0.70299999999999996</v>
      </c>
      <c r="BI49">
        <v>-0.36199999999999999</v>
      </c>
      <c r="BJ49">
        <v>2.1000000000000001E-2</v>
      </c>
      <c r="BK49">
        <v>-0.53600000000000003</v>
      </c>
    </row>
    <row r="50" spans="1:63" x14ac:dyDescent="0.3">
      <c r="A50" t="s">
        <v>254</v>
      </c>
      <c r="B50">
        <v>0</v>
      </c>
      <c r="C50">
        <v>0</v>
      </c>
      <c r="K50" t="s">
        <v>95</v>
      </c>
      <c r="L50">
        <v>1.865</v>
      </c>
      <c r="M50">
        <v>2.4929999999999999</v>
      </c>
      <c r="N50" t="s">
        <v>53</v>
      </c>
      <c r="O50">
        <v>0</v>
      </c>
      <c r="P50">
        <v>0</v>
      </c>
      <c r="Q50">
        <v>0</v>
      </c>
      <c r="R50">
        <v>-0.41899999999999998</v>
      </c>
      <c r="S50">
        <v>-0.45200000000000001</v>
      </c>
      <c r="T50">
        <v>-0.64400000000000002</v>
      </c>
      <c r="U50">
        <v>0.107</v>
      </c>
      <c r="V50">
        <v>-0.23699999999999999</v>
      </c>
      <c r="W50">
        <v>0.377</v>
      </c>
      <c r="X50">
        <v>0.89</v>
      </c>
      <c r="Y50">
        <v>0.46200000000000002</v>
      </c>
      <c r="Z50">
        <v>0.55200000000000005</v>
      </c>
      <c r="AA50">
        <v>0.55400000000000005</v>
      </c>
      <c r="AB50">
        <v>0.75700000000000001</v>
      </c>
      <c r="AC50">
        <v>0.75</v>
      </c>
      <c r="AD50">
        <v>0.61</v>
      </c>
      <c r="AE50">
        <v>8.4000000000000005E-2</v>
      </c>
      <c r="AF50">
        <v>0.68600000000000005</v>
      </c>
      <c r="AG50">
        <v>-0.183</v>
      </c>
      <c r="AH50">
        <v>-0.82499999999999996</v>
      </c>
      <c r="AI50">
        <v>-0.84799999999999998</v>
      </c>
      <c r="AJ50">
        <v>-0.64900000000000002</v>
      </c>
      <c r="AK50">
        <v>-0.27900000000000003</v>
      </c>
      <c r="AL50">
        <v>0.57599999999999996</v>
      </c>
      <c r="AM50">
        <v>-0.94199999999999995</v>
      </c>
      <c r="AN50">
        <v>0.26700000000000002</v>
      </c>
      <c r="AO50">
        <v>0.23</v>
      </c>
      <c r="AP50">
        <v>0.34300000000000003</v>
      </c>
      <c r="AQ50">
        <v>5.0999999999999997E-2</v>
      </c>
      <c r="AR50">
        <v>0.26600000000000001</v>
      </c>
      <c r="AS50">
        <v>-0.35399999999999998</v>
      </c>
      <c r="AT50">
        <v>0.71499999999999997</v>
      </c>
      <c r="AU50">
        <v>0.21</v>
      </c>
      <c r="AV50">
        <v>-0.185</v>
      </c>
      <c r="AW50">
        <v>0.95099999999999996</v>
      </c>
      <c r="AX50">
        <v>0.71899999999999997</v>
      </c>
      <c r="AY50">
        <v>0.71599999999999997</v>
      </c>
      <c r="AZ50">
        <v>-0.23699999999999999</v>
      </c>
      <c r="BA50">
        <v>-0.64900000000000002</v>
      </c>
      <c r="BB50">
        <v>-0.10299999999999999</v>
      </c>
      <c r="BC50">
        <v>0.02</v>
      </c>
      <c r="BD50">
        <v>-1</v>
      </c>
      <c r="BE50">
        <v>-0.63200000000000001</v>
      </c>
      <c r="BF50">
        <v>-7.0999999999999994E-2</v>
      </c>
      <c r="BG50">
        <v>0.92800000000000005</v>
      </c>
      <c r="BH50">
        <v>-0.40799999999999997</v>
      </c>
      <c r="BI50">
        <v>-0.628</v>
      </c>
      <c r="BJ50">
        <v>-6.7000000000000004E-2</v>
      </c>
      <c r="BK50">
        <v>-0.60299999999999998</v>
      </c>
    </row>
    <row r="51" spans="1:63" x14ac:dyDescent="0.3">
      <c r="A51" t="s">
        <v>155</v>
      </c>
      <c r="B51">
        <v>0</v>
      </c>
      <c r="C51">
        <v>0</v>
      </c>
      <c r="K51" t="s">
        <v>119</v>
      </c>
      <c r="L51">
        <v>1.851</v>
      </c>
      <c r="M51">
        <v>1.7250000000000001</v>
      </c>
      <c r="N51" t="s">
        <v>57</v>
      </c>
      <c r="O51">
        <v>0</v>
      </c>
      <c r="P51">
        <v>0</v>
      </c>
      <c r="Q51">
        <v>0</v>
      </c>
      <c r="R51">
        <v>0.29699999999999999</v>
      </c>
      <c r="S51">
        <v>9.5000000000000001E-2</v>
      </c>
      <c r="T51">
        <v>0.105</v>
      </c>
      <c r="U51">
        <v>0.20100000000000001</v>
      </c>
      <c r="V51">
        <v>5.5E-2</v>
      </c>
      <c r="W51">
        <v>0.22900000000000001</v>
      </c>
      <c r="X51">
        <v>0.28100000000000003</v>
      </c>
      <c r="Y51">
        <v>-0.13900000000000001</v>
      </c>
      <c r="Z51">
        <v>0.20799999999999999</v>
      </c>
      <c r="AA51">
        <v>0.20599999999999999</v>
      </c>
      <c r="AB51">
        <v>0.82199999999999995</v>
      </c>
      <c r="AC51">
        <v>0.88100000000000001</v>
      </c>
      <c r="AD51">
        <v>0.69699999999999995</v>
      </c>
      <c r="AE51">
        <v>0.40799999999999997</v>
      </c>
      <c r="AF51">
        <v>0.46700000000000003</v>
      </c>
      <c r="AG51">
        <v>-0.23499999999999999</v>
      </c>
      <c r="AH51">
        <v>-0.19400000000000001</v>
      </c>
      <c r="AI51">
        <v>-0.09</v>
      </c>
      <c r="AJ51">
        <v>-2.1000000000000001E-2</v>
      </c>
      <c r="AK51">
        <v>-0.10199999999999999</v>
      </c>
      <c r="AL51">
        <v>-0.21299999999999999</v>
      </c>
      <c r="AM51">
        <v>-0.186</v>
      </c>
      <c r="AN51">
        <v>0.74299999999999999</v>
      </c>
      <c r="AO51">
        <v>-0.309</v>
      </c>
      <c r="AP51">
        <v>-1.7000000000000001E-2</v>
      </c>
      <c r="AQ51">
        <v>0.47899999999999998</v>
      </c>
      <c r="AR51">
        <v>0.39200000000000002</v>
      </c>
      <c r="AS51">
        <v>0.35299999999999998</v>
      </c>
      <c r="AT51">
        <v>-5.3999999999999999E-2</v>
      </c>
      <c r="AU51">
        <v>0.432</v>
      </c>
      <c r="AV51">
        <v>0.34499999999999997</v>
      </c>
      <c r="AW51">
        <v>-0.111</v>
      </c>
      <c r="AX51">
        <v>0.186</v>
      </c>
      <c r="AY51">
        <v>0.442</v>
      </c>
      <c r="AZ51">
        <v>0.63100000000000001</v>
      </c>
      <c r="BA51">
        <v>0</v>
      </c>
      <c r="BB51">
        <v>-4.9000000000000002E-2</v>
      </c>
      <c r="BC51">
        <v>-8.5000000000000006E-2</v>
      </c>
      <c r="BD51">
        <v>0.24399999999999999</v>
      </c>
      <c r="BE51">
        <v>0.33500000000000002</v>
      </c>
      <c r="BF51">
        <v>-0.154</v>
      </c>
      <c r="BG51">
        <v>0.20300000000000001</v>
      </c>
      <c r="BH51">
        <v>-0.156</v>
      </c>
      <c r="BI51">
        <v>0.45700000000000002</v>
      </c>
      <c r="BJ51">
        <v>-1.2E-2</v>
      </c>
      <c r="BK51">
        <v>0.03</v>
      </c>
    </row>
    <row r="52" spans="1:63" x14ac:dyDescent="0.3">
      <c r="A52" t="s">
        <v>213</v>
      </c>
      <c r="B52">
        <v>0</v>
      </c>
      <c r="C52">
        <v>0</v>
      </c>
      <c r="K52" t="s">
        <v>94</v>
      </c>
      <c r="L52">
        <v>1.8089999999999999</v>
      </c>
      <c r="M52">
        <v>3.1840000000000002</v>
      </c>
      <c r="N52" t="s">
        <v>55</v>
      </c>
      <c r="O52">
        <v>4.1000000000000002E-2</v>
      </c>
      <c r="P52">
        <v>0.03</v>
      </c>
      <c r="Q52">
        <v>1.0999999999999999E-2</v>
      </c>
      <c r="R52">
        <v>0.253</v>
      </c>
      <c r="S52">
        <v>4.2000000000000003E-2</v>
      </c>
      <c r="T52">
        <v>-0.32400000000000001</v>
      </c>
      <c r="U52">
        <v>0.22500000000000001</v>
      </c>
      <c r="V52">
        <v>-0.19500000000000001</v>
      </c>
      <c r="W52">
        <v>0.498</v>
      </c>
      <c r="X52">
        <v>0.81599999999999995</v>
      </c>
      <c r="Y52">
        <v>-0.22</v>
      </c>
      <c r="Z52">
        <v>0.249</v>
      </c>
      <c r="AA52">
        <v>0.247</v>
      </c>
      <c r="AB52">
        <v>0.81100000000000005</v>
      </c>
      <c r="AC52">
        <v>0.78</v>
      </c>
      <c r="AD52">
        <v>0.63</v>
      </c>
      <c r="AE52">
        <v>7.6999999999999999E-2</v>
      </c>
      <c r="AF52">
        <v>-5.1999999999999998E-2</v>
      </c>
      <c r="AG52">
        <v>-0.32100000000000001</v>
      </c>
      <c r="AH52">
        <v>-0.79100000000000004</v>
      </c>
      <c r="AI52">
        <v>-0.16200000000000001</v>
      </c>
      <c r="AJ52">
        <v>2.8000000000000001E-2</v>
      </c>
      <c r="AK52">
        <v>-0.31</v>
      </c>
      <c r="AL52">
        <v>-0.69599999999999995</v>
      </c>
      <c r="AM52">
        <v>-0.67900000000000005</v>
      </c>
      <c r="AN52">
        <v>-0.20899999999999999</v>
      </c>
      <c r="AO52">
        <v>6.2E-2</v>
      </c>
      <c r="AP52">
        <v>0.36299999999999999</v>
      </c>
      <c r="AQ52">
        <v>0.80300000000000005</v>
      </c>
      <c r="AR52">
        <v>0.71599999999999997</v>
      </c>
      <c r="AS52">
        <v>0.37</v>
      </c>
      <c r="AT52">
        <v>0.20399999999999999</v>
      </c>
      <c r="AU52">
        <v>0.92800000000000005</v>
      </c>
      <c r="AV52">
        <v>0.81100000000000005</v>
      </c>
      <c r="AW52">
        <v>0.224</v>
      </c>
      <c r="AX52">
        <v>-0.16300000000000001</v>
      </c>
      <c r="AY52">
        <v>0.48399999999999999</v>
      </c>
      <c r="AZ52">
        <v>0.54900000000000004</v>
      </c>
      <c r="BA52">
        <v>0.51200000000000001</v>
      </c>
      <c r="BB52">
        <v>0.40600000000000003</v>
      </c>
      <c r="BC52">
        <v>9.0999999999999998E-2</v>
      </c>
      <c r="BD52">
        <v>0.52200000000000002</v>
      </c>
      <c r="BE52">
        <v>-0.29599999999999999</v>
      </c>
      <c r="BF52">
        <v>-0.23300000000000001</v>
      </c>
      <c r="BG52">
        <v>0.55300000000000005</v>
      </c>
      <c r="BH52">
        <v>-0.4</v>
      </c>
      <c r="BI52">
        <v>0.46500000000000002</v>
      </c>
      <c r="BJ52">
        <v>-0.23799999999999999</v>
      </c>
      <c r="BK52">
        <v>-0.17899999999999999</v>
      </c>
    </row>
    <row r="53" spans="1:63" x14ac:dyDescent="0.3">
      <c r="A53" t="s">
        <v>218</v>
      </c>
      <c r="B53">
        <v>0</v>
      </c>
      <c r="C53">
        <v>0</v>
      </c>
      <c r="K53" t="s">
        <v>127</v>
      </c>
      <c r="L53">
        <v>1.7310000000000001</v>
      </c>
      <c r="M53">
        <v>2.9950000000000001</v>
      </c>
      <c r="N53" t="s">
        <v>53</v>
      </c>
      <c r="O53">
        <v>2.7E-2</v>
      </c>
      <c r="P53">
        <v>8.9999999999999993E-3</v>
      </c>
      <c r="Q53">
        <v>1.7999999999999999E-2</v>
      </c>
      <c r="R53">
        <v>-6.3E-2</v>
      </c>
      <c r="S53">
        <v>-0.33200000000000002</v>
      </c>
      <c r="T53">
        <v>-0.53900000000000003</v>
      </c>
      <c r="U53">
        <v>0.13600000000000001</v>
      </c>
      <c r="V53">
        <v>-0.34200000000000003</v>
      </c>
      <c r="W53">
        <v>0.36099999999999999</v>
      </c>
      <c r="X53">
        <v>0.59399999999999997</v>
      </c>
      <c r="Y53">
        <v>2.5000000000000001E-2</v>
      </c>
      <c r="Z53">
        <v>0.45700000000000002</v>
      </c>
      <c r="AA53">
        <v>0.45600000000000002</v>
      </c>
      <c r="AB53">
        <v>0.76900000000000002</v>
      </c>
      <c r="AC53">
        <v>0.80100000000000005</v>
      </c>
      <c r="AD53">
        <v>0.68200000000000005</v>
      </c>
      <c r="AE53">
        <v>-2.4E-2</v>
      </c>
      <c r="AF53">
        <v>0.21299999999999999</v>
      </c>
      <c r="AG53">
        <v>-0.29199999999999998</v>
      </c>
      <c r="AH53">
        <v>-0.874</v>
      </c>
      <c r="AI53">
        <v>-0.77400000000000002</v>
      </c>
      <c r="AJ53">
        <v>-0.38400000000000001</v>
      </c>
      <c r="AK53">
        <v>-5.1999999999999998E-2</v>
      </c>
      <c r="AL53">
        <v>-0.26200000000000001</v>
      </c>
      <c r="AM53">
        <v>-0.73699999999999999</v>
      </c>
      <c r="AN53">
        <v>0.19400000000000001</v>
      </c>
      <c r="AO53">
        <v>0.16</v>
      </c>
      <c r="AP53">
        <v>0.222</v>
      </c>
      <c r="AQ53">
        <v>0.49099999999999999</v>
      </c>
      <c r="AR53">
        <v>0.36099999999999999</v>
      </c>
      <c r="AS53">
        <v>0.12</v>
      </c>
      <c r="AT53">
        <v>0.37</v>
      </c>
      <c r="AU53">
        <v>0.13600000000000001</v>
      </c>
      <c r="AV53">
        <v>0.35399999999999998</v>
      </c>
      <c r="AW53">
        <v>0.78600000000000003</v>
      </c>
      <c r="AX53">
        <v>0.23799999999999999</v>
      </c>
      <c r="AY53">
        <v>0.90800000000000003</v>
      </c>
      <c r="AZ53">
        <v>1</v>
      </c>
      <c r="BA53">
        <v>0.46700000000000003</v>
      </c>
      <c r="BB53">
        <v>-0.13</v>
      </c>
      <c r="BC53">
        <v>9.6000000000000002E-2</v>
      </c>
      <c r="BD53">
        <v>-0.185</v>
      </c>
      <c r="BE53">
        <v>-0.39</v>
      </c>
      <c r="BF53">
        <v>0.441</v>
      </c>
      <c r="BG53">
        <v>0.58499999999999996</v>
      </c>
      <c r="BH53">
        <v>-0.73399999999999999</v>
      </c>
      <c r="BI53">
        <v>-0.39200000000000002</v>
      </c>
      <c r="BJ53">
        <v>7.9000000000000001E-2</v>
      </c>
      <c r="BK53">
        <v>-0.26200000000000001</v>
      </c>
    </row>
    <row r="54" spans="1:63" x14ac:dyDescent="0.3">
      <c r="A54" t="s">
        <v>80</v>
      </c>
      <c r="B54">
        <v>0</v>
      </c>
      <c r="C54">
        <v>0</v>
      </c>
      <c r="K54" t="s">
        <v>105</v>
      </c>
      <c r="L54">
        <v>1.71</v>
      </c>
      <c r="M54">
        <v>1.264</v>
      </c>
      <c r="N54" t="s">
        <v>57</v>
      </c>
      <c r="O54">
        <v>1.2E-2</v>
      </c>
      <c r="P54">
        <v>1.0999999999999999E-2</v>
      </c>
      <c r="Q54">
        <v>1E-3</v>
      </c>
      <c r="R54">
        <v>-0.153</v>
      </c>
      <c r="S54">
        <v>0.29399999999999998</v>
      </c>
      <c r="T54">
        <v>7.2999999999999995E-2</v>
      </c>
      <c r="U54">
        <v>-0.18</v>
      </c>
      <c r="V54">
        <v>0.22500000000000001</v>
      </c>
      <c r="W54">
        <v>-0.40799999999999997</v>
      </c>
      <c r="X54">
        <v>-0.51600000000000001</v>
      </c>
      <c r="Y54">
        <v>0.44500000000000001</v>
      </c>
      <c r="Z54">
        <v>7.0999999999999994E-2</v>
      </c>
      <c r="AA54">
        <v>7.0000000000000007E-2</v>
      </c>
      <c r="AB54">
        <v>0.58699999999999997</v>
      </c>
      <c r="AC54">
        <v>0.79800000000000004</v>
      </c>
      <c r="AD54">
        <v>0.78600000000000003</v>
      </c>
      <c r="AE54">
        <v>-0.443</v>
      </c>
      <c r="AF54">
        <v>-7.4999999999999997E-2</v>
      </c>
      <c r="AG54">
        <v>1</v>
      </c>
      <c r="AH54">
        <v>0.95299999999999996</v>
      </c>
      <c r="AI54">
        <v>0.97299999999999998</v>
      </c>
      <c r="AJ54">
        <v>-0.73299999999999998</v>
      </c>
      <c r="AK54">
        <v>0.70499999999999996</v>
      </c>
      <c r="AL54">
        <v>0.54100000000000004</v>
      </c>
      <c r="AM54">
        <v>-0.29899999999999999</v>
      </c>
      <c r="AN54">
        <v>8.6999999999999994E-2</v>
      </c>
      <c r="AO54">
        <v>0.52700000000000002</v>
      </c>
      <c r="AP54">
        <v>8.1000000000000003E-2</v>
      </c>
      <c r="AQ54">
        <v>-0.33</v>
      </c>
      <c r="AR54">
        <v>-1</v>
      </c>
      <c r="AS54">
        <v>-1</v>
      </c>
      <c r="AT54">
        <v>-9.8000000000000004E-2</v>
      </c>
      <c r="AU54">
        <v>-0.42199999999999999</v>
      </c>
      <c r="AV54">
        <v>-0.60499999999999998</v>
      </c>
      <c r="AW54">
        <v>-0.56799999999999995</v>
      </c>
      <c r="AX54">
        <v>-0.59299999999999997</v>
      </c>
      <c r="AY54">
        <v>0.109</v>
      </c>
      <c r="AZ54">
        <v>-0.23499999999999999</v>
      </c>
      <c r="BA54">
        <v>4.4999999999999998E-2</v>
      </c>
      <c r="BB54">
        <v>0.27700000000000002</v>
      </c>
      <c r="BC54">
        <v>0.41199999999999998</v>
      </c>
      <c r="BD54">
        <v>0.46899999999999997</v>
      </c>
      <c r="BE54">
        <v>0.56699999999999995</v>
      </c>
      <c r="BF54">
        <v>0.38600000000000001</v>
      </c>
      <c r="BG54">
        <v>3.6999999999999998E-2</v>
      </c>
      <c r="BH54">
        <v>-0.27</v>
      </c>
      <c r="BI54">
        <v>1</v>
      </c>
      <c r="BJ54">
        <v>0.40500000000000003</v>
      </c>
      <c r="BK54">
        <v>0.626</v>
      </c>
    </row>
    <row r="55" spans="1:63" x14ac:dyDescent="0.3">
      <c r="A55" t="s">
        <v>191</v>
      </c>
      <c r="B55">
        <v>0</v>
      </c>
      <c r="C55">
        <v>0</v>
      </c>
      <c r="K55" t="s">
        <v>145</v>
      </c>
      <c r="L55">
        <v>1.71</v>
      </c>
      <c r="M55">
        <v>1.266</v>
      </c>
      <c r="N55" t="s">
        <v>57</v>
      </c>
      <c r="O55">
        <v>0</v>
      </c>
      <c r="P55">
        <v>0</v>
      </c>
      <c r="Q55">
        <v>0</v>
      </c>
      <c r="R55">
        <v>6.0000000000000001E-3</v>
      </c>
      <c r="S55">
        <v>-9.4E-2</v>
      </c>
      <c r="T55">
        <v>-0.16</v>
      </c>
      <c r="U55">
        <v>-3.4000000000000002E-2</v>
      </c>
      <c r="V55">
        <v>-0.221</v>
      </c>
      <c r="W55">
        <v>-1.2999999999999999E-2</v>
      </c>
      <c r="X55">
        <v>-9.8000000000000004E-2</v>
      </c>
      <c r="Y55">
        <v>-5.0999999999999997E-2</v>
      </c>
      <c r="Z55">
        <v>0.50700000000000001</v>
      </c>
      <c r="AA55">
        <v>0.505</v>
      </c>
      <c r="AB55">
        <v>0.90200000000000002</v>
      </c>
      <c r="AC55">
        <v>0.85699999999999998</v>
      </c>
      <c r="AD55">
        <v>0.85199999999999998</v>
      </c>
      <c r="AE55">
        <v>-0.41</v>
      </c>
      <c r="AF55">
        <v>-0.11700000000000001</v>
      </c>
      <c r="AG55">
        <v>6.0999999999999999E-2</v>
      </c>
      <c r="AH55">
        <v>-0.72399999999999998</v>
      </c>
      <c r="AI55">
        <v>0.127</v>
      </c>
      <c r="AJ55">
        <v>-0.04</v>
      </c>
      <c r="AK55">
        <v>-0.216</v>
      </c>
      <c r="AL55">
        <v>-0.40200000000000002</v>
      </c>
      <c r="AM55">
        <v>-0.58799999999999997</v>
      </c>
      <c r="AN55">
        <v>-0.48099999999999998</v>
      </c>
      <c r="AO55">
        <v>0.26300000000000001</v>
      </c>
      <c r="AP55">
        <v>0.69199999999999995</v>
      </c>
      <c r="AQ55">
        <v>0.432</v>
      </c>
      <c r="AR55">
        <v>0.57999999999999996</v>
      </c>
      <c r="AS55">
        <v>0.41599999999999998</v>
      </c>
      <c r="AT55">
        <v>0.28999999999999998</v>
      </c>
      <c r="AU55">
        <v>-0.11</v>
      </c>
      <c r="AV55">
        <v>0.16600000000000001</v>
      </c>
      <c r="AW55">
        <v>0.34599999999999997</v>
      </c>
      <c r="AX55">
        <v>0.185</v>
      </c>
      <c r="AY55">
        <v>0.66800000000000004</v>
      </c>
      <c r="AZ55">
        <v>1</v>
      </c>
      <c r="BA55">
        <v>0.48499999999999999</v>
      </c>
      <c r="BB55">
        <v>-0.68200000000000005</v>
      </c>
      <c r="BC55">
        <v>-0.14699999999999999</v>
      </c>
      <c r="BD55">
        <v>-0.60399999999999998</v>
      </c>
      <c r="BE55">
        <v>0.25900000000000001</v>
      </c>
      <c r="BF55">
        <v>-0.67100000000000004</v>
      </c>
      <c r="BG55">
        <v>0.221</v>
      </c>
      <c r="BH55">
        <v>-1</v>
      </c>
      <c r="BI55">
        <v>0.27400000000000002</v>
      </c>
      <c r="BJ55">
        <v>0.92300000000000004</v>
      </c>
      <c r="BK55">
        <v>0.38800000000000001</v>
      </c>
    </row>
    <row r="56" spans="1:63" x14ac:dyDescent="0.3">
      <c r="A56" t="s">
        <v>597</v>
      </c>
      <c r="B56">
        <v>0</v>
      </c>
      <c r="C56">
        <v>0</v>
      </c>
      <c r="K56" t="s">
        <v>62</v>
      </c>
      <c r="L56">
        <v>1.603</v>
      </c>
      <c r="M56">
        <v>2.532</v>
      </c>
      <c r="N56" t="s">
        <v>55</v>
      </c>
      <c r="O56">
        <v>2.4E-2</v>
      </c>
      <c r="P56">
        <v>7.0000000000000001E-3</v>
      </c>
      <c r="Q56">
        <v>1.7000000000000001E-2</v>
      </c>
      <c r="R56">
        <v>-0.30199999999999999</v>
      </c>
      <c r="S56">
        <v>-0.313</v>
      </c>
      <c r="T56">
        <v>-0.52800000000000002</v>
      </c>
      <c r="U56">
        <v>9.5000000000000001E-2</v>
      </c>
      <c r="V56">
        <v>-0.189</v>
      </c>
      <c r="W56">
        <v>9.2999999999999999E-2</v>
      </c>
      <c r="X56">
        <v>0.35199999999999998</v>
      </c>
      <c r="Y56">
        <v>0.125</v>
      </c>
      <c r="Z56">
        <v>0.42099999999999999</v>
      </c>
      <c r="AA56">
        <v>0.42299999999999999</v>
      </c>
      <c r="AB56">
        <v>0.84099999999999997</v>
      </c>
      <c r="AC56">
        <v>0.78800000000000003</v>
      </c>
      <c r="AD56">
        <v>0.68</v>
      </c>
      <c r="AE56">
        <v>0.39800000000000002</v>
      </c>
      <c r="AF56">
        <v>-0.14000000000000001</v>
      </c>
      <c r="AG56">
        <v>0.35499999999999998</v>
      </c>
      <c r="AH56">
        <v>-0.55200000000000005</v>
      </c>
      <c r="AI56">
        <v>-0.55400000000000005</v>
      </c>
      <c r="AJ56">
        <v>-0.41099999999999998</v>
      </c>
      <c r="AK56">
        <v>0.40799999999999997</v>
      </c>
      <c r="AL56">
        <v>-0.222</v>
      </c>
      <c r="AM56">
        <v>-0.34300000000000003</v>
      </c>
      <c r="AN56">
        <v>-0.26900000000000002</v>
      </c>
      <c r="AO56">
        <v>0.13800000000000001</v>
      </c>
      <c r="AP56">
        <v>-0.39800000000000002</v>
      </c>
      <c r="AQ56">
        <v>-1.4E-2</v>
      </c>
      <c r="AR56">
        <v>-0.52400000000000002</v>
      </c>
      <c r="AS56">
        <v>-0.79100000000000004</v>
      </c>
      <c r="AT56">
        <v>0.17199999999999999</v>
      </c>
      <c r="AU56">
        <v>0.26400000000000001</v>
      </c>
      <c r="AV56">
        <v>0.438</v>
      </c>
      <c r="AW56">
        <v>0.71</v>
      </c>
      <c r="AX56">
        <v>-9.5000000000000001E-2</v>
      </c>
      <c r="AY56">
        <v>-0.214</v>
      </c>
      <c r="AZ56">
        <v>0.36299999999999999</v>
      </c>
      <c r="BA56">
        <v>0.21</v>
      </c>
      <c r="BB56">
        <v>1.7999999999999999E-2</v>
      </c>
      <c r="BC56">
        <v>0.47699999999999998</v>
      </c>
      <c r="BD56">
        <v>0.41099999999999998</v>
      </c>
      <c r="BE56">
        <v>-0.21</v>
      </c>
      <c r="BF56">
        <v>0.59099999999999997</v>
      </c>
      <c r="BG56">
        <v>0.379</v>
      </c>
      <c r="BH56">
        <v>-0.76700000000000002</v>
      </c>
      <c r="BI56">
        <v>-2E-3</v>
      </c>
      <c r="BJ56">
        <v>-7.0000000000000007E-2</v>
      </c>
      <c r="BK56">
        <v>0.109</v>
      </c>
    </row>
    <row r="57" spans="1:63" x14ac:dyDescent="0.3">
      <c r="A57" t="s">
        <v>181</v>
      </c>
      <c r="B57">
        <v>0</v>
      </c>
      <c r="C57">
        <v>0</v>
      </c>
      <c r="K57" t="s">
        <v>96</v>
      </c>
      <c r="L57">
        <v>1.573</v>
      </c>
      <c r="M57">
        <v>1.456</v>
      </c>
      <c r="N57" t="s">
        <v>57</v>
      </c>
      <c r="O57">
        <v>0</v>
      </c>
      <c r="P57">
        <v>0</v>
      </c>
      <c r="Q57">
        <v>0</v>
      </c>
      <c r="R57">
        <v>-7.0999999999999994E-2</v>
      </c>
      <c r="S57">
        <v>-0.74199999999999999</v>
      </c>
      <c r="T57">
        <v>-0.29099999999999998</v>
      </c>
      <c r="U57">
        <v>0.33</v>
      </c>
      <c r="V57">
        <v>-0.255</v>
      </c>
      <c r="W57">
        <v>0.19700000000000001</v>
      </c>
      <c r="X57">
        <v>0.27800000000000002</v>
      </c>
      <c r="Y57">
        <v>0.13600000000000001</v>
      </c>
      <c r="Z57">
        <v>0.29599999999999999</v>
      </c>
      <c r="AA57">
        <v>0.29599999999999999</v>
      </c>
      <c r="AB57">
        <v>0.76100000000000001</v>
      </c>
      <c r="AC57">
        <v>0.56399999999999995</v>
      </c>
      <c r="AD57">
        <v>0.54600000000000004</v>
      </c>
      <c r="AE57">
        <v>1</v>
      </c>
      <c r="AF57">
        <v>0.29799999999999999</v>
      </c>
      <c r="AG57">
        <v>-0.85799999999999998</v>
      </c>
      <c r="AH57">
        <v>-0.61699999999999999</v>
      </c>
      <c r="AI57">
        <v>-0.755</v>
      </c>
      <c r="AJ57">
        <v>-3.0000000000000001E-3</v>
      </c>
      <c r="AK57">
        <v>-7.3999999999999996E-2</v>
      </c>
      <c r="AL57">
        <v>0.39100000000000001</v>
      </c>
      <c r="AM57">
        <v>-0.874</v>
      </c>
      <c r="AN57">
        <v>0.27</v>
      </c>
      <c r="AO57">
        <v>-0.32900000000000001</v>
      </c>
      <c r="AP57">
        <v>-0.57299999999999995</v>
      </c>
      <c r="AQ57">
        <v>0.38800000000000001</v>
      </c>
      <c r="AR57">
        <v>0.33400000000000002</v>
      </c>
      <c r="AS57">
        <v>4.2999999999999997E-2</v>
      </c>
      <c r="AT57">
        <v>1</v>
      </c>
      <c r="AU57">
        <v>-5.2999999999999999E-2</v>
      </c>
      <c r="AV57">
        <v>0.85599999999999998</v>
      </c>
      <c r="AW57">
        <v>0.111</v>
      </c>
      <c r="AX57">
        <v>0.34</v>
      </c>
      <c r="AY57">
        <v>0.76900000000000002</v>
      </c>
      <c r="AZ57">
        <v>0.98499999999999999</v>
      </c>
      <c r="BA57">
        <v>0.35499999999999998</v>
      </c>
      <c r="BB57">
        <v>-0.81399999999999995</v>
      </c>
      <c r="BC57">
        <v>-0.158</v>
      </c>
      <c r="BD57">
        <v>0.20200000000000001</v>
      </c>
      <c r="BE57">
        <v>0.13300000000000001</v>
      </c>
      <c r="BF57">
        <v>-0.20699999999999999</v>
      </c>
      <c r="BG57">
        <v>1E-3</v>
      </c>
      <c r="BH57">
        <v>-0.94399999999999995</v>
      </c>
      <c r="BI57">
        <v>0.30399999999999999</v>
      </c>
      <c r="BJ57">
        <v>-0.53100000000000003</v>
      </c>
      <c r="BK57">
        <v>-0.35799999999999998</v>
      </c>
    </row>
    <row r="58" spans="1:63" x14ac:dyDescent="0.3">
      <c r="A58" t="s">
        <v>598</v>
      </c>
      <c r="B58">
        <v>2.5382071222647601E-2</v>
      </c>
      <c r="C58">
        <v>3.05244653829282E-2</v>
      </c>
      <c r="K58" t="s">
        <v>188</v>
      </c>
      <c r="L58">
        <v>1.4990000000000001</v>
      </c>
      <c r="M58">
        <v>1.8460000000000001</v>
      </c>
      <c r="N58" t="s">
        <v>55</v>
      </c>
      <c r="O58">
        <v>0</v>
      </c>
      <c r="P58">
        <v>0</v>
      </c>
      <c r="Q58">
        <v>0</v>
      </c>
      <c r="R58">
        <v>-0.214</v>
      </c>
      <c r="S58">
        <v>-0.21</v>
      </c>
      <c r="T58">
        <v>-0.80400000000000005</v>
      </c>
      <c r="U58">
        <v>-0.109</v>
      </c>
      <c r="V58">
        <v>-0.51500000000000001</v>
      </c>
      <c r="W58">
        <v>0.17399999999999999</v>
      </c>
      <c r="X58">
        <v>0.36199999999999999</v>
      </c>
      <c r="Y58">
        <v>-2.9000000000000001E-2</v>
      </c>
      <c r="Z58">
        <v>0.40500000000000003</v>
      </c>
      <c r="AA58">
        <v>0.40699999999999997</v>
      </c>
      <c r="AB58">
        <v>0.80400000000000005</v>
      </c>
      <c r="AC58">
        <v>0.81799999999999995</v>
      </c>
      <c r="AD58">
        <v>0.72799999999999998</v>
      </c>
      <c r="AE58">
        <v>-0.42899999999999999</v>
      </c>
      <c r="AF58">
        <v>-0.252</v>
      </c>
      <c r="AG58">
        <v>0.14899999999999999</v>
      </c>
      <c r="AH58">
        <v>-1</v>
      </c>
      <c r="AI58">
        <v>-0.65</v>
      </c>
      <c r="AJ58">
        <v>-0.84599999999999997</v>
      </c>
      <c r="AK58">
        <v>-0.378</v>
      </c>
      <c r="AL58">
        <v>-0.33600000000000002</v>
      </c>
      <c r="AM58">
        <v>-0.55300000000000005</v>
      </c>
      <c r="AN58">
        <v>-0.317</v>
      </c>
      <c r="AO58">
        <v>0.41299999999999998</v>
      </c>
      <c r="AP58">
        <v>0.52900000000000003</v>
      </c>
      <c r="AQ58">
        <v>0.46899999999999997</v>
      </c>
      <c r="AR58">
        <v>1</v>
      </c>
      <c r="AS58">
        <v>0.65</v>
      </c>
      <c r="AT58">
        <v>-0.216</v>
      </c>
      <c r="AU58">
        <v>2E-3</v>
      </c>
      <c r="AV58">
        <v>0.17899999999999999</v>
      </c>
      <c r="AW58">
        <v>0.33</v>
      </c>
      <c r="AX58">
        <v>-0.58199999999999996</v>
      </c>
      <c r="AY58">
        <v>0.63900000000000001</v>
      </c>
      <c r="AZ58">
        <v>0.43</v>
      </c>
      <c r="BA58">
        <v>0.80500000000000005</v>
      </c>
      <c r="BB58">
        <v>-7.3999999999999996E-2</v>
      </c>
      <c r="BC58">
        <v>-0.29499999999999998</v>
      </c>
      <c r="BD58">
        <v>0.70899999999999996</v>
      </c>
      <c r="BE58">
        <v>0.24199999999999999</v>
      </c>
      <c r="BF58">
        <v>0.61399999999999999</v>
      </c>
      <c r="BG58">
        <v>0.753</v>
      </c>
      <c r="BH58">
        <v>-0.71899999999999997</v>
      </c>
      <c r="BI58">
        <v>9.7000000000000003E-2</v>
      </c>
      <c r="BJ58">
        <v>0.21299999999999999</v>
      </c>
      <c r="BK58">
        <v>-1</v>
      </c>
    </row>
    <row r="59" spans="1:63" x14ac:dyDescent="0.3">
      <c r="A59" t="s">
        <v>108</v>
      </c>
      <c r="B59">
        <v>0</v>
      </c>
      <c r="C59">
        <v>0</v>
      </c>
      <c r="K59" t="s">
        <v>93</v>
      </c>
      <c r="L59">
        <v>1.488</v>
      </c>
      <c r="M59">
        <v>3.2269999999999999</v>
      </c>
      <c r="N59" t="s">
        <v>55</v>
      </c>
      <c r="O59">
        <v>4.4999999999999998E-2</v>
      </c>
      <c r="P59">
        <v>2.1000000000000001E-2</v>
      </c>
      <c r="Q59">
        <v>2.4E-2</v>
      </c>
      <c r="R59">
        <v>-0.26300000000000001</v>
      </c>
      <c r="S59">
        <v>-0.16400000000000001</v>
      </c>
      <c r="T59">
        <v>-0.69699999999999995</v>
      </c>
      <c r="U59">
        <v>-0.217</v>
      </c>
      <c r="V59">
        <v>-0.44500000000000001</v>
      </c>
      <c r="W59">
        <v>0.25700000000000001</v>
      </c>
      <c r="X59">
        <v>0.68600000000000005</v>
      </c>
      <c r="Y59">
        <v>-1.2999999999999999E-2</v>
      </c>
      <c r="Z59">
        <v>0.314</v>
      </c>
      <c r="AA59">
        <v>0.313</v>
      </c>
      <c r="AB59">
        <v>0.77</v>
      </c>
      <c r="AC59">
        <v>0.76400000000000001</v>
      </c>
      <c r="AD59">
        <v>0.624</v>
      </c>
      <c r="AE59">
        <v>-8.5000000000000006E-2</v>
      </c>
      <c r="AF59">
        <v>-0.38500000000000001</v>
      </c>
      <c r="AG59">
        <v>-3.6999999999999998E-2</v>
      </c>
      <c r="AH59">
        <v>-0.76800000000000002</v>
      </c>
      <c r="AI59">
        <v>-0.25</v>
      </c>
      <c r="AJ59">
        <v>-0.53100000000000003</v>
      </c>
      <c r="AK59">
        <v>-0.11700000000000001</v>
      </c>
      <c r="AL59">
        <v>-0.122</v>
      </c>
      <c r="AM59">
        <v>-0.53400000000000003</v>
      </c>
      <c r="AN59">
        <v>0.129</v>
      </c>
      <c r="AO59">
        <v>0.129</v>
      </c>
      <c r="AP59">
        <v>0.32900000000000001</v>
      </c>
      <c r="AQ59">
        <v>-0.251</v>
      </c>
      <c r="AR59">
        <v>0.27800000000000002</v>
      </c>
      <c r="AS59">
        <v>-0.41399999999999998</v>
      </c>
      <c r="AT59">
        <v>-0.10299999999999999</v>
      </c>
      <c r="AU59">
        <v>0.81200000000000006</v>
      </c>
      <c r="AV59">
        <v>0.20599999999999999</v>
      </c>
      <c r="AW59">
        <v>0.316</v>
      </c>
      <c r="AX59">
        <v>0.29399999999999998</v>
      </c>
      <c r="AY59">
        <v>0.51</v>
      </c>
      <c r="AZ59">
        <v>0.45300000000000001</v>
      </c>
      <c r="BA59">
        <v>-0.314</v>
      </c>
      <c r="BB59">
        <v>0.216</v>
      </c>
      <c r="BC59">
        <v>0.216</v>
      </c>
      <c r="BD59">
        <v>0.503</v>
      </c>
      <c r="BE59">
        <v>-0.108</v>
      </c>
      <c r="BF59">
        <v>-0.22600000000000001</v>
      </c>
      <c r="BG59">
        <v>0.76100000000000001</v>
      </c>
      <c r="BH59">
        <v>-0.45700000000000002</v>
      </c>
      <c r="BI59">
        <v>0.38200000000000001</v>
      </c>
      <c r="BJ59">
        <v>-0.60699999999999998</v>
      </c>
      <c r="BK59">
        <v>-0.40400000000000003</v>
      </c>
    </row>
    <row r="60" spans="1:63" x14ac:dyDescent="0.3">
      <c r="A60" t="s">
        <v>104</v>
      </c>
      <c r="B60">
        <v>0</v>
      </c>
      <c r="C60">
        <v>0</v>
      </c>
      <c r="K60" t="s">
        <v>131</v>
      </c>
      <c r="L60">
        <v>1.4590000000000001</v>
      </c>
      <c r="M60">
        <v>1.425</v>
      </c>
      <c r="N60" t="s">
        <v>71</v>
      </c>
      <c r="O60">
        <v>0</v>
      </c>
      <c r="P60">
        <v>0</v>
      </c>
      <c r="Q60">
        <v>0</v>
      </c>
      <c r="R60">
        <v>-0.62</v>
      </c>
      <c r="S60">
        <v>0.30199999999999999</v>
      </c>
      <c r="T60">
        <v>-0.76900000000000002</v>
      </c>
      <c r="U60">
        <v>-0.52400000000000002</v>
      </c>
      <c r="V60">
        <v>-0.27400000000000002</v>
      </c>
      <c r="W60">
        <v>-0.13800000000000001</v>
      </c>
      <c r="X60">
        <v>-0.11700000000000001</v>
      </c>
      <c r="Y60">
        <v>0.36699999999999999</v>
      </c>
      <c r="Z60">
        <v>0.54200000000000004</v>
      </c>
      <c r="AA60">
        <v>0.54200000000000004</v>
      </c>
      <c r="AB60">
        <v>0.503</v>
      </c>
      <c r="AC60">
        <v>0.63200000000000001</v>
      </c>
      <c r="AD60">
        <v>0.76700000000000002</v>
      </c>
      <c r="AE60">
        <v>-0.84599999999999997</v>
      </c>
      <c r="AF60">
        <v>-0.82899999999999996</v>
      </c>
      <c r="AG60">
        <v>1</v>
      </c>
      <c r="AH60">
        <v>-0.27500000000000002</v>
      </c>
      <c r="AI60">
        <v>0.75</v>
      </c>
      <c r="AJ60">
        <v>-0.72099999999999997</v>
      </c>
      <c r="AK60">
        <v>-0.316</v>
      </c>
      <c r="AL60">
        <v>0.35799999999999998</v>
      </c>
      <c r="AM60">
        <v>-0.127</v>
      </c>
      <c r="AN60">
        <v>0.03</v>
      </c>
      <c r="AO60">
        <v>0.496</v>
      </c>
      <c r="AP60">
        <v>0.98299999999999998</v>
      </c>
      <c r="AQ60">
        <v>-0.51100000000000001</v>
      </c>
      <c r="AR60">
        <v>-0.16</v>
      </c>
      <c r="AS60">
        <v>-0.52100000000000002</v>
      </c>
      <c r="AT60">
        <v>2E-3</v>
      </c>
      <c r="AU60">
        <v>8.7999999999999995E-2</v>
      </c>
      <c r="AV60">
        <v>-0.79800000000000004</v>
      </c>
      <c r="AW60">
        <v>0.33800000000000002</v>
      </c>
      <c r="AX60">
        <v>0.156</v>
      </c>
      <c r="AY60">
        <v>0.80400000000000005</v>
      </c>
      <c r="AZ60">
        <v>0.28100000000000003</v>
      </c>
      <c r="BA60">
        <v>-0.17499999999999999</v>
      </c>
      <c r="BB60">
        <v>-8.1000000000000003E-2</v>
      </c>
      <c r="BC60">
        <v>-0.47399999999999998</v>
      </c>
      <c r="BD60">
        <v>-0.24199999999999999</v>
      </c>
      <c r="BE60">
        <v>-0.22900000000000001</v>
      </c>
      <c r="BF60">
        <v>2.8000000000000001E-2</v>
      </c>
      <c r="BG60">
        <v>0.48299999999999998</v>
      </c>
      <c r="BH60">
        <v>-0.13600000000000001</v>
      </c>
      <c r="BI60">
        <v>-0.95699999999999996</v>
      </c>
      <c r="BJ60">
        <v>-0.49</v>
      </c>
      <c r="BK60">
        <v>0.46500000000000002</v>
      </c>
    </row>
    <row r="61" spans="1:63" x14ac:dyDescent="0.3">
      <c r="A61" t="s">
        <v>124</v>
      </c>
      <c r="B61">
        <v>0</v>
      </c>
      <c r="C61">
        <v>0</v>
      </c>
      <c r="K61" t="s">
        <v>201</v>
      </c>
      <c r="L61">
        <v>1.44</v>
      </c>
      <c r="M61">
        <v>1.1100000000000001</v>
      </c>
      <c r="N61" t="s">
        <v>71</v>
      </c>
      <c r="O61">
        <v>0</v>
      </c>
      <c r="P61">
        <v>0</v>
      </c>
      <c r="Q61">
        <v>0</v>
      </c>
      <c r="R61">
        <v>2E-3</v>
      </c>
      <c r="S61">
        <v>0.64300000000000002</v>
      </c>
      <c r="T61">
        <v>0.04</v>
      </c>
      <c r="U61">
        <v>-0.309</v>
      </c>
      <c r="V61">
        <v>0.13300000000000001</v>
      </c>
      <c r="W61">
        <v>-0.26200000000000001</v>
      </c>
      <c r="X61">
        <v>-0.55800000000000005</v>
      </c>
      <c r="Y61">
        <v>-0.47699999999999998</v>
      </c>
      <c r="Z61">
        <v>0.34100000000000003</v>
      </c>
      <c r="AA61">
        <v>0.34200000000000003</v>
      </c>
      <c r="AB61">
        <v>0.96299999999999997</v>
      </c>
      <c r="AC61">
        <v>1</v>
      </c>
      <c r="AD61">
        <v>0.90600000000000003</v>
      </c>
      <c r="AE61">
        <v>-0.151</v>
      </c>
      <c r="AF61">
        <v>-0.185</v>
      </c>
      <c r="AG61">
        <v>0.86899999999999999</v>
      </c>
      <c r="AH61">
        <v>0.80900000000000005</v>
      </c>
      <c r="AI61">
        <v>0.67</v>
      </c>
      <c r="AJ61">
        <v>-0.65700000000000003</v>
      </c>
      <c r="AK61">
        <v>0.33100000000000002</v>
      </c>
      <c r="AL61">
        <v>-0.86399999999999999</v>
      </c>
      <c r="AM61">
        <v>0.44900000000000001</v>
      </c>
      <c r="AN61">
        <v>-0.16700000000000001</v>
      </c>
      <c r="AO61">
        <v>-2.9000000000000001E-2</v>
      </c>
      <c r="AP61">
        <v>0.52200000000000002</v>
      </c>
      <c r="AQ61">
        <v>-1</v>
      </c>
      <c r="AR61">
        <v>0.91700000000000004</v>
      </c>
      <c r="AS61">
        <v>7.0000000000000007E-2</v>
      </c>
      <c r="AT61">
        <v>-0.21199999999999999</v>
      </c>
      <c r="AU61">
        <v>-0.39800000000000002</v>
      </c>
      <c r="AV61">
        <v>-0.26200000000000001</v>
      </c>
      <c r="AW61">
        <v>0.22600000000000001</v>
      </c>
      <c r="AX61">
        <v>-0.13200000000000001</v>
      </c>
      <c r="AY61">
        <v>-3.9E-2</v>
      </c>
      <c r="AZ61">
        <v>-0.92500000000000004</v>
      </c>
      <c r="BA61">
        <v>0.72</v>
      </c>
      <c r="BB61">
        <v>3.4000000000000002E-2</v>
      </c>
      <c r="BC61">
        <v>6.4000000000000001E-2</v>
      </c>
      <c r="BD61">
        <v>2.3E-2</v>
      </c>
      <c r="BE61">
        <v>1.7000000000000001E-2</v>
      </c>
      <c r="BF61">
        <v>0.33900000000000002</v>
      </c>
      <c r="BG61">
        <v>0.39700000000000002</v>
      </c>
      <c r="BH61">
        <v>0.44400000000000001</v>
      </c>
      <c r="BI61">
        <v>-0.56799999999999995</v>
      </c>
      <c r="BJ61">
        <v>0.627</v>
      </c>
      <c r="BK61">
        <v>0.82799999999999996</v>
      </c>
    </row>
    <row r="62" spans="1:63" x14ac:dyDescent="0.3">
      <c r="A62" t="s">
        <v>142</v>
      </c>
      <c r="B62">
        <v>0</v>
      </c>
      <c r="C62">
        <v>0</v>
      </c>
      <c r="K62" t="s">
        <v>184</v>
      </c>
      <c r="L62">
        <v>1.4330000000000001</v>
      </c>
      <c r="M62">
        <v>2.84</v>
      </c>
      <c r="N62" t="s">
        <v>57</v>
      </c>
      <c r="O62">
        <v>3.7999999999999999E-2</v>
      </c>
      <c r="P62">
        <v>1.0999999999999999E-2</v>
      </c>
      <c r="Q62">
        <v>2.7E-2</v>
      </c>
      <c r="R62">
        <v>-0.18099999999999999</v>
      </c>
      <c r="S62">
        <v>-0.20100000000000001</v>
      </c>
      <c r="T62">
        <v>-0.82499999999999996</v>
      </c>
      <c r="U62">
        <v>-3.6999999999999998E-2</v>
      </c>
      <c r="V62">
        <v>-0.53400000000000003</v>
      </c>
      <c r="W62">
        <v>0.22600000000000001</v>
      </c>
      <c r="X62">
        <v>0.749</v>
      </c>
      <c r="Y62">
        <v>-0.17499999999999999</v>
      </c>
      <c r="Z62">
        <v>0.39500000000000002</v>
      </c>
      <c r="AA62">
        <v>0.39600000000000002</v>
      </c>
      <c r="AB62">
        <v>0.70099999999999996</v>
      </c>
      <c r="AC62">
        <v>0.72399999999999998</v>
      </c>
      <c r="AD62">
        <v>0.626</v>
      </c>
      <c r="AE62">
        <v>-3.1E-2</v>
      </c>
      <c r="AF62">
        <v>-0.59599999999999997</v>
      </c>
      <c r="AG62">
        <v>-0.32</v>
      </c>
      <c r="AH62">
        <v>-0.999</v>
      </c>
      <c r="AI62">
        <v>-0.751</v>
      </c>
      <c r="AJ62">
        <v>-0.73599999999999999</v>
      </c>
      <c r="AK62">
        <v>-0.38</v>
      </c>
      <c r="AL62">
        <v>-0.52900000000000003</v>
      </c>
      <c r="AM62">
        <v>-0.998</v>
      </c>
      <c r="AN62">
        <v>-0.20499999999999999</v>
      </c>
      <c r="AO62">
        <v>0.314</v>
      </c>
      <c r="AP62">
        <v>0.40799999999999997</v>
      </c>
      <c r="AQ62">
        <v>0.22500000000000001</v>
      </c>
      <c r="AR62">
        <v>0.435</v>
      </c>
      <c r="AS62">
        <v>0.78</v>
      </c>
      <c r="AT62">
        <v>0.45200000000000001</v>
      </c>
      <c r="AU62">
        <v>1</v>
      </c>
      <c r="AV62">
        <v>0.74</v>
      </c>
      <c r="AW62">
        <v>-2.1000000000000001E-2</v>
      </c>
      <c r="AX62">
        <v>0.161</v>
      </c>
      <c r="AY62">
        <v>0.17699999999999999</v>
      </c>
      <c r="AZ62">
        <v>-6.9000000000000006E-2</v>
      </c>
      <c r="BA62">
        <v>0.44600000000000001</v>
      </c>
      <c r="BB62">
        <v>0.23699999999999999</v>
      </c>
      <c r="BC62">
        <v>0.28000000000000003</v>
      </c>
      <c r="BD62">
        <v>0.41099999999999998</v>
      </c>
      <c r="BE62">
        <v>3.9E-2</v>
      </c>
      <c r="BF62">
        <v>0.23300000000000001</v>
      </c>
      <c r="BG62">
        <v>0.90600000000000003</v>
      </c>
      <c r="BH62">
        <v>-0.35799999999999998</v>
      </c>
      <c r="BI62">
        <v>0.315</v>
      </c>
      <c r="BJ62">
        <v>-0.504</v>
      </c>
      <c r="BK62">
        <v>-0.78900000000000003</v>
      </c>
    </row>
    <row r="63" spans="1:63" x14ac:dyDescent="0.3">
      <c r="A63" t="s">
        <v>74</v>
      </c>
      <c r="B63">
        <v>0</v>
      </c>
      <c r="C63">
        <v>0</v>
      </c>
      <c r="K63" t="s">
        <v>205</v>
      </c>
      <c r="L63">
        <v>1.381</v>
      </c>
      <c r="M63">
        <v>2.6760000000000002</v>
      </c>
      <c r="N63" t="s">
        <v>57</v>
      </c>
      <c r="O63">
        <v>3.3000000000000002E-2</v>
      </c>
      <c r="P63">
        <v>8.9999999999999993E-3</v>
      </c>
      <c r="Q63">
        <v>2.4E-2</v>
      </c>
      <c r="R63">
        <v>-0.39900000000000002</v>
      </c>
      <c r="S63">
        <v>-0.157</v>
      </c>
      <c r="T63">
        <v>-0.88600000000000001</v>
      </c>
      <c r="U63">
        <v>-8.7999999999999995E-2</v>
      </c>
      <c r="V63">
        <v>-0.48199999999999998</v>
      </c>
      <c r="W63">
        <v>-0.26500000000000001</v>
      </c>
      <c r="X63">
        <v>-0.34799999999999998</v>
      </c>
      <c r="Y63">
        <v>0.10299999999999999</v>
      </c>
      <c r="Z63">
        <v>0.64300000000000002</v>
      </c>
      <c r="AA63">
        <v>0.64500000000000002</v>
      </c>
      <c r="AB63">
        <v>0.72599999999999998</v>
      </c>
      <c r="AC63">
        <v>0.8</v>
      </c>
      <c r="AD63">
        <v>0.81</v>
      </c>
      <c r="AE63">
        <v>-0.46899999999999997</v>
      </c>
      <c r="AF63">
        <v>-0.34799999999999998</v>
      </c>
      <c r="AG63">
        <v>0.52900000000000003</v>
      </c>
      <c r="AH63">
        <v>-0.92200000000000004</v>
      </c>
      <c r="AI63">
        <v>-0.39800000000000002</v>
      </c>
      <c r="AJ63">
        <v>-0.97</v>
      </c>
      <c r="AK63">
        <v>-4.8000000000000001E-2</v>
      </c>
      <c r="AL63">
        <v>-0.378</v>
      </c>
      <c r="AM63">
        <v>-0.65100000000000002</v>
      </c>
      <c r="AN63">
        <v>-0.28000000000000003</v>
      </c>
      <c r="AO63">
        <v>0.70699999999999996</v>
      </c>
      <c r="AP63">
        <v>0.44400000000000001</v>
      </c>
      <c r="AQ63">
        <v>0.27800000000000002</v>
      </c>
      <c r="AR63">
        <v>0.88500000000000001</v>
      </c>
      <c r="AS63">
        <v>0.39700000000000002</v>
      </c>
      <c r="AT63">
        <v>0.52900000000000003</v>
      </c>
      <c r="AU63">
        <v>-0.61599999999999999</v>
      </c>
      <c r="AV63">
        <v>-7.0000000000000001E-3</v>
      </c>
      <c r="AW63">
        <v>0.184</v>
      </c>
      <c r="AX63">
        <v>-0.36699999999999999</v>
      </c>
      <c r="AY63">
        <v>0.53200000000000003</v>
      </c>
      <c r="AZ63">
        <v>0.57799999999999996</v>
      </c>
      <c r="BA63">
        <v>-4.2999999999999997E-2</v>
      </c>
      <c r="BB63">
        <v>-0.11700000000000001</v>
      </c>
      <c r="BC63">
        <v>0.11899999999999999</v>
      </c>
      <c r="BD63">
        <v>0.78100000000000003</v>
      </c>
      <c r="BE63">
        <v>-0.87</v>
      </c>
      <c r="BF63">
        <v>-0.64600000000000002</v>
      </c>
      <c r="BG63">
        <v>0.41699999999999998</v>
      </c>
      <c r="BH63">
        <v>-0.70099999999999996</v>
      </c>
      <c r="BI63">
        <v>-0.314</v>
      </c>
      <c r="BJ63">
        <v>-0.41099999999999998</v>
      </c>
      <c r="BK63">
        <v>-0.57699999999999996</v>
      </c>
    </row>
    <row r="64" spans="1:63" x14ac:dyDescent="0.3">
      <c r="A64" t="s">
        <v>106</v>
      </c>
      <c r="B64">
        <v>0</v>
      </c>
      <c r="C64">
        <v>0</v>
      </c>
      <c r="K64" t="s">
        <v>153</v>
      </c>
      <c r="L64">
        <v>1.349</v>
      </c>
      <c r="M64">
        <v>2.4180000000000001</v>
      </c>
      <c r="N64" t="s">
        <v>57</v>
      </c>
      <c r="O64">
        <v>3.5000000000000003E-2</v>
      </c>
      <c r="P64">
        <v>0.01</v>
      </c>
      <c r="Q64">
        <v>2.5000000000000001E-2</v>
      </c>
      <c r="R64">
        <v>-0.41199999999999998</v>
      </c>
      <c r="S64">
        <v>-8.7999999999999995E-2</v>
      </c>
      <c r="T64">
        <v>-0.88500000000000001</v>
      </c>
      <c r="U64">
        <v>-0.13400000000000001</v>
      </c>
      <c r="V64">
        <v>-0.45200000000000001</v>
      </c>
      <c r="W64">
        <v>-0.253</v>
      </c>
      <c r="X64">
        <v>-0.24299999999999999</v>
      </c>
      <c r="Y64">
        <v>1.6E-2</v>
      </c>
      <c r="Z64">
        <v>0.66700000000000004</v>
      </c>
      <c r="AA64">
        <v>0.66900000000000004</v>
      </c>
      <c r="AB64">
        <v>0.54100000000000004</v>
      </c>
      <c r="AC64">
        <v>0.83399999999999996</v>
      </c>
      <c r="AD64">
        <v>0.82899999999999996</v>
      </c>
      <c r="AE64">
        <v>-0.63800000000000001</v>
      </c>
      <c r="AF64">
        <v>-0.309</v>
      </c>
      <c r="AG64">
        <v>0.70699999999999996</v>
      </c>
      <c r="AH64">
        <v>-0.91300000000000003</v>
      </c>
      <c r="AI64">
        <v>-0.27600000000000002</v>
      </c>
      <c r="AJ64">
        <v>-0.93300000000000005</v>
      </c>
      <c r="AK64">
        <v>-9.5000000000000001E-2</v>
      </c>
      <c r="AL64">
        <v>-0.46300000000000002</v>
      </c>
      <c r="AM64">
        <v>-0.64400000000000002</v>
      </c>
      <c r="AN64">
        <v>0.10199999999999999</v>
      </c>
      <c r="AO64">
        <v>0.70599999999999996</v>
      </c>
      <c r="AP64">
        <v>0.65</v>
      </c>
      <c r="AQ64">
        <v>0.315</v>
      </c>
      <c r="AR64">
        <v>0.71699999999999997</v>
      </c>
      <c r="AS64">
        <v>0.41799999999999998</v>
      </c>
      <c r="AT64">
        <v>0.54700000000000004</v>
      </c>
      <c r="AU64">
        <v>-0.61899999999999999</v>
      </c>
      <c r="AV64">
        <v>-0.122</v>
      </c>
      <c r="AW64">
        <v>9.7000000000000003E-2</v>
      </c>
      <c r="AX64">
        <v>-0.154</v>
      </c>
      <c r="AY64">
        <v>0.89800000000000002</v>
      </c>
      <c r="AZ64">
        <v>-0.25800000000000001</v>
      </c>
      <c r="BA64">
        <v>0.57999999999999996</v>
      </c>
      <c r="BB64">
        <v>-0.51400000000000001</v>
      </c>
      <c r="BC64">
        <v>-0.501</v>
      </c>
      <c r="BD64">
        <v>0.52900000000000003</v>
      </c>
      <c r="BE64">
        <v>-0.70099999999999996</v>
      </c>
      <c r="BF64">
        <v>-0.16500000000000001</v>
      </c>
      <c r="BG64">
        <v>0.68600000000000005</v>
      </c>
      <c r="BH64">
        <v>-0.52900000000000003</v>
      </c>
      <c r="BI64">
        <v>-0.57899999999999996</v>
      </c>
      <c r="BJ64">
        <v>-0.17799999999999999</v>
      </c>
      <c r="BK64">
        <v>-0.502</v>
      </c>
    </row>
    <row r="65" spans="1:63" x14ac:dyDescent="0.3">
      <c r="A65" t="s">
        <v>229</v>
      </c>
      <c r="B65">
        <v>0</v>
      </c>
      <c r="C65">
        <v>0</v>
      </c>
      <c r="K65" t="s">
        <v>152</v>
      </c>
      <c r="L65">
        <v>1.3220000000000001</v>
      </c>
      <c r="M65">
        <v>1.004</v>
      </c>
      <c r="N65" t="s">
        <v>57</v>
      </c>
      <c r="O65">
        <v>0</v>
      </c>
      <c r="P65">
        <v>0</v>
      </c>
      <c r="Q65">
        <v>0</v>
      </c>
      <c r="R65">
        <v>0.19</v>
      </c>
      <c r="S65">
        <v>-6.0999999999999999E-2</v>
      </c>
      <c r="T65">
        <v>-0.24199999999999999</v>
      </c>
      <c r="U65">
        <v>0.26500000000000001</v>
      </c>
      <c r="V65">
        <v>-9.6000000000000002E-2</v>
      </c>
      <c r="W65">
        <v>-0.20399999999999999</v>
      </c>
      <c r="X65">
        <v>-0.51</v>
      </c>
      <c r="Y65">
        <v>-0.221</v>
      </c>
      <c r="Z65">
        <v>2.7E-2</v>
      </c>
      <c r="AA65">
        <v>2.4E-2</v>
      </c>
      <c r="AB65">
        <v>0.82799999999999996</v>
      </c>
      <c r="AC65">
        <v>0.76500000000000001</v>
      </c>
      <c r="AD65">
        <v>0.57699999999999996</v>
      </c>
      <c r="AE65">
        <v>0.14399999999999999</v>
      </c>
      <c r="AF65">
        <v>0.40400000000000003</v>
      </c>
      <c r="AG65">
        <v>-3.4000000000000002E-2</v>
      </c>
      <c r="AH65">
        <v>-0.53</v>
      </c>
      <c r="AI65">
        <v>0.40400000000000003</v>
      </c>
      <c r="AJ65">
        <v>0.371</v>
      </c>
      <c r="AK65">
        <v>-0.112</v>
      </c>
      <c r="AL65">
        <v>-0.752</v>
      </c>
      <c r="AM65">
        <v>-0.73699999999999999</v>
      </c>
      <c r="AN65">
        <v>0.377</v>
      </c>
      <c r="AO65">
        <v>0.26700000000000002</v>
      </c>
      <c r="AP65">
        <v>0.214</v>
      </c>
      <c r="AQ65">
        <v>1</v>
      </c>
      <c r="AR65">
        <v>0.58499999999999996</v>
      </c>
      <c r="AS65">
        <v>0.29299999999999998</v>
      </c>
      <c r="AT65">
        <v>0.47199999999999998</v>
      </c>
      <c r="AU65">
        <v>-0.23499999999999999</v>
      </c>
      <c r="AV65">
        <v>0.70199999999999996</v>
      </c>
      <c r="AW65">
        <v>-0.30399999999999999</v>
      </c>
      <c r="AX65">
        <v>1.9E-2</v>
      </c>
      <c r="AY65">
        <v>-0.47599999999999998</v>
      </c>
      <c r="AZ65">
        <v>0.85199999999999998</v>
      </c>
      <c r="BA65">
        <v>0.51900000000000002</v>
      </c>
      <c r="BB65">
        <v>-0.496</v>
      </c>
      <c r="BC65">
        <v>-0.14199999999999999</v>
      </c>
      <c r="BD65">
        <v>0.47699999999999998</v>
      </c>
      <c r="BE65">
        <v>0.11</v>
      </c>
      <c r="BF65">
        <v>-0.52200000000000002</v>
      </c>
      <c r="BG65">
        <v>-0.433</v>
      </c>
      <c r="BH65">
        <v>-0.67</v>
      </c>
      <c r="BI65">
        <v>0.41799999999999998</v>
      </c>
      <c r="BJ65">
        <v>-0.72899999999999998</v>
      </c>
      <c r="BK65">
        <v>2.5000000000000001E-2</v>
      </c>
    </row>
    <row r="66" spans="1:63" x14ac:dyDescent="0.3">
      <c r="A66" t="s">
        <v>99</v>
      </c>
      <c r="B66">
        <v>0</v>
      </c>
      <c r="C66">
        <v>0</v>
      </c>
      <c r="K66" t="s">
        <v>107</v>
      </c>
      <c r="L66">
        <v>1.3080000000000001</v>
      </c>
      <c r="M66">
        <v>1.6930000000000001</v>
      </c>
      <c r="N66" t="s">
        <v>53</v>
      </c>
      <c r="O66">
        <v>0</v>
      </c>
      <c r="P66">
        <v>0</v>
      </c>
      <c r="Q66">
        <v>0</v>
      </c>
      <c r="R66">
        <v>-0.64300000000000002</v>
      </c>
      <c r="S66">
        <v>-0.5</v>
      </c>
      <c r="T66">
        <v>-0.81799999999999995</v>
      </c>
      <c r="U66">
        <v>-0.16900000000000001</v>
      </c>
      <c r="V66">
        <v>-0.45900000000000002</v>
      </c>
      <c r="W66">
        <v>-7.4999999999999997E-2</v>
      </c>
      <c r="X66">
        <v>0.45</v>
      </c>
      <c r="Y66">
        <v>0.16500000000000001</v>
      </c>
      <c r="Z66">
        <v>0.39</v>
      </c>
      <c r="AA66">
        <v>0.39400000000000002</v>
      </c>
      <c r="AB66">
        <v>0.755</v>
      </c>
      <c r="AC66">
        <v>0.77500000000000002</v>
      </c>
      <c r="AD66">
        <v>0.66100000000000003</v>
      </c>
      <c r="AE66">
        <v>-0.246</v>
      </c>
      <c r="AF66">
        <v>-0.112</v>
      </c>
      <c r="AG66">
        <v>0.11600000000000001</v>
      </c>
      <c r="AH66">
        <v>-0.91600000000000004</v>
      </c>
      <c r="AI66">
        <v>-0.57499999999999996</v>
      </c>
      <c r="AJ66">
        <v>-0.57999999999999996</v>
      </c>
      <c r="AK66">
        <v>-0.23100000000000001</v>
      </c>
      <c r="AL66">
        <v>9.4E-2</v>
      </c>
      <c r="AM66">
        <v>-0.9</v>
      </c>
      <c r="AN66">
        <v>-0.16500000000000001</v>
      </c>
      <c r="AO66">
        <v>0.49</v>
      </c>
      <c r="AP66">
        <v>0.34300000000000003</v>
      </c>
      <c r="AQ66">
        <v>5.1999999999999998E-2</v>
      </c>
      <c r="AR66">
        <v>0.30499999999999999</v>
      </c>
      <c r="AS66">
        <v>9.9000000000000005E-2</v>
      </c>
      <c r="AT66">
        <v>0.21199999999999999</v>
      </c>
      <c r="AU66">
        <v>0.156</v>
      </c>
      <c r="AV66">
        <v>5.0999999999999997E-2</v>
      </c>
      <c r="AW66">
        <v>0.81699999999999995</v>
      </c>
      <c r="AX66">
        <v>-0.15</v>
      </c>
      <c r="AY66">
        <v>0.85699999999999998</v>
      </c>
      <c r="AZ66">
        <v>-0.66600000000000004</v>
      </c>
      <c r="BA66">
        <v>-0.157</v>
      </c>
      <c r="BB66">
        <v>-0.17799999999999999</v>
      </c>
      <c r="BC66">
        <v>-0.03</v>
      </c>
      <c r="BD66">
        <v>-0.89400000000000002</v>
      </c>
      <c r="BE66">
        <v>-0.27200000000000002</v>
      </c>
      <c r="BF66">
        <v>0.72599999999999998</v>
      </c>
      <c r="BG66">
        <v>0.84899999999999998</v>
      </c>
      <c r="BH66">
        <v>-0.63</v>
      </c>
      <c r="BI66">
        <v>-0.379</v>
      </c>
      <c r="BJ66">
        <v>0.22700000000000001</v>
      </c>
      <c r="BK66">
        <v>-0.496</v>
      </c>
    </row>
    <row r="67" spans="1:63" x14ac:dyDescent="0.3">
      <c r="A67" t="s">
        <v>161</v>
      </c>
      <c r="B67">
        <v>0</v>
      </c>
      <c r="C67">
        <v>0</v>
      </c>
      <c r="K67" t="s">
        <v>123</v>
      </c>
      <c r="L67">
        <v>1.306</v>
      </c>
      <c r="M67">
        <v>2.649</v>
      </c>
      <c r="N67" t="s">
        <v>55</v>
      </c>
      <c r="O67">
        <v>3.7999999999999999E-2</v>
      </c>
      <c r="P67">
        <v>8.0000000000000002E-3</v>
      </c>
      <c r="Q67">
        <v>0.03</v>
      </c>
      <c r="R67">
        <v>-0.36099999999999999</v>
      </c>
      <c r="S67">
        <v>-0.57299999999999995</v>
      </c>
      <c r="T67">
        <v>-0.79</v>
      </c>
      <c r="U67">
        <v>-5.5E-2</v>
      </c>
      <c r="V67">
        <v>-0.57699999999999996</v>
      </c>
      <c r="W67">
        <v>0.112</v>
      </c>
      <c r="X67">
        <v>0.38</v>
      </c>
      <c r="Y67">
        <v>-0.19400000000000001</v>
      </c>
      <c r="Z67">
        <v>0.60099999999999998</v>
      </c>
      <c r="AA67">
        <v>0.59699999999999998</v>
      </c>
      <c r="AB67">
        <v>0.77</v>
      </c>
      <c r="AC67">
        <v>0.83499999999999996</v>
      </c>
      <c r="AD67">
        <v>0.68700000000000006</v>
      </c>
      <c r="AE67">
        <v>6.0999999999999999E-2</v>
      </c>
      <c r="AF67">
        <v>-0.311</v>
      </c>
      <c r="AG67">
        <v>-0.376</v>
      </c>
      <c r="AH67">
        <v>-0.996</v>
      </c>
      <c r="AI67">
        <v>-0.84199999999999997</v>
      </c>
      <c r="AJ67">
        <v>-0.74399999999999999</v>
      </c>
      <c r="AK67">
        <v>-0.20799999999999999</v>
      </c>
      <c r="AL67">
        <v>-0.38400000000000001</v>
      </c>
      <c r="AM67">
        <v>-0.52500000000000002</v>
      </c>
      <c r="AN67">
        <v>-0.54</v>
      </c>
      <c r="AO67">
        <v>0.13400000000000001</v>
      </c>
      <c r="AP67">
        <v>-0.14699999999999999</v>
      </c>
      <c r="AQ67">
        <v>0.32900000000000001</v>
      </c>
      <c r="AR67">
        <v>0.34899999999999998</v>
      </c>
      <c r="AS67">
        <v>0.379</v>
      </c>
      <c r="AT67">
        <v>0.13500000000000001</v>
      </c>
      <c r="AU67">
        <v>0.03</v>
      </c>
      <c r="AV67">
        <v>0.77100000000000002</v>
      </c>
      <c r="AW67">
        <v>0.83699999999999997</v>
      </c>
      <c r="AX67">
        <v>-0.11</v>
      </c>
      <c r="AY67">
        <v>0.99399999999999999</v>
      </c>
      <c r="AZ67">
        <v>0.40600000000000003</v>
      </c>
      <c r="BA67">
        <v>0.72399999999999998</v>
      </c>
      <c r="BB67">
        <v>4.2000000000000003E-2</v>
      </c>
      <c r="BC67">
        <v>-3.5999999999999997E-2</v>
      </c>
      <c r="BD67">
        <v>0.54400000000000004</v>
      </c>
      <c r="BE67">
        <v>-3.5999999999999997E-2</v>
      </c>
      <c r="BF67">
        <v>0.59299999999999997</v>
      </c>
      <c r="BG67">
        <v>0.64300000000000002</v>
      </c>
      <c r="BH67">
        <v>-0.63800000000000001</v>
      </c>
      <c r="BI67">
        <v>-0.375</v>
      </c>
      <c r="BJ67">
        <v>6.9000000000000006E-2</v>
      </c>
      <c r="BK67">
        <v>-0.79800000000000004</v>
      </c>
    </row>
    <row r="68" spans="1:63" x14ac:dyDescent="0.3">
      <c r="A68" t="s">
        <v>162</v>
      </c>
      <c r="B68">
        <v>0</v>
      </c>
      <c r="C68">
        <v>0</v>
      </c>
      <c r="K68" t="s">
        <v>63</v>
      </c>
      <c r="L68">
        <v>1.2529999999999999</v>
      </c>
      <c r="M68">
        <v>1.476</v>
      </c>
      <c r="N68" t="s">
        <v>57</v>
      </c>
      <c r="O68">
        <v>0</v>
      </c>
      <c r="P68">
        <v>0</v>
      </c>
      <c r="Q68">
        <v>0</v>
      </c>
      <c r="R68">
        <v>-0.44600000000000001</v>
      </c>
      <c r="S68">
        <v>-0.81699999999999995</v>
      </c>
      <c r="T68">
        <v>-0.20100000000000001</v>
      </c>
      <c r="U68">
        <v>-0.23</v>
      </c>
      <c r="V68">
        <v>-0.438</v>
      </c>
      <c r="W68">
        <v>0.19800000000000001</v>
      </c>
      <c r="X68">
        <v>0.624</v>
      </c>
      <c r="Y68">
        <v>0.05</v>
      </c>
      <c r="Z68">
        <v>0.30499999999999999</v>
      </c>
      <c r="AA68">
        <v>0.308</v>
      </c>
      <c r="AB68">
        <v>0.63700000000000001</v>
      </c>
      <c r="AC68">
        <v>0.505</v>
      </c>
      <c r="AD68">
        <v>0.44</v>
      </c>
      <c r="AE68">
        <v>0.26800000000000002</v>
      </c>
      <c r="AF68">
        <v>7.0000000000000001E-3</v>
      </c>
      <c r="AG68">
        <v>-0.93300000000000005</v>
      </c>
      <c r="AH68">
        <v>-0.23100000000000001</v>
      </c>
      <c r="AI68">
        <v>-0.76600000000000001</v>
      </c>
      <c r="AJ68">
        <v>0.24299999999999999</v>
      </c>
      <c r="AK68">
        <v>-0.251</v>
      </c>
      <c r="AL68">
        <v>1</v>
      </c>
      <c r="AM68">
        <v>-0.74399999999999999</v>
      </c>
      <c r="AN68">
        <v>0.52700000000000002</v>
      </c>
      <c r="AO68">
        <v>-0.71099999999999997</v>
      </c>
      <c r="AP68">
        <v>-0.317</v>
      </c>
      <c r="AQ68">
        <v>0.151</v>
      </c>
      <c r="AR68">
        <v>-5.6000000000000001E-2</v>
      </c>
      <c r="AS68">
        <v>-0.5</v>
      </c>
      <c r="AT68">
        <v>0.67</v>
      </c>
      <c r="AU68">
        <v>0.114</v>
      </c>
      <c r="AV68">
        <v>-1.0999999999999999E-2</v>
      </c>
      <c r="AW68">
        <v>0.42199999999999999</v>
      </c>
      <c r="AX68">
        <v>3.1E-2</v>
      </c>
      <c r="AY68">
        <v>0.58299999999999996</v>
      </c>
      <c r="AZ68">
        <v>1</v>
      </c>
      <c r="BA68">
        <v>-0.193</v>
      </c>
      <c r="BB68">
        <v>-0.79900000000000004</v>
      </c>
      <c r="BC68">
        <v>-0.77700000000000002</v>
      </c>
      <c r="BD68">
        <v>-0.51900000000000002</v>
      </c>
      <c r="BE68">
        <v>6.4000000000000001E-2</v>
      </c>
      <c r="BF68">
        <v>0.23899999999999999</v>
      </c>
      <c r="BG68">
        <v>0.752</v>
      </c>
      <c r="BH68">
        <v>-0.60299999999999998</v>
      </c>
      <c r="BI68">
        <v>-0.17100000000000001</v>
      </c>
      <c r="BJ68">
        <v>0.20899999999999999</v>
      </c>
      <c r="BK68">
        <v>0.115</v>
      </c>
    </row>
    <row r="69" spans="1:63" x14ac:dyDescent="0.3">
      <c r="A69" t="s">
        <v>171</v>
      </c>
      <c r="B69">
        <v>0</v>
      </c>
      <c r="C69">
        <v>0</v>
      </c>
      <c r="K69" t="s">
        <v>76</v>
      </c>
      <c r="L69">
        <v>1.2310000000000001</v>
      </c>
      <c r="M69">
        <v>0.89700000000000002</v>
      </c>
      <c r="N69" t="s">
        <v>57</v>
      </c>
      <c r="O69">
        <v>0</v>
      </c>
      <c r="P69">
        <v>0</v>
      </c>
      <c r="Q69">
        <v>0</v>
      </c>
      <c r="R69">
        <v>5.5E-2</v>
      </c>
      <c r="S69">
        <v>-0.45700000000000002</v>
      </c>
      <c r="T69">
        <v>0.45700000000000002</v>
      </c>
      <c r="U69">
        <v>-0.217</v>
      </c>
      <c r="V69">
        <v>-6.5000000000000002E-2</v>
      </c>
      <c r="W69">
        <v>-6.4000000000000001E-2</v>
      </c>
      <c r="X69">
        <v>-3.1E-2</v>
      </c>
      <c r="Y69">
        <v>-0.34899999999999998</v>
      </c>
      <c r="Z69">
        <v>4.2999999999999997E-2</v>
      </c>
      <c r="AA69">
        <v>4.1000000000000002E-2</v>
      </c>
      <c r="AB69">
        <v>0.79600000000000004</v>
      </c>
      <c r="AC69">
        <v>0.58199999999999996</v>
      </c>
      <c r="AD69">
        <v>0.52400000000000002</v>
      </c>
      <c r="AE69">
        <v>-9.2999999999999999E-2</v>
      </c>
      <c r="AF69">
        <v>0.84799999999999998</v>
      </c>
      <c r="AG69">
        <v>-0.68799999999999994</v>
      </c>
      <c r="AH69">
        <v>0.66100000000000003</v>
      </c>
      <c r="AI69">
        <v>-0.27200000000000002</v>
      </c>
      <c r="AJ69">
        <v>0.29799999999999999</v>
      </c>
      <c r="AK69">
        <v>-2.8000000000000001E-2</v>
      </c>
      <c r="AL69">
        <v>0.30199999999999999</v>
      </c>
      <c r="AM69">
        <v>-0.20599999999999999</v>
      </c>
      <c r="AN69">
        <v>0.70399999999999996</v>
      </c>
      <c r="AO69">
        <v>-0.47099999999999997</v>
      </c>
      <c r="AP69">
        <v>-1</v>
      </c>
      <c r="AQ69">
        <v>0.42799999999999999</v>
      </c>
      <c r="AR69">
        <v>-1.7000000000000001E-2</v>
      </c>
      <c r="AS69">
        <v>-0.37</v>
      </c>
      <c r="AT69">
        <v>-1.2E-2</v>
      </c>
      <c r="AU69">
        <v>-9.8000000000000004E-2</v>
      </c>
      <c r="AV69">
        <v>-0.28199999999999997</v>
      </c>
      <c r="AW69">
        <v>-0.32500000000000001</v>
      </c>
      <c r="AX69">
        <v>5.2999999999999999E-2</v>
      </c>
      <c r="AY69">
        <v>0.63</v>
      </c>
      <c r="AZ69">
        <v>0.254</v>
      </c>
      <c r="BA69">
        <v>0.66600000000000004</v>
      </c>
      <c r="BB69">
        <v>4.7E-2</v>
      </c>
      <c r="BC69">
        <v>-0.106</v>
      </c>
      <c r="BD69">
        <v>0.245</v>
      </c>
      <c r="BE69">
        <v>1</v>
      </c>
      <c r="BF69">
        <v>0.47299999999999998</v>
      </c>
      <c r="BG69">
        <v>0.32300000000000001</v>
      </c>
      <c r="BH69">
        <v>-0.38200000000000001</v>
      </c>
      <c r="BI69">
        <v>0.71399999999999997</v>
      </c>
      <c r="BJ69">
        <v>0.79700000000000004</v>
      </c>
      <c r="BK69">
        <v>0.52500000000000002</v>
      </c>
    </row>
    <row r="70" spans="1:63" x14ac:dyDescent="0.3">
      <c r="A70" t="s">
        <v>84</v>
      </c>
      <c r="B70">
        <v>0</v>
      </c>
      <c r="C70">
        <v>0</v>
      </c>
      <c r="K70" t="s">
        <v>166</v>
      </c>
      <c r="L70">
        <v>1.228</v>
      </c>
      <c r="M70">
        <v>1.272</v>
      </c>
      <c r="N70" t="s">
        <v>55</v>
      </c>
      <c r="O70">
        <v>0</v>
      </c>
      <c r="P70">
        <v>0</v>
      </c>
      <c r="Q70">
        <v>0</v>
      </c>
      <c r="R70">
        <v>-0.68600000000000005</v>
      </c>
      <c r="S70">
        <v>-0.32100000000000001</v>
      </c>
      <c r="T70">
        <v>-0.82399999999999995</v>
      </c>
      <c r="U70">
        <v>-0.503</v>
      </c>
      <c r="V70">
        <v>-0.56200000000000006</v>
      </c>
      <c r="W70">
        <v>-0.26100000000000001</v>
      </c>
      <c r="X70">
        <v>-0.107</v>
      </c>
      <c r="Y70">
        <v>0.217</v>
      </c>
      <c r="Z70">
        <v>0.61</v>
      </c>
      <c r="AA70">
        <v>0.61399999999999999</v>
      </c>
      <c r="AB70">
        <v>0.65300000000000002</v>
      </c>
      <c r="AC70">
        <v>0.748</v>
      </c>
      <c r="AD70">
        <v>0.72099999999999997</v>
      </c>
      <c r="AE70">
        <v>-0.83</v>
      </c>
      <c r="AF70">
        <v>-0.77</v>
      </c>
      <c r="AG70">
        <v>0.54100000000000004</v>
      </c>
      <c r="AH70">
        <v>-0.91100000000000003</v>
      </c>
      <c r="AI70">
        <v>-0.38500000000000001</v>
      </c>
      <c r="AJ70">
        <v>-0.96199999999999997</v>
      </c>
      <c r="AK70">
        <v>-0.32400000000000001</v>
      </c>
      <c r="AL70">
        <v>0.185</v>
      </c>
      <c r="AM70">
        <v>-0.52200000000000002</v>
      </c>
      <c r="AN70">
        <v>-0.58899999999999997</v>
      </c>
      <c r="AO70">
        <v>0.52400000000000002</v>
      </c>
      <c r="AP70">
        <v>0.99199999999999999</v>
      </c>
      <c r="AQ70">
        <v>-0.23799999999999999</v>
      </c>
      <c r="AR70">
        <v>0.187</v>
      </c>
      <c r="AS70">
        <v>-0.246</v>
      </c>
      <c r="AT70">
        <v>0.2</v>
      </c>
      <c r="AU70">
        <v>-0.33100000000000002</v>
      </c>
      <c r="AV70">
        <v>-0.54600000000000004</v>
      </c>
      <c r="AW70">
        <v>0.58799999999999997</v>
      </c>
      <c r="AX70">
        <v>-0.59699999999999998</v>
      </c>
      <c r="AY70">
        <v>0.85299999999999998</v>
      </c>
      <c r="AZ70">
        <v>0.56599999999999995</v>
      </c>
      <c r="BA70">
        <v>0.10299999999999999</v>
      </c>
      <c r="BB70">
        <v>-0.432</v>
      </c>
      <c r="BC70">
        <v>-0.66500000000000004</v>
      </c>
      <c r="BD70">
        <v>0.23499999999999999</v>
      </c>
      <c r="BE70">
        <v>3.1E-2</v>
      </c>
      <c r="BF70">
        <v>-0.13400000000000001</v>
      </c>
      <c r="BG70">
        <v>0.54</v>
      </c>
      <c r="BH70">
        <v>-0.53200000000000003</v>
      </c>
      <c r="BI70">
        <v>-0.40899999999999997</v>
      </c>
      <c r="BJ70">
        <v>0.95199999999999996</v>
      </c>
      <c r="BK70">
        <v>-0.378</v>
      </c>
    </row>
    <row r="71" spans="1:63" x14ac:dyDescent="0.3">
      <c r="A71" t="s">
        <v>91</v>
      </c>
      <c r="B71">
        <v>0</v>
      </c>
      <c r="C71">
        <v>0</v>
      </c>
      <c r="K71" t="s">
        <v>110</v>
      </c>
      <c r="L71">
        <v>1.1910000000000001</v>
      </c>
      <c r="M71">
        <v>1.5980000000000001</v>
      </c>
      <c r="N71" t="s">
        <v>57</v>
      </c>
      <c r="O71">
        <v>0</v>
      </c>
      <c r="P71">
        <v>0</v>
      </c>
      <c r="Q71">
        <v>0</v>
      </c>
      <c r="R71">
        <v>-0.748</v>
      </c>
      <c r="S71">
        <v>-0.55700000000000005</v>
      </c>
      <c r="T71">
        <v>-0.86899999999999999</v>
      </c>
      <c r="U71">
        <v>-0.34499999999999997</v>
      </c>
      <c r="V71">
        <v>-0.56499999999999995</v>
      </c>
      <c r="W71">
        <v>-0.28499999999999998</v>
      </c>
      <c r="X71">
        <v>-3.1E-2</v>
      </c>
      <c r="Y71">
        <v>0.20699999999999999</v>
      </c>
      <c r="Z71">
        <v>0.61599999999999999</v>
      </c>
      <c r="AA71">
        <v>0.61499999999999999</v>
      </c>
      <c r="AB71">
        <v>0.76300000000000001</v>
      </c>
      <c r="AC71">
        <v>0.78100000000000003</v>
      </c>
      <c r="AD71">
        <v>0.69499999999999995</v>
      </c>
      <c r="AE71">
        <v>-0.58399999999999996</v>
      </c>
      <c r="AF71">
        <v>9.6000000000000002E-2</v>
      </c>
      <c r="AG71">
        <v>0.36</v>
      </c>
      <c r="AH71">
        <v>-0.94799999999999995</v>
      </c>
      <c r="AI71">
        <v>-0.74399999999999999</v>
      </c>
      <c r="AJ71">
        <v>-0.96099999999999997</v>
      </c>
      <c r="AK71">
        <v>-0.247</v>
      </c>
      <c r="AL71">
        <v>0.13500000000000001</v>
      </c>
      <c r="AM71">
        <v>-0.55700000000000005</v>
      </c>
      <c r="AN71">
        <v>-0.193</v>
      </c>
      <c r="AO71">
        <v>0.56699999999999995</v>
      </c>
      <c r="AP71">
        <v>7.3999999999999996E-2</v>
      </c>
      <c r="AQ71">
        <v>0.23400000000000001</v>
      </c>
      <c r="AR71">
        <v>0.26900000000000002</v>
      </c>
      <c r="AS71">
        <v>-0.112</v>
      </c>
      <c r="AT71">
        <v>-8.1000000000000003E-2</v>
      </c>
      <c r="AU71">
        <v>-0.222</v>
      </c>
      <c r="AV71">
        <v>-0.20899999999999999</v>
      </c>
      <c r="AW71">
        <v>0.47399999999999998</v>
      </c>
      <c r="AX71">
        <v>-0.45300000000000001</v>
      </c>
      <c r="AY71">
        <v>0.16200000000000001</v>
      </c>
      <c r="AZ71">
        <v>0.61199999999999999</v>
      </c>
      <c r="BA71">
        <v>-0.46200000000000002</v>
      </c>
      <c r="BB71">
        <v>-0.34100000000000003</v>
      </c>
      <c r="BC71">
        <v>-0.317</v>
      </c>
      <c r="BD71">
        <v>-0.82699999999999996</v>
      </c>
      <c r="BE71">
        <v>-9.1999999999999998E-2</v>
      </c>
      <c r="BF71">
        <v>-3.5999999999999997E-2</v>
      </c>
      <c r="BG71">
        <v>0.82</v>
      </c>
      <c r="BH71">
        <v>-0.82899999999999996</v>
      </c>
      <c r="BI71">
        <v>-0.22900000000000001</v>
      </c>
      <c r="BJ71">
        <v>0.34300000000000003</v>
      </c>
      <c r="BK71">
        <v>-0.93899999999999995</v>
      </c>
    </row>
    <row r="72" spans="1:63" x14ac:dyDescent="0.3">
      <c r="A72" t="s">
        <v>158</v>
      </c>
      <c r="B72">
        <v>0</v>
      </c>
      <c r="C72">
        <v>0</v>
      </c>
      <c r="K72" t="s">
        <v>598</v>
      </c>
      <c r="L72">
        <v>1.1519999999999999</v>
      </c>
      <c r="M72">
        <v>1.2490000000000001</v>
      </c>
      <c r="N72" t="s">
        <v>53</v>
      </c>
      <c r="O72">
        <v>2.1000000000000001E-2</v>
      </c>
      <c r="P72">
        <v>1.2999999999999999E-2</v>
      </c>
      <c r="Q72">
        <v>7.0000000000000001E-3</v>
      </c>
      <c r="R72">
        <v>-0.45</v>
      </c>
      <c r="S72">
        <v>-0.51100000000000001</v>
      </c>
      <c r="T72">
        <v>-0.71599999999999997</v>
      </c>
      <c r="U72">
        <v>-0.20599999999999999</v>
      </c>
      <c r="V72">
        <v>-0.52700000000000002</v>
      </c>
      <c r="W72">
        <v>-0.13600000000000001</v>
      </c>
      <c r="X72">
        <v>6.5000000000000002E-2</v>
      </c>
      <c r="Y72">
        <v>3.7999999999999999E-2</v>
      </c>
      <c r="Z72">
        <v>0.29699999999999999</v>
      </c>
      <c r="AA72">
        <v>0.29799999999999999</v>
      </c>
      <c r="AB72">
        <v>0.59099999999999997</v>
      </c>
      <c r="AC72">
        <v>0.66100000000000003</v>
      </c>
      <c r="AD72">
        <v>0.626</v>
      </c>
      <c r="AE72">
        <v>-3.3000000000000002E-2</v>
      </c>
      <c r="AF72">
        <v>-0.84499999999999997</v>
      </c>
      <c r="AG72">
        <v>-0.31900000000000001</v>
      </c>
      <c r="AH72">
        <v>-0.98699999999999999</v>
      </c>
      <c r="AI72">
        <v>-0.49099999999999999</v>
      </c>
      <c r="AJ72">
        <v>-0.441</v>
      </c>
      <c r="AK72">
        <v>-0.50700000000000001</v>
      </c>
      <c r="AL72">
        <v>-0.122</v>
      </c>
      <c r="AM72">
        <v>-0.94599999999999995</v>
      </c>
      <c r="AN72">
        <v>-0.94799999999999995</v>
      </c>
      <c r="AO72">
        <v>0.35499999999999998</v>
      </c>
      <c r="AP72">
        <v>0.98599999999999999</v>
      </c>
      <c r="AQ72">
        <v>-9.6000000000000002E-2</v>
      </c>
      <c r="AR72">
        <v>0.187</v>
      </c>
      <c r="AS72">
        <v>-0.7</v>
      </c>
      <c r="AT72">
        <v>0.96</v>
      </c>
      <c r="AU72">
        <v>-3.9E-2</v>
      </c>
      <c r="AV72">
        <v>0.90800000000000003</v>
      </c>
      <c r="AW72">
        <v>0.73199999999999998</v>
      </c>
      <c r="AX72">
        <v>0.66600000000000004</v>
      </c>
      <c r="AY72">
        <v>0.64700000000000002</v>
      </c>
      <c r="AZ72">
        <v>0.41399999999999998</v>
      </c>
      <c r="BA72">
        <v>0.999</v>
      </c>
      <c r="BB72">
        <v>0.224</v>
      </c>
      <c r="BC72">
        <v>9.4E-2</v>
      </c>
      <c r="BD72">
        <v>-0.876</v>
      </c>
      <c r="BE72">
        <v>-4.7E-2</v>
      </c>
      <c r="BF72">
        <v>-0.38600000000000001</v>
      </c>
      <c r="BG72">
        <v>0.19400000000000001</v>
      </c>
      <c r="BH72">
        <v>-0.47499999999999998</v>
      </c>
      <c r="BI72">
        <v>-0.19900000000000001</v>
      </c>
      <c r="BJ72">
        <v>0.114</v>
      </c>
      <c r="BK72">
        <v>-0.73699999999999999</v>
      </c>
    </row>
    <row r="73" spans="1:63" x14ac:dyDescent="0.3">
      <c r="A73" t="s">
        <v>119</v>
      </c>
      <c r="B73">
        <v>0</v>
      </c>
      <c r="C73">
        <v>0</v>
      </c>
      <c r="K73" t="s">
        <v>160</v>
      </c>
      <c r="L73">
        <v>1.151</v>
      </c>
      <c r="M73">
        <v>0.86099999999999999</v>
      </c>
      <c r="N73" t="s">
        <v>57</v>
      </c>
      <c r="O73">
        <v>0</v>
      </c>
      <c r="P73">
        <v>0</v>
      </c>
      <c r="Q73">
        <v>0</v>
      </c>
      <c r="R73">
        <v>-0.11700000000000001</v>
      </c>
      <c r="S73">
        <v>-0.14199999999999999</v>
      </c>
      <c r="T73">
        <v>-0.17599999999999999</v>
      </c>
      <c r="U73">
        <v>-0.16500000000000001</v>
      </c>
      <c r="V73">
        <v>-0.17799999999999999</v>
      </c>
      <c r="W73">
        <v>-0.34399999999999997</v>
      </c>
      <c r="X73">
        <v>-0.32</v>
      </c>
      <c r="Y73">
        <v>-0.502</v>
      </c>
      <c r="Z73">
        <v>0.45300000000000001</v>
      </c>
      <c r="AA73">
        <v>0.45</v>
      </c>
      <c r="AB73">
        <v>0.81599999999999995</v>
      </c>
      <c r="AC73">
        <v>1</v>
      </c>
      <c r="AD73">
        <v>0.67200000000000004</v>
      </c>
      <c r="AE73">
        <v>-0.156</v>
      </c>
      <c r="AF73">
        <v>0.70199999999999996</v>
      </c>
      <c r="AG73">
        <v>-0.19900000000000001</v>
      </c>
      <c r="AH73">
        <v>-0.47799999999999998</v>
      </c>
      <c r="AI73">
        <v>-0.82599999999999996</v>
      </c>
      <c r="AJ73">
        <v>-0.55000000000000004</v>
      </c>
      <c r="AK73">
        <v>0.42899999999999999</v>
      </c>
      <c r="AL73">
        <v>-0.48399999999999999</v>
      </c>
      <c r="AM73">
        <v>-3.4000000000000002E-2</v>
      </c>
      <c r="AN73">
        <v>0.95299999999999996</v>
      </c>
      <c r="AO73">
        <v>-0.218</v>
      </c>
      <c r="AP73">
        <v>-6.3E-2</v>
      </c>
      <c r="AQ73">
        <v>5.6000000000000001E-2</v>
      </c>
      <c r="AR73">
        <v>0.26300000000000001</v>
      </c>
      <c r="AS73">
        <v>-7.2999999999999995E-2</v>
      </c>
      <c r="AT73">
        <v>0.17799999999999999</v>
      </c>
      <c r="AU73">
        <v>0.40799999999999997</v>
      </c>
      <c r="AV73">
        <v>-0.39200000000000002</v>
      </c>
      <c r="AW73">
        <v>4.2000000000000003E-2</v>
      </c>
      <c r="AX73">
        <v>-0.16500000000000001</v>
      </c>
      <c r="AY73">
        <v>8.8999999999999996E-2</v>
      </c>
      <c r="AZ73">
        <v>-1.4E-2</v>
      </c>
      <c r="BA73">
        <v>-0.02</v>
      </c>
      <c r="BB73">
        <v>-5.3999999999999999E-2</v>
      </c>
      <c r="BC73">
        <v>0.24399999999999999</v>
      </c>
      <c r="BD73">
        <v>0.33600000000000002</v>
      </c>
      <c r="BE73">
        <v>8.9999999999999993E-3</v>
      </c>
      <c r="BF73">
        <v>0.437</v>
      </c>
      <c r="BG73">
        <v>-0.24</v>
      </c>
      <c r="BH73">
        <v>0.27400000000000002</v>
      </c>
      <c r="BI73">
        <v>-0.16500000000000001</v>
      </c>
      <c r="BJ73">
        <v>0.99199999999999999</v>
      </c>
      <c r="BK73">
        <v>-0.11899999999999999</v>
      </c>
    </row>
    <row r="74" spans="1:63" x14ac:dyDescent="0.3">
      <c r="A74" t="s">
        <v>140</v>
      </c>
      <c r="B74">
        <v>0</v>
      </c>
      <c r="C74">
        <v>0</v>
      </c>
      <c r="K74" t="s">
        <v>150</v>
      </c>
      <c r="L74">
        <v>1.143</v>
      </c>
      <c r="M74">
        <v>0.97</v>
      </c>
      <c r="N74" t="s">
        <v>53</v>
      </c>
      <c r="O74">
        <v>0</v>
      </c>
      <c r="P74">
        <v>0</v>
      </c>
      <c r="Q74">
        <v>0</v>
      </c>
      <c r="R74">
        <v>-0.18099999999999999</v>
      </c>
      <c r="S74">
        <v>-3.6999999999999998E-2</v>
      </c>
      <c r="T74">
        <v>-0.18</v>
      </c>
      <c r="U74">
        <v>-0.503</v>
      </c>
      <c r="V74">
        <v>-0.35399999999999998</v>
      </c>
      <c r="W74">
        <v>-0.182</v>
      </c>
      <c r="X74">
        <v>-0.112</v>
      </c>
      <c r="Y74">
        <v>-0.28299999999999997</v>
      </c>
      <c r="Z74">
        <v>0.14499999999999999</v>
      </c>
      <c r="AA74">
        <v>0.14299999999999999</v>
      </c>
      <c r="AB74">
        <v>0.69799999999999995</v>
      </c>
      <c r="AC74">
        <v>0.59599999999999997</v>
      </c>
      <c r="AD74">
        <v>0.70099999999999996</v>
      </c>
      <c r="AE74">
        <v>-0.39900000000000002</v>
      </c>
      <c r="AF74">
        <v>-0.86699999999999999</v>
      </c>
      <c r="AG74">
        <v>-0.25700000000000001</v>
      </c>
      <c r="AH74">
        <v>-0.32700000000000001</v>
      </c>
      <c r="AI74">
        <v>0.317</v>
      </c>
      <c r="AJ74">
        <v>-0.17499999999999999</v>
      </c>
      <c r="AK74">
        <v>-0.218</v>
      </c>
      <c r="AL74">
        <v>-0.33</v>
      </c>
      <c r="AM74">
        <v>-0.46899999999999997</v>
      </c>
      <c r="AN74">
        <v>0.254</v>
      </c>
      <c r="AO74">
        <v>0.185</v>
      </c>
      <c r="AP74">
        <v>0.32900000000000001</v>
      </c>
      <c r="AQ74">
        <v>-0.26500000000000001</v>
      </c>
      <c r="AR74">
        <v>-0.32800000000000001</v>
      </c>
      <c r="AS74">
        <v>-0.30199999999999999</v>
      </c>
      <c r="AT74">
        <v>6.0999999999999999E-2</v>
      </c>
      <c r="AU74">
        <v>-0.14299999999999999</v>
      </c>
      <c r="AV74">
        <v>3.5000000000000003E-2</v>
      </c>
      <c r="AW74">
        <v>0.28799999999999998</v>
      </c>
      <c r="AX74">
        <v>0.254</v>
      </c>
      <c r="AY74">
        <v>0.81699999999999995</v>
      </c>
      <c r="AZ74">
        <v>0.78</v>
      </c>
      <c r="BA74">
        <v>0.60299999999999998</v>
      </c>
      <c r="BB74">
        <v>-7.3999999999999996E-2</v>
      </c>
      <c r="BC74">
        <v>-0.17100000000000001</v>
      </c>
      <c r="BD74">
        <v>0.21299999999999999</v>
      </c>
      <c r="BE74">
        <v>-0.33300000000000002</v>
      </c>
      <c r="BF74">
        <v>0.5</v>
      </c>
      <c r="BG74">
        <v>0.48599999999999999</v>
      </c>
      <c r="BH74">
        <v>0.26600000000000001</v>
      </c>
      <c r="BI74">
        <v>-0.153</v>
      </c>
      <c r="BJ74">
        <v>0.70699999999999996</v>
      </c>
      <c r="BK74">
        <v>0.35</v>
      </c>
    </row>
    <row r="75" spans="1:63" x14ac:dyDescent="0.3">
      <c r="A75" t="s">
        <v>78</v>
      </c>
      <c r="B75">
        <v>0</v>
      </c>
      <c r="C75">
        <v>0</v>
      </c>
      <c r="K75" t="s">
        <v>165</v>
      </c>
      <c r="L75">
        <v>1.1279999999999999</v>
      </c>
      <c r="M75">
        <v>0.85099999999999998</v>
      </c>
      <c r="N75" t="s">
        <v>71</v>
      </c>
      <c r="O75">
        <v>0</v>
      </c>
      <c r="P75">
        <v>0</v>
      </c>
      <c r="Q75">
        <v>0</v>
      </c>
      <c r="R75">
        <v>-0.36399999999999999</v>
      </c>
      <c r="S75">
        <v>0.245</v>
      </c>
      <c r="T75">
        <v>-0.63600000000000001</v>
      </c>
      <c r="U75">
        <v>-0.31</v>
      </c>
      <c r="V75">
        <v>-0.18099999999999999</v>
      </c>
      <c r="W75">
        <v>-0.64400000000000002</v>
      </c>
      <c r="X75">
        <v>-0.82399999999999995</v>
      </c>
      <c r="Y75">
        <v>-0.13800000000000001</v>
      </c>
      <c r="Z75">
        <v>0.48299999999999998</v>
      </c>
      <c r="AA75">
        <v>0.48399999999999999</v>
      </c>
      <c r="AB75">
        <v>0.61099999999999999</v>
      </c>
      <c r="AC75">
        <v>0.57199999999999995</v>
      </c>
      <c r="AD75">
        <v>0.879</v>
      </c>
      <c r="AE75">
        <v>-0.20499999999999999</v>
      </c>
      <c r="AF75">
        <v>-0.49099999999999999</v>
      </c>
      <c r="AG75">
        <v>0.98</v>
      </c>
      <c r="AH75">
        <v>-0.73099999999999998</v>
      </c>
      <c r="AI75">
        <v>-0.23</v>
      </c>
      <c r="AJ75">
        <v>-0.92100000000000004</v>
      </c>
      <c r="AK75">
        <v>-0.254</v>
      </c>
      <c r="AL75">
        <v>-0.67500000000000004</v>
      </c>
      <c r="AM75">
        <v>0.224</v>
      </c>
      <c r="AN75">
        <v>-0.46</v>
      </c>
      <c r="AO75">
        <v>0.66800000000000004</v>
      </c>
      <c r="AP75">
        <v>0.626</v>
      </c>
      <c r="AQ75">
        <v>-0.53500000000000003</v>
      </c>
      <c r="AR75">
        <v>1</v>
      </c>
      <c r="AS75">
        <v>0.155</v>
      </c>
      <c r="AT75">
        <v>-0.11799999999999999</v>
      </c>
      <c r="AU75">
        <v>-0.8</v>
      </c>
      <c r="AV75">
        <v>6.7000000000000004E-2</v>
      </c>
      <c r="AW75">
        <v>-0.13400000000000001</v>
      </c>
      <c r="AX75">
        <v>0.124</v>
      </c>
      <c r="AY75">
        <v>0.622</v>
      </c>
      <c r="AZ75">
        <v>-1</v>
      </c>
      <c r="BA75">
        <v>0.74299999999999999</v>
      </c>
      <c r="BB75">
        <v>0.50600000000000001</v>
      </c>
      <c r="BC75">
        <v>0.26600000000000001</v>
      </c>
      <c r="BD75">
        <v>0.77300000000000002</v>
      </c>
      <c r="BE75">
        <v>-1</v>
      </c>
      <c r="BF75">
        <v>0.62</v>
      </c>
      <c r="BG75">
        <v>-0.42599999999999999</v>
      </c>
      <c r="BH75">
        <v>3.0000000000000001E-3</v>
      </c>
      <c r="BI75">
        <v>-0.32400000000000001</v>
      </c>
      <c r="BJ75">
        <v>0.83499999999999996</v>
      </c>
      <c r="BK75">
        <v>-8.9999999999999993E-3</v>
      </c>
    </row>
    <row r="76" spans="1:63" x14ac:dyDescent="0.3">
      <c r="A76" t="s">
        <v>129</v>
      </c>
      <c r="B76">
        <v>0</v>
      </c>
      <c r="C76">
        <v>0</v>
      </c>
      <c r="K76" t="s">
        <v>99</v>
      </c>
      <c r="L76">
        <v>1.111</v>
      </c>
      <c r="M76">
        <v>1.131</v>
      </c>
      <c r="N76" t="s">
        <v>57</v>
      </c>
      <c r="O76">
        <v>0</v>
      </c>
      <c r="P76">
        <v>0</v>
      </c>
      <c r="Q76">
        <v>0</v>
      </c>
      <c r="R76">
        <v>-0.17100000000000001</v>
      </c>
      <c r="S76">
        <v>-0.58899999999999997</v>
      </c>
      <c r="T76">
        <v>0.26900000000000002</v>
      </c>
      <c r="U76">
        <v>-0.23899999999999999</v>
      </c>
      <c r="V76">
        <v>-0.151</v>
      </c>
      <c r="W76">
        <v>-3.1E-2</v>
      </c>
      <c r="X76">
        <v>7.1999999999999995E-2</v>
      </c>
      <c r="Y76">
        <v>-0.36799999999999999</v>
      </c>
      <c r="Z76">
        <v>0.17799999999999999</v>
      </c>
      <c r="AA76">
        <v>0.17699999999999999</v>
      </c>
      <c r="AB76">
        <v>0.53100000000000003</v>
      </c>
      <c r="AC76">
        <v>0.61699999999999999</v>
      </c>
      <c r="AD76">
        <v>0.55100000000000005</v>
      </c>
      <c r="AE76">
        <v>0.32600000000000001</v>
      </c>
      <c r="AF76">
        <v>0.53</v>
      </c>
      <c r="AG76">
        <v>-0.65800000000000003</v>
      </c>
      <c r="AH76">
        <v>0.60399999999999998</v>
      </c>
      <c r="AI76">
        <v>-0.376</v>
      </c>
      <c r="AJ76">
        <v>0.159</v>
      </c>
      <c r="AK76">
        <v>-0.223</v>
      </c>
      <c r="AL76">
        <v>0.378</v>
      </c>
      <c r="AM76">
        <v>9.0999999999999998E-2</v>
      </c>
      <c r="AN76">
        <v>0.157</v>
      </c>
      <c r="AO76">
        <v>-0.753</v>
      </c>
      <c r="AP76">
        <v>-0.84499999999999997</v>
      </c>
      <c r="AQ76">
        <v>0.38700000000000001</v>
      </c>
      <c r="AR76">
        <v>-6.3E-2</v>
      </c>
      <c r="AS76">
        <v>-0.158</v>
      </c>
      <c r="AT76">
        <v>-0.14399999999999999</v>
      </c>
      <c r="AU76">
        <v>-0.45800000000000002</v>
      </c>
      <c r="AV76">
        <v>5.6000000000000001E-2</v>
      </c>
      <c r="AW76">
        <v>6.6000000000000003E-2</v>
      </c>
      <c r="AX76">
        <v>-2E-3</v>
      </c>
      <c r="AY76">
        <v>0.64</v>
      </c>
      <c r="AZ76">
        <v>0.32500000000000001</v>
      </c>
      <c r="BA76">
        <v>0.1</v>
      </c>
      <c r="BB76">
        <v>-9.9000000000000005E-2</v>
      </c>
      <c r="BC76">
        <v>-0.442</v>
      </c>
      <c r="BD76">
        <v>7.2999999999999995E-2</v>
      </c>
      <c r="BE76">
        <v>0.60599999999999998</v>
      </c>
      <c r="BF76">
        <v>0.3</v>
      </c>
      <c r="BG76">
        <v>0.86099999999999999</v>
      </c>
      <c r="BH76">
        <v>-0.26700000000000002</v>
      </c>
      <c r="BI76">
        <v>0.187</v>
      </c>
      <c r="BJ76">
        <v>0.53400000000000003</v>
      </c>
      <c r="BK76">
        <v>0.49299999999999999</v>
      </c>
    </row>
    <row r="77" spans="1:63" x14ac:dyDescent="0.3">
      <c r="A77" t="s">
        <v>248</v>
      </c>
      <c r="B77">
        <v>0</v>
      </c>
      <c r="C77">
        <v>0</v>
      </c>
      <c r="K77" t="s">
        <v>237</v>
      </c>
      <c r="L77">
        <v>1.097</v>
      </c>
      <c r="M77">
        <v>0.76900000000000002</v>
      </c>
      <c r="N77" t="s">
        <v>53</v>
      </c>
      <c r="O77">
        <v>0</v>
      </c>
      <c r="P77">
        <v>0</v>
      </c>
      <c r="Q77">
        <v>0</v>
      </c>
      <c r="R77">
        <v>0.38700000000000001</v>
      </c>
      <c r="S77">
        <v>0.82799999999999996</v>
      </c>
      <c r="T77">
        <v>0.56000000000000005</v>
      </c>
      <c r="U77">
        <v>9.0999999999999998E-2</v>
      </c>
      <c r="V77">
        <v>0.56499999999999995</v>
      </c>
      <c r="W77">
        <v>-0.57099999999999995</v>
      </c>
      <c r="X77">
        <v>-0.79</v>
      </c>
      <c r="Y77">
        <v>-0.503</v>
      </c>
      <c r="Z77">
        <v>-0.14899999999999999</v>
      </c>
      <c r="AA77">
        <v>-0.14799999999999999</v>
      </c>
      <c r="AB77">
        <v>0.32400000000000001</v>
      </c>
      <c r="AC77">
        <v>0.42499999999999999</v>
      </c>
      <c r="AD77">
        <v>0.312</v>
      </c>
      <c r="AE77">
        <v>0.437</v>
      </c>
      <c r="AF77">
        <v>0.64</v>
      </c>
      <c r="AG77">
        <v>0.76400000000000001</v>
      </c>
      <c r="AH77">
        <v>1</v>
      </c>
      <c r="AI77">
        <v>0.65800000000000003</v>
      </c>
      <c r="AJ77">
        <v>-0.52400000000000002</v>
      </c>
      <c r="AK77">
        <v>0.67400000000000004</v>
      </c>
      <c r="AL77">
        <v>-0.89100000000000001</v>
      </c>
      <c r="AM77">
        <v>0.80200000000000005</v>
      </c>
      <c r="AN77">
        <v>0.217</v>
      </c>
      <c r="AO77">
        <v>-0.22800000000000001</v>
      </c>
      <c r="AP77">
        <v>0.249</v>
      </c>
      <c r="AQ77">
        <v>-0.30399999999999999</v>
      </c>
      <c r="AR77">
        <v>0.26500000000000001</v>
      </c>
      <c r="AS77">
        <v>5.1999999999999998E-2</v>
      </c>
      <c r="AT77">
        <v>7.0000000000000001E-3</v>
      </c>
      <c r="AU77">
        <v>-0.62</v>
      </c>
      <c r="AV77">
        <v>-0.01</v>
      </c>
      <c r="AW77">
        <v>-0.55800000000000005</v>
      </c>
      <c r="AX77">
        <v>-0.61199999999999999</v>
      </c>
      <c r="AY77">
        <v>-0.33600000000000002</v>
      </c>
      <c r="AZ77">
        <v>-0.51300000000000001</v>
      </c>
      <c r="BA77">
        <v>0.98399999999999999</v>
      </c>
      <c r="BB77">
        <v>0.104</v>
      </c>
      <c r="BC77">
        <v>-3.0000000000000001E-3</v>
      </c>
      <c r="BD77">
        <v>0.32300000000000001</v>
      </c>
      <c r="BE77">
        <v>0.54700000000000004</v>
      </c>
      <c r="BF77">
        <v>0.51500000000000001</v>
      </c>
      <c r="BG77">
        <v>-0.63900000000000001</v>
      </c>
      <c r="BH77">
        <v>1</v>
      </c>
      <c r="BI77">
        <v>0.38600000000000001</v>
      </c>
      <c r="BJ77">
        <v>0.59499999999999997</v>
      </c>
      <c r="BK77">
        <v>0.99399999999999999</v>
      </c>
    </row>
    <row r="78" spans="1:63" x14ac:dyDescent="0.3">
      <c r="A78" t="s">
        <v>225</v>
      </c>
      <c r="B78">
        <v>0</v>
      </c>
      <c r="C78">
        <v>0</v>
      </c>
      <c r="K78" t="s">
        <v>164</v>
      </c>
      <c r="L78">
        <v>1.093</v>
      </c>
      <c r="M78">
        <v>1.2490000000000001</v>
      </c>
      <c r="N78" t="s">
        <v>68</v>
      </c>
      <c r="O78">
        <v>2.7E-2</v>
      </c>
      <c r="P78">
        <v>2.4E-2</v>
      </c>
      <c r="Q78">
        <v>3.0000000000000001E-3</v>
      </c>
      <c r="R78">
        <v>-7.0999999999999994E-2</v>
      </c>
      <c r="S78">
        <v>-2E-3</v>
      </c>
      <c r="T78">
        <v>-5.6000000000000001E-2</v>
      </c>
      <c r="U78">
        <v>-0.33</v>
      </c>
      <c r="V78">
        <v>-0.218</v>
      </c>
      <c r="W78">
        <v>-0.25900000000000001</v>
      </c>
      <c r="X78">
        <v>-0.40699999999999997</v>
      </c>
      <c r="Y78">
        <v>-0.60499999999999998</v>
      </c>
      <c r="Z78">
        <v>0.53200000000000003</v>
      </c>
      <c r="AA78">
        <v>0.52900000000000003</v>
      </c>
      <c r="AB78">
        <v>0.62</v>
      </c>
      <c r="AC78">
        <v>0.70899999999999996</v>
      </c>
      <c r="AD78">
        <v>0.70599999999999996</v>
      </c>
      <c r="AE78">
        <v>-0.22800000000000001</v>
      </c>
      <c r="AF78">
        <v>4.0000000000000001E-3</v>
      </c>
      <c r="AG78">
        <v>-0.16</v>
      </c>
      <c r="AH78">
        <v>0.54800000000000004</v>
      </c>
      <c r="AI78">
        <v>-0.37</v>
      </c>
      <c r="AJ78">
        <v>-0.53100000000000003</v>
      </c>
      <c r="AK78">
        <v>0.314</v>
      </c>
      <c r="AL78">
        <v>-0.46500000000000002</v>
      </c>
      <c r="AM78">
        <v>0.71699999999999997</v>
      </c>
      <c r="AN78">
        <v>-0.25700000000000001</v>
      </c>
      <c r="AO78">
        <v>-0.433</v>
      </c>
      <c r="AP78">
        <v>-0.17499999999999999</v>
      </c>
      <c r="AQ78">
        <v>5.8000000000000003E-2</v>
      </c>
      <c r="AR78">
        <v>0.314</v>
      </c>
      <c r="AS78">
        <v>6.9000000000000006E-2</v>
      </c>
      <c r="AT78">
        <v>8.9999999999999993E-3</v>
      </c>
      <c r="AU78">
        <v>-0.54300000000000004</v>
      </c>
      <c r="AV78">
        <v>-0.217</v>
      </c>
      <c r="AW78">
        <v>0.54</v>
      </c>
      <c r="AX78">
        <v>-0.21099999999999999</v>
      </c>
      <c r="AY78">
        <v>0.92800000000000005</v>
      </c>
      <c r="AZ78">
        <v>1</v>
      </c>
      <c r="BA78">
        <v>4.8000000000000001E-2</v>
      </c>
      <c r="BB78">
        <v>0.224</v>
      </c>
      <c r="BC78">
        <v>0.13800000000000001</v>
      </c>
      <c r="BD78">
        <v>0.29499999999999998</v>
      </c>
      <c r="BE78">
        <v>-0.28799999999999998</v>
      </c>
      <c r="BF78">
        <v>-0.224</v>
      </c>
      <c r="BG78">
        <v>0.38300000000000001</v>
      </c>
      <c r="BH78">
        <v>-4.2999999999999997E-2</v>
      </c>
      <c r="BI78">
        <v>0.24</v>
      </c>
      <c r="BJ78">
        <v>6.0999999999999999E-2</v>
      </c>
      <c r="BK78">
        <v>0.45400000000000001</v>
      </c>
    </row>
    <row r="79" spans="1:63" x14ac:dyDescent="0.3">
      <c r="A79" t="s">
        <v>97</v>
      </c>
      <c r="B79">
        <v>0</v>
      </c>
      <c r="C79">
        <v>0</v>
      </c>
      <c r="K79" t="s">
        <v>143</v>
      </c>
      <c r="L79">
        <v>1.08</v>
      </c>
      <c r="M79">
        <v>1.734</v>
      </c>
      <c r="N79" t="s">
        <v>53</v>
      </c>
      <c r="O79">
        <v>4.2000000000000003E-2</v>
      </c>
      <c r="P79">
        <v>2.8000000000000001E-2</v>
      </c>
      <c r="Q79">
        <v>1.4999999999999999E-2</v>
      </c>
      <c r="R79">
        <v>-0.39500000000000002</v>
      </c>
      <c r="S79">
        <v>-0.47</v>
      </c>
      <c r="T79">
        <v>-0.7</v>
      </c>
      <c r="U79">
        <v>-0.315</v>
      </c>
      <c r="V79">
        <v>-0.57499999999999996</v>
      </c>
      <c r="W79">
        <v>-8.5999999999999993E-2</v>
      </c>
      <c r="X79">
        <v>0.13200000000000001</v>
      </c>
      <c r="Y79">
        <v>-0.22</v>
      </c>
      <c r="Z79">
        <v>0.32700000000000001</v>
      </c>
      <c r="AA79">
        <v>0.32500000000000001</v>
      </c>
      <c r="AB79">
        <v>0.81699999999999995</v>
      </c>
      <c r="AC79">
        <v>0.82499999999999996</v>
      </c>
      <c r="AD79">
        <v>0.622</v>
      </c>
      <c r="AE79">
        <v>-0.26400000000000001</v>
      </c>
      <c r="AF79">
        <v>-0.39200000000000002</v>
      </c>
      <c r="AG79">
        <v>-0.313</v>
      </c>
      <c r="AH79">
        <v>-0.65200000000000002</v>
      </c>
      <c r="AI79">
        <v>-0.32800000000000001</v>
      </c>
      <c r="AJ79">
        <v>-0.78800000000000003</v>
      </c>
      <c r="AK79">
        <v>1.6E-2</v>
      </c>
      <c r="AL79">
        <v>-8.4000000000000005E-2</v>
      </c>
      <c r="AM79">
        <v>-0.64</v>
      </c>
      <c r="AN79">
        <v>0.221</v>
      </c>
      <c r="AO79">
        <v>6.4000000000000001E-2</v>
      </c>
      <c r="AP79">
        <v>-0.10199999999999999</v>
      </c>
      <c r="AQ79">
        <v>5.8000000000000003E-2</v>
      </c>
      <c r="AR79">
        <v>0.33200000000000002</v>
      </c>
      <c r="AS79">
        <v>0.11899999999999999</v>
      </c>
      <c r="AT79">
        <v>0.217</v>
      </c>
      <c r="AU79">
        <v>-0.29199999999999998</v>
      </c>
      <c r="AV79">
        <v>7.0999999999999994E-2</v>
      </c>
      <c r="AW79">
        <v>0.45700000000000002</v>
      </c>
      <c r="AX79">
        <v>-0.158</v>
      </c>
      <c r="AY79">
        <v>0.92600000000000005</v>
      </c>
      <c r="AZ79">
        <v>0.50800000000000001</v>
      </c>
      <c r="BA79">
        <v>-8.9999999999999993E-3</v>
      </c>
      <c r="BB79">
        <v>-0.11799999999999999</v>
      </c>
      <c r="BC79">
        <v>-2.5999999999999999E-2</v>
      </c>
      <c r="BD79">
        <v>0.48799999999999999</v>
      </c>
      <c r="BE79">
        <v>-0.183</v>
      </c>
      <c r="BF79">
        <v>9.6000000000000002E-2</v>
      </c>
      <c r="BG79">
        <v>0.71</v>
      </c>
      <c r="BH79">
        <v>-0.123</v>
      </c>
      <c r="BI79">
        <v>-0.183</v>
      </c>
      <c r="BJ79">
        <v>4.5999999999999999E-2</v>
      </c>
      <c r="BK79">
        <v>-0.14499999999999999</v>
      </c>
    </row>
    <row r="80" spans="1:63" x14ac:dyDescent="0.3">
      <c r="A80" t="s">
        <v>125</v>
      </c>
      <c r="B80">
        <v>0</v>
      </c>
      <c r="C80">
        <v>0</v>
      </c>
      <c r="K80" t="s">
        <v>132</v>
      </c>
      <c r="L80">
        <v>1.08</v>
      </c>
      <c r="M80">
        <v>0.91400000000000003</v>
      </c>
      <c r="N80" t="s">
        <v>53</v>
      </c>
      <c r="O80">
        <v>0.02</v>
      </c>
      <c r="P80">
        <v>1.7000000000000001E-2</v>
      </c>
      <c r="Q80">
        <v>3.0000000000000001E-3</v>
      </c>
      <c r="R80">
        <v>-0.27500000000000002</v>
      </c>
      <c r="S80">
        <v>-0.47799999999999998</v>
      </c>
      <c r="T80">
        <v>-0.47399999999999998</v>
      </c>
      <c r="U80">
        <v>-0.25900000000000001</v>
      </c>
      <c r="V80">
        <v>-0.46500000000000002</v>
      </c>
      <c r="W80">
        <v>-0.13400000000000001</v>
      </c>
      <c r="X80">
        <v>-0.01</v>
      </c>
      <c r="Y80">
        <v>-0.29899999999999999</v>
      </c>
      <c r="Z80">
        <v>0.30399999999999999</v>
      </c>
      <c r="AA80">
        <v>0.29799999999999999</v>
      </c>
      <c r="AB80">
        <v>0.748</v>
      </c>
      <c r="AC80">
        <v>0.77600000000000002</v>
      </c>
      <c r="AD80">
        <v>0.63400000000000001</v>
      </c>
      <c r="AE80">
        <v>-0.14799999999999999</v>
      </c>
      <c r="AF80">
        <v>-0.20699999999999999</v>
      </c>
      <c r="AG80">
        <v>-0.45800000000000002</v>
      </c>
      <c r="AH80">
        <v>-0.51900000000000002</v>
      </c>
      <c r="AI80">
        <v>4.5999999999999999E-2</v>
      </c>
      <c r="AJ80">
        <v>-0.39700000000000002</v>
      </c>
      <c r="AK80">
        <v>-0.187</v>
      </c>
      <c r="AL80">
        <v>-5.7000000000000002E-2</v>
      </c>
      <c r="AM80">
        <v>-0.41899999999999998</v>
      </c>
      <c r="AN80">
        <v>-0.113</v>
      </c>
      <c r="AO80">
        <v>-1.6E-2</v>
      </c>
      <c r="AP80">
        <v>-0.99099999999999999</v>
      </c>
      <c r="AQ80">
        <v>0.23899999999999999</v>
      </c>
      <c r="AR80">
        <v>1</v>
      </c>
      <c r="AS80">
        <v>0.38400000000000001</v>
      </c>
      <c r="AT80">
        <v>0.30399999999999999</v>
      </c>
      <c r="AU80">
        <v>-0.46</v>
      </c>
      <c r="AV80">
        <v>0.36399999999999999</v>
      </c>
      <c r="AW80">
        <v>-0.14000000000000001</v>
      </c>
      <c r="AX80">
        <v>-0.15</v>
      </c>
      <c r="AY80">
        <v>0.88</v>
      </c>
      <c r="AZ80">
        <v>0.442</v>
      </c>
      <c r="BA80">
        <v>0.73899999999999999</v>
      </c>
      <c r="BB80">
        <v>-0.38800000000000001</v>
      </c>
      <c r="BC80">
        <v>-0.435</v>
      </c>
      <c r="BD80">
        <v>0.50700000000000001</v>
      </c>
      <c r="BE80">
        <v>0.36699999999999999</v>
      </c>
      <c r="BF80">
        <v>0.19800000000000001</v>
      </c>
      <c r="BG80">
        <v>0.71699999999999997</v>
      </c>
      <c r="BH80">
        <v>-0.33400000000000002</v>
      </c>
      <c r="BI80">
        <v>0.14199999999999999</v>
      </c>
      <c r="BJ80">
        <v>-0.105</v>
      </c>
      <c r="BK80">
        <v>0.20599999999999999</v>
      </c>
    </row>
    <row r="81" spans="1:63" x14ac:dyDescent="0.3">
      <c r="A81" t="s">
        <v>244</v>
      </c>
      <c r="B81">
        <v>0</v>
      </c>
      <c r="C81">
        <v>0</v>
      </c>
      <c r="K81" t="s">
        <v>228</v>
      </c>
      <c r="L81">
        <v>1.0720000000000001</v>
      </c>
      <c r="M81">
        <v>0.81200000000000006</v>
      </c>
      <c r="N81" t="s">
        <v>57</v>
      </c>
      <c r="O81">
        <v>0</v>
      </c>
      <c r="P81">
        <v>0</v>
      </c>
      <c r="Q81">
        <v>0</v>
      </c>
      <c r="R81">
        <v>3.2000000000000001E-2</v>
      </c>
      <c r="S81">
        <v>0.45</v>
      </c>
      <c r="T81">
        <v>-4.1000000000000002E-2</v>
      </c>
      <c r="U81">
        <v>-0.27</v>
      </c>
      <c r="V81">
        <v>-4.8000000000000001E-2</v>
      </c>
      <c r="W81">
        <v>-0.40300000000000002</v>
      </c>
      <c r="X81">
        <v>-0.60199999999999998</v>
      </c>
      <c r="Y81">
        <v>-0.501</v>
      </c>
      <c r="Z81">
        <v>-0.10299999999999999</v>
      </c>
      <c r="AA81">
        <v>-0.10199999999999999</v>
      </c>
      <c r="AB81">
        <v>0.73099999999999998</v>
      </c>
      <c r="AC81">
        <v>0.81</v>
      </c>
      <c r="AD81">
        <v>0.69899999999999995</v>
      </c>
      <c r="AE81">
        <v>-0.93100000000000005</v>
      </c>
      <c r="AF81">
        <v>0.2</v>
      </c>
      <c r="AG81">
        <v>0.84199999999999997</v>
      </c>
      <c r="AH81">
        <v>-0.48099999999999998</v>
      </c>
      <c r="AI81">
        <v>1</v>
      </c>
      <c r="AJ81">
        <v>0.38900000000000001</v>
      </c>
      <c r="AK81">
        <v>-0.17499999999999999</v>
      </c>
      <c r="AL81">
        <v>-0.85099999999999998</v>
      </c>
      <c r="AM81">
        <v>-0.46500000000000002</v>
      </c>
      <c r="AN81">
        <v>0.20100000000000001</v>
      </c>
      <c r="AO81">
        <v>-5.0000000000000001E-3</v>
      </c>
      <c r="AP81">
        <v>0.93200000000000005</v>
      </c>
      <c r="AQ81">
        <v>0.32600000000000001</v>
      </c>
      <c r="AR81">
        <v>0.44800000000000001</v>
      </c>
      <c r="AS81">
        <v>0.28599999999999998</v>
      </c>
      <c r="AT81">
        <v>0.27500000000000002</v>
      </c>
      <c r="AU81">
        <v>-0.308</v>
      </c>
      <c r="AV81">
        <v>-0.157</v>
      </c>
      <c r="AW81">
        <v>-0.39900000000000002</v>
      </c>
      <c r="AX81">
        <v>0.21</v>
      </c>
      <c r="AY81">
        <v>-0.34399999999999997</v>
      </c>
      <c r="AZ81">
        <v>4.4999999999999998E-2</v>
      </c>
      <c r="BA81">
        <v>-2.8000000000000001E-2</v>
      </c>
      <c r="BB81">
        <v>0.17100000000000001</v>
      </c>
      <c r="BC81">
        <v>0.51800000000000002</v>
      </c>
      <c r="BD81">
        <v>-0.88300000000000001</v>
      </c>
      <c r="BE81">
        <v>-0.246</v>
      </c>
      <c r="BF81">
        <v>0.29299999999999998</v>
      </c>
      <c r="BG81">
        <v>0.29299999999999998</v>
      </c>
      <c r="BH81">
        <v>0.28799999999999998</v>
      </c>
      <c r="BI81">
        <v>-2.5000000000000001E-2</v>
      </c>
      <c r="BJ81">
        <v>0.25</v>
      </c>
      <c r="BK81">
        <v>-5.3999999999999999E-2</v>
      </c>
    </row>
    <row r="82" spans="1:63" x14ac:dyDescent="0.3">
      <c r="A82" t="s">
        <v>141</v>
      </c>
      <c r="B82">
        <v>0</v>
      </c>
      <c r="C82">
        <v>1.6730993243305001E-2</v>
      </c>
      <c r="K82" t="s">
        <v>125</v>
      </c>
      <c r="L82">
        <v>1.052</v>
      </c>
      <c r="M82">
        <v>1.401</v>
      </c>
      <c r="N82" t="s">
        <v>55</v>
      </c>
      <c r="O82">
        <v>0</v>
      </c>
      <c r="P82">
        <v>0</v>
      </c>
      <c r="Q82">
        <v>0</v>
      </c>
      <c r="R82">
        <v>-0.34599999999999997</v>
      </c>
      <c r="S82">
        <v>-0.48499999999999999</v>
      </c>
      <c r="T82">
        <v>-0.77400000000000002</v>
      </c>
      <c r="U82">
        <v>-0.29499999999999998</v>
      </c>
      <c r="V82">
        <v>-0.65600000000000003</v>
      </c>
      <c r="W82">
        <v>0.13300000000000001</v>
      </c>
      <c r="X82">
        <v>0.67600000000000005</v>
      </c>
      <c r="Y82">
        <v>-0.38800000000000001</v>
      </c>
      <c r="Z82">
        <v>0.29799999999999999</v>
      </c>
      <c r="AA82">
        <v>0.29899999999999999</v>
      </c>
      <c r="AB82">
        <v>0.7</v>
      </c>
      <c r="AC82">
        <v>0.72199999999999998</v>
      </c>
      <c r="AD82">
        <v>0.55100000000000005</v>
      </c>
      <c r="AE82">
        <v>-0.24099999999999999</v>
      </c>
      <c r="AF82">
        <v>-0.55900000000000005</v>
      </c>
      <c r="AG82">
        <v>-0.52300000000000002</v>
      </c>
      <c r="AH82">
        <v>-0.86299999999999999</v>
      </c>
      <c r="AI82">
        <v>-0.56399999999999995</v>
      </c>
      <c r="AJ82">
        <v>-0.58499999999999996</v>
      </c>
      <c r="AK82">
        <v>-0.28899999999999998</v>
      </c>
      <c r="AL82">
        <v>-0.39300000000000002</v>
      </c>
      <c r="AM82">
        <v>-0.77100000000000002</v>
      </c>
      <c r="AN82">
        <v>0.21299999999999999</v>
      </c>
      <c r="AO82">
        <v>-8.9999999999999993E-3</v>
      </c>
      <c r="AP82">
        <v>0.10100000000000001</v>
      </c>
      <c r="AQ82">
        <v>4.7E-2</v>
      </c>
      <c r="AR82">
        <v>0.39300000000000002</v>
      </c>
      <c r="AS82">
        <v>0.33300000000000002</v>
      </c>
      <c r="AT82">
        <v>0.43099999999999999</v>
      </c>
      <c r="AU82">
        <v>0.90100000000000002</v>
      </c>
      <c r="AV82">
        <v>0.35099999999999998</v>
      </c>
      <c r="AW82">
        <v>0.30399999999999999</v>
      </c>
      <c r="AX82">
        <v>-0.58399999999999996</v>
      </c>
      <c r="AY82">
        <v>0.80700000000000005</v>
      </c>
      <c r="AZ82">
        <v>0.29699999999999999</v>
      </c>
      <c r="BA82">
        <v>-9.9000000000000005E-2</v>
      </c>
      <c r="BB82">
        <v>-0.42</v>
      </c>
      <c r="BC82">
        <v>0.41</v>
      </c>
      <c r="BD82">
        <v>0.35199999999999998</v>
      </c>
      <c r="BE82">
        <v>-2.8000000000000001E-2</v>
      </c>
      <c r="BF82">
        <v>-3.1E-2</v>
      </c>
      <c r="BG82">
        <v>0.70399999999999996</v>
      </c>
      <c r="BH82">
        <v>-0.36</v>
      </c>
      <c r="BI82">
        <v>0.54700000000000004</v>
      </c>
      <c r="BJ82">
        <v>-0.26600000000000001</v>
      </c>
      <c r="BK82">
        <v>-0.42</v>
      </c>
    </row>
    <row r="83" spans="1:63" x14ac:dyDescent="0.3">
      <c r="A83" t="s">
        <v>66</v>
      </c>
      <c r="B83">
        <v>0</v>
      </c>
      <c r="C83">
        <v>0</v>
      </c>
      <c r="K83" t="s">
        <v>196</v>
      </c>
      <c r="L83">
        <v>1.046</v>
      </c>
      <c r="M83">
        <v>0.76300000000000001</v>
      </c>
      <c r="N83" t="s">
        <v>57</v>
      </c>
      <c r="O83">
        <v>0</v>
      </c>
      <c r="P83">
        <v>0</v>
      </c>
      <c r="Q83">
        <v>0</v>
      </c>
      <c r="R83">
        <v>8.3000000000000004E-2</v>
      </c>
      <c r="S83">
        <v>0.16200000000000001</v>
      </c>
      <c r="T83">
        <v>0.125</v>
      </c>
      <c r="U83">
        <v>2.5000000000000001E-2</v>
      </c>
      <c r="V83">
        <v>0.14499999999999999</v>
      </c>
      <c r="W83">
        <v>-0.27200000000000002</v>
      </c>
      <c r="X83">
        <v>-0.39</v>
      </c>
      <c r="Y83">
        <v>-0.55800000000000005</v>
      </c>
      <c r="Z83">
        <v>-5.3999999999999999E-2</v>
      </c>
      <c r="AA83">
        <v>-5.2999999999999999E-2</v>
      </c>
      <c r="AB83">
        <v>0.56899999999999995</v>
      </c>
      <c r="AC83">
        <v>0.55600000000000005</v>
      </c>
      <c r="AD83">
        <v>0.53900000000000003</v>
      </c>
      <c r="AE83">
        <v>0.183</v>
      </c>
      <c r="AF83">
        <v>0.93899999999999995</v>
      </c>
      <c r="AG83">
        <v>0.125</v>
      </c>
      <c r="AH83">
        <v>0.38900000000000001</v>
      </c>
      <c r="AI83">
        <v>-0.113</v>
      </c>
      <c r="AJ83">
        <v>0.67100000000000004</v>
      </c>
      <c r="AK83">
        <v>0.14299999999999999</v>
      </c>
      <c r="AL83">
        <v>-0.753</v>
      </c>
      <c r="AM83">
        <v>0.249</v>
      </c>
      <c r="AN83">
        <v>0.14699999999999999</v>
      </c>
      <c r="AO83">
        <v>-0.19800000000000001</v>
      </c>
      <c r="AP83">
        <v>-0.436</v>
      </c>
      <c r="AQ83">
        <v>0.56399999999999995</v>
      </c>
      <c r="AR83">
        <v>0.23100000000000001</v>
      </c>
      <c r="AS83">
        <v>0.188</v>
      </c>
      <c r="AT83">
        <v>7.8E-2</v>
      </c>
      <c r="AU83">
        <v>0.126</v>
      </c>
      <c r="AV83">
        <v>0.23400000000000001</v>
      </c>
      <c r="AW83">
        <v>-0.88500000000000001</v>
      </c>
      <c r="AX83">
        <v>-0.47399999999999998</v>
      </c>
      <c r="AY83">
        <v>0.64300000000000002</v>
      </c>
      <c r="AZ83">
        <v>0.17299999999999999</v>
      </c>
      <c r="BA83">
        <v>0.53300000000000003</v>
      </c>
      <c r="BB83">
        <v>0.159</v>
      </c>
      <c r="BC83">
        <v>-0.219</v>
      </c>
      <c r="BD83">
        <v>0.20399999999999999</v>
      </c>
      <c r="BE83">
        <v>0.46899999999999997</v>
      </c>
      <c r="BF83">
        <v>0.315</v>
      </c>
      <c r="BG83">
        <v>0.27600000000000002</v>
      </c>
      <c r="BH83">
        <v>-0.153</v>
      </c>
      <c r="BI83">
        <v>0.50700000000000001</v>
      </c>
      <c r="BJ83">
        <v>-0.59399999999999997</v>
      </c>
      <c r="BK83">
        <v>0.65300000000000002</v>
      </c>
    </row>
    <row r="84" spans="1:63" x14ac:dyDescent="0.3">
      <c r="A84" t="s">
        <v>118</v>
      </c>
      <c r="B84">
        <v>0</v>
      </c>
      <c r="C84">
        <v>0</v>
      </c>
      <c r="K84" t="s">
        <v>104</v>
      </c>
      <c r="L84">
        <v>1.0429999999999999</v>
      </c>
      <c r="M84">
        <v>1.391</v>
      </c>
      <c r="N84" t="s">
        <v>55</v>
      </c>
      <c r="O84">
        <v>0</v>
      </c>
      <c r="P84">
        <v>0</v>
      </c>
      <c r="Q84">
        <v>0</v>
      </c>
      <c r="R84">
        <v>-0.55000000000000004</v>
      </c>
      <c r="S84">
        <v>-0.73899999999999999</v>
      </c>
      <c r="T84">
        <v>-0.71599999999999997</v>
      </c>
      <c r="U84">
        <v>-0.42099999999999999</v>
      </c>
      <c r="V84">
        <v>-0.69199999999999995</v>
      </c>
      <c r="W84">
        <v>9.1999999999999998E-2</v>
      </c>
      <c r="X84">
        <v>0.71899999999999997</v>
      </c>
      <c r="Y84">
        <v>-0.28799999999999998</v>
      </c>
      <c r="Z84">
        <v>0.48399999999999999</v>
      </c>
      <c r="AA84">
        <v>0.48199999999999998</v>
      </c>
      <c r="AB84">
        <v>0.63400000000000001</v>
      </c>
      <c r="AC84">
        <v>0.72099999999999997</v>
      </c>
      <c r="AD84">
        <v>0.59199999999999997</v>
      </c>
      <c r="AE84">
        <v>-0.27</v>
      </c>
      <c r="AF84">
        <v>-0.53200000000000003</v>
      </c>
      <c r="AG84">
        <v>-0.66800000000000004</v>
      </c>
      <c r="AH84">
        <v>-0.76300000000000001</v>
      </c>
      <c r="AI84">
        <v>-0.67600000000000005</v>
      </c>
      <c r="AJ84">
        <v>-0.88100000000000001</v>
      </c>
      <c r="AK84">
        <v>-0.182</v>
      </c>
      <c r="AL84">
        <v>0.187</v>
      </c>
      <c r="AM84">
        <v>-0.59899999999999998</v>
      </c>
      <c r="AN84">
        <v>-0.217</v>
      </c>
      <c r="AO84">
        <v>-0.27</v>
      </c>
      <c r="AP84">
        <v>6.0000000000000001E-3</v>
      </c>
      <c r="AQ84">
        <v>-0.13600000000000001</v>
      </c>
      <c r="AR84">
        <v>0.17599999999999999</v>
      </c>
      <c r="AS84">
        <v>0.124</v>
      </c>
      <c r="AT84">
        <v>0.113</v>
      </c>
      <c r="AU84">
        <v>0.53700000000000003</v>
      </c>
      <c r="AV84">
        <v>2.1999999999999999E-2</v>
      </c>
      <c r="AW84">
        <v>0.89300000000000002</v>
      </c>
      <c r="AX84">
        <v>-0.84499999999999997</v>
      </c>
      <c r="AY84">
        <v>0.438</v>
      </c>
      <c r="AZ84">
        <v>-6.5000000000000002E-2</v>
      </c>
      <c r="BA84">
        <v>0.88500000000000001</v>
      </c>
      <c r="BB84">
        <v>-0.16400000000000001</v>
      </c>
      <c r="BC84">
        <v>-0.36799999999999999</v>
      </c>
      <c r="BD84">
        <v>0.36399999999999999</v>
      </c>
      <c r="BE84">
        <v>-0.16600000000000001</v>
      </c>
      <c r="BF84">
        <v>0.11600000000000001</v>
      </c>
      <c r="BG84">
        <v>0.83899999999999997</v>
      </c>
      <c r="BH84">
        <v>-0.379</v>
      </c>
      <c r="BI84">
        <v>-0.30099999999999999</v>
      </c>
      <c r="BJ84">
        <v>0.93100000000000005</v>
      </c>
      <c r="BK84">
        <v>5.3999999999999999E-2</v>
      </c>
    </row>
    <row r="85" spans="1:63" x14ac:dyDescent="0.3">
      <c r="A85" t="s">
        <v>236</v>
      </c>
      <c r="B85">
        <v>0</v>
      </c>
      <c r="C85">
        <v>0</v>
      </c>
      <c r="K85" t="s">
        <v>78</v>
      </c>
      <c r="L85">
        <v>1.0409999999999999</v>
      </c>
      <c r="M85">
        <v>1.2</v>
      </c>
      <c r="N85" t="s">
        <v>57</v>
      </c>
      <c r="O85">
        <v>1.7999999999999999E-2</v>
      </c>
      <c r="P85">
        <v>1.6E-2</v>
      </c>
      <c r="Q85">
        <v>2E-3</v>
      </c>
      <c r="R85">
        <v>-0.23899999999999999</v>
      </c>
      <c r="S85">
        <v>-0.78700000000000003</v>
      </c>
      <c r="T85">
        <v>-3.0000000000000001E-3</v>
      </c>
      <c r="U85">
        <v>-0.308</v>
      </c>
      <c r="V85">
        <v>-0.46400000000000002</v>
      </c>
      <c r="W85">
        <v>3.1E-2</v>
      </c>
      <c r="X85">
        <v>0.3</v>
      </c>
      <c r="Y85">
        <v>-0.35399999999999998</v>
      </c>
      <c r="Z85">
        <v>0.214</v>
      </c>
      <c r="AA85">
        <v>0.218</v>
      </c>
      <c r="AB85">
        <v>0.58199999999999996</v>
      </c>
      <c r="AC85">
        <v>0.54300000000000004</v>
      </c>
      <c r="AD85">
        <v>0.53400000000000003</v>
      </c>
      <c r="AE85">
        <v>2.9000000000000001E-2</v>
      </c>
      <c r="AF85">
        <v>-0.27800000000000002</v>
      </c>
      <c r="AG85">
        <v>-1</v>
      </c>
      <c r="AH85">
        <v>-0.113</v>
      </c>
      <c r="AI85">
        <v>-0.51700000000000002</v>
      </c>
      <c r="AJ85">
        <v>0.81599999999999995</v>
      </c>
      <c r="AK85">
        <v>-0.219</v>
      </c>
      <c r="AL85">
        <v>0.35099999999999998</v>
      </c>
      <c r="AM85">
        <v>-0.86199999999999999</v>
      </c>
      <c r="AN85">
        <v>0.24099999999999999</v>
      </c>
      <c r="AO85">
        <v>-0.55100000000000005</v>
      </c>
      <c r="AP85">
        <v>-0.67700000000000005</v>
      </c>
      <c r="AQ85">
        <v>0.104</v>
      </c>
      <c r="AR85">
        <v>0.19400000000000001</v>
      </c>
      <c r="AS85">
        <v>-0.318</v>
      </c>
      <c r="AT85">
        <v>0.81699999999999995</v>
      </c>
      <c r="AU85">
        <v>-0.28000000000000003</v>
      </c>
      <c r="AV85">
        <v>0.17599999999999999</v>
      </c>
      <c r="AW85">
        <v>0.378</v>
      </c>
      <c r="AX85">
        <v>0.214</v>
      </c>
      <c r="AY85">
        <v>0.85099999999999998</v>
      </c>
      <c r="AZ85">
        <v>0.318</v>
      </c>
      <c r="BA85">
        <v>0.42099999999999999</v>
      </c>
      <c r="BB85">
        <v>-0.13100000000000001</v>
      </c>
      <c r="BC85">
        <v>-0.36199999999999999</v>
      </c>
      <c r="BD85">
        <v>0.34699999999999998</v>
      </c>
      <c r="BE85">
        <v>-0.23899999999999999</v>
      </c>
      <c r="BF85">
        <v>-0.27400000000000002</v>
      </c>
      <c r="BG85">
        <v>0.75</v>
      </c>
      <c r="BH85">
        <v>-0.59599999999999997</v>
      </c>
      <c r="BI85">
        <v>0.24299999999999999</v>
      </c>
      <c r="BJ85">
        <v>0.36799999999999999</v>
      </c>
      <c r="BK85">
        <v>0.58799999999999997</v>
      </c>
    </row>
    <row r="86" spans="1:63" x14ac:dyDescent="0.3">
      <c r="A86" t="s">
        <v>76</v>
      </c>
      <c r="B86">
        <v>0</v>
      </c>
      <c r="C86">
        <v>0</v>
      </c>
      <c r="K86" t="s">
        <v>142</v>
      </c>
      <c r="L86">
        <v>1</v>
      </c>
      <c r="M86">
        <v>0.84099999999999997</v>
      </c>
      <c r="N86" t="s">
        <v>53</v>
      </c>
      <c r="O86">
        <v>1.9E-2</v>
      </c>
      <c r="P86">
        <v>1.6E-2</v>
      </c>
      <c r="Q86">
        <v>3.0000000000000001E-3</v>
      </c>
      <c r="R86">
        <v>3.1E-2</v>
      </c>
      <c r="S86">
        <v>-0.48399999999999999</v>
      </c>
      <c r="T86">
        <v>-9.6000000000000002E-2</v>
      </c>
      <c r="U86">
        <v>-0.123</v>
      </c>
      <c r="V86">
        <v>-0.38400000000000001</v>
      </c>
      <c r="W86">
        <v>-4.5999999999999999E-2</v>
      </c>
      <c r="X86">
        <v>-0.115</v>
      </c>
      <c r="Y86">
        <v>-0.61699999999999999</v>
      </c>
      <c r="Z86">
        <v>0.20499999999999999</v>
      </c>
      <c r="AA86">
        <v>0.20300000000000001</v>
      </c>
      <c r="AB86">
        <v>0.65200000000000002</v>
      </c>
      <c r="AC86">
        <v>0.56100000000000005</v>
      </c>
      <c r="AD86">
        <v>0.59099999999999997</v>
      </c>
      <c r="AE86">
        <v>0.33100000000000002</v>
      </c>
      <c r="AF86">
        <v>0.04</v>
      </c>
      <c r="AG86">
        <v>-0.85499999999999998</v>
      </c>
      <c r="AH86">
        <v>-0.58399999999999996</v>
      </c>
      <c r="AI86">
        <v>-0.80300000000000005</v>
      </c>
      <c r="AJ86">
        <v>0.03</v>
      </c>
      <c r="AK86">
        <v>-5.8000000000000003E-2</v>
      </c>
      <c r="AL86">
        <v>-0.50800000000000001</v>
      </c>
      <c r="AM86">
        <v>-0.123</v>
      </c>
      <c r="AN86">
        <v>0.42</v>
      </c>
      <c r="AO86">
        <v>-0.53800000000000003</v>
      </c>
      <c r="AP86">
        <v>-0.3</v>
      </c>
      <c r="AQ86">
        <v>0.38500000000000001</v>
      </c>
      <c r="AR86">
        <v>0.51900000000000002</v>
      </c>
      <c r="AS86">
        <v>0.18099999999999999</v>
      </c>
      <c r="AT86">
        <v>0.13200000000000001</v>
      </c>
      <c r="AU86">
        <v>-0.35699999999999998</v>
      </c>
      <c r="AV86">
        <v>0.55700000000000005</v>
      </c>
      <c r="AW86">
        <v>0.54400000000000004</v>
      </c>
      <c r="AX86">
        <v>0.26200000000000001</v>
      </c>
      <c r="AY86">
        <v>0.877</v>
      </c>
      <c r="AZ86">
        <v>1</v>
      </c>
      <c r="BA86">
        <v>0.64400000000000002</v>
      </c>
      <c r="BB86">
        <v>9.0999999999999998E-2</v>
      </c>
      <c r="BC86">
        <v>-6.0000000000000001E-3</v>
      </c>
      <c r="BD86">
        <v>0.51500000000000001</v>
      </c>
      <c r="BE86">
        <v>7.9000000000000001E-2</v>
      </c>
      <c r="BF86">
        <v>1</v>
      </c>
      <c r="BG86">
        <v>0.111</v>
      </c>
      <c r="BH86">
        <v>-3.2000000000000001E-2</v>
      </c>
      <c r="BI86">
        <v>-0.247</v>
      </c>
      <c r="BJ86">
        <v>0.52600000000000002</v>
      </c>
      <c r="BK86">
        <v>7.2999999999999995E-2</v>
      </c>
    </row>
    <row r="87" spans="1:63" x14ac:dyDescent="0.3">
      <c r="A87" t="s">
        <v>152</v>
      </c>
      <c r="B87">
        <v>0</v>
      </c>
      <c r="C87">
        <v>0</v>
      </c>
      <c r="K87" t="s">
        <v>108</v>
      </c>
      <c r="L87">
        <v>0.98599999999999999</v>
      </c>
      <c r="M87">
        <v>1.2969999999999999</v>
      </c>
      <c r="N87" t="s">
        <v>55</v>
      </c>
      <c r="O87">
        <v>0</v>
      </c>
      <c r="P87">
        <v>0</v>
      </c>
      <c r="Q87">
        <v>0</v>
      </c>
      <c r="R87">
        <v>-0.621</v>
      </c>
      <c r="S87">
        <v>-0.76400000000000001</v>
      </c>
      <c r="T87">
        <v>-0.72499999999999998</v>
      </c>
      <c r="U87">
        <v>-0.45300000000000001</v>
      </c>
      <c r="V87">
        <v>-0.70699999999999996</v>
      </c>
      <c r="W87">
        <v>0.04</v>
      </c>
      <c r="X87">
        <v>0.67300000000000004</v>
      </c>
      <c r="Y87">
        <v>-0.308</v>
      </c>
      <c r="Z87">
        <v>0.57099999999999995</v>
      </c>
      <c r="AA87">
        <v>0.56899999999999995</v>
      </c>
      <c r="AB87">
        <v>0.61499999999999999</v>
      </c>
      <c r="AC87">
        <v>0.72</v>
      </c>
      <c r="AD87">
        <v>0.57899999999999996</v>
      </c>
      <c r="AE87">
        <v>-0.26500000000000001</v>
      </c>
      <c r="AF87">
        <v>-0.52800000000000002</v>
      </c>
      <c r="AG87">
        <v>-0.70599999999999996</v>
      </c>
      <c r="AH87">
        <v>-0.76100000000000001</v>
      </c>
      <c r="AI87">
        <v>-0.70899999999999996</v>
      </c>
      <c r="AJ87">
        <v>-0.88100000000000001</v>
      </c>
      <c r="AK87">
        <v>-0.182</v>
      </c>
      <c r="AL87">
        <v>0.19400000000000001</v>
      </c>
      <c r="AM87">
        <v>-0.59899999999999998</v>
      </c>
      <c r="AN87">
        <v>-0.21299999999999999</v>
      </c>
      <c r="AO87">
        <v>-0.28999999999999998</v>
      </c>
      <c r="AP87">
        <v>1.4E-2</v>
      </c>
      <c r="AQ87">
        <v>-0.13600000000000001</v>
      </c>
      <c r="AR87">
        <v>0.17599999999999999</v>
      </c>
      <c r="AS87">
        <v>0.124</v>
      </c>
      <c r="AT87">
        <v>0.113</v>
      </c>
      <c r="AU87">
        <v>0.53700000000000003</v>
      </c>
      <c r="AV87">
        <v>2.1999999999999999E-2</v>
      </c>
      <c r="AW87">
        <v>0.9</v>
      </c>
      <c r="AX87">
        <v>-0.84499999999999997</v>
      </c>
      <c r="AY87">
        <v>0.438</v>
      </c>
      <c r="AZ87">
        <v>3.7999999999999999E-2</v>
      </c>
      <c r="BA87">
        <v>0.22900000000000001</v>
      </c>
      <c r="BB87">
        <v>-0.16400000000000001</v>
      </c>
      <c r="BC87">
        <v>-0.36799999999999999</v>
      </c>
      <c r="BD87">
        <v>0.35899999999999999</v>
      </c>
      <c r="BE87">
        <v>-0.192</v>
      </c>
      <c r="BF87">
        <v>4.1000000000000002E-2</v>
      </c>
      <c r="BG87">
        <v>0.86599999999999999</v>
      </c>
      <c r="BH87">
        <v>-0.36399999999999999</v>
      </c>
      <c r="BI87">
        <v>-0.34599999999999997</v>
      </c>
      <c r="BJ87">
        <v>1</v>
      </c>
      <c r="BK87">
        <v>5.3999999999999999E-2</v>
      </c>
    </row>
    <row r="88" spans="1:63" x14ac:dyDescent="0.3">
      <c r="A88" t="s">
        <v>226</v>
      </c>
      <c r="B88">
        <v>0</v>
      </c>
      <c r="C88">
        <v>9.2898533903836303E-2</v>
      </c>
      <c r="K88" t="s">
        <v>185</v>
      </c>
      <c r="L88">
        <v>0.97299999999999998</v>
      </c>
      <c r="M88">
        <v>2.1179999999999999</v>
      </c>
      <c r="N88" t="s">
        <v>55</v>
      </c>
      <c r="O88">
        <v>5.0999999999999997E-2</v>
      </c>
      <c r="P88">
        <v>2.3E-2</v>
      </c>
      <c r="Q88">
        <v>2.8000000000000001E-2</v>
      </c>
      <c r="R88">
        <v>-0.60599999999999998</v>
      </c>
      <c r="S88">
        <v>-0.51500000000000001</v>
      </c>
      <c r="T88">
        <v>-0.92200000000000004</v>
      </c>
      <c r="U88">
        <v>-0.45100000000000001</v>
      </c>
      <c r="V88">
        <v>-0.75900000000000001</v>
      </c>
      <c r="W88">
        <v>-7.0999999999999994E-2</v>
      </c>
      <c r="X88">
        <v>8.8999999999999996E-2</v>
      </c>
      <c r="Y88">
        <v>-0.13800000000000001</v>
      </c>
      <c r="Z88">
        <v>0.33500000000000002</v>
      </c>
      <c r="AA88">
        <v>0.33700000000000002</v>
      </c>
      <c r="AB88">
        <v>0.74099999999999999</v>
      </c>
      <c r="AC88">
        <v>0.79600000000000004</v>
      </c>
      <c r="AD88">
        <v>0.67200000000000004</v>
      </c>
      <c r="AE88">
        <v>-0.76600000000000001</v>
      </c>
      <c r="AF88">
        <v>-0.47</v>
      </c>
      <c r="AG88">
        <v>6.5000000000000002E-2</v>
      </c>
      <c r="AH88">
        <v>-0.94599999999999995</v>
      </c>
      <c r="AI88">
        <v>-0.435</v>
      </c>
      <c r="AJ88">
        <v>-0.93899999999999995</v>
      </c>
      <c r="AK88">
        <v>-0.34499999999999997</v>
      </c>
      <c r="AL88">
        <v>-0.23</v>
      </c>
      <c r="AM88">
        <v>-0.65900000000000003</v>
      </c>
      <c r="AN88">
        <v>-0.55400000000000005</v>
      </c>
      <c r="AO88">
        <v>0.40300000000000002</v>
      </c>
      <c r="AP88">
        <v>0.82399999999999995</v>
      </c>
      <c r="AQ88">
        <v>0.254</v>
      </c>
      <c r="AR88">
        <v>0.30099999999999999</v>
      </c>
      <c r="AS88">
        <v>0.45400000000000001</v>
      </c>
      <c r="AT88">
        <v>4.0000000000000001E-3</v>
      </c>
      <c r="AU88">
        <v>-0.29399999999999998</v>
      </c>
      <c r="AV88">
        <v>-0.27900000000000003</v>
      </c>
      <c r="AW88">
        <v>0.66200000000000003</v>
      </c>
      <c r="AX88">
        <v>-0.53800000000000003</v>
      </c>
      <c r="AY88">
        <v>0.94599999999999995</v>
      </c>
      <c r="AZ88">
        <v>1</v>
      </c>
      <c r="BA88">
        <v>0.56499999999999995</v>
      </c>
      <c r="BB88">
        <v>0.152</v>
      </c>
      <c r="BC88">
        <v>-0.38</v>
      </c>
      <c r="BD88">
        <v>0.38300000000000001</v>
      </c>
      <c r="BE88">
        <v>-0.23499999999999999</v>
      </c>
      <c r="BF88">
        <v>-0.18099999999999999</v>
      </c>
      <c r="BG88">
        <v>0.8</v>
      </c>
      <c r="BH88">
        <v>-0.89</v>
      </c>
      <c r="BI88">
        <v>-0.11700000000000001</v>
      </c>
      <c r="BJ88">
        <v>-0.37</v>
      </c>
      <c r="BK88">
        <v>-0.45100000000000001</v>
      </c>
    </row>
    <row r="89" spans="1:63" x14ac:dyDescent="0.3">
      <c r="A89" t="s">
        <v>151</v>
      </c>
      <c r="B89">
        <v>0</v>
      </c>
      <c r="C89">
        <v>0</v>
      </c>
      <c r="K89" t="s">
        <v>154</v>
      </c>
      <c r="L89">
        <v>0.97</v>
      </c>
      <c r="M89">
        <v>2.0950000000000002</v>
      </c>
      <c r="N89" t="s">
        <v>55</v>
      </c>
      <c r="O89">
        <v>4.3999999999999997E-2</v>
      </c>
      <c r="P89">
        <v>1.7999999999999999E-2</v>
      </c>
      <c r="Q89">
        <v>2.5999999999999999E-2</v>
      </c>
      <c r="R89">
        <v>-0.82</v>
      </c>
      <c r="S89">
        <v>-0.67300000000000004</v>
      </c>
      <c r="T89">
        <v>-0.93</v>
      </c>
      <c r="U89">
        <v>-0.627</v>
      </c>
      <c r="V89">
        <v>-0.75</v>
      </c>
      <c r="W89">
        <v>-0.24</v>
      </c>
      <c r="X89">
        <v>0.124</v>
      </c>
      <c r="Y89">
        <v>0.13200000000000001</v>
      </c>
      <c r="Z89">
        <v>0.54900000000000004</v>
      </c>
      <c r="AA89">
        <v>0.55200000000000005</v>
      </c>
      <c r="AB89">
        <v>0.64900000000000002</v>
      </c>
      <c r="AC89">
        <v>0.65500000000000003</v>
      </c>
      <c r="AD89">
        <v>0.58599999999999997</v>
      </c>
      <c r="AE89">
        <v>-0.77500000000000002</v>
      </c>
      <c r="AF89">
        <v>-0.68899999999999995</v>
      </c>
      <c r="AG89">
        <v>0.20200000000000001</v>
      </c>
      <c r="AH89">
        <v>-0.878</v>
      </c>
      <c r="AI89">
        <v>-0.496</v>
      </c>
      <c r="AJ89">
        <v>-0.96599999999999997</v>
      </c>
      <c r="AK89">
        <v>-0.32400000000000001</v>
      </c>
      <c r="AL89">
        <v>0.56499999999999995</v>
      </c>
      <c r="AM89">
        <v>-0.52200000000000002</v>
      </c>
      <c r="AN89">
        <v>-0.55000000000000004</v>
      </c>
      <c r="AO89">
        <v>0.27700000000000002</v>
      </c>
      <c r="AP89">
        <v>0.55900000000000005</v>
      </c>
      <c r="AQ89">
        <v>-0.23799999999999999</v>
      </c>
      <c r="AR89">
        <v>0.187</v>
      </c>
      <c r="AS89">
        <v>-0.246</v>
      </c>
      <c r="AT89">
        <v>0.2</v>
      </c>
      <c r="AU89">
        <v>-0.33100000000000002</v>
      </c>
      <c r="AV89">
        <v>-0.55800000000000005</v>
      </c>
      <c r="AW89">
        <v>0.55300000000000005</v>
      </c>
      <c r="AX89">
        <v>-0.59699999999999998</v>
      </c>
      <c r="AY89">
        <v>0.85299999999999998</v>
      </c>
      <c r="AZ89">
        <v>0.41</v>
      </c>
      <c r="BA89">
        <v>-0.40600000000000003</v>
      </c>
      <c r="BB89">
        <v>-0.432</v>
      </c>
      <c r="BC89">
        <v>-0.66500000000000004</v>
      </c>
      <c r="BD89">
        <v>0.222</v>
      </c>
      <c r="BE89">
        <v>8.5999999999999993E-2</v>
      </c>
      <c r="BF89">
        <v>0.25</v>
      </c>
      <c r="BG89">
        <v>0.98299999999999998</v>
      </c>
      <c r="BH89">
        <v>-0.65400000000000003</v>
      </c>
      <c r="BI89">
        <v>-0.29299999999999998</v>
      </c>
      <c r="BJ89">
        <v>-0.114</v>
      </c>
      <c r="BK89">
        <v>-0.378</v>
      </c>
    </row>
    <row r="90" spans="1:63" x14ac:dyDescent="0.3">
      <c r="A90" t="s">
        <v>203</v>
      </c>
      <c r="B90">
        <v>0</v>
      </c>
      <c r="C90">
        <v>0</v>
      </c>
      <c r="K90" t="s">
        <v>61</v>
      </c>
      <c r="L90">
        <v>0.92800000000000005</v>
      </c>
      <c r="M90">
        <v>1.0469999999999999</v>
      </c>
      <c r="N90" t="s">
        <v>57</v>
      </c>
      <c r="O90">
        <v>0</v>
      </c>
      <c r="P90">
        <v>0</v>
      </c>
      <c r="Q90">
        <v>0</v>
      </c>
      <c r="R90">
        <v>-0.434</v>
      </c>
      <c r="S90">
        <v>-0.75600000000000001</v>
      </c>
      <c r="T90">
        <v>-0.13900000000000001</v>
      </c>
      <c r="U90">
        <v>-0.52200000000000002</v>
      </c>
      <c r="V90">
        <v>-0.51700000000000002</v>
      </c>
      <c r="W90">
        <v>-0.113</v>
      </c>
      <c r="X90">
        <v>0.14799999999999999</v>
      </c>
      <c r="Y90">
        <v>-0.216</v>
      </c>
      <c r="Z90">
        <v>0.121</v>
      </c>
      <c r="AA90">
        <v>0.11799999999999999</v>
      </c>
      <c r="AB90">
        <v>0.434</v>
      </c>
      <c r="AC90">
        <v>0.66600000000000004</v>
      </c>
      <c r="AD90">
        <v>0.56100000000000005</v>
      </c>
      <c r="AE90">
        <v>-0.46</v>
      </c>
      <c r="AF90">
        <v>0.246</v>
      </c>
      <c r="AG90">
        <v>-0.54</v>
      </c>
      <c r="AH90">
        <v>8.9999999999999993E-3</v>
      </c>
      <c r="AI90">
        <v>0.20200000000000001</v>
      </c>
      <c r="AJ90">
        <v>-0.224</v>
      </c>
      <c r="AK90">
        <v>-0.246</v>
      </c>
      <c r="AL90">
        <v>0.64600000000000002</v>
      </c>
      <c r="AM90">
        <v>-0.56100000000000005</v>
      </c>
      <c r="AN90">
        <v>0.29499999999999998</v>
      </c>
      <c r="AO90">
        <v>-0.46500000000000002</v>
      </c>
      <c r="AP90">
        <v>-0.90600000000000003</v>
      </c>
      <c r="AQ90">
        <v>0.25600000000000001</v>
      </c>
      <c r="AR90">
        <v>9.7000000000000003E-2</v>
      </c>
      <c r="AS90">
        <v>-0.48199999999999998</v>
      </c>
      <c r="AT90">
        <v>8.8999999999999996E-2</v>
      </c>
      <c r="AU90">
        <v>-0.15</v>
      </c>
      <c r="AV90">
        <v>-0.54100000000000004</v>
      </c>
      <c r="AW90">
        <v>0.16700000000000001</v>
      </c>
      <c r="AX90">
        <v>0.188</v>
      </c>
      <c r="AY90">
        <v>0.434</v>
      </c>
      <c r="AZ90">
        <v>0.63900000000000001</v>
      </c>
      <c r="BA90">
        <v>0.41299999999999998</v>
      </c>
      <c r="BB90">
        <v>-0.42099999999999999</v>
      </c>
      <c r="BC90">
        <v>-0.34</v>
      </c>
      <c r="BD90">
        <v>-0.53100000000000003</v>
      </c>
      <c r="BE90">
        <v>0.76500000000000001</v>
      </c>
      <c r="BF90">
        <v>0.25900000000000001</v>
      </c>
      <c r="BG90">
        <v>0.73299999999999998</v>
      </c>
      <c r="BH90">
        <v>-0.81699999999999995</v>
      </c>
      <c r="BI90">
        <v>0.54400000000000004</v>
      </c>
      <c r="BJ90">
        <v>0.436</v>
      </c>
      <c r="BK90">
        <v>0.20799999999999999</v>
      </c>
    </row>
    <row r="91" spans="1:63" x14ac:dyDescent="0.3">
      <c r="A91" t="s">
        <v>114</v>
      </c>
      <c r="B91">
        <v>0</v>
      </c>
      <c r="C91">
        <v>0</v>
      </c>
      <c r="K91" t="s">
        <v>203</v>
      </c>
      <c r="L91">
        <v>0.90800000000000003</v>
      </c>
      <c r="M91">
        <v>0.95099999999999996</v>
      </c>
      <c r="N91" t="s">
        <v>53</v>
      </c>
      <c r="O91">
        <v>0</v>
      </c>
      <c r="P91">
        <v>0</v>
      </c>
      <c r="Q91">
        <v>0</v>
      </c>
      <c r="R91">
        <v>-0.221</v>
      </c>
      <c r="S91">
        <v>-0.45300000000000001</v>
      </c>
      <c r="T91">
        <v>-0.72099999999999997</v>
      </c>
      <c r="U91">
        <v>-0.25</v>
      </c>
      <c r="V91">
        <v>-0.63500000000000001</v>
      </c>
      <c r="W91">
        <v>2E-3</v>
      </c>
      <c r="X91">
        <v>0.29899999999999999</v>
      </c>
      <c r="Y91">
        <v>-0.52200000000000002</v>
      </c>
      <c r="Z91">
        <v>0.13700000000000001</v>
      </c>
      <c r="AA91">
        <v>0.13800000000000001</v>
      </c>
      <c r="AB91">
        <v>0.626</v>
      </c>
      <c r="AC91">
        <v>0.72199999999999998</v>
      </c>
      <c r="AD91">
        <v>0.56399999999999995</v>
      </c>
      <c r="AE91">
        <v>2.3E-2</v>
      </c>
      <c r="AF91">
        <v>-0.38100000000000001</v>
      </c>
      <c r="AG91">
        <v>-0.64900000000000002</v>
      </c>
      <c r="AH91">
        <v>-0.83</v>
      </c>
      <c r="AI91">
        <v>-0.77</v>
      </c>
      <c r="AJ91">
        <v>-0.78400000000000003</v>
      </c>
      <c r="AK91">
        <v>-0.17699999999999999</v>
      </c>
      <c r="AL91">
        <v>-0.35099999999999998</v>
      </c>
      <c r="AM91">
        <v>-0.51400000000000001</v>
      </c>
      <c r="AN91">
        <v>0.28000000000000003</v>
      </c>
      <c r="AO91">
        <v>-0.379</v>
      </c>
      <c r="AP91">
        <v>0.23899999999999999</v>
      </c>
      <c r="AQ91">
        <v>-1E-3</v>
      </c>
      <c r="AR91">
        <v>1</v>
      </c>
      <c r="AS91">
        <v>0.755</v>
      </c>
      <c r="AT91">
        <v>9.5000000000000001E-2</v>
      </c>
      <c r="AU91">
        <v>0.26</v>
      </c>
      <c r="AV91">
        <v>0.46</v>
      </c>
      <c r="AW91">
        <v>0.441</v>
      </c>
      <c r="AX91">
        <v>-0.36699999999999999</v>
      </c>
      <c r="AY91">
        <v>0.81499999999999995</v>
      </c>
      <c r="AZ91">
        <v>0.53600000000000003</v>
      </c>
      <c r="BA91">
        <v>0.92500000000000004</v>
      </c>
      <c r="BB91">
        <v>-0.127</v>
      </c>
      <c r="BC91">
        <v>-0.29899999999999999</v>
      </c>
      <c r="BD91">
        <v>0.39700000000000002</v>
      </c>
      <c r="BE91">
        <v>-0.76100000000000001</v>
      </c>
      <c r="BF91">
        <v>-0.16700000000000001</v>
      </c>
      <c r="BG91">
        <v>0.45900000000000002</v>
      </c>
      <c r="BH91">
        <v>0.109</v>
      </c>
      <c r="BI91">
        <v>-0.377</v>
      </c>
      <c r="BJ91">
        <v>8.0000000000000002E-3</v>
      </c>
      <c r="BK91">
        <v>-0.39</v>
      </c>
    </row>
    <row r="92" spans="1:63" x14ac:dyDescent="0.3">
      <c r="A92" t="s">
        <v>184</v>
      </c>
      <c r="B92">
        <v>8.1669708565292806E-2</v>
      </c>
      <c r="C92">
        <v>6.2975261973117896E-2</v>
      </c>
      <c r="K92" t="s">
        <v>210</v>
      </c>
      <c r="L92">
        <v>0.89200000000000002</v>
      </c>
      <c r="M92">
        <v>1.8089999999999999</v>
      </c>
      <c r="N92" t="s">
        <v>55</v>
      </c>
      <c r="O92">
        <v>4.8000000000000001E-2</v>
      </c>
      <c r="P92">
        <v>2.4E-2</v>
      </c>
      <c r="Q92">
        <v>2.4E-2</v>
      </c>
      <c r="R92">
        <v>-0.52300000000000002</v>
      </c>
      <c r="S92">
        <v>-0.47499999999999998</v>
      </c>
      <c r="T92">
        <v>-0.90600000000000003</v>
      </c>
      <c r="U92">
        <v>-0.34200000000000003</v>
      </c>
      <c r="V92">
        <v>-0.72199999999999998</v>
      </c>
      <c r="W92">
        <v>-0.11899999999999999</v>
      </c>
      <c r="X92">
        <v>0.109</v>
      </c>
      <c r="Y92">
        <v>-0.38100000000000001</v>
      </c>
      <c r="Z92">
        <v>0.33100000000000002</v>
      </c>
      <c r="AA92">
        <v>0.33300000000000002</v>
      </c>
      <c r="AB92">
        <v>0.78</v>
      </c>
      <c r="AC92">
        <v>0.92900000000000005</v>
      </c>
      <c r="AD92">
        <v>0.63600000000000001</v>
      </c>
      <c r="AE92">
        <v>-0.46</v>
      </c>
      <c r="AF92">
        <v>-0.252</v>
      </c>
      <c r="AG92">
        <v>1.4E-2</v>
      </c>
      <c r="AH92">
        <v>-1</v>
      </c>
      <c r="AI92">
        <v>-0.69199999999999995</v>
      </c>
      <c r="AJ92">
        <v>-0.86499999999999999</v>
      </c>
      <c r="AK92">
        <v>-0.378</v>
      </c>
      <c r="AL92">
        <v>-0.59699999999999998</v>
      </c>
      <c r="AM92">
        <v>-0.55300000000000005</v>
      </c>
      <c r="AN92">
        <v>-0.23400000000000001</v>
      </c>
      <c r="AO92">
        <v>0.28799999999999998</v>
      </c>
      <c r="AP92">
        <v>0.378</v>
      </c>
      <c r="AQ92">
        <v>0.46899999999999997</v>
      </c>
      <c r="AR92">
        <v>1</v>
      </c>
      <c r="AS92">
        <v>0.65</v>
      </c>
      <c r="AT92">
        <v>-0.216</v>
      </c>
      <c r="AU92">
        <v>2E-3</v>
      </c>
      <c r="AV92">
        <v>0.14499999999999999</v>
      </c>
      <c r="AW92">
        <v>0.252</v>
      </c>
      <c r="AX92">
        <v>-0.58199999999999996</v>
      </c>
      <c r="AY92">
        <v>0.63900000000000001</v>
      </c>
      <c r="AZ92">
        <v>0.32900000000000001</v>
      </c>
      <c r="BA92">
        <v>8.0000000000000002E-3</v>
      </c>
      <c r="BB92">
        <v>-7.3999999999999996E-2</v>
      </c>
      <c r="BC92">
        <v>-0.29499999999999998</v>
      </c>
      <c r="BD92">
        <v>0.71299999999999997</v>
      </c>
      <c r="BE92">
        <v>0.27300000000000002</v>
      </c>
      <c r="BF92">
        <v>0.71399999999999997</v>
      </c>
      <c r="BG92">
        <v>0.83499999999999996</v>
      </c>
      <c r="BH92">
        <v>-0.66600000000000004</v>
      </c>
      <c r="BI92">
        <v>7.0999999999999994E-2</v>
      </c>
      <c r="BJ92">
        <v>-0.26</v>
      </c>
      <c r="BK92">
        <v>-1</v>
      </c>
    </row>
    <row r="93" spans="1:63" x14ac:dyDescent="0.3">
      <c r="A93" t="s">
        <v>143</v>
      </c>
      <c r="B93">
        <v>0</v>
      </c>
      <c r="C93">
        <v>0</v>
      </c>
      <c r="K93" t="s">
        <v>111</v>
      </c>
      <c r="L93">
        <v>0.88500000000000001</v>
      </c>
      <c r="M93">
        <v>0.79700000000000004</v>
      </c>
      <c r="N93" t="s">
        <v>53</v>
      </c>
      <c r="O93">
        <v>0</v>
      </c>
      <c r="P93">
        <v>0</v>
      </c>
      <c r="Q93">
        <v>0</v>
      </c>
      <c r="R93">
        <v>-0.41699999999999998</v>
      </c>
      <c r="S93">
        <v>-0.189</v>
      </c>
      <c r="T93">
        <v>-0.32700000000000001</v>
      </c>
      <c r="U93">
        <v>-0.58799999999999997</v>
      </c>
      <c r="V93">
        <v>-0.41099999999999998</v>
      </c>
      <c r="W93">
        <v>-0.49199999999999999</v>
      </c>
      <c r="X93">
        <v>-0.371</v>
      </c>
      <c r="Y93">
        <v>-0.49299999999999999</v>
      </c>
      <c r="Z93">
        <v>0.379</v>
      </c>
      <c r="AA93">
        <v>0.375</v>
      </c>
      <c r="AB93">
        <v>0.88200000000000001</v>
      </c>
      <c r="AC93">
        <v>0.78300000000000003</v>
      </c>
      <c r="AD93">
        <v>0.72699999999999998</v>
      </c>
      <c r="AE93">
        <v>-0.56499999999999995</v>
      </c>
      <c r="AF93">
        <v>-0.53100000000000003</v>
      </c>
      <c r="AG93">
        <v>6.5000000000000002E-2</v>
      </c>
      <c r="AH93">
        <v>-0.188</v>
      </c>
      <c r="AI93">
        <v>0.60199999999999998</v>
      </c>
      <c r="AJ93">
        <v>-0.60299999999999998</v>
      </c>
      <c r="AK93">
        <v>-0.14399999999999999</v>
      </c>
      <c r="AL93">
        <v>-0.35899999999999999</v>
      </c>
      <c r="AM93">
        <v>0.13600000000000001</v>
      </c>
      <c r="AN93">
        <v>-0.16900000000000001</v>
      </c>
      <c r="AO93">
        <v>2.3E-2</v>
      </c>
      <c r="AP93">
        <v>0.193</v>
      </c>
      <c r="AQ93">
        <v>-0.14699999999999999</v>
      </c>
      <c r="AR93">
        <v>-0.12</v>
      </c>
      <c r="AS93">
        <v>-0.45400000000000001</v>
      </c>
      <c r="AT93">
        <v>8.9999999999999993E-3</v>
      </c>
      <c r="AU93">
        <v>-0.26300000000000001</v>
      </c>
      <c r="AV93">
        <v>-0.22600000000000001</v>
      </c>
      <c r="AW93">
        <v>0.31</v>
      </c>
      <c r="AX93">
        <v>-0.20699999999999999</v>
      </c>
      <c r="AY93">
        <v>0.55700000000000005</v>
      </c>
      <c r="AZ93">
        <v>-0.122</v>
      </c>
      <c r="BA93">
        <v>-0.24099999999999999</v>
      </c>
      <c r="BB93">
        <v>0.20499999999999999</v>
      </c>
      <c r="BC93">
        <v>7.5999999999999998E-2</v>
      </c>
      <c r="BD93">
        <v>0.437</v>
      </c>
      <c r="BE93">
        <v>0.372</v>
      </c>
      <c r="BF93">
        <v>0.79500000000000004</v>
      </c>
      <c r="BG93">
        <v>0.439</v>
      </c>
      <c r="BH93">
        <v>-8.4000000000000005E-2</v>
      </c>
      <c r="BI93">
        <v>0.38200000000000001</v>
      </c>
      <c r="BJ93">
        <v>0.55900000000000005</v>
      </c>
      <c r="BK93">
        <v>0.53300000000000003</v>
      </c>
    </row>
    <row r="94" spans="1:63" x14ac:dyDescent="0.3">
      <c r="A94" t="s">
        <v>163</v>
      </c>
      <c r="B94">
        <v>3.8757149386853901E-2</v>
      </c>
      <c r="C94">
        <v>1.7070737931926601E-2</v>
      </c>
      <c r="K94" t="s">
        <v>113</v>
      </c>
      <c r="L94">
        <v>0.88</v>
      </c>
      <c r="M94">
        <v>1.18</v>
      </c>
      <c r="N94" t="s">
        <v>57</v>
      </c>
      <c r="O94">
        <v>0</v>
      </c>
      <c r="P94">
        <v>0</v>
      </c>
      <c r="Q94">
        <v>0</v>
      </c>
      <c r="R94">
        <v>-0.60199999999999998</v>
      </c>
      <c r="S94">
        <v>-0.623</v>
      </c>
      <c r="T94">
        <v>-0.81899999999999995</v>
      </c>
      <c r="U94">
        <v>-0.55600000000000005</v>
      </c>
      <c r="V94">
        <v>-0.71599999999999997</v>
      </c>
      <c r="W94">
        <v>-0.20699999999999999</v>
      </c>
      <c r="X94">
        <v>2E-3</v>
      </c>
      <c r="Y94">
        <v>-0.29399999999999998</v>
      </c>
      <c r="Z94">
        <v>0.49199999999999999</v>
      </c>
      <c r="AA94">
        <v>0.49099999999999999</v>
      </c>
      <c r="AB94">
        <v>0.69699999999999995</v>
      </c>
      <c r="AC94">
        <v>0.79</v>
      </c>
      <c r="AD94">
        <v>0.66600000000000004</v>
      </c>
      <c r="AE94">
        <v>-0.61599999999999999</v>
      </c>
      <c r="AF94">
        <v>-0.24299999999999999</v>
      </c>
      <c r="AG94">
        <v>-8.3000000000000004E-2</v>
      </c>
      <c r="AH94">
        <v>-0.91</v>
      </c>
      <c r="AI94">
        <v>-0.90900000000000003</v>
      </c>
      <c r="AJ94">
        <v>-1</v>
      </c>
      <c r="AK94">
        <v>-0.19</v>
      </c>
      <c r="AL94">
        <v>0.19400000000000001</v>
      </c>
      <c r="AM94">
        <v>-4.1000000000000002E-2</v>
      </c>
      <c r="AN94">
        <v>0.115</v>
      </c>
      <c r="AO94">
        <v>-0.152</v>
      </c>
      <c r="AP94">
        <v>-0.20300000000000001</v>
      </c>
      <c r="AQ94">
        <v>3.9E-2</v>
      </c>
      <c r="AR94">
        <v>0.13500000000000001</v>
      </c>
      <c r="AS94">
        <v>0.41699999999999998</v>
      </c>
      <c r="AT94">
        <v>-0.156</v>
      </c>
      <c r="AU94">
        <v>-0.53</v>
      </c>
      <c r="AV94">
        <v>-0.39500000000000002</v>
      </c>
      <c r="AW94">
        <v>0.36699999999999999</v>
      </c>
      <c r="AX94">
        <v>-0.26600000000000001</v>
      </c>
      <c r="AY94">
        <v>5.8999999999999997E-2</v>
      </c>
      <c r="AZ94">
        <v>0.23599999999999999</v>
      </c>
      <c r="BA94">
        <v>0.73799999999999999</v>
      </c>
      <c r="BB94">
        <v>-0.28000000000000003</v>
      </c>
      <c r="BC94">
        <v>-0.154</v>
      </c>
      <c r="BD94">
        <v>0.42199999999999999</v>
      </c>
      <c r="BE94">
        <v>7.0000000000000001E-3</v>
      </c>
      <c r="BF94">
        <v>0.152</v>
      </c>
      <c r="BG94">
        <v>0.98399999999999999</v>
      </c>
      <c r="BH94">
        <v>-0.36499999999999999</v>
      </c>
      <c r="BI94">
        <v>-0.10199999999999999</v>
      </c>
      <c r="BJ94">
        <v>0.20599999999999999</v>
      </c>
      <c r="BK94">
        <v>-0.76500000000000001</v>
      </c>
    </row>
    <row r="95" spans="1:63" x14ac:dyDescent="0.3">
      <c r="A95" t="s">
        <v>105</v>
      </c>
      <c r="B95">
        <v>2.2304301798836398E-2</v>
      </c>
      <c r="C95">
        <v>0</v>
      </c>
      <c r="K95" t="s">
        <v>199</v>
      </c>
      <c r="L95">
        <v>0.85699999999999998</v>
      </c>
      <c r="M95">
        <v>1.0249999999999999</v>
      </c>
      <c r="N95" t="s">
        <v>55</v>
      </c>
      <c r="O95">
        <v>0</v>
      </c>
      <c r="P95">
        <v>0</v>
      </c>
      <c r="Q95">
        <v>0</v>
      </c>
      <c r="R95">
        <v>-0.32500000000000001</v>
      </c>
      <c r="S95">
        <v>-0.30199999999999999</v>
      </c>
      <c r="T95">
        <v>-0.8</v>
      </c>
      <c r="U95">
        <v>-0.252</v>
      </c>
      <c r="V95">
        <v>-0.63600000000000001</v>
      </c>
      <c r="W95">
        <v>-0.20499999999999999</v>
      </c>
      <c r="X95">
        <v>-9.6000000000000002E-2</v>
      </c>
      <c r="Y95">
        <v>-0.45300000000000001</v>
      </c>
      <c r="Z95">
        <v>0.38700000000000001</v>
      </c>
      <c r="AA95">
        <v>0.38100000000000001</v>
      </c>
      <c r="AB95">
        <v>0.52300000000000002</v>
      </c>
      <c r="AC95">
        <v>0.63200000000000001</v>
      </c>
      <c r="AD95">
        <v>0.55800000000000005</v>
      </c>
      <c r="AE95">
        <v>-0.51100000000000001</v>
      </c>
      <c r="AF95">
        <v>-0.35799999999999998</v>
      </c>
      <c r="AG95">
        <v>-0.14799999999999999</v>
      </c>
      <c r="AH95">
        <v>-0.86299999999999999</v>
      </c>
      <c r="AI95">
        <v>0.39600000000000002</v>
      </c>
      <c r="AJ95">
        <v>-0.55500000000000005</v>
      </c>
      <c r="AK95">
        <v>-0.48</v>
      </c>
      <c r="AL95">
        <v>-1</v>
      </c>
      <c r="AM95">
        <v>-0.88400000000000001</v>
      </c>
      <c r="AN95">
        <v>0.13300000000000001</v>
      </c>
      <c r="AO95">
        <v>0.56599999999999995</v>
      </c>
      <c r="AP95">
        <v>0.749</v>
      </c>
      <c r="AQ95">
        <v>0.64800000000000002</v>
      </c>
      <c r="AR95">
        <v>1</v>
      </c>
      <c r="AS95">
        <v>0.66300000000000003</v>
      </c>
      <c r="AT95">
        <v>-0.16600000000000001</v>
      </c>
      <c r="AU95">
        <v>5.8999999999999997E-2</v>
      </c>
      <c r="AV95">
        <v>0.41499999999999998</v>
      </c>
      <c r="AW95">
        <v>0.51100000000000001</v>
      </c>
      <c r="AX95">
        <v>-8.8999999999999996E-2</v>
      </c>
      <c r="AY95">
        <v>0.52</v>
      </c>
      <c r="AZ95">
        <v>0.17799999999999999</v>
      </c>
      <c r="BA95">
        <v>-0.23899999999999999</v>
      </c>
      <c r="BB95">
        <v>-0.71199999999999997</v>
      </c>
      <c r="BC95">
        <v>-0.83699999999999997</v>
      </c>
      <c r="BD95">
        <v>0.38700000000000001</v>
      </c>
      <c r="BE95">
        <v>-0.48</v>
      </c>
      <c r="BF95">
        <v>-0.51700000000000002</v>
      </c>
      <c r="BG95">
        <v>0.375</v>
      </c>
      <c r="BH95">
        <v>-0.70199999999999996</v>
      </c>
      <c r="BI95">
        <v>0.26300000000000001</v>
      </c>
      <c r="BJ95">
        <v>-9.1999999999999998E-2</v>
      </c>
      <c r="BK95">
        <v>0.29499999999999998</v>
      </c>
    </row>
    <row r="96" spans="1:63" x14ac:dyDescent="0.3">
      <c r="A96" t="s">
        <v>240</v>
      </c>
      <c r="B96">
        <v>0</v>
      </c>
      <c r="C96">
        <v>0</v>
      </c>
      <c r="K96" t="s">
        <v>244</v>
      </c>
      <c r="L96">
        <v>0.85</v>
      </c>
      <c r="M96">
        <v>0.60299999999999998</v>
      </c>
      <c r="N96" t="s">
        <v>57</v>
      </c>
      <c r="O96">
        <v>0</v>
      </c>
      <c r="P96">
        <v>0</v>
      </c>
      <c r="Q96">
        <v>0</v>
      </c>
      <c r="R96">
        <v>-0.13600000000000001</v>
      </c>
      <c r="S96">
        <v>0.76300000000000001</v>
      </c>
      <c r="T96">
        <v>-0.14599999999999999</v>
      </c>
      <c r="U96">
        <v>-0.59399999999999997</v>
      </c>
      <c r="V96">
        <v>-1.6E-2</v>
      </c>
      <c r="W96">
        <v>-0.749</v>
      </c>
      <c r="X96">
        <v>-0.83499999999999996</v>
      </c>
      <c r="Y96">
        <v>-0.74199999999999999</v>
      </c>
      <c r="Z96">
        <v>0.161</v>
      </c>
      <c r="AA96">
        <v>0.159</v>
      </c>
      <c r="AB96">
        <v>0.29899999999999999</v>
      </c>
      <c r="AC96">
        <v>1</v>
      </c>
      <c r="AD96">
        <v>0.79300000000000004</v>
      </c>
      <c r="AE96">
        <v>-0.69299999999999995</v>
      </c>
      <c r="AF96">
        <v>-9.4E-2</v>
      </c>
      <c r="AG96">
        <v>0.90600000000000003</v>
      </c>
      <c r="AH96">
        <v>0.48599999999999999</v>
      </c>
      <c r="AI96">
        <v>1</v>
      </c>
      <c r="AJ96">
        <v>-0.66900000000000004</v>
      </c>
      <c r="AK96">
        <v>0.13800000000000001</v>
      </c>
      <c r="AL96">
        <v>-1</v>
      </c>
      <c r="AM96">
        <v>0.997</v>
      </c>
      <c r="AN96">
        <v>-7.0999999999999994E-2</v>
      </c>
      <c r="AO96">
        <v>-2.4E-2</v>
      </c>
      <c r="AP96">
        <v>0.63400000000000001</v>
      </c>
      <c r="AQ96">
        <v>-0.3</v>
      </c>
      <c r="AR96">
        <v>0.48699999999999999</v>
      </c>
      <c r="AS96">
        <v>0.27300000000000002</v>
      </c>
      <c r="AT96">
        <v>-0.26100000000000001</v>
      </c>
      <c r="AU96">
        <v>-0.65500000000000003</v>
      </c>
      <c r="AV96">
        <v>-0.63100000000000001</v>
      </c>
      <c r="AW96">
        <v>-0.56999999999999995</v>
      </c>
      <c r="AX96">
        <v>-0.20799999999999999</v>
      </c>
      <c r="AY96">
        <v>-0.93899999999999995</v>
      </c>
      <c r="AZ96">
        <v>-1</v>
      </c>
      <c r="BA96">
        <v>2.1999999999999999E-2</v>
      </c>
      <c r="BB96">
        <v>0.318</v>
      </c>
      <c r="BC96">
        <v>0.30199999999999999</v>
      </c>
      <c r="BD96">
        <v>0.40100000000000002</v>
      </c>
      <c r="BE96">
        <v>1</v>
      </c>
      <c r="BF96">
        <v>0.436</v>
      </c>
      <c r="BG96">
        <v>0.156</v>
      </c>
      <c r="BH96">
        <v>1</v>
      </c>
      <c r="BI96">
        <v>0.248</v>
      </c>
      <c r="BJ96">
        <v>-0.19900000000000001</v>
      </c>
      <c r="BK96">
        <v>0.5</v>
      </c>
    </row>
    <row r="97" spans="1:63" x14ac:dyDescent="0.3">
      <c r="A97" t="s">
        <v>232</v>
      </c>
      <c r="B97">
        <v>0</v>
      </c>
      <c r="C97">
        <v>0</v>
      </c>
      <c r="K97" t="s">
        <v>151</v>
      </c>
      <c r="L97">
        <v>0.84799999999999998</v>
      </c>
      <c r="M97">
        <v>0.79200000000000004</v>
      </c>
      <c r="N97" t="s">
        <v>57</v>
      </c>
      <c r="O97">
        <v>0</v>
      </c>
      <c r="P97">
        <v>0</v>
      </c>
      <c r="Q97">
        <v>0</v>
      </c>
      <c r="R97">
        <v>-0.39</v>
      </c>
      <c r="S97">
        <v>-0.84599999999999997</v>
      </c>
      <c r="T97">
        <v>-0.59099999999999997</v>
      </c>
      <c r="U97">
        <v>-0.152</v>
      </c>
      <c r="V97">
        <v>-0.628</v>
      </c>
      <c r="W97">
        <v>-7.0999999999999994E-2</v>
      </c>
      <c r="X97">
        <v>8.8999999999999996E-2</v>
      </c>
      <c r="Y97">
        <v>-0.183</v>
      </c>
      <c r="Z97">
        <v>-2.1999999999999999E-2</v>
      </c>
      <c r="AA97">
        <v>-2.3E-2</v>
      </c>
      <c r="AB97">
        <v>0.62</v>
      </c>
      <c r="AC97">
        <v>0.51400000000000001</v>
      </c>
      <c r="AD97">
        <v>0.434</v>
      </c>
      <c r="AE97">
        <v>0.32300000000000001</v>
      </c>
      <c r="AF97">
        <v>0.46300000000000002</v>
      </c>
      <c r="AG97">
        <v>-0.84799999999999998</v>
      </c>
      <c r="AH97">
        <v>-0.44900000000000001</v>
      </c>
      <c r="AI97">
        <v>-0.65500000000000003</v>
      </c>
      <c r="AJ97">
        <v>-0.50900000000000001</v>
      </c>
      <c r="AK97">
        <v>-0.1</v>
      </c>
      <c r="AL97">
        <v>0.58099999999999996</v>
      </c>
      <c r="AM97">
        <v>-0.73299999999999998</v>
      </c>
      <c r="AN97">
        <v>0.496</v>
      </c>
      <c r="AO97">
        <v>-0.59399999999999997</v>
      </c>
      <c r="AP97">
        <v>-0.39300000000000002</v>
      </c>
      <c r="AQ97">
        <v>0.42099999999999999</v>
      </c>
      <c r="AR97">
        <v>0.36</v>
      </c>
      <c r="AS97">
        <v>-6.0000000000000001E-3</v>
      </c>
      <c r="AT97">
        <v>0.26500000000000001</v>
      </c>
      <c r="AU97">
        <v>0</v>
      </c>
      <c r="AV97">
        <v>0.23699999999999999</v>
      </c>
      <c r="AW97">
        <v>6.0000000000000001E-3</v>
      </c>
      <c r="AX97">
        <v>-2.9000000000000001E-2</v>
      </c>
      <c r="AY97">
        <v>0.64700000000000002</v>
      </c>
      <c r="AZ97">
        <v>1</v>
      </c>
      <c r="BA97">
        <v>8.8999999999999996E-2</v>
      </c>
      <c r="BB97">
        <v>-0.38700000000000001</v>
      </c>
      <c r="BC97">
        <v>-0.10299999999999999</v>
      </c>
      <c r="BD97">
        <v>7.3999999999999996E-2</v>
      </c>
      <c r="BE97">
        <v>-0.183</v>
      </c>
      <c r="BF97">
        <v>-0.36699999999999999</v>
      </c>
      <c r="BG97">
        <v>0.108</v>
      </c>
      <c r="BH97">
        <v>-0.95499999999999996</v>
      </c>
      <c r="BI97">
        <v>0.66400000000000003</v>
      </c>
      <c r="BJ97">
        <v>-0.72699999999999998</v>
      </c>
      <c r="BK97">
        <v>-0.22900000000000001</v>
      </c>
    </row>
    <row r="98" spans="1:63" x14ac:dyDescent="0.3">
      <c r="A98" t="s">
        <v>93</v>
      </c>
      <c r="B98">
        <v>7.9504344986672595E-2</v>
      </c>
      <c r="C98">
        <v>0</v>
      </c>
      <c r="K98" t="s">
        <v>138</v>
      </c>
      <c r="L98">
        <v>0.84499999999999997</v>
      </c>
      <c r="M98">
        <v>0.82299999999999995</v>
      </c>
      <c r="N98" t="s">
        <v>71</v>
      </c>
      <c r="O98">
        <v>0</v>
      </c>
      <c r="P98">
        <v>0</v>
      </c>
      <c r="Q98">
        <v>0</v>
      </c>
      <c r="R98">
        <v>-0.54</v>
      </c>
      <c r="S98">
        <v>-0.4</v>
      </c>
      <c r="T98">
        <v>-0.36099999999999999</v>
      </c>
      <c r="U98">
        <v>-0.71299999999999997</v>
      </c>
      <c r="V98">
        <v>-0.55000000000000004</v>
      </c>
      <c r="W98">
        <v>-0.34899999999999998</v>
      </c>
      <c r="X98">
        <v>-0.501</v>
      </c>
      <c r="Y98">
        <v>-0.312</v>
      </c>
      <c r="Z98">
        <v>0.45200000000000001</v>
      </c>
      <c r="AA98">
        <v>0.44400000000000001</v>
      </c>
      <c r="AB98">
        <v>0.50800000000000001</v>
      </c>
      <c r="AC98">
        <v>0.66700000000000004</v>
      </c>
      <c r="AD98">
        <v>0.71599999999999997</v>
      </c>
      <c r="AE98">
        <v>-0.48699999999999999</v>
      </c>
      <c r="AF98">
        <v>-0.96</v>
      </c>
      <c r="AG98">
        <v>-0.45</v>
      </c>
      <c r="AH98">
        <v>-0.11</v>
      </c>
      <c r="AI98">
        <v>7.3999999999999996E-2</v>
      </c>
      <c r="AJ98">
        <v>-0.36499999999999999</v>
      </c>
      <c r="AK98">
        <v>-0.17100000000000001</v>
      </c>
      <c r="AL98">
        <v>0.25900000000000001</v>
      </c>
      <c r="AM98">
        <v>-8.5999999999999993E-2</v>
      </c>
      <c r="AN98">
        <v>-0.106</v>
      </c>
      <c r="AO98">
        <v>4.0000000000000001E-3</v>
      </c>
      <c r="AP98">
        <v>4.9000000000000002E-2</v>
      </c>
      <c r="AQ98">
        <v>-0.91300000000000003</v>
      </c>
      <c r="AR98">
        <v>-0.23100000000000001</v>
      </c>
      <c r="AS98">
        <v>-0.16400000000000001</v>
      </c>
      <c r="AT98">
        <v>-8.3000000000000004E-2</v>
      </c>
      <c r="AU98">
        <v>-0.501</v>
      </c>
      <c r="AV98">
        <v>-0.224</v>
      </c>
      <c r="AW98">
        <v>0.39300000000000002</v>
      </c>
      <c r="AX98">
        <v>0.498</v>
      </c>
      <c r="AY98">
        <v>0.82099999999999995</v>
      </c>
      <c r="AZ98">
        <v>-1.9E-2</v>
      </c>
      <c r="BA98">
        <v>0.83</v>
      </c>
      <c r="BB98">
        <v>0.186</v>
      </c>
      <c r="BC98">
        <v>0.17199999999999999</v>
      </c>
      <c r="BD98">
        <v>0.36199999999999999</v>
      </c>
      <c r="BE98">
        <v>0.48599999999999999</v>
      </c>
      <c r="BF98">
        <v>1</v>
      </c>
      <c r="BG98">
        <v>0.29799999999999999</v>
      </c>
      <c r="BH98">
        <v>-3.5000000000000003E-2</v>
      </c>
      <c r="BI98">
        <v>-0.69399999999999995</v>
      </c>
      <c r="BJ98">
        <v>0.65</v>
      </c>
      <c r="BK98">
        <v>0.63700000000000001</v>
      </c>
    </row>
    <row r="99" spans="1:63" x14ac:dyDescent="0.3">
      <c r="A99" t="s">
        <v>157</v>
      </c>
      <c r="B99">
        <v>0</v>
      </c>
      <c r="C99">
        <v>0</v>
      </c>
      <c r="K99" t="s">
        <v>117</v>
      </c>
      <c r="L99">
        <v>0.84299999999999997</v>
      </c>
      <c r="M99">
        <v>1.5880000000000001</v>
      </c>
      <c r="N99" t="s">
        <v>55</v>
      </c>
      <c r="O99">
        <v>4.2999999999999997E-2</v>
      </c>
      <c r="P99">
        <v>2.5999999999999999E-2</v>
      </c>
      <c r="Q99">
        <v>1.7999999999999999E-2</v>
      </c>
      <c r="R99">
        <v>-0.73899999999999999</v>
      </c>
      <c r="S99">
        <v>-0.73399999999999999</v>
      </c>
      <c r="T99">
        <v>-0.90100000000000002</v>
      </c>
      <c r="U99">
        <v>-0.495</v>
      </c>
      <c r="V99">
        <v>-0.75700000000000001</v>
      </c>
      <c r="W99">
        <v>-0.29199999999999998</v>
      </c>
      <c r="X99">
        <v>7.0999999999999994E-2</v>
      </c>
      <c r="Y99">
        <v>-0.18</v>
      </c>
      <c r="Z99">
        <v>0.50700000000000001</v>
      </c>
      <c r="AA99">
        <v>0.50800000000000001</v>
      </c>
      <c r="AB99">
        <v>0.70799999999999996</v>
      </c>
      <c r="AC99">
        <v>0.747</v>
      </c>
      <c r="AD99">
        <v>0.59699999999999998</v>
      </c>
      <c r="AE99">
        <v>-0.54100000000000004</v>
      </c>
      <c r="AF99">
        <v>-0.63400000000000001</v>
      </c>
      <c r="AG99">
        <v>-0.17899999999999999</v>
      </c>
      <c r="AH99">
        <v>-0.92500000000000004</v>
      </c>
      <c r="AI99">
        <v>-0.68700000000000006</v>
      </c>
      <c r="AJ99">
        <v>-0.95199999999999996</v>
      </c>
      <c r="AK99">
        <v>-0.26200000000000001</v>
      </c>
      <c r="AL99">
        <v>0.11899999999999999</v>
      </c>
      <c r="AM99">
        <v>-0.66700000000000004</v>
      </c>
      <c r="AN99">
        <v>-0.498</v>
      </c>
      <c r="AO99">
        <v>0.16</v>
      </c>
      <c r="AP99">
        <v>0.29399999999999998</v>
      </c>
      <c r="AQ99">
        <v>-0.128</v>
      </c>
      <c r="AR99">
        <v>0.315</v>
      </c>
      <c r="AS99">
        <v>0.28000000000000003</v>
      </c>
      <c r="AT99">
        <v>0.371</v>
      </c>
      <c r="AU99">
        <v>-0.113</v>
      </c>
      <c r="AV99">
        <v>-0.109</v>
      </c>
      <c r="AW99">
        <v>0.73199999999999998</v>
      </c>
      <c r="AX99">
        <v>-0.54500000000000004</v>
      </c>
      <c r="AY99">
        <v>0.94199999999999995</v>
      </c>
      <c r="AZ99">
        <v>-0.13700000000000001</v>
      </c>
      <c r="BA99">
        <v>0.126</v>
      </c>
      <c r="BB99">
        <v>-0.28399999999999997</v>
      </c>
      <c r="BC99">
        <v>-0.33900000000000002</v>
      </c>
      <c r="BD99">
        <v>0.376</v>
      </c>
      <c r="BE99">
        <v>-2.3E-2</v>
      </c>
      <c r="BF99">
        <v>-0.57599999999999996</v>
      </c>
      <c r="BG99">
        <v>0.54400000000000004</v>
      </c>
      <c r="BH99">
        <v>-0.624</v>
      </c>
      <c r="BI99">
        <v>3.0000000000000001E-3</v>
      </c>
      <c r="BJ99">
        <v>0.14599999999999999</v>
      </c>
      <c r="BK99">
        <v>-0.51300000000000001</v>
      </c>
    </row>
    <row r="100" spans="1:63" x14ac:dyDescent="0.3">
      <c r="A100" t="s">
        <v>149</v>
      </c>
      <c r="B100">
        <v>0</v>
      </c>
      <c r="C100">
        <v>0</v>
      </c>
      <c r="K100" t="s">
        <v>135</v>
      </c>
      <c r="L100">
        <v>0.84099999999999997</v>
      </c>
      <c r="M100">
        <v>1.8320000000000001</v>
      </c>
      <c r="N100" t="s">
        <v>57</v>
      </c>
      <c r="O100">
        <v>5.2999999999999999E-2</v>
      </c>
      <c r="P100">
        <v>2.5000000000000001E-2</v>
      </c>
      <c r="Q100">
        <v>2.8000000000000001E-2</v>
      </c>
      <c r="R100">
        <v>-0.70299999999999996</v>
      </c>
      <c r="S100">
        <v>-0.749</v>
      </c>
      <c r="T100">
        <v>-0.9</v>
      </c>
      <c r="U100">
        <v>-0.48699999999999999</v>
      </c>
      <c r="V100">
        <v>-0.75800000000000001</v>
      </c>
      <c r="W100">
        <v>-0.23400000000000001</v>
      </c>
      <c r="X100">
        <v>8.2000000000000003E-2</v>
      </c>
      <c r="Y100">
        <v>-0.20200000000000001</v>
      </c>
      <c r="Z100">
        <v>0.38600000000000001</v>
      </c>
      <c r="AA100">
        <v>0.38400000000000001</v>
      </c>
      <c r="AB100">
        <v>0.73499999999999999</v>
      </c>
      <c r="AC100">
        <v>0.78200000000000003</v>
      </c>
      <c r="AD100">
        <v>0.61799999999999999</v>
      </c>
      <c r="AE100">
        <v>-0.60699999999999998</v>
      </c>
      <c r="AF100">
        <v>0.106</v>
      </c>
      <c r="AG100">
        <v>-0.156</v>
      </c>
      <c r="AH100">
        <v>-0.94699999999999995</v>
      </c>
      <c r="AI100">
        <v>-0.872</v>
      </c>
      <c r="AJ100">
        <v>-0.97299999999999998</v>
      </c>
      <c r="AK100">
        <v>-0.23100000000000001</v>
      </c>
      <c r="AL100">
        <v>7.3999999999999996E-2</v>
      </c>
      <c r="AM100">
        <v>-0.52700000000000002</v>
      </c>
      <c r="AN100">
        <v>-7.2999999999999995E-2</v>
      </c>
      <c r="AO100">
        <v>0.14799999999999999</v>
      </c>
      <c r="AP100">
        <v>-0.34399999999999997</v>
      </c>
      <c r="AQ100">
        <v>0.26</v>
      </c>
      <c r="AR100">
        <v>0.26900000000000002</v>
      </c>
      <c r="AS100">
        <v>-0.112</v>
      </c>
      <c r="AT100">
        <v>-7.3999999999999996E-2</v>
      </c>
      <c r="AU100">
        <v>-0.20399999999999999</v>
      </c>
      <c r="AV100">
        <v>-0.23599999999999999</v>
      </c>
      <c r="AW100">
        <v>0.44400000000000001</v>
      </c>
      <c r="AX100">
        <v>-0.437</v>
      </c>
      <c r="AY100">
        <v>0.83399999999999996</v>
      </c>
      <c r="AZ100">
        <v>0.44500000000000001</v>
      </c>
      <c r="BA100">
        <v>0.64800000000000002</v>
      </c>
      <c r="BB100">
        <v>-0.36799999999999999</v>
      </c>
      <c r="BC100">
        <v>-0.192</v>
      </c>
      <c r="BD100">
        <v>0.30299999999999999</v>
      </c>
      <c r="BE100">
        <v>5.0000000000000001E-3</v>
      </c>
      <c r="BF100">
        <v>-4.1000000000000002E-2</v>
      </c>
      <c r="BG100">
        <v>0.90900000000000003</v>
      </c>
      <c r="BH100">
        <v>-0.71199999999999997</v>
      </c>
      <c r="BI100">
        <v>-0.153</v>
      </c>
      <c r="BJ100">
        <v>-0.184</v>
      </c>
      <c r="BK100">
        <v>-0.93899999999999995</v>
      </c>
    </row>
    <row r="101" spans="1:63" x14ac:dyDescent="0.3">
      <c r="A101" t="s">
        <v>132</v>
      </c>
      <c r="B101">
        <v>0</v>
      </c>
      <c r="C101">
        <v>0</v>
      </c>
      <c r="K101" t="s">
        <v>182</v>
      </c>
      <c r="L101">
        <v>0.83599999999999997</v>
      </c>
      <c r="M101">
        <v>0.98799999999999999</v>
      </c>
      <c r="N101" t="s">
        <v>71</v>
      </c>
      <c r="O101">
        <v>0</v>
      </c>
      <c r="P101">
        <v>0</v>
      </c>
      <c r="Q101">
        <v>0</v>
      </c>
      <c r="R101">
        <v>-0.85599999999999998</v>
      </c>
      <c r="S101">
        <v>-0.55900000000000005</v>
      </c>
      <c r="T101">
        <v>-0.98399999999999999</v>
      </c>
      <c r="U101">
        <v>-0.65300000000000002</v>
      </c>
      <c r="V101">
        <v>-0.76100000000000001</v>
      </c>
      <c r="W101">
        <v>-0.56699999999999995</v>
      </c>
      <c r="X101">
        <v>-0.42899999999999999</v>
      </c>
      <c r="Y101">
        <v>-8.0000000000000002E-3</v>
      </c>
      <c r="Z101">
        <v>0.64400000000000002</v>
      </c>
      <c r="AA101">
        <v>0.64200000000000002</v>
      </c>
      <c r="AB101">
        <v>0.73799999999999999</v>
      </c>
      <c r="AC101">
        <v>0.72499999999999998</v>
      </c>
      <c r="AD101">
        <v>0.69299999999999995</v>
      </c>
      <c r="AE101">
        <v>-0.70199999999999996</v>
      </c>
      <c r="AF101">
        <v>-0.92900000000000005</v>
      </c>
      <c r="AG101">
        <v>0.157</v>
      </c>
      <c r="AH101">
        <v>-1</v>
      </c>
      <c r="AI101">
        <v>-0.69599999999999995</v>
      </c>
      <c r="AJ101">
        <v>-1</v>
      </c>
      <c r="AK101">
        <v>-0.26500000000000001</v>
      </c>
      <c r="AL101">
        <v>0.104</v>
      </c>
      <c r="AM101">
        <v>-0.6</v>
      </c>
      <c r="AN101">
        <v>-0.68500000000000005</v>
      </c>
      <c r="AO101">
        <v>0.81899999999999995</v>
      </c>
      <c r="AP101">
        <v>0.11700000000000001</v>
      </c>
      <c r="AQ101">
        <v>-0.83699999999999997</v>
      </c>
      <c r="AR101">
        <v>0.433</v>
      </c>
      <c r="AS101">
        <v>0.34899999999999998</v>
      </c>
      <c r="AT101">
        <v>9.0999999999999998E-2</v>
      </c>
      <c r="AU101">
        <v>-0.17499999999999999</v>
      </c>
      <c r="AV101">
        <v>-0.221</v>
      </c>
      <c r="AW101">
        <v>0.58299999999999996</v>
      </c>
      <c r="AX101">
        <v>-0.185</v>
      </c>
      <c r="AY101">
        <v>0.54400000000000004</v>
      </c>
      <c r="AZ101">
        <v>-0.95399999999999996</v>
      </c>
      <c r="BA101">
        <v>-0.17199999999999999</v>
      </c>
      <c r="BB101">
        <v>0.17100000000000001</v>
      </c>
      <c r="BC101">
        <v>0.123</v>
      </c>
      <c r="BD101">
        <v>0.59899999999999998</v>
      </c>
      <c r="BE101">
        <v>-0.57699999999999996</v>
      </c>
      <c r="BF101">
        <v>0.436</v>
      </c>
      <c r="BG101">
        <v>0.39</v>
      </c>
      <c r="BH101">
        <v>-0.36499999999999999</v>
      </c>
      <c r="BI101">
        <v>-0.46400000000000002</v>
      </c>
      <c r="BJ101">
        <v>-0.38600000000000001</v>
      </c>
      <c r="BK101">
        <v>-1</v>
      </c>
    </row>
    <row r="102" spans="1:63" x14ac:dyDescent="0.3">
      <c r="A102" t="s">
        <v>211</v>
      </c>
      <c r="B102">
        <v>0</v>
      </c>
      <c r="C102">
        <v>0</v>
      </c>
      <c r="K102" t="s">
        <v>122</v>
      </c>
      <c r="L102">
        <v>0.83399999999999996</v>
      </c>
      <c r="M102">
        <v>0.77200000000000002</v>
      </c>
      <c r="N102" t="s">
        <v>57</v>
      </c>
      <c r="O102">
        <v>0</v>
      </c>
      <c r="P102">
        <v>0</v>
      </c>
      <c r="Q102">
        <v>0</v>
      </c>
      <c r="R102">
        <v>-0.34799999999999998</v>
      </c>
      <c r="S102">
        <v>-0.48799999999999999</v>
      </c>
      <c r="T102">
        <v>-0.10199999999999999</v>
      </c>
      <c r="U102">
        <v>-0.69499999999999995</v>
      </c>
      <c r="V102">
        <v>-0.6</v>
      </c>
      <c r="W102">
        <v>-0.253</v>
      </c>
      <c r="X102">
        <v>-0.126</v>
      </c>
      <c r="Y102">
        <v>-0.31</v>
      </c>
      <c r="Z102">
        <v>-7.0000000000000001E-3</v>
      </c>
      <c r="AA102">
        <v>-7.0000000000000001E-3</v>
      </c>
      <c r="AB102">
        <v>0.50600000000000001</v>
      </c>
      <c r="AC102">
        <v>0.44800000000000001</v>
      </c>
      <c r="AD102">
        <v>0.60199999999999998</v>
      </c>
      <c r="AE102">
        <v>-0.51200000000000001</v>
      </c>
      <c r="AF102">
        <v>-0.83</v>
      </c>
      <c r="AG102">
        <v>-0.755</v>
      </c>
      <c r="AH102">
        <v>-0.39800000000000002</v>
      </c>
      <c r="AI102">
        <v>0.28999999999999998</v>
      </c>
      <c r="AJ102">
        <v>0.63700000000000001</v>
      </c>
      <c r="AK102">
        <v>-0.72799999999999998</v>
      </c>
      <c r="AL102">
        <v>0.25700000000000001</v>
      </c>
      <c r="AM102">
        <v>-0.65600000000000003</v>
      </c>
      <c r="AN102">
        <v>-0.19400000000000001</v>
      </c>
      <c r="AO102">
        <v>-0.219</v>
      </c>
      <c r="AP102">
        <v>0.29399999999999998</v>
      </c>
      <c r="AQ102">
        <v>-0.29599999999999999</v>
      </c>
      <c r="AR102">
        <v>0.122</v>
      </c>
      <c r="AS102">
        <v>-0.156</v>
      </c>
      <c r="AT102">
        <v>-0.33500000000000002</v>
      </c>
      <c r="AU102">
        <v>0.188</v>
      </c>
      <c r="AV102">
        <v>-0.27300000000000002</v>
      </c>
      <c r="AW102">
        <v>0.53400000000000003</v>
      </c>
      <c r="AX102">
        <v>1</v>
      </c>
      <c r="AY102">
        <v>-0.14199999999999999</v>
      </c>
      <c r="AZ102">
        <v>1</v>
      </c>
      <c r="BA102">
        <v>0.501</v>
      </c>
      <c r="BB102">
        <v>-0.32</v>
      </c>
      <c r="BC102">
        <v>0.34200000000000003</v>
      </c>
      <c r="BD102">
        <v>-0.436</v>
      </c>
      <c r="BE102">
        <v>-3.3000000000000002E-2</v>
      </c>
      <c r="BF102">
        <v>-0.55000000000000004</v>
      </c>
      <c r="BG102">
        <v>0.372</v>
      </c>
      <c r="BH102">
        <v>-0.57399999999999995</v>
      </c>
      <c r="BI102">
        <v>-0.54600000000000004</v>
      </c>
      <c r="BJ102">
        <v>0.63200000000000001</v>
      </c>
      <c r="BK102">
        <v>0.76800000000000002</v>
      </c>
    </row>
    <row r="103" spans="1:63" x14ac:dyDescent="0.3">
      <c r="A103" t="s">
        <v>202</v>
      </c>
      <c r="B103">
        <v>0</v>
      </c>
      <c r="C103">
        <v>0</v>
      </c>
      <c r="K103" t="s">
        <v>179</v>
      </c>
      <c r="L103">
        <v>0.80600000000000005</v>
      </c>
      <c r="M103">
        <v>0.69899999999999995</v>
      </c>
      <c r="N103" t="s">
        <v>71</v>
      </c>
      <c r="O103">
        <v>1.7000000000000001E-2</v>
      </c>
      <c r="P103">
        <v>6.0000000000000001E-3</v>
      </c>
      <c r="Q103">
        <v>1.0999999999999999E-2</v>
      </c>
      <c r="R103">
        <v>-0.622</v>
      </c>
      <c r="S103">
        <v>0.11799999999999999</v>
      </c>
      <c r="T103">
        <v>-0.86799999999999999</v>
      </c>
      <c r="U103">
        <v>-0.41199999999999998</v>
      </c>
      <c r="V103">
        <v>-0.35899999999999999</v>
      </c>
      <c r="W103">
        <v>-0.751</v>
      </c>
      <c r="X103">
        <v>-0.871</v>
      </c>
      <c r="Y103">
        <v>-0.21</v>
      </c>
      <c r="Z103">
        <v>0.33400000000000002</v>
      </c>
      <c r="AA103">
        <v>0.33600000000000002</v>
      </c>
      <c r="AB103">
        <v>0.45900000000000002</v>
      </c>
      <c r="AC103">
        <v>0.66700000000000004</v>
      </c>
      <c r="AD103">
        <v>0.78300000000000003</v>
      </c>
      <c r="AE103">
        <v>-0.21</v>
      </c>
      <c r="AF103">
        <v>-0.49099999999999999</v>
      </c>
      <c r="AG103">
        <v>1</v>
      </c>
      <c r="AH103">
        <v>-0.73099999999999998</v>
      </c>
      <c r="AI103">
        <v>-0.19600000000000001</v>
      </c>
      <c r="AJ103">
        <v>-0.92600000000000005</v>
      </c>
      <c r="AK103">
        <v>-0.254</v>
      </c>
      <c r="AL103">
        <v>-0.64500000000000002</v>
      </c>
      <c r="AM103">
        <v>0.224</v>
      </c>
      <c r="AN103">
        <v>-0.46100000000000002</v>
      </c>
      <c r="AO103">
        <v>0.67300000000000004</v>
      </c>
      <c r="AP103">
        <v>0.70299999999999996</v>
      </c>
      <c r="AQ103">
        <v>-0.53500000000000003</v>
      </c>
      <c r="AR103">
        <v>1</v>
      </c>
      <c r="AS103">
        <v>0.155</v>
      </c>
      <c r="AT103">
        <v>-0.11799999999999999</v>
      </c>
      <c r="AU103">
        <v>-0.8</v>
      </c>
      <c r="AV103">
        <v>0.05</v>
      </c>
      <c r="AW103">
        <v>-0.114</v>
      </c>
      <c r="AX103">
        <v>0.124</v>
      </c>
      <c r="AY103">
        <v>0.622</v>
      </c>
      <c r="AZ103">
        <v>-1</v>
      </c>
      <c r="BA103">
        <v>0.13700000000000001</v>
      </c>
      <c r="BB103">
        <v>0.50600000000000001</v>
      </c>
      <c r="BC103">
        <v>0.26600000000000001</v>
      </c>
      <c r="BD103">
        <v>0.81599999999999995</v>
      </c>
      <c r="BE103">
        <v>-1</v>
      </c>
      <c r="BF103">
        <v>0.29599999999999999</v>
      </c>
      <c r="BG103">
        <v>-0.58199999999999996</v>
      </c>
      <c r="BH103">
        <v>-1.0999999999999999E-2</v>
      </c>
      <c r="BI103">
        <v>-0.28899999999999998</v>
      </c>
      <c r="BJ103">
        <v>-0.41699999999999998</v>
      </c>
      <c r="BK103">
        <v>-8.9999999999999993E-3</v>
      </c>
    </row>
    <row r="104" spans="1:63" x14ac:dyDescent="0.3">
      <c r="A104" t="s">
        <v>95</v>
      </c>
      <c r="B104">
        <v>0</v>
      </c>
      <c r="C104">
        <v>0</v>
      </c>
      <c r="K104" t="s">
        <v>88</v>
      </c>
      <c r="L104">
        <v>0.80300000000000005</v>
      </c>
      <c r="M104">
        <v>0.97499999999999998</v>
      </c>
      <c r="N104" t="s">
        <v>53</v>
      </c>
      <c r="O104">
        <v>3.2000000000000001E-2</v>
      </c>
      <c r="P104">
        <v>3.1E-2</v>
      </c>
      <c r="Q104">
        <v>2E-3</v>
      </c>
      <c r="R104">
        <v>-0.623</v>
      </c>
      <c r="S104">
        <v>-0.63400000000000001</v>
      </c>
      <c r="T104">
        <v>-0.54100000000000004</v>
      </c>
      <c r="U104">
        <v>-0.62</v>
      </c>
      <c r="V104">
        <v>-0.63600000000000001</v>
      </c>
      <c r="W104">
        <v>-0.35</v>
      </c>
      <c r="X104">
        <v>3.1E-2</v>
      </c>
      <c r="Y104">
        <v>-0.39300000000000002</v>
      </c>
      <c r="Z104">
        <v>0.36399999999999999</v>
      </c>
      <c r="AA104">
        <v>0.36</v>
      </c>
      <c r="AB104">
        <v>0.70699999999999996</v>
      </c>
      <c r="AC104">
        <v>0.69599999999999995</v>
      </c>
      <c r="AD104">
        <v>0.65500000000000003</v>
      </c>
      <c r="AE104">
        <v>-0.38300000000000001</v>
      </c>
      <c r="AF104">
        <v>-0.85799999999999998</v>
      </c>
      <c r="AG104">
        <v>-0.40500000000000003</v>
      </c>
      <c r="AH104">
        <v>-0.17299999999999999</v>
      </c>
      <c r="AI104">
        <v>0.31</v>
      </c>
      <c r="AJ104">
        <v>-0.58699999999999997</v>
      </c>
      <c r="AK104">
        <v>-0.08</v>
      </c>
      <c r="AL104">
        <v>3.1E-2</v>
      </c>
      <c r="AM104">
        <v>-0.48899999999999999</v>
      </c>
      <c r="AN104">
        <v>-0.10299999999999999</v>
      </c>
      <c r="AO104">
        <v>-9.6000000000000002E-2</v>
      </c>
      <c r="AP104">
        <v>-5.1999999999999998E-2</v>
      </c>
      <c r="AQ104">
        <v>-0.32900000000000001</v>
      </c>
      <c r="AR104">
        <v>-0.44</v>
      </c>
      <c r="AS104">
        <v>-0.374</v>
      </c>
      <c r="AT104">
        <v>7.8E-2</v>
      </c>
      <c r="AU104">
        <v>-7.6999999999999999E-2</v>
      </c>
      <c r="AV104">
        <v>-4.2000000000000003E-2</v>
      </c>
      <c r="AW104">
        <v>0.66600000000000004</v>
      </c>
      <c r="AX104">
        <v>0</v>
      </c>
      <c r="AY104">
        <v>0.49299999999999999</v>
      </c>
      <c r="AZ104">
        <v>-7.8E-2</v>
      </c>
      <c r="BA104">
        <v>6.7000000000000004E-2</v>
      </c>
      <c r="BB104">
        <v>-0.09</v>
      </c>
      <c r="BC104">
        <v>-0.158</v>
      </c>
      <c r="BD104">
        <v>0.379</v>
      </c>
      <c r="BE104">
        <v>8.6999999999999994E-2</v>
      </c>
      <c r="BF104">
        <v>0.26800000000000002</v>
      </c>
      <c r="BG104">
        <v>0.72899999999999998</v>
      </c>
      <c r="BH104">
        <v>-0.3</v>
      </c>
      <c r="BI104">
        <v>-0.41899999999999998</v>
      </c>
      <c r="BJ104">
        <v>0.54500000000000004</v>
      </c>
      <c r="BK104">
        <v>0.56799999999999995</v>
      </c>
    </row>
    <row r="105" spans="1:63" x14ac:dyDescent="0.3">
      <c r="A105" t="s">
        <v>137</v>
      </c>
      <c r="B105">
        <v>0</v>
      </c>
      <c r="C105">
        <v>0</v>
      </c>
      <c r="K105" t="s">
        <v>102</v>
      </c>
      <c r="L105">
        <v>0.8</v>
      </c>
      <c r="M105">
        <v>0.73499999999999999</v>
      </c>
      <c r="N105" t="s">
        <v>57</v>
      </c>
      <c r="O105">
        <v>1.9E-2</v>
      </c>
      <c r="P105">
        <v>8.0000000000000002E-3</v>
      </c>
      <c r="Q105">
        <v>0.01</v>
      </c>
      <c r="R105">
        <v>-0.20699999999999999</v>
      </c>
      <c r="S105">
        <v>-0.34200000000000003</v>
      </c>
      <c r="T105">
        <v>-0.38300000000000001</v>
      </c>
      <c r="U105">
        <v>-8.6999999999999994E-2</v>
      </c>
      <c r="V105">
        <v>-0.22900000000000001</v>
      </c>
      <c r="W105">
        <v>-0.29199999999999998</v>
      </c>
      <c r="X105">
        <v>-0.20399999999999999</v>
      </c>
      <c r="Y105">
        <v>-0.69799999999999995</v>
      </c>
      <c r="Z105">
        <v>0.14099999999999999</v>
      </c>
      <c r="AA105">
        <v>0.14000000000000001</v>
      </c>
      <c r="AB105">
        <v>0.69799999999999995</v>
      </c>
      <c r="AC105">
        <v>0.55000000000000004</v>
      </c>
      <c r="AD105">
        <v>0.55000000000000004</v>
      </c>
      <c r="AE105">
        <v>0.48499999999999999</v>
      </c>
      <c r="AF105">
        <v>1</v>
      </c>
      <c r="AG105">
        <v>-0.26400000000000001</v>
      </c>
      <c r="AH105">
        <v>-0.252</v>
      </c>
      <c r="AI105">
        <v>-0.621</v>
      </c>
      <c r="AJ105">
        <v>4.8000000000000001E-2</v>
      </c>
      <c r="AK105">
        <v>-2.8000000000000001E-2</v>
      </c>
      <c r="AL105">
        <v>-0.72599999999999998</v>
      </c>
      <c r="AM105">
        <v>0.47</v>
      </c>
      <c r="AN105">
        <v>0.52300000000000002</v>
      </c>
      <c r="AO105">
        <v>-0.41699999999999998</v>
      </c>
      <c r="AP105">
        <v>-0.46100000000000002</v>
      </c>
      <c r="AQ105">
        <v>0.57699999999999996</v>
      </c>
      <c r="AR105">
        <v>0.51500000000000001</v>
      </c>
      <c r="AS105">
        <v>0.125</v>
      </c>
      <c r="AT105">
        <v>-6.5000000000000002E-2</v>
      </c>
      <c r="AU105">
        <v>5.8000000000000003E-2</v>
      </c>
      <c r="AV105">
        <v>0.29299999999999998</v>
      </c>
      <c r="AW105">
        <v>-0.38500000000000001</v>
      </c>
      <c r="AX105">
        <v>-0.48799999999999999</v>
      </c>
      <c r="AY105">
        <v>0.77500000000000002</v>
      </c>
      <c r="AZ105">
        <v>-0.48599999999999999</v>
      </c>
      <c r="BA105">
        <v>0.46700000000000003</v>
      </c>
      <c r="BB105">
        <v>7.6999999999999999E-2</v>
      </c>
      <c r="BC105">
        <v>-0.13900000000000001</v>
      </c>
      <c r="BD105">
        <v>0.38200000000000001</v>
      </c>
      <c r="BE105">
        <v>0.52800000000000002</v>
      </c>
      <c r="BF105">
        <v>0.56100000000000005</v>
      </c>
      <c r="BG105">
        <v>0.53900000000000003</v>
      </c>
      <c r="BH105">
        <v>-0.20899999999999999</v>
      </c>
      <c r="BI105">
        <v>5.0999999999999997E-2</v>
      </c>
      <c r="BJ105">
        <v>-0.79100000000000004</v>
      </c>
      <c r="BK105">
        <v>-0.4</v>
      </c>
    </row>
    <row r="106" spans="1:63" x14ac:dyDescent="0.3">
      <c r="A106" t="s">
        <v>196</v>
      </c>
      <c r="B106">
        <v>0</v>
      </c>
      <c r="C106">
        <v>0</v>
      </c>
      <c r="K106" t="s">
        <v>112</v>
      </c>
      <c r="L106">
        <v>0.78600000000000003</v>
      </c>
      <c r="M106">
        <v>1.323</v>
      </c>
      <c r="N106" t="s">
        <v>55</v>
      </c>
      <c r="O106">
        <v>3.1E-2</v>
      </c>
      <c r="P106">
        <v>0.01</v>
      </c>
      <c r="Q106">
        <v>0.02</v>
      </c>
      <c r="R106">
        <v>-0.89500000000000002</v>
      </c>
      <c r="S106">
        <v>-0.75800000000000001</v>
      </c>
      <c r="T106">
        <v>-0.98899999999999999</v>
      </c>
      <c r="U106">
        <v>-0.67300000000000004</v>
      </c>
      <c r="V106">
        <v>-0.81399999999999995</v>
      </c>
      <c r="W106">
        <v>-0.55000000000000004</v>
      </c>
      <c r="X106">
        <v>-7.2999999999999995E-2</v>
      </c>
      <c r="Y106">
        <v>-7.5999999999999998E-2</v>
      </c>
      <c r="Z106">
        <v>0.63500000000000001</v>
      </c>
      <c r="AA106">
        <v>0.63600000000000001</v>
      </c>
      <c r="AB106">
        <v>0.755</v>
      </c>
      <c r="AC106">
        <v>0.65500000000000003</v>
      </c>
      <c r="AD106">
        <v>0.60099999999999998</v>
      </c>
      <c r="AE106">
        <v>-0.85399999999999998</v>
      </c>
      <c r="AF106">
        <v>-0.74299999999999999</v>
      </c>
      <c r="AG106">
        <v>0.25</v>
      </c>
      <c r="AH106">
        <v>-0.91500000000000004</v>
      </c>
      <c r="AI106">
        <v>-0.218</v>
      </c>
      <c r="AJ106">
        <v>-0.90300000000000002</v>
      </c>
      <c r="AK106">
        <v>-0.37</v>
      </c>
      <c r="AL106">
        <v>-0.03</v>
      </c>
      <c r="AM106">
        <v>-0.72099999999999997</v>
      </c>
      <c r="AN106">
        <v>-0.78</v>
      </c>
      <c r="AO106">
        <v>0.69299999999999995</v>
      </c>
      <c r="AP106">
        <v>0.11799999999999999</v>
      </c>
      <c r="AQ106">
        <v>7.5999999999999998E-2</v>
      </c>
      <c r="AR106">
        <v>5.0999999999999997E-2</v>
      </c>
      <c r="AS106">
        <v>-0.67600000000000005</v>
      </c>
      <c r="AT106">
        <v>0.21099999999999999</v>
      </c>
      <c r="AU106">
        <v>5.5E-2</v>
      </c>
      <c r="AV106">
        <v>-0.317</v>
      </c>
      <c r="AW106">
        <v>0.59099999999999997</v>
      </c>
      <c r="AX106">
        <v>-0.47699999999999998</v>
      </c>
      <c r="AY106">
        <v>1</v>
      </c>
      <c r="AZ106">
        <v>-8.1000000000000003E-2</v>
      </c>
      <c r="BA106">
        <v>-0.75700000000000001</v>
      </c>
      <c r="BB106">
        <v>-0.33800000000000002</v>
      </c>
      <c r="BC106">
        <v>-0.621</v>
      </c>
      <c r="BD106">
        <v>0.40400000000000003</v>
      </c>
      <c r="BE106">
        <v>-0.26900000000000002</v>
      </c>
      <c r="BF106">
        <v>0.3</v>
      </c>
      <c r="BG106">
        <v>0.85599999999999998</v>
      </c>
      <c r="BH106">
        <v>-1</v>
      </c>
      <c r="BI106">
        <v>-0.28899999999999998</v>
      </c>
      <c r="BJ106">
        <v>-0.39600000000000002</v>
      </c>
      <c r="BK106">
        <v>-0.111</v>
      </c>
    </row>
    <row r="107" spans="1:63" x14ac:dyDescent="0.3">
      <c r="A107" t="s">
        <v>83</v>
      </c>
      <c r="B107">
        <v>0</v>
      </c>
      <c r="C107">
        <v>0</v>
      </c>
      <c r="K107" t="s">
        <v>83</v>
      </c>
      <c r="L107">
        <v>0.77900000000000003</v>
      </c>
      <c r="M107">
        <v>0.86799999999999999</v>
      </c>
      <c r="N107" t="s">
        <v>53</v>
      </c>
      <c r="O107">
        <v>0</v>
      </c>
      <c r="P107">
        <v>0</v>
      </c>
      <c r="Q107">
        <v>0</v>
      </c>
      <c r="R107">
        <v>-0.63200000000000001</v>
      </c>
      <c r="S107">
        <v>-0.69099999999999995</v>
      </c>
      <c r="T107">
        <v>-0.85299999999999998</v>
      </c>
      <c r="U107">
        <v>-0.14199999999999999</v>
      </c>
      <c r="V107">
        <v>-0.60499999999999998</v>
      </c>
      <c r="W107">
        <v>-0.57499999999999996</v>
      </c>
      <c r="X107">
        <v>-0.38300000000000001</v>
      </c>
      <c r="Y107">
        <v>-0.157</v>
      </c>
      <c r="Z107">
        <v>0.28699999999999998</v>
      </c>
      <c r="AA107">
        <v>0.28699999999999998</v>
      </c>
      <c r="AB107">
        <v>0.69299999999999995</v>
      </c>
      <c r="AC107">
        <v>0.7</v>
      </c>
      <c r="AD107">
        <v>0.54900000000000004</v>
      </c>
      <c r="AE107">
        <v>0.26100000000000001</v>
      </c>
      <c r="AF107">
        <v>-0.61899999999999999</v>
      </c>
      <c r="AG107">
        <v>-0.42299999999999999</v>
      </c>
      <c r="AH107">
        <v>-1</v>
      </c>
      <c r="AI107">
        <v>-0.93300000000000005</v>
      </c>
      <c r="AJ107">
        <v>-0.64100000000000001</v>
      </c>
      <c r="AK107">
        <v>-0.28899999999999998</v>
      </c>
      <c r="AL107">
        <v>-0.19800000000000001</v>
      </c>
      <c r="AM107">
        <v>-0.94199999999999995</v>
      </c>
      <c r="AN107">
        <v>-0.16300000000000001</v>
      </c>
      <c r="AO107">
        <v>0.31900000000000001</v>
      </c>
      <c r="AP107">
        <v>4.2999999999999997E-2</v>
      </c>
      <c r="AQ107">
        <v>0.18099999999999999</v>
      </c>
      <c r="AR107">
        <v>0.29499999999999998</v>
      </c>
      <c r="AS107">
        <v>-3.6999999999999998E-2</v>
      </c>
      <c r="AT107">
        <v>0.435</v>
      </c>
      <c r="AU107">
        <v>0.09</v>
      </c>
      <c r="AV107">
        <v>0.90800000000000003</v>
      </c>
      <c r="AW107">
        <v>0.71399999999999997</v>
      </c>
      <c r="AX107">
        <v>0.53100000000000003</v>
      </c>
      <c r="AY107">
        <v>0.65100000000000002</v>
      </c>
      <c r="AZ107">
        <v>-0.55300000000000005</v>
      </c>
      <c r="BA107">
        <v>-0.26500000000000001</v>
      </c>
      <c r="BB107">
        <v>0.19</v>
      </c>
      <c r="BC107">
        <v>0.13900000000000001</v>
      </c>
      <c r="BD107">
        <v>0.51</v>
      </c>
      <c r="BE107">
        <v>-0.82299999999999995</v>
      </c>
      <c r="BF107">
        <v>-1</v>
      </c>
      <c r="BG107">
        <v>-0.54100000000000004</v>
      </c>
      <c r="BH107">
        <v>-0.21299999999999999</v>
      </c>
      <c r="BI107">
        <v>-0.21099999999999999</v>
      </c>
      <c r="BJ107">
        <v>-0.11899999999999999</v>
      </c>
      <c r="BK107">
        <v>-1</v>
      </c>
    </row>
    <row r="108" spans="1:63" x14ac:dyDescent="0.3">
      <c r="A108" t="s">
        <v>87</v>
      </c>
      <c r="B108">
        <v>0</v>
      </c>
      <c r="C108">
        <v>0</v>
      </c>
      <c r="K108" t="s">
        <v>147</v>
      </c>
      <c r="L108">
        <v>0.76900000000000002</v>
      </c>
      <c r="M108">
        <v>1.236</v>
      </c>
      <c r="N108" t="s">
        <v>57</v>
      </c>
      <c r="O108">
        <v>3.5999999999999997E-2</v>
      </c>
      <c r="P108">
        <v>8.0000000000000002E-3</v>
      </c>
      <c r="Q108">
        <v>2.8000000000000001E-2</v>
      </c>
      <c r="R108">
        <v>-0.30099999999999999</v>
      </c>
      <c r="S108">
        <v>-0.60699999999999998</v>
      </c>
      <c r="T108">
        <v>-0.65500000000000003</v>
      </c>
      <c r="U108">
        <v>-9.5000000000000001E-2</v>
      </c>
      <c r="V108">
        <v>-0.496</v>
      </c>
      <c r="W108">
        <v>-0.27400000000000002</v>
      </c>
      <c r="X108">
        <v>-0.24399999999999999</v>
      </c>
      <c r="Y108">
        <v>-0.45300000000000001</v>
      </c>
      <c r="Z108">
        <v>3.5000000000000003E-2</v>
      </c>
      <c r="AA108">
        <v>3.3000000000000002E-2</v>
      </c>
      <c r="AB108">
        <v>0.64300000000000002</v>
      </c>
      <c r="AC108">
        <v>0.60199999999999998</v>
      </c>
      <c r="AD108">
        <v>0.497</v>
      </c>
      <c r="AE108">
        <v>0.67600000000000005</v>
      </c>
      <c r="AF108">
        <v>-8.2000000000000003E-2</v>
      </c>
      <c r="AG108">
        <v>-0.72399999999999998</v>
      </c>
      <c r="AH108">
        <v>-0.76500000000000001</v>
      </c>
      <c r="AI108">
        <v>-0.83</v>
      </c>
      <c r="AJ108">
        <v>-0.121</v>
      </c>
      <c r="AK108">
        <v>0.10100000000000001</v>
      </c>
      <c r="AL108">
        <v>-0.222</v>
      </c>
      <c r="AM108">
        <v>-0.56899999999999995</v>
      </c>
      <c r="AN108">
        <v>0.54800000000000004</v>
      </c>
      <c r="AO108">
        <v>-0.32700000000000001</v>
      </c>
      <c r="AP108">
        <v>7.1999999999999995E-2</v>
      </c>
      <c r="AQ108">
        <v>0.219</v>
      </c>
      <c r="AR108">
        <v>0.34200000000000003</v>
      </c>
      <c r="AS108">
        <v>0.104</v>
      </c>
      <c r="AT108">
        <v>0.34100000000000003</v>
      </c>
      <c r="AU108">
        <v>-2.8000000000000001E-2</v>
      </c>
      <c r="AV108">
        <v>0.90800000000000003</v>
      </c>
      <c r="AW108">
        <v>-0.217</v>
      </c>
      <c r="AX108">
        <v>0.46500000000000002</v>
      </c>
      <c r="AY108">
        <v>0.88100000000000001</v>
      </c>
      <c r="AZ108">
        <v>6.2E-2</v>
      </c>
      <c r="BA108">
        <v>1.7000000000000001E-2</v>
      </c>
      <c r="BB108">
        <v>0.127</v>
      </c>
      <c r="BC108">
        <v>0.12</v>
      </c>
      <c r="BD108">
        <v>0.40799999999999997</v>
      </c>
      <c r="BE108">
        <v>-6.8000000000000005E-2</v>
      </c>
      <c r="BF108">
        <v>-0.24</v>
      </c>
      <c r="BG108">
        <v>8.5999999999999993E-2</v>
      </c>
      <c r="BH108">
        <v>0.04</v>
      </c>
      <c r="BI108">
        <v>-9.9000000000000005E-2</v>
      </c>
      <c r="BJ108">
        <v>-0.94799999999999995</v>
      </c>
      <c r="BK108">
        <v>-0.56699999999999995</v>
      </c>
    </row>
    <row r="109" spans="1:63" x14ac:dyDescent="0.3">
      <c r="A109" t="s">
        <v>198</v>
      </c>
      <c r="B109">
        <v>0</v>
      </c>
      <c r="C109">
        <v>0</v>
      </c>
      <c r="K109" t="s">
        <v>186</v>
      </c>
      <c r="L109">
        <v>0.749</v>
      </c>
      <c r="M109">
        <v>0.84399999999999997</v>
      </c>
      <c r="N109" t="s">
        <v>71</v>
      </c>
      <c r="O109">
        <v>0</v>
      </c>
      <c r="P109">
        <v>0</v>
      </c>
      <c r="Q109">
        <v>0</v>
      </c>
      <c r="R109">
        <v>-0.754</v>
      </c>
      <c r="S109">
        <v>-0.32100000000000001</v>
      </c>
      <c r="T109">
        <v>-0.94199999999999995</v>
      </c>
      <c r="U109">
        <v>-0.63900000000000001</v>
      </c>
      <c r="V109">
        <v>-0.71899999999999997</v>
      </c>
      <c r="W109">
        <v>-0.55000000000000004</v>
      </c>
      <c r="X109">
        <v>-0.61899999999999999</v>
      </c>
      <c r="Y109">
        <v>-0.29399999999999998</v>
      </c>
      <c r="Z109">
        <v>0.51200000000000001</v>
      </c>
      <c r="AA109">
        <v>0.51200000000000001</v>
      </c>
      <c r="AB109">
        <v>0.628</v>
      </c>
      <c r="AC109">
        <v>0.78200000000000003</v>
      </c>
      <c r="AD109">
        <v>0.745</v>
      </c>
      <c r="AE109">
        <v>-0.65500000000000003</v>
      </c>
      <c r="AF109">
        <v>-0.89300000000000002</v>
      </c>
      <c r="AG109">
        <v>0.44800000000000001</v>
      </c>
      <c r="AH109">
        <v>-0.93600000000000005</v>
      </c>
      <c r="AI109">
        <v>-0.57499999999999996</v>
      </c>
      <c r="AJ109">
        <v>-0.96</v>
      </c>
      <c r="AK109">
        <v>-0.15</v>
      </c>
      <c r="AL109">
        <v>-0.437</v>
      </c>
      <c r="AM109">
        <v>-0.26</v>
      </c>
      <c r="AN109">
        <v>-0.64400000000000002</v>
      </c>
      <c r="AO109">
        <v>0.52900000000000003</v>
      </c>
      <c r="AP109">
        <v>0.41599999999999998</v>
      </c>
      <c r="AQ109">
        <v>-0.86699999999999999</v>
      </c>
      <c r="AR109">
        <v>0.47899999999999998</v>
      </c>
      <c r="AS109">
        <v>0.40300000000000002</v>
      </c>
      <c r="AT109">
        <v>9.7000000000000003E-2</v>
      </c>
      <c r="AU109">
        <v>-0.53400000000000003</v>
      </c>
      <c r="AV109">
        <v>-0.15</v>
      </c>
      <c r="AW109">
        <v>0.46200000000000002</v>
      </c>
      <c r="AX109">
        <v>-6.2E-2</v>
      </c>
      <c r="AY109">
        <v>0.81399999999999995</v>
      </c>
      <c r="AZ109">
        <v>-0.376</v>
      </c>
      <c r="BA109">
        <v>0.56799999999999995</v>
      </c>
      <c r="BB109">
        <v>0.19400000000000001</v>
      </c>
      <c r="BC109">
        <v>7.2999999999999995E-2</v>
      </c>
      <c r="BD109">
        <v>0.64600000000000002</v>
      </c>
      <c r="BE109">
        <v>-1</v>
      </c>
      <c r="BF109">
        <v>-0.83399999999999996</v>
      </c>
      <c r="BG109">
        <v>0.34399999999999997</v>
      </c>
      <c r="BH109">
        <v>-0.25700000000000001</v>
      </c>
      <c r="BI109">
        <v>-0.504</v>
      </c>
      <c r="BJ109">
        <v>-0.28100000000000003</v>
      </c>
      <c r="BK109">
        <v>-0.57899999999999996</v>
      </c>
    </row>
    <row r="110" spans="1:63" x14ac:dyDescent="0.3">
      <c r="A110" t="s">
        <v>52</v>
      </c>
      <c r="B110">
        <v>0</v>
      </c>
      <c r="C110">
        <v>0</v>
      </c>
      <c r="K110" t="s">
        <v>155</v>
      </c>
      <c r="L110">
        <v>0.74199999999999999</v>
      </c>
      <c r="M110">
        <v>0.53800000000000003</v>
      </c>
      <c r="N110" t="s">
        <v>55</v>
      </c>
      <c r="O110">
        <v>0</v>
      </c>
      <c r="P110">
        <v>0</v>
      </c>
      <c r="Q110">
        <v>0</v>
      </c>
      <c r="R110">
        <v>-0.28199999999999997</v>
      </c>
      <c r="S110">
        <v>-0.125</v>
      </c>
      <c r="T110">
        <v>-0.10299999999999999</v>
      </c>
      <c r="U110">
        <v>-0.52700000000000002</v>
      </c>
      <c r="V110">
        <v>-0.28799999999999998</v>
      </c>
      <c r="W110">
        <v>-0.55400000000000005</v>
      </c>
      <c r="X110">
        <v>-0.66900000000000004</v>
      </c>
      <c r="Y110">
        <v>-0.86599999999999999</v>
      </c>
      <c r="Z110">
        <v>0.59899999999999998</v>
      </c>
      <c r="AA110">
        <v>0.59599999999999997</v>
      </c>
      <c r="AB110">
        <v>0.47099999999999997</v>
      </c>
      <c r="AC110">
        <v>0.68</v>
      </c>
      <c r="AD110">
        <v>0.65</v>
      </c>
      <c r="AE110">
        <v>-0.46100000000000002</v>
      </c>
      <c r="AF110">
        <v>0.72299999999999998</v>
      </c>
      <c r="AG110">
        <v>-0.22900000000000001</v>
      </c>
      <c r="AH110">
        <v>0.65300000000000002</v>
      </c>
      <c r="AI110">
        <v>-0.18099999999999999</v>
      </c>
      <c r="AJ110">
        <v>-0.59</v>
      </c>
      <c r="AK110">
        <v>0.31900000000000001</v>
      </c>
      <c r="AL110">
        <v>-1</v>
      </c>
      <c r="AM110">
        <v>0.92800000000000005</v>
      </c>
      <c r="AN110">
        <v>-0.32700000000000001</v>
      </c>
      <c r="AO110">
        <v>-0.58399999999999996</v>
      </c>
      <c r="AP110">
        <v>0.16500000000000001</v>
      </c>
      <c r="AQ110">
        <v>0.13700000000000001</v>
      </c>
      <c r="AR110">
        <v>1</v>
      </c>
      <c r="AS110">
        <v>0.44400000000000001</v>
      </c>
      <c r="AT110">
        <v>0.38700000000000001</v>
      </c>
      <c r="AU110">
        <v>-0.48799999999999999</v>
      </c>
      <c r="AV110">
        <v>-0.63700000000000001</v>
      </c>
      <c r="AW110">
        <v>-0.28699999999999998</v>
      </c>
      <c r="AX110">
        <v>-0.83799999999999997</v>
      </c>
      <c r="AY110">
        <v>-0.126</v>
      </c>
      <c r="AZ110">
        <v>0.16600000000000001</v>
      </c>
      <c r="BA110">
        <v>3.3000000000000002E-2</v>
      </c>
      <c r="BB110">
        <v>-0.376</v>
      </c>
      <c r="BC110">
        <v>-0.60399999999999998</v>
      </c>
      <c r="BD110">
        <v>0.24099999999999999</v>
      </c>
      <c r="BE110">
        <v>0.999</v>
      </c>
      <c r="BF110">
        <v>0.26800000000000002</v>
      </c>
      <c r="BG110">
        <v>0.436</v>
      </c>
      <c r="BH110">
        <v>6.6000000000000003E-2</v>
      </c>
      <c r="BI110">
        <v>-0.29099999999999998</v>
      </c>
      <c r="BJ110">
        <v>0.52500000000000002</v>
      </c>
      <c r="BK110">
        <v>0.80900000000000005</v>
      </c>
    </row>
    <row r="111" spans="1:63" x14ac:dyDescent="0.3">
      <c r="A111" t="s">
        <v>107</v>
      </c>
      <c r="B111">
        <v>0</v>
      </c>
      <c r="C111">
        <v>0</v>
      </c>
      <c r="K111" t="s">
        <v>98</v>
      </c>
      <c r="L111">
        <v>0.72399999999999998</v>
      </c>
      <c r="M111">
        <v>0.65700000000000003</v>
      </c>
      <c r="N111" t="s">
        <v>68</v>
      </c>
      <c r="O111">
        <v>0</v>
      </c>
      <c r="P111">
        <v>0</v>
      </c>
      <c r="Q111">
        <v>0</v>
      </c>
      <c r="R111">
        <v>-0.86199999999999999</v>
      </c>
      <c r="S111">
        <v>-0.79500000000000004</v>
      </c>
      <c r="T111">
        <v>-0.83399999999999996</v>
      </c>
      <c r="U111">
        <v>-0.76800000000000002</v>
      </c>
      <c r="V111">
        <v>-0.78600000000000003</v>
      </c>
      <c r="W111">
        <v>-0.63500000000000001</v>
      </c>
      <c r="X111">
        <v>-0.378</v>
      </c>
      <c r="Y111">
        <v>-0.09</v>
      </c>
      <c r="Z111">
        <v>0.58799999999999997</v>
      </c>
      <c r="AA111">
        <v>0.58199999999999996</v>
      </c>
      <c r="AB111">
        <v>0.60499999999999998</v>
      </c>
      <c r="AC111">
        <v>0.54600000000000004</v>
      </c>
      <c r="AD111">
        <v>0.57299999999999995</v>
      </c>
      <c r="AE111">
        <v>-0.66700000000000004</v>
      </c>
      <c r="AF111">
        <v>-0.88400000000000001</v>
      </c>
      <c r="AG111">
        <v>-0.54700000000000004</v>
      </c>
      <c r="AH111">
        <v>-0.50700000000000001</v>
      </c>
      <c r="AI111">
        <v>-0.32700000000000001</v>
      </c>
      <c r="AJ111">
        <v>-0.872</v>
      </c>
      <c r="AK111">
        <v>-6.6000000000000003E-2</v>
      </c>
      <c r="AL111">
        <v>0.68200000000000005</v>
      </c>
      <c r="AM111">
        <v>-0.60799999999999998</v>
      </c>
      <c r="AN111">
        <v>-0.23799999999999999</v>
      </c>
      <c r="AO111">
        <v>0.191</v>
      </c>
      <c r="AP111">
        <v>-5.0000000000000001E-3</v>
      </c>
      <c r="AQ111">
        <v>-0.73599999999999999</v>
      </c>
      <c r="AR111">
        <v>-0.48699999999999999</v>
      </c>
      <c r="AS111">
        <v>-0.36799999999999999</v>
      </c>
      <c r="AT111">
        <v>0.17</v>
      </c>
      <c r="AU111">
        <v>-0.23100000000000001</v>
      </c>
      <c r="AV111">
        <v>-0.51</v>
      </c>
      <c r="AW111">
        <v>0.47899999999999998</v>
      </c>
      <c r="AX111">
        <v>-0.186</v>
      </c>
      <c r="AY111">
        <v>0.64600000000000002</v>
      </c>
      <c r="AZ111">
        <v>0.70399999999999996</v>
      </c>
      <c r="BA111">
        <v>-1</v>
      </c>
      <c r="BB111">
        <v>3.9E-2</v>
      </c>
      <c r="BC111">
        <v>-0.36399999999999999</v>
      </c>
      <c r="BD111">
        <v>0.14899999999999999</v>
      </c>
      <c r="BE111">
        <v>-0.64300000000000002</v>
      </c>
      <c r="BF111">
        <v>-1.4E-2</v>
      </c>
      <c r="BG111">
        <v>0.53300000000000003</v>
      </c>
      <c r="BH111">
        <v>-0.35499999999999998</v>
      </c>
      <c r="BI111">
        <v>-0.32800000000000001</v>
      </c>
      <c r="BJ111">
        <v>0.36099999999999999</v>
      </c>
      <c r="BK111">
        <v>2.5000000000000001E-2</v>
      </c>
    </row>
    <row r="112" spans="1:63" x14ac:dyDescent="0.3">
      <c r="A112" t="s">
        <v>208</v>
      </c>
      <c r="B112">
        <v>0</v>
      </c>
      <c r="C112">
        <v>0</v>
      </c>
      <c r="K112" t="s">
        <v>226</v>
      </c>
      <c r="L112">
        <v>0.71499999999999997</v>
      </c>
      <c r="M112">
        <v>1.133</v>
      </c>
      <c r="N112" t="s">
        <v>55</v>
      </c>
      <c r="O112">
        <v>0</v>
      </c>
      <c r="P112">
        <v>-2.5000000000000001E-2</v>
      </c>
      <c r="Q112">
        <v>2.5000000000000001E-2</v>
      </c>
      <c r="R112">
        <v>-0.58399999999999996</v>
      </c>
      <c r="S112">
        <v>-0.46899999999999997</v>
      </c>
      <c r="T112">
        <v>-0.93100000000000005</v>
      </c>
      <c r="U112">
        <v>-0.53400000000000003</v>
      </c>
      <c r="V112">
        <v>-0.79</v>
      </c>
      <c r="W112">
        <v>-0.2</v>
      </c>
      <c r="X112">
        <v>-9.6000000000000002E-2</v>
      </c>
      <c r="Y112">
        <v>-0.498</v>
      </c>
      <c r="Z112">
        <v>0.11</v>
      </c>
      <c r="AA112">
        <v>0.111</v>
      </c>
      <c r="AB112">
        <v>0.67500000000000004</v>
      </c>
      <c r="AC112">
        <v>0.67400000000000004</v>
      </c>
      <c r="AD112">
        <v>0.63400000000000001</v>
      </c>
      <c r="AE112">
        <v>-0.56999999999999995</v>
      </c>
      <c r="AF112">
        <v>-0.65900000000000003</v>
      </c>
      <c r="AG112">
        <v>5.1999999999999998E-2</v>
      </c>
      <c r="AH112">
        <v>-0.996</v>
      </c>
      <c r="AI112">
        <v>-0.43099999999999999</v>
      </c>
      <c r="AJ112">
        <v>-0.85099999999999998</v>
      </c>
      <c r="AK112">
        <v>-0.36</v>
      </c>
      <c r="AL112">
        <v>-1</v>
      </c>
      <c r="AM112">
        <v>-0.72099999999999997</v>
      </c>
      <c r="AN112">
        <v>-0.20399999999999999</v>
      </c>
      <c r="AO112">
        <v>0.52100000000000002</v>
      </c>
      <c r="AP112">
        <v>1</v>
      </c>
      <c r="AQ112">
        <v>0.38600000000000001</v>
      </c>
      <c r="AR112">
        <v>-0.315</v>
      </c>
      <c r="AS112">
        <v>-1.0999999999999999E-2</v>
      </c>
      <c r="AT112">
        <v>-0.1</v>
      </c>
      <c r="AU112">
        <v>-0.153</v>
      </c>
      <c r="AV112">
        <v>0.23300000000000001</v>
      </c>
      <c r="AW112">
        <v>0.26300000000000001</v>
      </c>
      <c r="AX112">
        <v>-0.33600000000000002</v>
      </c>
      <c r="AY112">
        <v>0.69699999999999995</v>
      </c>
      <c r="AZ112">
        <v>1</v>
      </c>
      <c r="BA112">
        <v>0.78400000000000003</v>
      </c>
      <c r="BB112">
        <v>-0.11799999999999999</v>
      </c>
      <c r="BC112">
        <v>-0.47599999999999998</v>
      </c>
      <c r="BD112">
        <v>0.72599999999999998</v>
      </c>
      <c r="BE112">
        <v>-0.441</v>
      </c>
      <c r="BF112">
        <v>0.32600000000000001</v>
      </c>
      <c r="BG112">
        <v>0.871</v>
      </c>
      <c r="BH112">
        <v>-0.56999999999999995</v>
      </c>
      <c r="BI112">
        <v>5.8999999999999997E-2</v>
      </c>
      <c r="BJ112">
        <v>-0.46800000000000003</v>
      </c>
      <c r="BK112">
        <v>-0.49</v>
      </c>
    </row>
    <row r="113" spans="1:63" x14ac:dyDescent="0.3">
      <c r="A113" t="s">
        <v>214</v>
      </c>
      <c r="B113">
        <v>0</v>
      </c>
      <c r="C113">
        <v>0</v>
      </c>
      <c r="K113" t="s">
        <v>134</v>
      </c>
      <c r="L113">
        <v>0.70799999999999996</v>
      </c>
      <c r="M113">
        <v>1.5409999999999999</v>
      </c>
      <c r="N113" t="s">
        <v>57</v>
      </c>
      <c r="O113">
        <v>0</v>
      </c>
      <c r="P113">
        <v>-2.8000000000000001E-2</v>
      </c>
      <c r="Q113">
        <v>2.8000000000000001E-2</v>
      </c>
      <c r="R113">
        <v>-0.746</v>
      </c>
      <c r="S113">
        <v>-0.71599999999999997</v>
      </c>
      <c r="T113">
        <v>-0.9</v>
      </c>
      <c r="U113">
        <v>-0.65700000000000003</v>
      </c>
      <c r="V113">
        <v>-0.79200000000000004</v>
      </c>
      <c r="W113">
        <v>-0.40400000000000003</v>
      </c>
      <c r="X113">
        <v>-9.5000000000000001E-2</v>
      </c>
      <c r="Y113">
        <v>-0.44800000000000001</v>
      </c>
      <c r="Z113">
        <v>0.45300000000000001</v>
      </c>
      <c r="AA113">
        <v>0.45200000000000001</v>
      </c>
      <c r="AB113">
        <v>0.74199999999999999</v>
      </c>
      <c r="AC113">
        <v>0.81200000000000006</v>
      </c>
      <c r="AD113">
        <v>0.59499999999999997</v>
      </c>
      <c r="AE113">
        <v>-0.63900000000000001</v>
      </c>
      <c r="AF113">
        <v>-0.26500000000000001</v>
      </c>
      <c r="AG113">
        <v>-0.189</v>
      </c>
      <c r="AH113">
        <v>-0.91500000000000004</v>
      </c>
      <c r="AI113">
        <v>-0.93799999999999994</v>
      </c>
      <c r="AJ113">
        <v>-1</v>
      </c>
      <c r="AK113">
        <v>-0.219</v>
      </c>
      <c r="AL113">
        <v>0.13700000000000001</v>
      </c>
      <c r="AM113">
        <v>-3.3000000000000002E-2</v>
      </c>
      <c r="AN113">
        <v>0.10299999999999999</v>
      </c>
      <c r="AO113">
        <v>-0.19800000000000001</v>
      </c>
      <c r="AP113">
        <v>-0.18099999999999999</v>
      </c>
      <c r="AQ113">
        <v>-1E-3</v>
      </c>
      <c r="AR113">
        <v>0.13500000000000001</v>
      </c>
      <c r="AS113">
        <v>0.41699999999999998</v>
      </c>
      <c r="AT113">
        <v>-0.16400000000000001</v>
      </c>
      <c r="AU113">
        <v>-0.254</v>
      </c>
      <c r="AV113">
        <v>-0.41799999999999998</v>
      </c>
      <c r="AW113">
        <v>0.30299999999999999</v>
      </c>
      <c r="AX113">
        <v>-0.36199999999999999</v>
      </c>
      <c r="AY113">
        <v>7.6999999999999999E-2</v>
      </c>
      <c r="AZ113">
        <v>0.10299999999999999</v>
      </c>
      <c r="BA113">
        <v>0.11799999999999999</v>
      </c>
      <c r="BB113">
        <v>-0.17</v>
      </c>
      <c r="BC113">
        <v>-0.157</v>
      </c>
      <c r="BD113">
        <v>0.4</v>
      </c>
      <c r="BE113">
        <v>1.4999999999999999E-2</v>
      </c>
      <c r="BF113">
        <v>0.193</v>
      </c>
      <c r="BG113">
        <v>0.89600000000000002</v>
      </c>
      <c r="BH113">
        <v>-0.36499999999999999</v>
      </c>
      <c r="BI113">
        <v>-4.1000000000000002E-2</v>
      </c>
      <c r="BJ113">
        <v>-0.23799999999999999</v>
      </c>
      <c r="BK113">
        <v>-0.76500000000000001</v>
      </c>
    </row>
    <row r="114" spans="1:63" x14ac:dyDescent="0.3">
      <c r="A114" t="s">
        <v>111</v>
      </c>
      <c r="B114">
        <v>0</v>
      </c>
      <c r="C114">
        <v>0</v>
      </c>
      <c r="K114" t="s">
        <v>114</v>
      </c>
      <c r="L114">
        <v>0.69899999999999995</v>
      </c>
      <c r="M114">
        <v>0.93799999999999994</v>
      </c>
      <c r="N114" t="s">
        <v>55</v>
      </c>
      <c r="O114">
        <v>0</v>
      </c>
      <c r="P114">
        <v>0</v>
      </c>
      <c r="Q114">
        <v>0</v>
      </c>
      <c r="R114">
        <v>-0.72099999999999997</v>
      </c>
      <c r="S114">
        <v>-0.65900000000000003</v>
      </c>
      <c r="T114">
        <v>-0.85399999999999998</v>
      </c>
      <c r="U114">
        <v>-0.70399999999999996</v>
      </c>
      <c r="V114">
        <v>-0.80500000000000005</v>
      </c>
      <c r="W114">
        <v>-0.24299999999999999</v>
      </c>
      <c r="X114">
        <v>0.33500000000000002</v>
      </c>
      <c r="Y114">
        <v>-0.64200000000000002</v>
      </c>
      <c r="Z114">
        <v>0.45400000000000001</v>
      </c>
      <c r="AA114">
        <v>0.45400000000000001</v>
      </c>
      <c r="AB114">
        <v>0.66800000000000004</v>
      </c>
      <c r="AC114">
        <v>0.67700000000000005</v>
      </c>
      <c r="AD114">
        <v>0.58499999999999996</v>
      </c>
      <c r="AE114">
        <v>-0.71</v>
      </c>
      <c r="AF114">
        <v>-0.72299999999999998</v>
      </c>
      <c r="AG114">
        <v>-0.40300000000000002</v>
      </c>
      <c r="AH114">
        <v>-0.752</v>
      </c>
      <c r="AI114">
        <v>-0.628</v>
      </c>
      <c r="AJ114">
        <v>-0.82099999999999995</v>
      </c>
      <c r="AK114">
        <v>-0.223</v>
      </c>
      <c r="AL114">
        <v>-0.45300000000000001</v>
      </c>
      <c r="AM114">
        <v>-0.28899999999999998</v>
      </c>
      <c r="AN114">
        <v>-0.36399999999999999</v>
      </c>
      <c r="AO114">
        <v>-0.13500000000000001</v>
      </c>
      <c r="AP114">
        <v>-0.124</v>
      </c>
      <c r="AQ114">
        <v>-0.13300000000000001</v>
      </c>
      <c r="AR114">
        <v>-1.6E-2</v>
      </c>
      <c r="AS114">
        <v>-4.0000000000000001E-3</v>
      </c>
      <c r="AT114">
        <v>-0.111</v>
      </c>
      <c r="AU114">
        <v>0.76300000000000001</v>
      </c>
      <c r="AV114">
        <v>-0.28899999999999998</v>
      </c>
      <c r="AW114">
        <v>0.77300000000000002</v>
      </c>
      <c r="AX114">
        <v>-0.39400000000000002</v>
      </c>
      <c r="AY114">
        <v>0.72599999999999998</v>
      </c>
      <c r="AZ114">
        <v>0.34499999999999997</v>
      </c>
      <c r="BA114">
        <v>0.44</v>
      </c>
      <c r="BB114">
        <v>-0.17100000000000001</v>
      </c>
      <c r="BC114">
        <v>-0.20100000000000001</v>
      </c>
      <c r="BD114">
        <v>0.31900000000000001</v>
      </c>
      <c r="BE114">
        <v>-0.14399999999999999</v>
      </c>
      <c r="BF114">
        <v>0.38</v>
      </c>
      <c r="BG114">
        <v>0.85099999999999998</v>
      </c>
      <c r="BH114">
        <v>-0.39400000000000002</v>
      </c>
      <c r="BI114">
        <v>-0.28100000000000003</v>
      </c>
      <c r="BJ114">
        <v>0.31900000000000001</v>
      </c>
      <c r="BK114">
        <v>0.13500000000000001</v>
      </c>
    </row>
    <row r="115" spans="1:63" x14ac:dyDescent="0.3">
      <c r="A115" t="s">
        <v>223</v>
      </c>
      <c r="B115">
        <v>0</v>
      </c>
      <c r="C115">
        <v>0</v>
      </c>
      <c r="K115" t="s">
        <v>211</v>
      </c>
      <c r="L115">
        <v>0.69799999999999995</v>
      </c>
      <c r="M115">
        <v>1.3740000000000001</v>
      </c>
      <c r="N115" t="s">
        <v>57</v>
      </c>
      <c r="O115">
        <v>0</v>
      </c>
      <c r="P115">
        <v>-2.5000000000000001E-2</v>
      </c>
      <c r="Q115">
        <v>2.5000000000000001E-2</v>
      </c>
      <c r="R115">
        <v>-0.48899999999999999</v>
      </c>
      <c r="S115">
        <v>-0.7</v>
      </c>
      <c r="T115">
        <v>-0.85799999999999998</v>
      </c>
      <c r="U115">
        <v>-0.43</v>
      </c>
      <c r="V115">
        <v>-0.78400000000000003</v>
      </c>
      <c r="W115">
        <v>-0.17599999999999999</v>
      </c>
      <c r="X115">
        <v>7.5999999999999998E-2</v>
      </c>
      <c r="Y115">
        <v>-0.58799999999999997</v>
      </c>
      <c r="Z115">
        <v>0.16200000000000001</v>
      </c>
      <c r="AA115">
        <v>0.16200000000000001</v>
      </c>
      <c r="AB115">
        <v>0.74099999999999999</v>
      </c>
      <c r="AC115">
        <v>0.74099999999999999</v>
      </c>
      <c r="AD115">
        <v>0.45100000000000001</v>
      </c>
      <c r="AE115">
        <v>-0.432</v>
      </c>
      <c r="AF115">
        <v>-0.14099999999999999</v>
      </c>
      <c r="AG115">
        <v>-0.39200000000000002</v>
      </c>
      <c r="AH115">
        <v>-1</v>
      </c>
      <c r="AI115">
        <v>-0.877</v>
      </c>
      <c r="AJ115">
        <v>-0.69799999999999995</v>
      </c>
      <c r="AK115">
        <v>-0.27700000000000002</v>
      </c>
      <c r="AL115">
        <v>-0.68</v>
      </c>
      <c r="AM115">
        <v>-0.77</v>
      </c>
      <c r="AN115">
        <v>9.1999999999999998E-2</v>
      </c>
      <c r="AO115">
        <v>2.7E-2</v>
      </c>
      <c r="AP115">
        <v>0.156</v>
      </c>
      <c r="AQ115">
        <v>0.55400000000000005</v>
      </c>
      <c r="AR115">
        <v>0.254</v>
      </c>
      <c r="AS115">
        <v>0.251</v>
      </c>
      <c r="AT115">
        <v>-1.4E-2</v>
      </c>
      <c r="AU115">
        <v>0.26</v>
      </c>
      <c r="AV115">
        <v>0.25600000000000001</v>
      </c>
      <c r="AW115">
        <v>2.5999999999999999E-2</v>
      </c>
      <c r="AX115">
        <v>-0.46899999999999997</v>
      </c>
      <c r="AY115">
        <v>-6.9000000000000006E-2</v>
      </c>
      <c r="AZ115">
        <v>1</v>
      </c>
      <c r="BA115">
        <v>0.38500000000000001</v>
      </c>
      <c r="BB115">
        <v>-0.61799999999999999</v>
      </c>
      <c r="BC115">
        <v>2.7E-2</v>
      </c>
      <c r="BD115">
        <v>0.55200000000000005</v>
      </c>
      <c r="BE115">
        <v>-4.8000000000000001E-2</v>
      </c>
      <c r="BF115">
        <v>8.5999999999999993E-2</v>
      </c>
      <c r="BG115">
        <v>0.77900000000000003</v>
      </c>
      <c r="BH115">
        <v>-0.72099999999999997</v>
      </c>
      <c r="BI115">
        <v>0.30399999999999999</v>
      </c>
      <c r="BJ115">
        <v>-0.122</v>
      </c>
      <c r="BK115">
        <v>-0.82899999999999996</v>
      </c>
    </row>
    <row r="116" spans="1:63" x14ac:dyDescent="0.3">
      <c r="A116" t="s">
        <v>221</v>
      </c>
      <c r="B116">
        <v>0</v>
      </c>
      <c r="C116">
        <v>0</v>
      </c>
      <c r="K116" t="s">
        <v>216</v>
      </c>
      <c r="L116">
        <v>0.69699999999999995</v>
      </c>
      <c r="M116">
        <v>0.52600000000000002</v>
      </c>
      <c r="N116" t="s">
        <v>71</v>
      </c>
      <c r="O116">
        <v>0</v>
      </c>
      <c r="P116">
        <v>-4.0000000000000001E-3</v>
      </c>
      <c r="Q116">
        <v>4.0000000000000001E-3</v>
      </c>
      <c r="R116">
        <v>-0.753</v>
      </c>
      <c r="S116">
        <v>-0.224</v>
      </c>
      <c r="T116">
        <v>-0.92900000000000005</v>
      </c>
      <c r="U116">
        <v>-0.70499999999999996</v>
      </c>
      <c r="V116">
        <v>-0.70899999999999996</v>
      </c>
      <c r="W116">
        <v>-0.58699999999999997</v>
      </c>
      <c r="X116">
        <v>-0.63600000000000001</v>
      </c>
      <c r="Y116">
        <v>-0.47199999999999998</v>
      </c>
      <c r="Z116">
        <v>0.497</v>
      </c>
      <c r="AA116">
        <v>0.49199999999999999</v>
      </c>
      <c r="AB116">
        <v>0.34699999999999998</v>
      </c>
      <c r="AC116">
        <v>0.60099999999999998</v>
      </c>
      <c r="AD116">
        <v>0.84399999999999997</v>
      </c>
      <c r="AE116">
        <v>-0.81200000000000006</v>
      </c>
      <c r="AF116">
        <v>-0.82099999999999995</v>
      </c>
      <c r="AG116">
        <v>0.51100000000000001</v>
      </c>
      <c r="AH116">
        <v>-0.77300000000000002</v>
      </c>
      <c r="AI116">
        <v>0.83699999999999997</v>
      </c>
      <c r="AJ116">
        <v>-0.89400000000000002</v>
      </c>
      <c r="AK116">
        <v>-0.214</v>
      </c>
      <c r="AL116">
        <v>-0.95099999999999996</v>
      </c>
      <c r="AM116">
        <v>-0.48699999999999999</v>
      </c>
      <c r="AN116">
        <v>-0.16600000000000001</v>
      </c>
      <c r="AO116">
        <v>1</v>
      </c>
      <c r="AP116">
        <v>0.55100000000000005</v>
      </c>
      <c r="AQ116">
        <v>-0.27</v>
      </c>
      <c r="AR116">
        <v>0.22700000000000001</v>
      </c>
      <c r="AS116">
        <v>-3.3000000000000002E-2</v>
      </c>
      <c r="AT116">
        <v>7.9000000000000001E-2</v>
      </c>
      <c r="AU116">
        <v>-0.57599999999999996</v>
      </c>
      <c r="AV116">
        <v>-0.38800000000000001</v>
      </c>
      <c r="AW116">
        <v>-0.2</v>
      </c>
      <c r="AX116">
        <v>-0.222</v>
      </c>
      <c r="AY116">
        <v>0.49099999999999999</v>
      </c>
      <c r="AZ116">
        <v>-0.93100000000000005</v>
      </c>
      <c r="BA116">
        <v>0.61099999999999999</v>
      </c>
      <c r="BB116">
        <v>-8.7999999999999995E-2</v>
      </c>
      <c r="BC116">
        <v>-0.23300000000000001</v>
      </c>
      <c r="BD116">
        <v>0.67400000000000004</v>
      </c>
      <c r="BE116">
        <v>-0.90600000000000003</v>
      </c>
      <c r="BF116">
        <v>-0.29199999999999998</v>
      </c>
      <c r="BG116">
        <v>1</v>
      </c>
      <c r="BH116">
        <v>-0.41499999999999998</v>
      </c>
      <c r="BI116">
        <v>-0.99099999999999999</v>
      </c>
      <c r="BJ116">
        <v>-0.17</v>
      </c>
      <c r="BK116">
        <v>0.187</v>
      </c>
    </row>
    <row r="117" spans="1:63" x14ac:dyDescent="0.3">
      <c r="A117" t="s">
        <v>205</v>
      </c>
      <c r="B117">
        <v>7.3822707779039307E-2</v>
      </c>
      <c r="C117">
        <v>0.102823892186516</v>
      </c>
      <c r="K117" t="s">
        <v>215</v>
      </c>
      <c r="L117">
        <v>0.69599999999999995</v>
      </c>
      <c r="M117">
        <v>0.49299999999999999</v>
      </c>
      <c r="N117" t="s">
        <v>55</v>
      </c>
      <c r="O117">
        <v>0</v>
      </c>
      <c r="P117">
        <v>0</v>
      </c>
      <c r="Q117">
        <v>0</v>
      </c>
      <c r="R117">
        <v>-0.52500000000000002</v>
      </c>
      <c r="S117">
        <v>-0.26100000000000001</v>
      </c>
      <c r="T117">
        <v>-0.68799999999999994</v>
      </c>
      <c r="U117">
        <v>-0.69499999999999995</v>
      </c>
      <c r="V117">
        <v>-0.65800000000000003</v>
      </c>
      <c r="W117">
        <v>-0.39600000000000002</v>
      </c>
      <c r="X117">
        <v>-0.23300000000000001</v>
      </c>
      <c r="Y117">
        <v>-0.69699999999999995</v>
      </c>
      <c r="Z117">
        <v>0.27</v>
      </c>
      <c r="AA117">
        <v>0.26</v>
      </c>
      <c r="AB117">
        <v>0.61199999999999999</v>
      </c>
      <c r="AC117">
        <v>0.51200000000000001</v>
      </c>
      <c r="AD117">
        <v>0.71299999999999997</v>
      </c>
      <c r="AE117">
        <v>-0.71899999999999997</v>
      </c>
      <c r="AF117">
        <v>-0.504</v>
      </c>
      <c r="AG117">
        <v>-0.17399999999999999</v>
      </c>
      <c r="AH117">
        <v>-0.47599999999999998</v>
      </c>
      <c r="AI117">
        <v>0.96899999999999997</v>
      </c>
      <c r="AJ117">
        <v>-0.39300000000000002</v>
      </c>
      <c r="AK117">
        <v>-0.19900000000000001</v>
      </c>
      <c r="AL117">
        <v>-0.92900000000000005</v>
      </c>
      <c r="AM117">
        <v>-0.29599999999999999</v>
      </c>
      <c r="AN117">
        <v>4.3999999999999997E-2</v>
      </c>
      <c r="AO117">
        <v>0.36499999999999999</v>
      </c>
      <c r="AP117">
        <v>0.60799999999999998</v>
      </c>
      <c r="AQ117">
        <v>6.3E-2</v>
      </c>
      <c r="AR117">
        <v>-0.14000000000000001</v>
      </c>
      <c r="AS117">
        <v>-0.42799999999999999</v>
      </c>
      <c r="AT117">
        <v>-0.129</v>
      </c>
      <c r="AU117">
        <v>0.189</v>
      </c>
      <c r="AV117">
        <v>-6.8000000000000005E-2</v>
      </c>
      <c r="AW117">
        <v>-0.43</v>
      </c>
      <c r="AX117">
        <v>-0.224</v>
      </c>
      <c r="AY117">
        <v>0.71699999999999997</v>
      </c>
      <c r="AZ117">
        <v>5.1999999999999998E-2</v>
      </c>
      <c r="BA117">
        <v>0.54100000000000004</v>
      </c>
      <c r="BB117">
        <v>-0.13</v>
      </c>
      <c r="BC117">
        <v>-0.495</v>
      </c>
      <c r="BD117">
        <v>0.56899999999999995</v>
      </c>
      <c r="BE117">
        <v>-0.64500000000000002</v>
      </c>
      <c r="BF117">
        <v>0.90600000000000003</v>
      </c>
      <c r="BG117">
        <v>1</v>
      </c>
      <c r="BH117">
        <v>-0.32800000000000001</v>
      </c>
      <c r="BI117">
        <v>-0.311</v>
      </c>
      <c r="BJ117">
        <v>-6.4000000000000001E-2</v>
      </c>
      <c r="BK117">
        <v>0.56999999999999995</v>
      </c>
    </row>
    <row r="118" spans="1:63" x14ac:dyDescent="0.3">
      <c r="A118" t="s">
        <v>88</v>
      </c>
      <c r="B118">
        <v>0</v>
      </c>
      <c r="C118">
        <v>0</v>
      </c>
      <c r="K118" t="s">
        <v>124</v>
      </c>
      <c r="L118">
        <v>0.68400000000000005</v>
      </c>
      <c r="M118">
        <v>0.90400000000000003</v>
      </c>
      <c r="N118" t="s">
        <v>55</v>
      </c>
      <c r="O118">
        <v>0</v>
      </c>
      <c r="P118">
        <v>0</v>
      </c>
      <c r="Q118">
        <v>0</v>
      </c>
      <c r="R118">
        <v>-0.79600000000000004</v>
      </c>
      <c r="S118">
        <v>-0.81499999999999995</v>
      </c>
      <c r="T118">
        <v>-0.90200000000000002</v>
      </c>
      <c r="U118">
        <v>-0.55400000000000005</v>
      </c>
      <c r="V118">
        <v>-0.78700000000000003</v>
      </c>
      <c r="W118">
        <v>-0.42599999999999999</v>
      </c>
      <c r="X118">
        <v>0.112</v>
      </c>
      <c r="Y118">
        <v>-0.38900000000000001</v>
      </c>
      <c r="Z118">
        <v>0.35</v>
      </c>
      <c r="AA118">
        <v>0.34899999999999998</v>
      </c>
      <c r="AB118">
        <v>0.623</v>
      </c>
      <c r="AC118">
        <v>0.69899999999999995</v>
      </c>
      <c r="AD118">
        <v>0.47499999999999998</v>
      </c>
      <c r="AE118">
        <v>-0.26500000000000001</v>
      </c>
      <c r="AF118">
        <v>-0.52900000000000003</v>
      </c>
      <c r="AG118">
        <v>-0.57099999999999995</v>
      </c>
      <c r="AH118">
        <v>-0.76100000000000001</v>
      </c>
      <c r="AI118">
        <v>-0.60699999999999998</v>
      </c>
      <c r="AJ118">
        <v>-0.88100000000000001</v>
      </c>
      <c r="AK118">
        <v>-0.182</v>
      </c>
      <c r="AL118">
        <v>0.19400000000000001</v>
      </c>
      <c r="AM118">
        <v>-0.59899999999999998</v>
      </c>
      <c r="AN118">
        <v>-0.21299999999999999</v>
      </c>
      <c r="AO118">
        <v>-0.246</v>
      </c>
      <c r="AP118">
        <v>0.154</v>
      </c>
      <c r="AQ118">
        <v>-0.13600000000000001</v>
      </c>
      <c r="AR118">
        <v>0.17599999999999999</v>
      </c>
      <c r="AS118">
        <v>0.124</v>
      </c>
      <c r="AT118">
        <v>0.113</v>
      </c>
      <c r="AU118">
        <v>0.53700000000000003</v>
      </c>
      <c r="AV118">
        <v>2.1999999999999999E-2</v>
      </c>
      <c r="AW118">
        <v>0.83299999999999996</v>
      </c>
      <c r="AX118">
        <v>-0.84499999999999997</v>
      </c>
      <c r="AY118">
        <v>0.438</v>
      </c>
      <c r="AZ118">
        <v>-8.5000000000000006E-2</v>
      </c>
      <c r="BA118">
        <v>-0.437</v>
      </c>
      <c r="BB118">
        <v>-0.16400000000000001</v>
      </c>
      <c r="BC118">
        <v>-0.36799999999999999</v>
      </c>
      <c r="BD118">
        <v>0.38400000000000001</v>
      </c>
      <c r="BE118">
        <v>-0.38400000000000001</v>
      </c>
      <c r="BF118">
        <v>-1</v>
      </c>
      <c r="BG118">
        <v>0.19900000000000001</v>
      </c>
      <c r="BH118">
        <v>-0.373</v>
      </c>
      <c r="BI118">
        <v>-0.22700000000000001</v>
      </c>
      <c r="BJ118">
        <v>-0.12</v>
      </c>
      <c r="BK118">
        <v>5.3999999999999999E-2</v>
      </c>
    </row>
    <row r="119" spans="1:63" x14ac:dyDescent="0.3">
      <c r="A119" t="s">
        <v>243</v>
      </c>
      <c r="B119">
        <v>0</v>
      </c>
      <c r="C119">
        <v>0</v>
      </c>
      <c r="K119" t="s">
        <v>250</v>
      </c>
      <c r="L119">
        <v>0.67600000000000005</v>
      </c>
      <c r="M119">
        <v>0.52400000000000002</v>
      </c>
      <c r="N119" t="s">
        <v>57</v>
      </c>
      <c r="O119">
        <v>0</v>
      </c>
      <c r="P119">
        <v>0</v>
      </c>
      <c r="Q119">
        <v>0</v>
      </c>
      <c r="R119">
        <v>-0.06</v>
      </c>
      <c r="S119">
        <v>-0.16900000000000001</v>
      </c>
      <c r="T119">
        <v>-1.7000000000000001E-2</v>
      </c>
      <c r="U119">
        <v>-0.52500000000000002</v>
      </c>
      <c r="V119">
        <v>-0.36499999999999999</v>
      </c>
      <c r="W119">
        <v>-0.47499999999999998</v>
      </c>
      <c r="X119">
        <v>-0.64500000000000002</v>
      </c>
      <c r="Y119">
        <v>-0.627</v>
      </c>
      <c r="Z119">
        <v>-0.34</v>
      </c>
      <c r="AA119">
        <v>-0.34399999999999997</v>
      </c>
      <c r="AB119">
        <v>0.63500000000000001</v>
      </c>
      <c r="AC119">
        <v>0.61299999999999999</v>
      </c>
      <c r="AD119">
        <v>0.28899999999999998</v>
      </c>
      <c r="AE119">
        <v>-3.9E-2</v>
      </c>
      <c r="AF119">
        <v>-0.25</v>
      </c>
      <c r="AG119">
        <v>-0.61299999999999999</v>
      </c>
      <c r="AH119">
        <v>-0.31900000000000001</v>
      </c>
      <c r="AI119">
        <v>0.246</v>
      </c>
      <c r="AJ119">
        <v>0.46700000000000003</v>
      </c>
      <c r="AK119">
        <v>-0.379</v>
      </c>
      <c r="AL119">
        <v>-0.42299999999999999</v>
      </c>
      <c r="AM119">
        <v>-0.36799999999999999</v>
      </c>
      <c r="AN119">
        <v>0.42</v>
      </c>
      <c r="AO119">
        <v>-0.22600000000000001</v>
      </c>
      <c r="AP119">
        <v>0.40799999999999997</v>
      </c>
      <c r="AQ119">
        <v>-0.23</v>
      </c>
      <c r="AR119">
        <v>0.59</v>
      </c>
      <c r="AS119">
        <v>-0.14299999999999999</v>
      </c>
      <c r="AT119">
        <v>-0.314</v>
      </c>
      <c r="AU119">
        <v>-0.41699999999999998</v>
      </c>
      <c r="AV119">
        <v>0.435</v>
      </c>
      <c r="AW119">
        <v>-0.35899999999999999</v>
      </c>
      <c r="AX119">
        <v>0.16300000000000001</v>
      </c>
      <c r="AY119">
        <v>0.64700000000000002</v>
      </c>
      <c r="AZ119">
        <v>0.63600000000000001</v>
      </c>
      <c r="BA119">
        <v>0.29899999999999999</v>
      </c>
      <c r="BB119">
        <v>0.48</v>
      </c>
      <c r="BC119">
        <v>0.26</v>
      </c>
      <c r="BD119">
        <v>0.47</v>
      </c>
      <c r="BE119">
        <v>-0.59799999999999998</v>
      </c>
      <c r="BF119">
        <v>0.44700000000000001</v>
      </c>
      <c r="BG119">
        <v>6.7000000000000004E-2</v>
      </c>
      <c r="BH119">
        <v>0.503</v>
      </c>
      <c r="BI119">
        <v>0.253</v>
      </c>
      <c r="BJ119">
        <v>4.4999999999999998E-2</v>
      </c>
      <c r="BK119">
        <v>0.22600000000000001</v>
      </c>
    </row>
    <row r="120" spans="1:63" x14ac:dyDescent="0.3">
      <c r="A120" t="s">
        <v>210</v>
      </c>
      <c r="B120">
        <v>0</v>
      </c>
      <c r="C120">
        <v>8.0758175128726906E-2</v>
      </c>
      <c r="K120" t="s">
        <v>144</v>
      </c>
      <c r="L120">
        <v>0.67400000000000004</v>
      </c>
      <c r="M120">
        <v>1.4670000000000001</v>
      </c>
      <c r="N120" t="s">
        <v>55</v>
      </c>
      <c r="O120">
        <v>0</v>
      </c>
      <c r="P120">
        <v>-2.5000000000000001E-2</v>
      </c>
      <c r="Q120">
        <v>2.5000000000000001E-2</v>
      </c>
      <c r="R120">
        <v>-0.875</v>
      </c>
      <c r="S120">
        <v>-0.73499999999999999</v>
      </c>
      <c r="T120">
        <v>-0.95199999999999996</v>
      </c>
      <c r="U120">
        <v>-0.74399999999999999</v>
      </c>
      <c r="V120">
        <v>-0.80600000000000005</v>
      </c>
      <c r="W120">
        <v>-0.63800000000000001</v>
      </c>
      <c r="X120">
        <v>-0.216</v>
      </c>
      <c r="Y120">
        <v>-0.30599999999999999</v>
      </c>
      <c r="Z120">
        <v>0.36399999999999999</v>
      </c>
      <c r="AA120">
        <v>0.36699999999999999</v>
      </c>
      <c r="AB120">
        <v>0.67800000000000005</v>
      </c>
      <c r="AC120">
        <v>0.73799999999999999</v>
      </c>
      <c r="AD120">
        <v>0.58899999999999997</v>
      </c>
      <c r="AE120">
        <v>-0.745</v>
      </c>
      <c r="AF120">
        <v>-0.84799999999999998</v>
      </c>
      <c r="AG120">
        <v>0.129</v>
      </c>
      <c r="AH120">
        <v>-0.84799999999999998</v>
      </c>
      <c r="AI120">
        <v>-0.41599999999999998</v>
      </c>
      <c r="AJ120">
        <v>-0.94799999999999995</v>
      </c>
      <c r="AK120">
        <v>-0.32700000000000001</v>
      </c>
      <c r="AL120">
        <v>0.08</v>
      </c>
      <c r="AM120">
        <v>-0.35399999999999998</v>
      </c>
      <c r="AN120">
        <v>-0.69599999999999995</v>
      </c>
      <c r="AO120">
        <v>0.249</v>
      </c>
      <c r="AP120">
        <v>0.33800000000000002</v>
      </c>
      <c r="AQ120">
        <v>-0.48299999999999998</v>
      </c>
      <c r="AR120">
        <v>0.12</v>
      </c>
      <c r="AS120">
        <v>-0.245</v>
      </c>
      <c r="AT120">
        <v>-0.152</v>
      </c>
      <c r="AU120">
        <v>-2.5999999999999999E-2</v>
      </c>
      <c r="AV120">
        <v>-0.42399999999999999</v>
      </c>
      <c r="AW120">
        <v>0.84799999999999998</v>
      </c>
      <c r="AX120">
        <v>-0.80300000000000005</v>
      </c>
      <c r="AY120">
        <v>0.75900000000000001</v>
      </c>
      <c r="AZ120">
        <v>-0.78</v>
      </c>
      <c r="BA120">
        <v>0.153</v>
      </c>
      <c r="BB120">
        <v>-0.151</v>
      </c>
      <c r="BC120">
        <v>-0.53700000000000003</v>
      </c>
      <c r="BD120">
        <v>0.35899999999999999</v>
      </c>
      <c r="BE120">
        <v>-0.35399999999999998</v>
      </c>
      <c r="BF120">
        <v>-0.875</v>
      </c>
      <c r="BG120">
        <v>0.58599999999999997</v>
      </c>
      <c r="BH120">
        <v>-0.41099999999999998</v>
      </c>
      <c r="BI120">
        <v>-0.23300000000000001</v>
      </c>
      <c r="BJ120">
        <v>9.8000000000000004E-2</v>
      </c>
      <c r="BK120">
        <v>-0.122</v>
      </c>
    </row>
    <row r="121" spans="1:63" x14ac:dyDescent="0.3">
      <c r="A121" t="s">
        <v>188</v>
      </c>
      <c r="B121">
        <v>0</v>
      </c>
      <c r="C121">
        <v>0</v>
      </c>
      <c r="K121" t="s">
        <v>214</v>
      </c>
      <c r="L121">
        <v>0.66400000000000003</v>
      </c>
      <c r="M121">
        <v>0.69599999999999995</v>
      </c>
      <c r="N121" t="s">
        <v>53</v>
      </c>
      <c r="O121">
        <v>0</v>
      </c>
      <c r="P121">
        <v>0</v>
      </c>
      <c r="Q121">
        <v>0</v>
      </c>
      <c r="R121">
        <v>-0.40600000000000003</v>
      </c>
      <c r="S121">
        <v>-0.36</v>
      </c>
      <c r="T121">
        <v>-0.66600000000000004</v>
      </c>
      <c r="U121">
        <v>-0.56399999999999995</v>
      </c>
      <c r="V121">
        <v>-0.63100000000000001</v>
      </c>
      <c r="W121">
        <v>-0.46400000000000002</v>
      </c>
      <c r="X121">
        <v>-0.33900000000000002</v>
      </c>
      <c r="Y121">
        <v>-0.73299999999999998</v>
      </c>
      <c r="Z121">
        <v>4.8000000000000001E-2</v>
      </c>
      <c r="AA121">
        <v>5.0999999999999997E-2</v>
      </c>
      <c r="AB121">
        <v>0.61899999999999999</v>
      </c>
      <c r="AC121">
        <v>0.69299999999999995</v>
      </c>
      <c r="AD121">
        <v>0.57099999999999995</v>
      </c>
      <c r="AE121">
        <v>-0.54</v>
      </c>
      <c r="AF121">
        <v>-0.28299999999999997</v>
      </c>
      <c r="AG121">
        <v>-0.23400000000000001</v>
      </c>
      <c r="AH121">
        <v>-0.49399999999999999</v>
      </c>
      <c r="AI121">
        <v>-0.29499999999999998</v>
      </c>
      <c r="AJ121">
        <v>-0.11899999999999999</v>
      </c>
      <c r="AK121">
        <v>-0.16800000000000001</v>
      </c>
      <c r="AL121">
        <v>-0.89200000000000002</v>
      </c>
      <c r="AM121">
        <v>-0.29299999999999998</v>
      </c>
      <c r="AN121">
        <v>0.45200000000000001</v>
      </c>
      <c r="AO121">
        <v>9.4E-2</v>
      </c>
      <c r="AP121">
        <v>-7.6999999999999999E-2</v>
      </c>
      <c r="AQ121">
        <v>0.42599999999999999</v>
      </c>
      <c r="AR121">
        <v>2.8000000000000001E-2</v>
      </c>
      <c r="AS121">
        <v>-3.1E-2</v>
      </c>
      <c r="AT121">
        <v>7.0999999999999994E-2</v>
      </c>
      <c r="AU121">
        <v>-0.245</v>
      </c>
      <c r="AV121">
        <v>-0.21</v>
      </c>
      <c r="AW121">
        <v>0.308</v>
      </c>
      <c r="AX121">
        <v>0.3</v>
      </c>
      <c r="AY121">
        <v>0.751</v>
      </c>
      <c r="AZ121">
        <v>-0.378</v>
      </c>
      <c r="BA121">
        <v>0.74199999999999999</v>
      </c>
      <c r="BB121">
        <v>8.8999999999999996E-2</v>
      </c>
      <c r="BC121">
        <v>-2.5000000000000001E-2</v>
      </c>
      <c r="BD121">
        <v>0.64500000000000002</v>
      </c>
      <c r="BE121">
        <v>-0.41799999999999998</v>
      </c>
      <c r="BF121">
        <v>0.33500000000000002</v>
      </c>
      <c r="BG121">
        <v>0.53800000000000003</v>
      </c>
      <c r="BH121">
        <v>3.1E-2</v>
      </c>
      <c r="BI121">
        <v>-0.25700000000000001</v>
      </c>
      <c r="BJ121">
        <v>-0.21299999999999999</v>
      </c>
      <c r="BK121">
        <v>0.621</v>
      </c>
    </row>
    <row r="122" spans="1:63" x14ac:dyDescent="0.3">
      <c r="A122" t="s">
        <v>209</v>
      </c>
      <c r="B122">
        <v>0</v>
      </c>
      <c r="C122">
        <v>0</v>
      </c>
      <c r="K122" t="s">
        <v>173</v>
      </c>
      <c r="L122">
        <v>0.66300000000000003</v>
      </c>
      <c r="M122">
        <v>1.282</v>
      </c>
      <c r="N122" t="s">
        <v>55</v>
      </c>
      <c r="O122">
        <v>0</v>
      </c>
      <c r="P122">
        <v>-2.4E-2</v>
      </c>
      <c r="Q122">
        <v>2.4E-2</v>
      </c>
      <c r="R122">
        <v>-0.84799999999999998</v>
      </c>
      <c r="S122">
        <v>-0.75600000000000001</v>
      </c>
      <c r="T122">
        <v>-0.95299999999999996</v>
      </c>
      <c r="U122">
        <v>-0.74199999999999999</v>
      </c>
      <c r="V122">
        <v>-0.85099999999999998</v>
      </c>
      <c r="W122">
        <v>-0.46400000000000002</v>
      </c>
      <c r="X122">
        <v>0.12</v>
      </c>
      <c r="Y122">
        <v>-0.505</v>
      </c>
      <c r="Z122">
        <v>0.46500000000000002</v>
      </c>
      <c r="AA122">
        <v>0.46600000000000003</v>
      </c>
      <c r="AB122">
        <v>0.624</v>
      </c>
      <c r="AC122">
        <v>0.64800000000000002</v>
      </c>
      <c r="AD122">
        <v>0.54600000000000004</v>
      </c>
      <c r="AE122">
        <v>-0.78100000000000003</v>
      </c>
      <c r="AF122">
        <v>-0.88300000000000001</v>
      </c>
      <c r="AG122">
        <v>-0.27200000000000002</v>
      </c>
      <c r="AH122">
        <v>-0.96</v>
      </c>
      <c r="AI122">
        <v>-0.61299999999999999</v>
      </c>
      <c r="AJ122">
        <v>-1</v>
      </c>
      <c r="AK122">
        <v>-0.316</v>
      </c>
      <c r="AL122">
        <v>-0.27600000000000002</v>
      </c>
      <c r="AM122">
        <v>-0.70499999999999996</v>
      </c>
      <c r="AN122">
        <v>-0.35399999999999998</v>
      </c>
      <c r="AO122">
        <v>0.217</v>
      </c>
      <c r="AP122">
        <v>0.40500000000000003</v>
      </c>
      <c r="AQ122">
        <v>-0.22500000000000001</v>
      </c>
      <c r="AR122">
        <v>0.158</v>
      </c>
      <c r="AS122">
        <v>-5.7000000000000002E-2</v>
      </c>
      <c r="AT122">
        <v>6.9000000000000006E-2</v>
      </c>
      <c r="AU122">
        <v>0.40899999999999997</v>
      </c>
      <c r="AV122">
        <v>-0.33600000000000002</v>
      </c>
      <c r="AW122">
        <v>0.748</v>
      </c>
      <c r="AX122">
        <v>-0.52700000000000002</v>
      </c>
      <c r="AY122">
        <v>0.75600000000000001</v>
      </c>
      <c r="AZ122">
        <v>-0.249</v>
      </c>
      <c r="BA122">
        <v>-0.40500000000000003</v>
      </c>
      <c r="BB122">
        <v>-0.44700000000000001</v>
      </c>
      <c r="BC122">
        <v>-0.58199999999999996</v>
      </c>
      <c r="BD122">
        <v>0.253</v>
      </c>
      <c r="BE122">
        <v>-0.105</v>
      </c>
      <c r="BF122">
        <v>-0.22</v>
      </c>
      <c r="BG122">
        <v>0.88800000000000001</v>
      </c>
      <c r="BH122">
        <v>-0.33300000000000002</v>
      </c>
      <c r="BI122">
        <v>-0.191</v>
      </c>
      <c r="BJ122">
        <v>0.224</v>
      </c>
      <c r="BK122">
        <v>-0.378</v>
      </c>
    </row>
    <row r="123" spans="1:63" x14ac:dyDescent="0.3">
      <c r="A123" t="s">
        <v>166</v>
      </c>
      <c r="B123">
        <v>0</v>
      </c>
      <c r="C123">
        <v>0</v>
      </c>
      <c r="K123" t="s">
        <v>229</v>
      </c>
      <c r="L123">
        <v>0.65</v>
      </c>
      <c r="M123">
        <v>0.499</v>
      </c>
      <c r="N123" t="s">
        <v>71</v>
      </c>
      <c r="O123">
        <v>0</v>
      </c>
      <c r="P123">
        <v>0</v>
      </c>
      <c r="Q123">
        <v>0</v>
      </c>
      <c r="R123">
        <v>-0.753</v>
      </c>
      <c r="S123">
        <v>-0.14099999999999999</v>
      </c>
      <c r="T123">
        <v>-0.90100000000000002</v>
      </c>
      <c r="U123">
        <v>-0.70899999999999996</v>
      </c>
      <c r="V123">
        <v>-0.67</v>
      </c>
      <c r="W123">
        <v>-0.68</v>
      </c>
      <c r="X123">
        <v>-0.71599999999999997</v>
      </c>
      <c r="Y123">
        <v>-0.50700000000000001</v>
      </c>
      <c r="Z123">
        <v>0.24399999999999999</v>
      </c>
      <c r="AA123">
        <v>0.246</v>
      </c>
      <c r="AB123">
        <v>0.65700000000000003</v>
      </c>
      <c r="AC123">
        <v>0.69399999999999995</v>
      </c>
      <c r="AD123">
        <v>0.65600000000000003</v>
      </c>
      <c r="AE123">
        <v>-0.85499999999999998</v>
      </c>
      <c r="AF123">
        <v>-0.65800000000000003</v>
      </c>
      <c r="AG123">
        <v>0.48399999999999999</v>
      </c>
      <c r="AH123">
        <v>-0.6</v>
      </c>
      <c r="AI123">
        <v>-7.1999999999999995E-2</v>
      </c>
      <c r="AJ123">
        <v>-0.86599999999999999</v>
      </c>
      <c r="AK123">
        <v>-0.32200000000000001</v>
      </c>
      <c r="AL123">
        <v>-0.49199999999999999</v>
      </c>
      <c r="AM123">
        <v>-0.20699999999999999</v>
      </c>
      <c r="AN123">
        <v>-0.27400000000000002</v>
      </c>
      <c r="AO123">
        <v>0.29799999999999999</v>
      </c>
      <c r="AP123">
        <v>0.86099999999999999</v>
      </c>
      <c r="AQ123">
        <v>-0.40899999999999997</v>
      </c>
      <c r="AR123">
        <v>0.85799999999999998</v>
      </c>
      <c r="AS123">
        <v>0.30599999999999999</v>
      </c>
      <c r="AT123">
        <v>-9.0999999999999998E-2</v>
      </c>
      <c r="AU123">
        <v>-0.17699999999999999</v>
      </c>
      <c r="AV123">
        <v>-0.54200000000000004</v>
      </c>
      <c r="AW123">
        <v>0.19700000000000001</v>
      </c>
      <c r="AX123">
        <v>-0.25700000000000001</v>
      </c>
      <c r="AY123">
        <v>0.376</v>
      </c>
      <c r="AZ123">
        <v>-0.54600000000000004</v>
      </c>
      <c r="BA123">
        <v>-1.2E-2</v>
      </c>
      <c r="BB123">
        <v>-9.8000000000000004E-2</v>
      </c>
      <c r="BC123">
        <v>-0.41199999999999998</v>
      </c>
      <c r="BD123">
        <v>0.29199999999999998</v>
      </c>
      <c r="BE123">
        <v>-0.86399999999999999</v>
      </c>
      <c r="BF123">
        <v>0.249</v>
      </c>
      <c r="BG123">
        <v>2.9000000000000001E-2</v>
      </c>
      <c r="BH123">
        <v>0.26500000000000001</v>
      </c>
      <c r="BI123">
        <v>-0.63200000000000001</v>
      </c>
      <c r="BJ123">
        <v>-0.219</v>
      </c>
      <c r="BK123">
        <v>5.2999999999999999E-2</v>
      </c>
    </row>
    <row r="124" spans="1:63" x14ac:dyDescent="0.3">
      <c r="A124" t="s">
        <v>154</v>
      </c>
      <c r="B124">
        <v>0</v>
      </c>
      <c r="C124">
        <v>0</v>
      </c>
      <c r="K124" t="s">
        <v>80</v>
      </c>
      <c r="L124">
        <v>0.63200000000000001</v>
      </c>
      <c r="M124">
        <v>0.60599999999999998</v>
      </c>
      <c r="N124" t="s">
        <v>57</v>
      </c>
      <c r="O124">
        <v>0</v>
      </c>
      <c r="P124">
        <v>0</v>
      </c>
      <c r="Q124">
        <v>0</v>
      </c>
      <c r="R124">
        <v>-0.57899999999999996</v>
      </c>
      <c r="S124">
        <v>-0.77600000000000002</v>
      </c>
      <c r="T124">
        <v>-0.245</v>
      </c>
      <c r="U124">
        <v>-0.627</v>
      </c>
      <c r="V124">
        <v>-0.59699999999999998</v>
      </c>
      <c r="W124">
        <v>-0.65800000000000003</v>
      </c>
      <c r="X124">
        <v>-0.629</v>
      </c>
      <c r="Y124">
        <v>-0.57899999999999996</v>
      </c>
      <c r="Z124">
        <v>0.154</v>
      </c>
      <c r="AA124">
        <v>0.156</v>
      </c>
      <c r="AB124">
        <v>0.54</v>
      </c>
      <c r="AC124">
        <v>0.52100000000000002</v>
      </c>
      <c r="AD124">
        <v>0.47599999999999998</v>
      </c>
      <c r="AE124">
        <v>-0.36099999999999999</v>
      </c>
      <c r="AF124">
        <v>-0.222</v>
      </c>
      <c r="AG124">
        <v>-0.755</v>
      </c>
      <c r="AH124">
        <v>0.16800000000000001</v>
      </c>
      <c r="AI124">
        <v>-0.40699999999999997</v>
      </c>
      <c r="AJ124">
        <v>0.28799999999999998</v>
      </c>
      <c r="AK124">
        <v>4.1000000000000002E-2</v>
      </c>
      <c r="AL124">
        <v>0.20399999999999999</v>
      </c>
      <c r="AM124">
        <v>-0.29499999999999998</v>
      </c>
      <c r="AN124">
        <v>-8.5000000000000006E-2</v>
      </c>
      <c r="AO124">
        <v>-0.42199999999999999</v>
      </c>
      <c r="AP124">
        <v>-0.377</v>
      </c>
      <c r="AQ124">
        <v>0.13600000000000001</v>
      </c>
      <c r="AR124">
        <v>7.6999999999999999E-2</v>
      </c>
      <c r="AS124">
        <v>-0.54200000000000004</v>
      </c>
      <c r="AT124">
        <v>0.24199999999999999</v>
      </c>
      <c r="AU124">
        <v>-0.22600000000000001</v>
      </c>
      <c r="AV124">
        <v>-0.42699999999999999</v>
      </c>
      <c r="AW124">
        <v>0.38800000000000001</v>
      </c>
      <c r="AX124">
        <v>0.17799999999999999</v>
      </c>
      <c r="AY124">
        <v>0.747</v>
      </c>
      <c r="AZ124">
        <v>0.27400000000000002</v>
      </c>
      <c r="BA124">
        <v>0.72299999999999998</v>
      </c>
      <c r="BB124">
        <v>2E-3</v>
      </c>
      <c r="BC124">
        <v>-0.191</v>
      </c>
      <c r="BD124">
        <v>0.155</v>
      </c>
      <c r="BE124">
        <v>0.104</v>
      </c>
      <c r="BF124">
        <v>0.33900000000000002</v>
      </c>
      <c r="BG124">
        <v>-0.312</v>
      </c>
      <c r="BH124">
        <v>-0.64600000000000002</v>
      </c>
      <c r="BI124">
        <v>-0.39500000000000002</v>
      </c>
      <c r="BJ124">
        <v>0.498</v>
      </c>
      <c r="BK124">
        <v>0.40799999999999997</v>
      </c>
    </row>
    <row r="125" spans="1:63" x14ac:dyDescent="0.3">
      <c r="A125" t="s">
        <v>69</v>
      </c>
      <c r="B125">
        <v>0</v>
      </c>
      <c r="C125">
        <v>0</v>
      </c>
      <c r="K125" t="s">
        <v>180</v>
      </c>
      <c r="L125">
        <v>0.628</v>
      </c>
      <c r="M125">
        <v>0.69499999999999995</v>
      </c>
      <c r="N125" t="s">
        <v>57</v>
      </c>
      <c r="O125">
        <v>0</v>
      </c>
      <c r="P125">
        <v>0</v>
      </c>
      <c r="Q125">
        <v>0</v>
      </c>
      <c r="R125">
        <v>-0.35799999999999998</v>
      </c>
      <c r="S125">
        <v>-0.73499999999999999</v>
      </c>
      <c r="T125">
        <v>-0.22700000000000001</v>
      </c>
      <c r="U125">
        <v>-0.53800000000000003</v>
      </c>
      <c r="V125">
        <v>-0.65600000000000003</v>
      </c>
      <c r="W125">
        <v>-0.39200000000000002</v>
      </c>
      <c r="X125">
        <v>-0.248</v>
      </c>
      <c r="Y125">
        <v>-0.74199999999999999</v>
      </c>
      <c r="Z125">
        <v>5.0999999999999997E-2</v>
      </c>
      <c r="AA125">
        <v>5.1999999999999998E-2</v>
      </c>
      <c r="AB125">
        <v>0.55400000000000005</v>
      </c>
      <c r="AC125">
        <v>0.46700000000000003</v>
      </c>
      <c r="AD125">
        <v>0.253</v>
      </c>
      <c r="AE125">
        <v>-0.20799999999999999</v>
      </c>
      <c r="AF125">
        <v>-0.68100000000000005</v>
      </c>
      <c r="AG125">
        <v>-0.84099999999999997</v>
      </c>
      <c r="AH125">
        <v>-0.57099999999999995</v>
      </c>
      <c r="AI125">
        <v>-1.0999999999999999E-2</v>
      </c>
      <c r="AJ125">
        <v>0.93</v>
      </c>
      <c r="AK125">
        <v>-0.46899999999999997</v>
      </c>
      <c r="AL125">
        <v>-0.76300000000000001</v>
      </c>
      <c r="AM125">
        <v>-0.97299999999999998</v>
      </c>
      <c r="AN125">
        <v>0.23699999999999999</v>
      </c>
      <c r="AO125">
        <v>-0.38100000000000001</v>
      </c>
      <c r="AP125">
        <v>-0.12</v>
      </c>
      <c r="AQ125">
        <v>5.2999999999999999E-2</v>
      </c>
      <c r="AR125">
        <v>0.125</v>
      </c>
      <c r="AS125">
        <v>-0.53900000000000003</v>
      </c>
      <c r="AT125">
        <v>0.78100000000000003</v>
      </c>
      <c r="AU125">
        <v>6.2E-2</v>
      </c>
      <c r="AV125">
        <v>0.623</v>
      </c>
      <c r="AW125">
        <v>0.38600000000000001</v>
      </c>
      <c r="AX125">
        <v>8.5000000000000006E-2</v>
      </c>
      <c r="AY125">
        <v>0.89800000000000002</v>
      </c>
      <c r="AZ125">
        <v>0.97699999999999998</v>
      </c>
      <c r="BA125">
        <v>0.42199999999999999</v>
      </c>
      <c r="BB125">
        <v>-0.60399999999999998</v>
      </c>
      <c r="BC125">
        <v>-0.57199999999999995</v>
      </c>
      <c r="BD125">
        <v>0.23499999999999999</v>
      </c>
      <c r="BE125">
        <v>-0.71099999999999997</v>
      </c>
      <c r="BF125">
        <v>-0.18</v>
      </c>
      <c r="BG125">
        <v>0.29199999999999998</v>
      </c>
      <c r="BH125">
        <v>-0.33600000000000002</v>
      </c>
      <c r="BI125">
        <v>0.104</v>
      </c>
      <c r="BJ125">
        <v>0.35099999999999998</v>
      </c>
      <c r="BK125">
        <v>0.71599999999999997</v>
      </c>
    </row>
    <row r="126" spans="1:63" x14ac:dyDescent="0.3">
      <c r="A126" t="s">
        <v>150</v>
      </c>
      <c r="B126">
        <v>0</v>
      </c>
      <c r="C126">
        <v>0</v>
      </c>
      <c r="K126" t="s">
        <v>233</v>
      </c>
      <c r="L126">
        <v>0.627</v>
      </c>
      <c r="M126">
        <v>0.499</v>
      </c>
      <c r="N126" t="s">
        <v>71</v>
      </c>
      <c r="O126">
        <v>0</v>
      </c>
      <c r="P126">
        <v>0</v>
      </c>
      <c r="Q126">
        <v>0</v>
      </c>
      <c r="R126">
        <v>-0.83399999999999996</v>
      </c>
      <c r="S126">
        <v>-8.6999999999999994E-2</v>
      </c>
      <c r="T126">
        <v>-0.97</v>
      </c>
      <c r="U126">
        <v>-0.72099999999999997</v>
      </c>
      <c r="V126">
        <v>-0.66100000000000003</v>
      </c>
      <c r="W126">
        <v>-0.73799999999999999</v>
      </c>
      <c r="X126">
        <v>-0.755</v>
      </c>
      <c r="Y126">
        <v>-0.57399999999999995</v>
      </c>
      <c r="Z126">
        <v>0.17299999999999999</v>
      </c>
      <c r="AA126">
        <v>0.17399999999999999</v>
      </c>
      <c r="AB126">
        <v>0.76800000000000002</v>
      </c>
      <c r="AC126">
        <v>0.79800000000000004</v>
      </c>
      <c r="AD126">
        <v>0.64700000000000002</v>
      </c>
      <c r="AE126">
        <v>-0.749</v>
      </c>
      <c r="AF126">
        <v>-0.437</v>
      </c>
      <c r="AG126">
        <v>0.97399999999999998</v>
      </c>
      <c r="AH126">
        <v>-0.64900000000000002</v>
      </c>
      <c r="AI126">
        <v>-0.158</v>
      </c>
      <c r="AJ126">
        <v>-0.90700000000000003</v>
      </c>
      <c r="AK126">
        <v>0.105</v>
      </c>
      <c r="AL126">
        <v>-0.96099999999999997</v>
      </c>
      <c r="AM126">
        <v>4.2000000000000003E-2</v>
      </c>
      <c r="AN126">
        <v>0.41099999999999998</v>
      </c>
      <c r="AO126">
        <v>0.56100000000000005</v>
      </c>
      <c r="AP126">
        <v>0.72</v>
      </c>
      <c r="AQ126">
        <v>-0.45</v>
      </c>
      <c r="AR126">
        <v>-0.32700000000000001</v>
      </c>
      <c r="AS126">
        <v>-0.46899999999999997</v>
      </c>
      <c r="AT126">
        <v>-0.316</v>
      </c>
      <c r="AU126">
        <v>-0.17100000000000001</v>
      </c>
      <c r="AV126">
        <v>-0.33600000000000002</v>
      </c>
      <c r="AW126">
        <v>0.106</v>
      </c>
      <c r="AX126">
        <v>-0.31</v>
      </c>
      <c r="AY126">
        <v>0.32800000000000001</v>
      </c>
      <c r="AZ126">
        <v>-0.72199999999999998</v>
      </c>
      <c r="BA126">
        <v>-0.19</v>
      </c>
      <c r="BB126">
        <v>-0.36199999999999999</v>
      </c>
      <c r="BC126">
        <v>0.32300000000000001</v>
      </c>
      <c r="BD126">
        <v>-0.14599999999999999</v>
      </c>
      <c r="BE126">
        <v>-0.22600000000000001</v>
      </c>
      <c r="BF126">
        <v>0.56999999999999995</v>
      </c>
      <c r="BG126">
        <v>0.27900000000000003</v>
      </c>
      <c r="BH126">
        <v>0.26500000000000001</v>
      </c>
      <c r="BI126">
        <v>-0.98299999999999998</v>
      </c>
      <c r="BJ126">
        <v>-0.91900000000000004</v>
      </c>
      <c r="BK126">
        <v>0.19</v>
      </c>
    </row>
    <row r="127" spans="1:63" x14ac:dyDescent="0.3">
      <c r="A127" t="s">
        <v>170</v>
      </c>
      <c r="B127">
        <v>0</v>
      </c>
      <c r="C127">
        <v>0</v>
      </c>
      <c r="K127" t="s">
        <v>168</v>
      </c>
      <c r="L127">
        <v>0.626</v>
      </c>
      <c r="M127">
        <v>1.056</v>
      </c>
      <c r="N127" t="s">
        <v>68</v>
      </c>
      <c r="O127">
        <v>0</v>
      </c>
      <c r="P127">
        <v>-2.5000000000000001E-2</v>
      </c>
      <c r="Q127">
        <v>2.5000000000000001E-2</v>
      </c>
      <c r="R127">
        <v>-0.67200000000000004</v>
      </c>
      <c r="S127">
        <v>-0.83</v>
      </c>
      <c r="T127">
        <v>-0.86799999999999999</v>
      </c>
      <c r="U127">
        <v>-0.63500000000000001</v>
      </c>
      <c r="V127">
        <v>-0.84899999999999998</v>
      </c>
      <c r="W127">
        <v>-0.443</v>
      </c>
      <c r="X127">
        <v>-0.18</v>
      </c>
      <c r="Y127">
        <v>-0.64900000000000002</v>
      </c>
      <c r="Z127">
        <v>0.29099999999999998</v>
      </c>
      <c r="AA127">
        <v>0.29199999999999998</v>
      </c>
      <c r="AB127">
        <v>0.63600000000000001</v>
      </c>
      <c r="AC127">
        <v>0.57199999999999995</v>
      </c>
      <c r="AD127">
        <v>0.46400000000000002</v>
      </c>
      <c r="AE127">
        <v>-0.40300000000000002</v>
      </c>
      <c r="AF127">
        <v>-0.66200000000000003</v>
      </c>
      <c r="AG127">
        <v>-0.79400000000000004</v>
      </c>
      <c r="AH127">
        <v>-1</v>
      </c>
      <c r="AI127">
        <v>-0.97499999999999998</v>
      </c>
      <c r="AJ127">
        <v>-0.64100000000000001</v>
      </c>
      <c r="AK127">
        <v>-0.39100000000000001</v>
      </c>
      <c r="AL127">
        <v>-0.55900000000000005</v>
      </c>
      <c r="AM127">
        <v>-0.96899999999999997</v>
      </c>
      <c r="AN127">
        <v>0.56699999999999995</v>
      </c>
      <c r="AO127">
        <v>5.6000000000000001E-2</v>
      </c>
      <c r="AP127">
        <v>-0.41799999999999998</v>
      </c>
      <c r="AQ127">
        <v>0.17899999999999999</v>
      </c>
      <c r="AR127">
        <v>0.252</v>
      </c>
      <c r="AS127">
        <v>-0.52500000000000002</v>
      </c>
      <c r="AT127">
        <v>0.72799999999999998</v>
      </c>
      <c r="AU127">
        <v>-0.11</v>
      </c>
      <c r="AV127">
        <v>0.17</v>
      </c>
      <c r="AW127">
        <v>0.61399999999999999</v>
      </c>
      <c r="AX127">
        <v>0.53700000000000003</v>
      </c>
      <c r="AY127">
        <v>0.94099999999999995</v>
      </c>
      <c r="AZ127">
        <v>0.51800000000000002</v>
      </c>
      <c r="BA127">
        <v>0.218</v>
      </c>
      <c r="BB127">
        <v>0.189</v>
      </c>
      <c r="BC127">
        <v>0.26200000000000001</v>
      </c>
      <c r="BD127">
        <v>0.22700000000000001</v>
      </c>
      <c r="BE127">
        <v>0.157</v>
      </c>
      <c r="BF127">
        <v>0.38200000000000001</v>
      </c>
      <c r="BG127">
        <v>0.48599999999999999</v>
      </c>
      <c r="BH127">
        <v>-0.34699999999999998</v>
      </c>
      <c r="BI127">
        <v>-1.7000000000000001E-2</v>
      </c>
      <c r="BJ127">
        <v>-9.5000000000000001E-2</v>
      </c>
      <c r="BK127">
        <v>-1</v>
      </c>
    </row>
    <row r="128" spans="1:63" x14ac:dyDescent="0.3">
      <c r="A128" t="s">
        <v>257</v>
      </c>
      <c r="B128">
        <v>0</v>
      </c>
      <c r="C128">
        <v>0</v>
      </c>
      <c r="K128" t="s">
        <v>209</v>
      </c>
      <c r="L128">
        <v>0.61899999999999999</v>
      </c>
      <c r="M128">
        <v>0.81299999999999994</v>
      </c>
      <c r="N128" t="s">
        <v>55</v>
      </c>
      <c r="O128">
        <v>0</v>
      </c>
      <c r="P128">
        <v>0</v>
      </c>
      <c r="Q128">
        <v>0</v>
      </c>
      <c r="R128">
        <v>-0.69599999999999995</v>
      </c>
      <c r="S128">
        <v>-0.72499999999999998</v>
      </c>
      <c r="T128">
        <v>-0.92600000000000005</v>
      </c>
      <c r="U128">
        <v>-0.754</v>
      </c>
      <c r="V128">
        <v>-0.88400000000000001</v>
      </c>
      <c r="W128">
        <v>-0.42699999999999999</v>
      </c>
      <c r="X128">
        <v>-0.20499999999999999</v>
      </c>
      <c r="Y128">
        <v>-0.73599999999999999</v>
      </c>
      <c r="Z128">
        <v>9.4E-2</v>
      </c>
      <c r="AA128">
        <v>9.9000000000000005E-2</v>
      </c>
      <c r="AB128">
        <v>0.77900000000000003</v>
      </c>
      <c r="AC128">
        <v>0.81399999999999995</v>
      </c>
      <c r="AD128">
        <v>0.56499999999999995</v>
      </c>
      <c r="AE128">
        <v>-1</v>
      </c>
      <c r="AF128">
        <v>-0.48799999999999999</v>
      </c>
      <c r="AG128">
        <v>-0.42599999999999999</v>
      </c>
      <c r="AH128">
        <v>-1</v>
      </c>
      <c r="AI128">
        <v>-0.89400000000000002</v>
      </c>
      <c r="AJ128">
        <v>-0.89600000000000002</v>
      </c>
      <c r="AK128">
        <v>-0.378</v>
      </c>
      <c r="AL128">
        <v>-0.746</v>
      </c>
      <c r="AM128">
        <v>-0.55300000000000005</v>
      </c>
      <c r="AN128">
        <v>-0.34100000000000003</v>
      </c>
      <c r="AO128">
        <v>0.161</v>
      </c>
      <c r="AP128">
        <v>0.39800000000000002</v>
      </c>
      <c r="AQ128">
        <v>0.24</v>
      </c>
      <c r="AR128">
        <v>0.82699999999999996</v>
      </c>
      <c r="AS128">
        <v>0.40500000000000003</v>
      </c>
      <c r="AT128">
        <v>-0.214</v>
      </c>
      <c r="AU128">
        <v>2E-3</v>
      </c>
      <c r="AV128">
        <v>-0.59099999999999997</v>
      </c>
      <c r="AW128">
        <v>0.52</v>
      </c>
      <c r="AX128">
        <v>-0.58199999999999996</v>
      </c>
      <c r="AY128">
        <v>0.77900000000000003</v>
      </c>
      <c r="AZ128">
        <v>0.502</v>
      </c>
      <c r="BA128">
        <v>0.79100000000000004</v>
      </c>
      <c r="BB128">
        <v>1.4999999999999999E-2</v>
      </c>
      <c r="BC128">
        <v>3.9E-2</v>
      </c>
      <c r="BD128">
        <v>0.49299999999999999</v>
      </c>
      <c r="BE128">
        <v>0.27300000000000002</v>
      </c>
      <c r="BF128">
        <v>0.14199999999999999</v>
      </c>
      <c r="BG128">
        <v>0.68300000000000005</v>
      </c>
      <c r="BH128">
        <v>-0.625</v>
      </c>
      <c r="BI128">
        <v>0.154</v>
      </c>
      <c r="BJ128">
        <v>0.17</v>
      </c>
      <c r="BK128">
        <v>-1</v>
      </c>
    </row>
    <row r="129" spans="1:63" x14ac:dyDescent="0.3">
      <c r="A129" t="s">
        <v>235</v>
      </c>
      <c r="B129">
        <v>0</v>
      </c>
      <c r="C129">
        <v>0</v>
      </c>
      <c r="K129" t="s">
        <v>190</v>
      </c>
      <c r="L129">
        <v>0.61899999999999999</v>
      </c>
      <c r="M129">
        <v>0.443</v>
      </c>
      <c r="N129" t="s">
        <v>68</v>
      </c>
      <c r="O129">
        <v>0</v>
      </c>
      <c r="P129">
        <v>0</v>
      </c>
      <c r="Q129">
        <v>0</v>
      </c>
      <c r="R129">
        <v>-0.55100000000000005</v>
      </c>
      <c r="S129">
        <v>-0.372</v>
      </c>
      <c r="T129">
        <v>-0.21099999999999999</v>
      </c>
      <c r="U129">
        <v>-0.77200000000000002</v>
      </c>
      <c r="V129">
        <v>-0.50900000000000001</v>
      </c>
      <c r="W129">
        <v>-0.67200000000000004</v>
      </c>
      <c r="X129">
        <v>-0.61599999999999999</v>
      </c>
      <c r="Y129">
        <v>-0.53</v>
      </c>
      <c r="Z129">
        <v>-9.4E-2</v>
      </c>
      <c r="AA129">
        <v>-0.1</v>
      </c>
      <c r="AB129">
        <v>0.35</v>
      </c>
      <c r="AC129">
        <v>-7.2999999999999995E-2</v>
      </c>
      <c r="AD129">
        <v>0.499</v>
      </c>
      <c r="AE129">
        <v>-0.69499999999999995</v>
      </c>
      <c r="AF129">
        <v>-0.29299999999999998</v>
      </c>
      <c r="AG129">
        <v>-0.42699999999999999</v>
      </c>
      <c r="AH129">
        <v>0.19500000000000001</v>
      </c>
      <c r="AI129">
        <v>0.60599999999999998</v>
      </c>
      <c r="AJ129">
        <v>-0.69299999999999995</v>
      </c>
      <c r="AK129">
        <v>-0.44</v>
      </c>
      <c r="AL129">
        <v>0.252</v>
      </c>
      <c r="AM129">
        <v>-0.24199999999999999</v>
      </c>
      <c r="AN129">
        <v>0.58299999999999996</v>
      </c>
      <c r="AO129">
        <v>-0.107</v>
      </c>
      <c r="AP129">
        <v>-0.13</v>
      </c>
      <c r="AQ129">
        <v>-0.23200000000000001</v>
      </c>
      <c r="AR129">
        <v>0.21</v>
      </c>
      <c r="AS129">
        <v>-0.2</v>
      </c>
      <c r="AT129">
        <v>-0.23799999999999999</v>
      </c>
      <c r="AU129">
        <v>-0.215</v>
      </c>
      <c r="AV129">
        <v>-0.63100000000000001</v>
      </c>
      <c r="AW129">
        <v>-0.70699999999999996</v>
      </c>
      <c r="AX129">
        <v>-0.193</v>
      </c>
      <c r="AY129">
        <v>0.37</v>
      </c>
      <c r="AZ129">
        <v>-7.6999999999999999E-2</v>
      </c>
      <c r="BA129">
        <v>-0.2</v>
      </c>
      <c r="BB129">
        <v>-0.47399999999999998</v>
      </c>
      <c r="BC129">
        <v>-0.76800000000000002</v>
      </c>
      <c r="BD129">
        <v>0.104</v>
      </c>
      <c r="BE129">
        <v>1</v>
      </c>
      <c r="BF129">
        <v>0.53400000000000003</v>
      </c>
      <c r="BG129">
        <v>0.33600000000000002</v>
      </c>
      <c r="BH129">
        <v>0.501</v>
      </c>
      <c r="BI129">
        <v>1</v>
      </c>
      <c r="BJ129">
        <v>0.61799999999999999</v>
      </c>
      <c r="BK129">
        <v>0.51</v>
      </c>
    </row>
    <row r="130" spans="1:63" x14ac:dyDescent="0.3">
      <c r="A130" t="s">
        <v>197</v>
      </c>
      <c r="B130">
        <v>0</v>
      </c>
      <c r="C130">
        <v>0</v>
      </c>
      <c r="K130" t="s">
        <v>232</v>
      </c>
      <c r="L130">
        <v>0.61799999999999999</v>
      </c>
      <c r="M130">
        <v>0.51100000000000001</v>
      </c>
      <c r="N130" t="s">
        <v>57</v>
      </c>
      <c r="O130">
        <v>0</v>
      </c>
      <c r="P130">
        <v>-4.0000000000000001E-3</v>
      </c>
      <c r="Q130">
        <v>4.0000000000000001E-3</v>
      </c>
      <c r="R130">
        <v>-0.54</v>
      </c>
      <c r="S130">
        <v>-0.64500000000000002</v>
      </c>
      <c r="T130">
        <v>-0.313</v>
      </c>
      <c r="U130">
        <v>-0.37</v>
      </c>
      <c r="V130">
        <v>-0.34200000000000003</v>
      </c>
      <c r="W130">
        <v>-0.51200000000000001</v>
      </c>
      <c r="X130">
        <v>-0.503</v>
      </c>
      <c r="Y130">
        <v>-0.61899999999999999</v>
      </c>
      <c r="Z130">
        <v>-5.3999999999999999E-2</v>
      </c>
      <c r="AA130">
        <v>-5.5E-2</v>
      </c>
      <c r="AB130">
        <v>0.64200000000000002</v>
      </c>
      <c r="AC130">
        <v>0.55700000000000005</v>
      </c>
      <c r="AD130">
        <v>0.219</v>
      </c>
      <c r="AE130">
        <v>0.94599999999999995</v>
      </c>
      <c r="AF130">
        <v>0.30599999999999999</v>
      </c>
      <c r="AG130">
        <v>-0.68100000000000005</v>
      </c>
      <c r="AH130">
        <v>0.13200000000000001</v>
      </c>
      <c r="AI130">
        <v>-0.78400000000000003</v>
      </c>
      <c r="AJ130">
        <v>-0.191</v>
      </c>
      <c r="AK130">
        <v>0.34599999999999997</v>
      </c>
      <c r="AL130">
        <v>3.3000000000000002E-2</v>
      </c>
      <c r="AM130">
        <v>0.378</v>
      </c>
      <c r="AN130">
        <v>1</v>
      </c>
      <c r="AO130">
        <v>-0.88500000000000001</v>
      </c>
      <c r="AP130">
        <v>-0.41799999999999998</v>
      </c>
      <c r="AQ130">
        <v>1.7999999999999999E-2</v>
      </c>
      <c r="AR130">
        <v>-0.42599999999999999</v>
      </c>
      <c r="AS130">
        <v>-0.75900000000000001</v>
      </c>
      <c r="AT130">
        <v>5.7000000000000002E-2</v>
      </c>
      <c r="AU130">
        <v>-0.26100000000000001</v>
      </c>
      <c r="AV130">
        <v>0.29199999999999998</v>
      </c>
      <c r="AW130">
        <v>-0.20699999999999999</v>
      </c>
      <c r="AX130">
        <v>-0.2</v>
      </c>
      <c r="AY130">
        <v>0.79200000000000004</v>
      </c>
      <c r="AZ130">
        <v>0.499</v>
      </c>
      <c r="BA130">
        <v>-0.60099999999999998</v>
      </c>
      <c r="BB130">
        <v>-0.51700000000000002</v>
      </c>
      <c r="BC130">
        <v>-0.17699999999999999</v>
      </c>
      <c r="BD130">
        <v>-0.10299999999999999</v>
      </c>
      <c r="BE130">
        <v>-0.04</v>
      </c>
      <c r="BF130">
        <v>0.749</v>
      </c>
      <c r="BG130">
        <v>0.19800000000000001</v>
      </c>
      <c r="BH130">
        <v>0.57099999999999995</v>
      </c>
      <c r="BI130">
        <v>-0.32800000000000001</v>
      </c>
      <c r="BJ130">
        <v>-0.76800000000000002</v>
      </c>
      <c r="BK130">
        <v>0.27100000000000002</v>
      </c>
    </row>
    <row r="131" spans="1:63" x14ac:dyDescent="0.3">
      <c r="A131" t="s">
        <v>176</v>
      </c>
      <c r="B131">
        <v>0</v>
      </c>
      <c r="C131">
        <v>0</v>
      </c>
      <c r="K131" t="s">
        <v>177</v>
      </c>
      <c r="L131">
        <v>0.61699999999999999</v>
      </c>
      <c r="M131">
        <v>0.75900000000000001</v>
      </c>
      <c r="N131" t="s">
        <v>71</v>
      </c>
      <c r="O131">
        <v>0</v>
      </c>
      <c r="P131">
        <v>0</v>
      </c>
      <c r="Q131">
        <v>0</v>
      </c>
      <c r="R131">
        <v>-0.90200000000000002</v>
      </c>
      <c r="S131">
        <v>-0.88700000000000001</v>
      </c>
      <c r="T131">
        <v>-0.91</v>
      </c>
      <c r="U131">
        <v>-0.85799999999999998</v>
      </c>
      <c r="V131">
        <v>-0.89400000000000002</v>
      </c>
      <c r="W131">
        <v>-0.56299999999999994</v>
      </c>
      <c r="X131">
        <v>-0.223</v>
      </c>
      <c r="Y131">
        <v>-0.66300000000000003</v>
      </c>
      <c r="Z131">
        <v>0.58599999999999997</v>
      </c>
      <c r="AA131">
        <v>0.58099999999999996</v>
      </c>
      <c r="AB131">
        <v>0.58199999999999996</v>
      </c>
      <c r="AC131">
        <v>0.69799999999999995</v>
      </c>
      <c r="AD131">
        <v>0.56000000000000005</v>
      </c>
      <c r="AE131">
        <v>-0.78400000000000003</v>
      </c>
      <c r="AF131">
        <v>-0.97599999999999998</v>
      </c>
      <c r="AG131">
        <v>-0.68899999999999995</v>
      </c>
      <c r="AH131">
        <v>-0.80400000000000005</v>
      </c>
      <c r="AI131">
        <v>-0.84099999999999997</v>
      </c>
      <c r="AJ131">
        <v>-0.98599999999999999</v>
      </c>
      <c r="AK131">
        <v>5.8999999999999997E-2</v>
      </c>
      <c r="AL131">
        <v>-1.6E-2</v>
      </c>
      <c r="AM131">
        <v>-0.41799999999999998</v>
      </c>
      <c r="AN131">
        <v>-0.185</v>
      </c>
      <c r="AO131">
        <v>2.9000000000000001E-2</v>
      </c>
      <c r="AP131">
        <v>-0.63400000000000001</v>
      </c>
      <c r="AQ131">
        <v>-0.82299999999999995</v>
      </c>
      <c r="AR131">
        <v>-0.45500000000000002</v>
      </c>
      <c r="AS131">
        <v>-0.40300000000000002</v>
      </c>
      <c r="AT131">
        <v>-0.108</v>
      </c>
      <c r="AU131">
        <v>-0.187</v>
      </c>
      <c r="AV131">
        <v>-0.56799999999999995</v>
      </c>
      <c r="AW131">
        <v>0.99199999999999999</v>
      </c>
      <c r="AX131">
        <v>-0.373</v>
      </c>
      <c r="AY131">
        <v>0.627</v>
      </c>
      <c r="AZ131">
        <v>-0.50900000000000001</v>
      </c>
      <c r="BA131">
        <v>0.16200000000000001</v>
      </c>
      <c r="BB131">
        <v>6.0999999999999999E-2</v>
      </c>
      <c r="BC131">
        <v>6.9000000000000006E-2</v>
      </c>
      <c r="BD131">
        <v>0.31900000000000001</v>
      </c>
      <c r="BE131">
        <v>8.9999999999999993E-3</v>
      </c>
      <c r="BF131">
        <v>0.251</v>
      </c>
      <c r="BG131">
        <v>1</v>
      </c>
      <c r="BH131">
        <v>-0.161</v>
      </c>
      <c r="BI131">
        <v>-0.60299999999999998</v>
      </c>
      <c r="BJ131">
        <v>0.85899999999999999</v>
      </c>
      <c r="BK131">
        <v>-0.26700000000000002</v>
      </c>
    </row>
    <row r="132" spans="1:63" x14ac:dyDescent="0.3">
      <c r="A132" t="s">
        <v>86</v>
      </c>
      <c r="B132">
        <v>4.0785259116309501E-2</v>
      </c>
      <c r="C132">
        <v>1.8467465940933198E-2</v>
      </c>
      <c r="K132" t="s">
        <v>159</v>
      </c>
      <c r="L132">
        <v>0.61699999999999999</v>
      </c>
      <c r="M132">
        <v>0.76900000000000002</v>
      </c>
      <c r="N132" t="s">
        <v>71</v>
      </c>
      <c r="O132">
        <v>0</v>
      </c>
      <c r="P132">
        <v>0</v>
      </c>
      <c r="Q132">
        <v>0</v>
      </c>
      <c r="R132">
        <v>-0.88900000000000001</v>
      </c>
      <c r="S132">
        <v>-0.873</v>
      </c>
      <c r="T132">
        <v>-0.92200000000000004</v>
      </c>
      <c r="U132">
        <v>-0.85</v>
      </c>
      <c r="V132">
        <v>-0.89300000000000002</v>
      </c>
      <c r="W132">
        <v>-0.53400000000000003</v>
      </c>
      <c r="X132">
        <v>-0.21099999999999999</v>
      </c>
      <c r="Y132">
        <v>-0.63500000000000001</v>
      </c>
      <c r="Z132">
        <v>0.48499999999999999</v>
      </c>
      <c r="AA132">
        <v>0.48</v>
      </c>
      <c r="AB132">
        <v>0.56399999999999995</v>
      </c>
      <c r="AC132">
        <v>0.69499999999999995</v>
      </c>
      <c r="AD132">
        <v>0.55800000000000005</v>
      </c>
      <c r="AE132">
        <v>-0.78300000000000003</v>
      </c>
      <c r="AF132">
        <v>-0.97599999999999998</v>
      </c>
      <c r="AG132">
        <v>-0.64200000000000002</v>
      </c>
      <c r="AH132">
        <v>-0.80400000000000005</v>
      </c>
      <c r="AI132">
        <v>-0.80800000000000005</v>
      </c>
      <c r="AJ132">
        <v>-0.98599999999999999</v>
      </c>
      <c r="AK132">
        <v>5.8999999999999997E-2</v>
      </c>
      <c r="AL132">
        <v>3.0000000000000001E-3</v>
      </c>
      <c r="AM132">
        <v>-0.41799999999999998</v>
      </c>
      <c r="AN132">
        <v>-0.187</v>
      </c>
      <c r="AO132">
        <v>5.7000000000000002E-2</v>
      </c>
      <c r="AP132">
        <v>-0.59299999999999997</v>
      </c>
      <c r="AQ132">
        <v>-0.82299999999999995</v>
      </c>
      <c r="AR132">
        <v>-0.45500000000000002</v>
      </c>
      <c r="AS132">
        <v>-0.40300000000000002</v>
      </c>
      <c r="AT132">
        <v>-0.108</v>
      </c>
      <c r="AU132">
        <v>-0.187</v>
      </c>
      <c r="AV132">
        <v>-0.56799999999999995</v>
      </c>
      <c r="AW132">
        <v>0.97199999999999998</v>
      </c>
      <c r="AX132">
        <v>-0.373</v>
      </c>
      <c r="AY132">
        <v>0.627</v>
      </c>
      <c r="AZ132">
        <v>-0.437</v>
      </c>
      <c r="BA132">
        <v>0.65200000000000002</v>
      </c>
      <c r="BB132">
        <v>6.0999999999999999E-2</v>
      </c>
      <c r="BC132">
        <v>6.9000000000000006E-2</v>
      </c>
      <c r="BD132">
        <v>0.33</v>
      </c>
      <c r="BE132">
        <v>0.04</v>
      </c>
      <c r="BF132">
        <v>0.47199999999999998</v>
      </c>
      <c r="BG132">
        <v>0.93100000000000005</v>
      </c>
      <c r="BH132">
        <v>-0.19600000000000001</v>
      </c>
      <c r="BI132">
        <v>-0.57599999999999996</v>
      </c>
      <c r="BJ132">
        <v>0.56499999999999995</v>
      </c>
      <c r="BK132">
        <v>-0.26700000000000002</v>
      </c>
    </row>
    <row r="133" spans="1:63" x14ac:dyDescent="0.3">
      <c r="A133" t="s">
        <v>250</v>
      </c>
      <c r="B133">
        <v>0</v>
      </c>
      <c r="C133">
        <v>0</v>
      </c>
      <c r="K133" t="s">
        <v>158</v>
      </c>
      <c r="L133">
        <v>0.61699999999999999</v>
      </c>
      <c r="M133">
        <v>0.93400000000000005</v>
      </c>
      <c r="N133" t="s">
        <v>71</v>
      </c>
      <c r="O133">
        <v>0</v>
      </c>
      <c r="P133">
        <v>-8.0000000000000002E-3</v>
      </c>
      <c r="Q133">
        <v>8.0000000000000002E-3</v>
      </c>
      <c r="R133">
        <v>-0.89900000000000002</v>
      </c>
      <c r="S133">
        <v>-0.75800000000000001</v>
      </c>
      <c r="T133">
        <v>-0.96199999999999997</v>
      </c>
      <c r="U133">
        <v>-0.81299999999999994</v>
      </c>
      <c r="V133">
        <v>-0.85399999999999998</v>
      </c>
      <c r="W133">
        <v>-0.65400000000000003</v>
      </c>
      <c r="X133">
        <v>-0.52300000000000002</v>
      </c>
      <c r="Y133">
        <v>-0.54500000000000004</v>
      </c>
      <c r="Z133">
        <v>0.45200000000000001</v>
      </c>
      <c r="AA133">
        <v>0.44900000000000001</v>
      </c>
      <c r="AB133">
        <v>0.51700000000000002</v>
      </c>
      <c r="AC133">
        <v>0.61099999999999999</v>
      </c>
      <c r="AD133">
        <v>0.63</v>
      </c>
      <c r="AE133">
        <v>-0.90300000000000002</v>
      </c>
      <c r="AF133">
        <v>-1</v>
      </c>
      <c r="AG133">
        <v>2.4E-2</v>
      </c>
      <c r="AH133">
        <v>-0.80100000000000005</v>
      </c>
      <c r="AI133">
        <v>9.5000000000000001E-2</v>
      </c>
      <c r="AJ133">
        <v>-0.88700000000000001</v>
      </c>
      <c r="AK133">
        <v>-0.3</v>
      </c>
      <c r="AL133">
        <v>-0.30299999999999999</v>
      </c>
      <c r="AM133">
        <v>-0.57099999999999995</v>
      </c>
      <c r="AN133">
        <v>-0.38500000000000001</v>
      </c>
      <c r="AO133">
        <v>0.41</v>
      </c>
      <c r="AP133">
        <v>0.872</v>
      </c>
      <c r="AQ133">
        <v>-0.39600000000000002</v>
      </c>
      <c r="AR133">
        <v>-0.30299999999999999</v>
      </c>
      <c r="AS133">
        <v>-0.42899999999999999</v>
      </c>
      <c r="AT133">
        <v>-5.8000000000000003E-2</v>
      </c>
      <c r="AU133">
        <v>-0.50800000000000001</v>
      </c>
      <c r="AV133">
        <v>-0.47199999999999998</v>
      </c>
      <c r="AW133">
        <v>1</v>
      </c>
      <c r="AX133">
        <v>-0.36</v>
      </c>
      <c r="AY133">
        <v>0.36</v>
      </c>
      <c r="AZ133">
        <v>-0.92</v>
      </c>
      <c r="BA133">
        <v>-0.38400000000000001</v>
      </c>
      <c r="BB133">
        <v>-0.32400000000000001</v>
      </c>
      <c r="BC133">
        <v>-0.70299999999999996</v>
      </c>
      <c r="BD133">
        <v>0.222</v>
      </c>
      <c r="BE133">
        <v>-0.23</v>
      </c>
      <c r="BF133">
        <v>0.96699999999999997</v>
      </c>
      <c r="BG133">
        <v>0.81699999999999995</v>
      </c>
      <c r="BH133">
        <v>-0.19600000000000001</v>
      </c>
      <c r="BI133">
        <v>-0.57299999999999995</v>
      </c>
      <c r="BJ133">
        <v>4.5999999999999999E-2</v>
      </c>
      <c r="BK133">
        <v>-8.7999999999999995E-2</v>
      </c>
    </row>
    <row r="134" spans="1:63" x14ac:dyDescent="0.3">
      <c r="A134" t="s">
        <v>81</v>
      </c>
      <c r="B134">
        <v>0.10711987696192</v>
      </c>
      <c r="C134">
        <v>0</v>
      </c>
      <c r="K134" t="s">
        <v>162</v>
      </c>
      <c r="L134">
        <v>0.61599999999999999</v>
      </c>
      <c r="M134">
        <v>0.749</v>
      </c>
      <c r="N134" t="s">
        <v>57</v>
      </c>
      <c r="O134">
        <v>0</v>
      </c>
      <c r="P134">
        <v>0</v>
      </c>
      <c r="Q134">
        <v>0</v>
      </c>
      <c r="R134">
        <v>-0.78</v>
      </c>
      <c r="S134">
        <v>-0.86799999999999999</v>
      </c>
      <c r="T134">
        <v>-0.77900000000000003</v>
      </c>
      <c r="U134">
        <v>-0.77100000000000002</v>
      </c>
      <c r="V134">
        <v>-0.83599999999999997</v>
      </c>
      <c r="W134">
        <v>-0.56799999999999995</v>
      </c>
      <c r="X134">
        <v>-0.23499999999999999</v>
      </c>
      <c r="Y134">
        <v>-0.77300000000000002</v>
      </c>
      <c r="Z134">
        <v>0.5</v>
      </c>
      <c r="AA134">
        <v>0.495</v>
      </c>
      <c r="AB134">
        <v>0.66200000000000003</v>
      </c>
      <c r="AC134">
        <v>0.60699999999999998</v>
      </c>
      <c r="AD134">
        <v>0.56699999999999995</v>
      </c>
      <c r="AE134">
        <v>-0.71599999999999997</v>
      </c>
      <c r="AF134">
        <v>0.186</v>
      </c>
      <c r="AG134">
        <v>-0.75700000000000001</v>
      </c>
      <c r="AH134">
        <v>-0.86799999999999999</v>
      </c>
      <c r="AI134">
        <v>-1</v>
      </c>
      <c r="AJ134">
        <v>-0.998</v>
      </c>
      <c r="AK134">
        <v>-0.247</v>
      </c>
      <c r="AL134">
        <v>-2E-3</v>
      </c>
      <c r="AM134">
        <v>8.1000000000000003E-2</v>
      </c>
      <c r="AN134">
        <v>0.22600000000000001</v>
      </c>
      <c r="AO134">
        <v>-0.53400000000000003</v>
      </c>
      <c r="AP134">
        <v>-0.46600000000000003</v>
      </c>
      <c r="AQ134">
        <v>9.6000000000000002E-2</v>
      </c>
      <c r="AR134">
        <v>0.255</v>
      </c>
      <c r="AS134">
        <v>0.245</v>
      </c>
      <c r="AT134">
        <v>-0.17899999999999999</v>
      </c>
      <c r="AU134">
        <v>-0.35499999999999998</v>
      </c>
      <c r="AV134">
        <v>-0.72399999999999998</v>
      </c>
      <c r="AW134">
        <v>0.434</v>
      </c>
      <c r="AX134">
        <v>-0.438</v>
      </c>
      <c r="AY134">
        <v>5.7000000000000002E-2</v>
      </c>
      <c r="AZ134">
        <v>-0.6</v>
      </c>
      <c r="BA134">
        <v>0.27600000000000002</v>
      </c>
      <c r="BB134">
        <v>-0.108</v>
      </c>
      <c r="BC134">
        <v>-0.26900000000000002</v>
      </c>
      <c r="BD134">
        <v>0.23699999999999999</v>
      </c>
      <c r="BE134">
        <v>-0.11</v>
      </c>
      <c r="BF134">
        <v>0.29699999999999999</v>
      </c>
      <c r="BG134">
        <v>0.97299999999999998</v>
      </c>
      <c r="BH134">
        <v>-0.16800000000000001</v>
      </c>
      <c r="BI134">
        <v>-0.14599999999999999</v>
      </c>
      <c r="BJ134">
        <v>1</v>
      </c>
      <c r="BK134">
        <v>-0.57699999999999996</v>
      </c>
    </row>
    <row r="135" spans="1:63" x14ac:dyDescent="0.3">
      <c r="A135" t="s">
        <v>251</v>
      </c>
      <c r="B135">
        <v>0</v>
      </c>
      <c r="C135">
        <v>0</v>
      </c>
      <c r="K135" t="s">
        <v>253</v>
      </c>
      <c r="L135">
        <v>0.61099999999999999</v>
      </c>
      <c r="M135">
        <v>0.499</v>
      </c>
      <c r="N135" t="s">
        <v>68</v>
      </c>
      <c r="O135">
        <v>0</v>
      </c>
      <c r="P135">
        <v>0</v>
      </c>
      <c r="Q135">
        <v>0</v>
      </c>
      <c r="R135">
        <v>-0.52400000000000002</v>
      </c>
      <c r="S135">
        <v>-0.433</v>
      </c>
      <c r="T135">
        <v>-8.6999999999999994E-2</v>
      </c>
      <c r="U135">
        <v>-0.72899999999999998</v>
      </c>
      <c r="V135">
        <v>-0.47599999999999998</v>
      </c>
      <c r="W135">
        <v>-0.69099999999999995</v>
      </c>
      <c r="X135">
        <v>-0.68400000000000005</v>
      </c>
      <c r="Y135">
        <v>-0.86899999999999999</v>
      </c>
      <c r="Z135">
        <v>0.26400000000000001</v>
      </c>
      <c r="AA135">
        <v>0.26300000000000001</v>
      </c>
      <c r="AB135">
        <v>0.53900000000000003</v>
      </c>
      <c r="AC135">
        <v>0.54</v>
      </c>
      <c r="AD135">
        <v>0.42099999999999999</v>
      </c>
      <c r="AE135">
        <v>-0.41599999999999998</v>
      </c>
      <c r="AF135">
        <v>-2.9000000000000001E-2</v>
      </c>
      <c r="AG135">
        <v>-0.34</v>
      </c>
      <c r="AH135">
        <v>1</v>
      </c>
      <c r="AI135">
        <v>-0.60099999999999998</v>
      </c>
      <c r="AJ135">
        <v>-0.66300000000000003</v>
      </c>
      <c r="AK135">
        <v>0.85099999999999998</v>
      </c>
      <c r="AL135">
        <v>-0.63500000000000001</v>
      </c>
      <c r="AM135">
        <v>0.63</v>
      </c>
      <c r="AN135">
        <v>-0.309</v>
      </c>
      <c r="AO135">
        <v>-0.71899999999999997</v>
      </c>
      <c r="AP135">
        <v>-0.53400000000000003</v>
      </c>
      <c r="AQ135">
        <v>-0.187</v>
      </c>
      <c r="AR135">
        <v>-0.23499999999999999</v>
      </c>
      <c r="AS135">
        <v>-0.436</v>
      </c>
      <c r="AT135">
        <v>3.2000000000000001E-2</v>
      </c>
      <c r="AU135">
        <v>-0.47099999999999997</v>
      </c>
      <c r="AV135">
        <v>-0.51100000000000001</v>
      </c>
      <c r="AW135">
        <v>-1.9E-2</v>
      </c>
      <c r="AX135">
        <v>-0.20100000000000001</v>
      </c>
      <c r="AY135">
        <v>0.56899999999999995</v>
      </c>
      <c r="AZ135">
        <v>6.5000000000000002E-2</v>
      </c>
      <c r="BA135">
        <v>-0.52600000000000002</v>
      </c>
      <c r="BB135">
        <v>8.1000000000000003E-2</v>
      </c>
      <c r="BC135">
        <v>0.27800000000000002</v>
      </c>
      <c r="BD135">
        <v>0.01</v>
      </c>
      <c r="BE135">
        <v>-0.13100000000000001</v>
      </c>
      <c r="BF135">
        <v>-7.0000000000000001E-3</v>
      </c>
      <c r="BG135">
        <v>0.57699999999999996</v>
      </c>
      <c r="BH135">
        <v>0.31</v>
      </c>
      <c r="BI135">
        <v>0.67600000000000005</v>
      </c>
      <c r="BJ135">
        <v>0.496</v>
      </c>
      <c r="BK135">
        <v>0.38400000000000001</v>
      </c>
    </row>
    <row r="136" spans="1:63" x14ac:dyDescent="0.3">
      <c r="A136" t="s">
        <v>245</v>
      </c>
      <c r="B136">
        <v>0</v>
      </c>
      <c r="C136">
        <v>0</v>
      </c>
      <c r="K136" t="s">
        <v>161</v>
      </c>
      <c r="L136">
        <v>0.60799999999999998</v>
      </c>
      <c r="M136">
        <v>0.71299999999999997</v>
      </c>
      <c r="N136" t="s">
        <v>57</v>
      </c>
      <c r="O136">
        <v>0</v>
      </c>
      <c r="P136">
        <v>0</v>
      </c>
      <c r="Q136">
        <v>0</v>
      </c>
      <c r="R136">
        <v>-0.78700000000000003</v>
      </c>
      <c r="S136">
        <v>-0.87</v>
      </c>
      <c r="T136">
        <v>-0.78</v>
      </c>
      <c r="U136">
        <v>-0.78</v>
      </c>
      <c r="V136">
        <v>-0.84</v>
      </c>
      <c r="W136">
        <v>-0.61</v>
      </c>
      <c r="X136">
        <v>-0.38100000000000001</v>
      </c>
      <c r="Y136">
        <v>-0.76800000000000002</v>
      </c>
      <c r="Z136">
        <v>0.46800000000000003</v>
      </c>
      <c r="AA136">
        <v>0.46400000000000002</v>
      </c>
      <c r="AB136">
        <v>0.63400000000000001</v>
      </c>
      <c r="AC136">
        <v>0.67100000000000004</v>
      </c>
      <c r="AD136">
        <v>0.56699999999999995</v>
      </c>
      <c r="AE136">
        <v>-0.73399999999999999</v>
      </c>
      <c r="AF136">
        <v>0.16800000000000001</v>
      </c>
      <c r="AG136">
        <v>-0.7</v>
      </c>
      <c r="AH136">
        <v>-0.871</v>
      </c>
      <c r="AI136">
        <v>-1</v>
      </c>
      <c r="AJ136">
        <v>-1</v>
      </c>
      <c r="AK136">
        <v>-0.22600000000000001</v>
      </c>
      <c r="AL136">
        <v>-1.4999999999999999E-2</v>
      </c>
      <c r="AM136">
        <v>7.9000000000000001E-2</v>
      </c>
      <c r="AN136">
        <v>0.20100000000000001</v>
      </c>
      <c r="AO136">
        <v>-0.47799999999999998</v>
      </c>
      <c r="AP136">
        <v>-0.499</v>
      </c>
      <c r="AQ136">
        <v>9.6000000000000002E-2</v>
      </c>
      <c r="AR136">
        <v>0.255</v>
      </c>
      <c r="AS136">
        <v>0.245</v>
      </c>
      <c r="AT136">
        <v>-0.19900000000000001</v>
      </c>
      <c r="AU136">
        <v>-0.52400000000000002</v>
      </c>
      <c r="AV136">
        <v>-0.74299999999999999</v>
      </c>
      <c r="AW136">
        <v>0.34100000000000003</v>
      </c>
      <c r="AX136">
        <v>-0.42099999999999999</v>
      </c>
      <c r="AY136">
        <v>5.7000000000000002E-2</v>
      </c>
      <c r="AZ136">
        <v>-0.437</v>
      </c>
      <c r="BA136">
        <v>0.19700000000000001</v>
      </c>
      <c r="BB136">
        <v>-0.158</v>
      </c>
      <c r="BC136">
        <v>-0.23</v>
      </c>
      <c r="BD136">
        <v>0.26</v>
      </c>
      <c r="BE136">
        <v>7.4999999999999997E-2</v>
      </c>
      <c r="BF136">
        <v>-0.124</v>
      </c>
      <c r="BG136">
        <v>0.92</v>
      </c>
      <c r="BH136">
        <v>-0.23</v>
      </c>
      <c r="BI136">
        <v>-1.7999999999999999E-2</v>
      </c>
      <c r="BJ136">
        <v>1</v>
      </c>
      <c r="BK136">
        <v>-0.57699999999999996</v>
      </c>
    </row>
    <row r="137" spans="1:63" x14ac:dyDescent="0.3">
      <c r="A137" t="s">
        <v>258</v>
      </c>
      <c r="B137">
        <v>0</v>
      </c>
      <c r="C137">
        <v>0</v>
      </c>
      <c r="K137" t="s">
        <v>236</v>
      </c>
      <c r="L137">
        <v>0.60699999999999998</v>
      </c>
      <c r="M137">
        <v>0.65700000000000003</v>
      </c>
      <c r="N137" t="s">
        <v>68</v>
      </c>
      <c r="O137">
        <v>0</v>
      </c>
      <c r="P137">
        <v>-4.0000000000000001E-3</v>
      </c>
      <c r="Q137">
        <v>4.0000000000000001E-3</v>
      </c>
      <c r="R137">
        <v>-0.63400000000000001</v>
      </c>
      <c r="S137">
        <v>-0.41499999999999998</v>
      </c>
      <c r="T137">
        <v>-0.66300000000000003</v>
      </c>
      <c r="U137">
        <v>-0.76200000000000001</v>
      </c>
      <c r="V137">
        <v>-0.71299999999999997</v>
      </c>
      <c r="W137">
        <v>-0.77300000000000002</v>
      </c>
      <c r="X137">
        <v>-0.77300000000000002</v>
      </c>
      <c r="Y137">
        <v>-0.77</v>
      </c>
      <c r="Z137">
        <v>0.107</v>
      </c>
      <c r="AA137">
        <v>0.104</v>
      </c>
      <c r="AB137">
        <v>0.64500000000000002</v>
      </c>
      <c r="AC137">
        <v>0.69799999999999995</v>
      </c>
      <c r="AD137">
        <v>0.63400000000000001</v>
      </c>
      <c r="AE137">
        <v>-0.46300000000000002</v>
      </c>
      <c r="AF137">
        <v>-0.74399999999999999</v>
      </c>
      <c r="AG137">
        <v>-0.248</v>
      </c>
      <c r="AH137">
        <v>-0.48499999999999999</v>
      </c>
      <c r="AI137">
        <v>-0.312</v>
      </c>
      <c r="AJ137">
        <v>-0.84199999999999997</v>
      </c>
      <c r="AK137">
        <v>6.8000000000000005E-2</v>
      </c>
      <c r="AL137">
        <v>-0.77900000000000003</v>
      </c>
      <c r="AM137">
        <v>6.9000000000000006E-2</v>
      </c>
      <c r="AN137">
        <v>-0.24</v>
      </c>
      <c r="AO137">
        <v>1.4999999999999999E-2</v>
      </c>
      <c r="AP137">
        <v>-0.02</v>
      </c>
      <c r="AQ137">
        <v>-0.71299999999999997</v>
      </c>
      <c r="AR137">
        <v>0.34599999999999997</v>
      </c>
      <c r="AS137">
        <v>0.30199999999999999</v>
      </c>
      <c r="AT137">
        <v>-0.129</v>
      </c>
      <c r="AU137">
        <v>-0.34399999999999997</v>
      </c>
      <c r="AV137">
        <v>-0.216</v>
      </c>
      <c r="AW137">
        <v>2.4E-2</v>
      </c>
      <c r="AX137">
        <v>-0.23899999999999999</v>
      </c>
      <c r="AY137">
        <v>0.85299999999999998</v>
      </c>
      <c r="AZ137">
        <v>0.14899999999999999</v>
      </c>
      <c r="BA137">
        <v>0.45100000000000001</v>
      </c>
      <c r="BB137">
        <v>-5.0000000000000001E-3</v>
      </c>
      <c r="BC137">
        <v>1.2999999999999999E-2</v>
      </c>
      <c r="BD137">
        <v>0.214</v>
      </c>
      <c r="BE137">
        <v>-0.11899999999999999</v>
      </c>
      <c r="BF137">
        <v>-0.155</v>
      </c>
      <c r="BG137">
        <v>1.4999999999999999E-2</v>
      </c>
      <c r="BH137">
        <v>0.17399999999999999</v>
      </c>
      <c r="BI137">
        <v>0.76900000000000002</v>
      </c>
      <c r="BJ137">
        <v>0.43</v>
      </c>
      <c r="BK137">
        <v>-0.14199999999999999</v>
      </c>
    </row>
    <row r="138" spans="1:63" x14ac:dyDescent="0.3">
      <c r="A138" t="s">
        <v>61</v>
      </c>
      <c r="B138">
        <v>0</v>
      </c>
      <c r="C138">
        <v>0</v>
      </c>
      <c r="K138" t="s">
        <v>149</v>
      </c>
      <c r="L138">
        <v>0.60299999999999998</v>
      </c>
      <c r="M138">
        <v>0.44700000000000001</v>
      </c>
      <c r="N138" t="s">
        <v>53</v>
      </c>
      <c r="O138">
        <v>0</v>
      </c>
      <c r="P138">
        <v>0</v>
      </c>
      <c r="Q138">
        <v>0</v>
      </c>
      <c r="R138">
        <v>-0.27500000000000002</v>
      </c>
      <c r="S138">
        <v>0.13600000000000001</v>
      </c>
      <c r="T138">
        <v>-0.14000000000000001</v>
      </c>
      <c r="U138">
        <v>-0.66300000000000003</v>
      </c>
      <c r="V138">
        <v>-0.3</v>
      </c>
      <c r="W138">
        <v>-0.72199999999999998</v>
      </c>
      <c r="X138">
        <v>-0.66700000000000004</v>
      </c>
      <c r="Y138">
        <v>-0.876</v>
      </c>
      <c r="Z138">
        <v>-0.26100000000000001</v>
      </c>
      <c r="AA138">
        <v>-0.25800000000000001</v>
      </c>
      <c r="AB138">
        <v>0.26700000000000002</v>
      </c>
      <c r="AC138">
        <v>0.129</v>
      </c>
      <c r="AD138">
        <v>0.38800000000000001</v>
      </c>
      <c r="AE138">
        <v>-0.39300000000000002</v>
      </c>
      <c r="AF138">
        <v>-0.28899999999999998</v>
      </c>
      <c r="AG138">
        <v>-0.154</v>
      </c>
      <c r="AH138">
        <v>0.70799999999999996</v>
      </c>
      <c r="AI138">
        <v>0.186</v>
      </c>
      <c r="AJ138">
        <v>-0.23899999999999999</v>
      </c>
      <c r="AK138">
        <v>0.11600000000000001</v>
      </c>
      <c r="AL138">
        <v>-0.96199999999999997</v>
      </c>
      <c r="AM138">
        <v>0.34899999999999998</v>
      </c>
      <c r="AN138">
        <v>-0.23100000000000001</v>
      </c>
      <c r="AO138">
        <v>-0.46400000000000002</v>
      </c>
      <c r="AP138">
        <v>-0.17799999999999999</v>
      </c>
      <c r="AQ138">
        <v>-0.15</v>
      </c>
      <c r="AR138">
        <v>0.47399999999999998</v>
      </c>
      <c r="AS138">
        <v>0.438</v>
      </c>
      <c r="AT138">
        <v>-1E-3</v>
      </c>
      <c r="AU138">
        <v>0.32700000000000001</v>
      </c>
      <c r="AV138">
        <v>-0.152</v>
      </c>
      <c r="AW138">
        <v>-0.70399999999999996</v>
      </c>
      <c r="AX138">
        <v>-0.128</v>
      </c>
      <c r="AY138">
        <v>0.49</v>
      </c>
      <c r="AZ138">
        <v>-1</v>
      </c>
      <c r="BA138">
        <v>0.20899999999999999</v>
      </c>
      <c r="BB138">
        <v>0.22</v>
      </c>
      <c r="BC138">
        <v>0.248</v>
      </c>
      <c r="BD138">
        <v>0.34799999999999998</v>
      </c>
      <c r="BE138">
        <v>0.16800000000000001</v>
      </c>
      <c r="BF138">
        <v>-4.2999999999999997E-2</v>
      </c>
      <c r="BG138">
        <v>9.6000000000000002E-2</v>
      </c>
      <c r="BH138">
        <v>0.91200000000000003</v>
      </c>
      <c r="BI138">
        <v>0.57899999999999996</v>
      </c>
      <c r="BJ138">
        <v>-0.192</v>
      </c>
      <c r="BK138">
        <v>0.93</v>
      </c>
    </row>
    <row r="139" spans="1:63" x14ac:dyDescent="0.3">
      <c r="A139" t="s">
        <v>212</v>
      </c>
      <c r="B139">
        <v>0</v>
      </c>
      <c r="C139">
        <v>0</v>
      </c>
      <c r="K139" t="s">
        <v>172</v>
      </c>
      <c r="L139">
        <v>0.59299999999999997</v>
      </c>
      <c r="M139">
        <v>1.2070000000000001</v>
      </c>
      <c r="N139" t="s">
        <v>71</v>
      </c>
      <c r="O139">
        <v>0</v>
      </c>
      <c r="P139">
        <v>-2.8000000000000001E-2</v>
      </c>
      <c r="Q139">
        <v>2.8000000000000001E-2</v>
      </c>
      <c r="R139">
        <v>-0.94799999999999995</v>
      </c>
      <c r="S139">
        <v>-0.90500000000000003</v>
      </c>
      <c r="T139">
        <v>-0.98199999999999998</v>
      </c>
      <c r="U139">
        <v>-0.874</v>
      </c>
      <c r="V139">
        <v>-0.92100000000000004</v>
      </c>
      <c r="W139">
        <v>-0.67100000000000004</v>
      </c>
      <c r="X139">
        <v>-0.36199999999999999</v>
      </c>
      <c r="Y139">
        <v>-0.67200000000000004</v>
      </c>
      <c r="Z139">
        <v>0.54400000000000004</v>
      </c>
      <c r="AA139">
        <v>0.53800000000000003</v>
      </c>
      <c r="AB139">
        <v>0.59299999999999997</v>
      </c>
      <c r="AC139">
        <v>0.65400000000000003</v>
      </c>
      <c r="AD139">
        <v>0.503</v>
      </c>
      <c r="AE139">
        <v>-0.78300000000000003</v>
      </c>
      <c r="AF139">
        <v>-0.97499999999999998</v>
      </c>
      <c r="AG139">
        <v>-0.56899999999999995</v>
      </c>
      <c r="AH139">
        <v>-0.80400000000000005</v>
      </c>
      <c r="AI139">
        <v>-0.75600000000000001</v>
      </c>
      <c r="AJ139">
        <v>-0.98599999999999999</v>
      </c>
      <c r="AK139">
        <v>5.8999999999999997E-2</v>
      </c>
      <c r="AL139">
        <v>0</v>
      </c>
      <c r="AM139">
        <v>-0.41799999999999998</v>
      </c>
      <c r="AN139">
        <v>-0.185</v>
      </c>
      <c r="AO139">
        <v>0.08</v>
      </c>
      <c r="AP139">
        <v>-0.623</v>
      </c>
      <c r="AQ139">
        <v>-0.82299999999999995</v>
      </c>
      <c r="AR139">
        <v>-0.45500000000000002</v>
      </c>
      <c r="AS139">
        <v>-0.40300000000000002</v>
      </c>
      <c r="AT139">
        <v>-0.108</v>
      </c>
      <c r="AU139">
        <v>-0.187</v>
      </c>
      <c r="AV139">
        <v>-0.56799999999999995</v>
      </c>
      <c r="AW139">
        <v>0.95699999999999996</v>
      </c>
      <c r="AX139">
        <v>-0.373</v>
      </c>
      <c r="AY139">
        <v>0.627</v>
      </c>
      <c r="AZ139">
        <v>-0.58399999999999996</v>
      </c>
      <c r="BA139">
        <v>-0.60799999999999998</v>
      </c>
      <c r="BB139">
        <v>6.0999999999999999E-2</v>
      </c>
      <c r="BC139">
        <v>6.9000000000000006E-2</v>
      </c>
      <c r="BD139">
        <v>0.32400000000000001</v>
      </c>
      <c r="BE139">
        <v>8.7999999999999995E-2</v>
      </c>
      <c r="BF139">
        <v>0.42899999999999999</v>
      </c>
      <c r="BG139">
        <v>0.98399999999999999</v>
      </c>
      <c r="BH139">
        <v>-0.219</v>
      </c>
      <c r="BI139">
        <v>-0.60099999999999998</v>
      </c>
      <c r="BJ139">
        <v>-4.2999999999999997E-2</v>
      </c>
      <c r="BK139">
        <v>-0.26700000000000002</v>
      </c>
    </row>
    <row r="140" spans="1:63" x14ac:dyDescent="0.3">
      <c r="A140" t="s">
        <v>96</v>
      </c>
      <c r="B140">
        <v>0</v>
      </c>
      <c r="C140">
        <v>0</v>
      </c>
      <c r="K140" t="s">
        <v>200</v>
      </c>
      <c r="L140">
        <v>0.59099999999999997</v>
      </c>
      <c r="M140">
        <v>1.26</v>
      </c>
      <c r="N140" t="s">
        <v>55</v>
      </c>
      <c r="O140">
        <v>0</v>
      </c>
      <c r="P140">
        <v>-2.5999999999999999E-2</v>
      </c>
      <c r="Q140">
        <v>2.5999999999999999E-2</v>
      </c>
      <c r="R140">
        <v>-0.73099999999999998</v>
      </c>
      <c r="S140">
        <v>-0.82099999999999995</v>
      </c>
      <c r="T140">
        <v>-0.91400000000000003</v>
      </c>
      <c r="U140">
        <v>-0.70899999999999996</v>
      </c>
      <c r="V140">
        <v>-0.874</v>
      </c>
      <c r="W140">
        <v>-0.40799999999999997</v>
      </c>
      <c r="X140">
        <v>5.0000000000000001E-3</v>
      </c>
      <c r="Y140">
        <v>-0.78400000000000003</v>
      </c>
      <c r="Z140">
        <v>-2.1999999999999999E-2</v>
      </c>
      <c r="AA140">
        <v>-1.9E-2</v>
      </c>
      <c r="AB140">
        <v>0.59699999999999998</v>
      </c>
      <c r="AC140">
        <v>0.58099999999999996</v>
      </c>
      <c r="AD140">
        <v>0.432</v>
      </c>
      <c r="AE140">
        <v>-0.497</v>
      </c>
      <c r="AF140">
        <v>-0.59599999999999997</v>
      </c>
      <c r="AG140">
        <v>-0.57599999999999996</v>
      </c>
      <c r="AH140">
        <v>-0.91300000000000003</v>
      </c>
      <c r="AI140">
        <v>-0.81399999999999995</v>
      </c>
      <c r="AJ140">
        <v>-0.95</v>
      </c>
      <c r="AK140">
        <v>-0.223</v>
      </c>
      <c r="AL140">
        <v>-0.60199999999999998</v>
      </c>
      <c r="AM140">
        <v>-0.55500000000000005</v>
      </c>
      <c r="AN140">
        <v>-0.14699999999999999</v>
      </c>
      <c r="AO140">
        <v>-0.30599999999999999</v>
      </c>
      <c r="AP140">
        <v>0.12</v>
      </c>
      <c r="AQ140">
        <v>0.20799999999999999</v>
      </c>
      <c r="AR140">
        <v>0.26</v>
      </c>
      <c r="AS140">
        <v>0.1</v>
      </c>
      <c r="AT140">
        <v>0.122</v>
      </c>
      <c r="AU140">
        <v>0.251</v>
      </c>
      <c r="AV140">
        <v>7.0000000000000001E-3</v>
      </c>
      <c r="AW140">
        <v>0.33200000000000002</v>
      </c>
      <c r="AX140">
        <v>-0.69199999999999995</v>
      </c>
      <c r="AY140">
        <v>0.74399999999999999</v>
      </c>
      <c r="AZ140">
        <v>3.3000000000000002E-2</v>
      </c>
      <c r="BA140">
        <v>0.79300000000000004</v>
      </c>
      <c r="BB140">
        <v>-0.309</v>
      </c>
      <c r="BC140">
        <v>-0.255</v>
      </c>
      <c r="BD140">
        <v>0.33600000000000002</v>
      </c>
      <c r="BE140">
        <v>8.2000000000000003E-2</v>
      </c>
      <c r="BF140">
        <v>-0.28299999999999997</v>
      </c>
      <c r="BG140">
        <v>0.7</v>
      </c>
      <c r="BH140">
        <v>-0.28899999999999998</v>
      </c>
      <c r="BI140">
        <v>0.53500000000000003</v>
      </c>
      <c r="BJ140">
        <v>-0.14099999999999999</v>
      </c>
      <c r="BK140">
        <v>-0.68799999999999994</v>
      </c>
    </row>
    <row r="141" spans="1:63" x14ac:dyDescent="0.3">
      <c r="A141" t="s">
        <v>65</v>
      </c>
      <c r="B141">
        <v>0</v>
      </c>
      <c r="C141">
        <v>0</v>
      </c>
      <c r="K141" t="s">
        <v>148</v>
      </c>
      <c r="L141">
        <v>0.59099999999999997</v>
      </c>
      <c r="M141">
        <v>0.52600000000000002</v>
      </c>
      <c r="N141" t="s">
        <v>68</v>
      </c>
      <c r="O141">
        <v>0</v>
      </c>
      <c r="P141">
        <v>0</v>
      </c>
      <c r="Q141">
        <v>0</v>
      </c>
      <c r="R141">
        <v>-0.73499999999999999</v>
      </c>
      <c r="S141">
        <v>-0.85699999999999998</v>
      </c>
      <c r="T141">
        <v>-0.60599999999999998</v>
      </c>
      <c r="U141">
        <v>-0.78500000000000003</v>
      </c>
      <c r="V141">
        <v>-0.83199999999999996</v>
      </c>
      <c r="W141">
        <v>-0.50900000000000001</v>
      </c>
      <c r="X141">
        <v>-0.17699999999999999</v>
      </c>
      <c r="Y141">
        <v>-0.74399999999999999</v>
      </c>
      <c r="Z141">
        <v>8.6999999999999994E-2</v>
      </c>
      <c r="AA141">
        <v>8.6999999999999994E-2</v>
      </c>
      <c r="AB141">
        <v>0.41899999999999998</v>
      </c>
      <c r="AC141">
        <v>0.46700000000000003</v>
      </c>
      <c r="AD141">
        <v>0.441</v>
      </c>
      <c r="AE141">
        <v>-0.39300000000000002</v>
      </c>
      <c r="AF141">
        <v>-0.97499999999999998</v>
      </c>
      <c r="AG141">
        <v>-0.97199999999999998</v>
      </c>
      <c r="AH141">
        <v>-0.153</v>
      </c>
      <c r="AI141">
        <v>-0.35899999999999999</v>
      </c>
      <c r="AJ141">
        <v>0.129</v>
      </c>
      <c r="AK141">
        <v>-5.7000000000000002E-2</v>
      </c>
      <c r="AL141">
        <v>0.104</v>
      </c>
      <c r="AM141">
        <v>-0.67200000000000004</v>
      </c>
      <c r="AN141">
        <v>-0.16700000000000001</v>
      </c>
      <c r="AO141">
        <v>-0.68799999999999994</v>
      </c>
      <c r="AP141">
        <v>-0.4</v>
      </c>
      <c r="AQ141">
        <v>-0.69599999999999995</v>
      </c>
      <c r="AR141">
        <v>-2.5999999999999999E-2</v>
      </c>
      <c r="AS141">
        <v>-0.21</v>
      </c>
      <c r="AT141">
        <v>0.42299999999999999</v>
      </c>
      <c r="AU141">
        <v>-0.23300000000000001</v>
      </c>
      <c r="AV141">
        <v>6.5000000000000002E-2</v>
      </c>
      <c r="AW141">
        <v>0.35899999999999999</v>
      </c>
      <c r="AX141">
        <v>0.45600000000000002</v>
      </c>
      <c r="AY141">
        <v>0.65200000000000002</v>
      </c>
      <c r="AZ141">
        <v>0.4</v>
      </c>
      <c r="BA141">
        <v>-0.44900000000000001</v>
      </c>
      <c r="BB141">
        <v>-0.16600000000000001</v>
      </c>
      <c r="BC141">
        <v>-0.125</v>
      </c>
      <c r="BD141">
        <v>0.21099999999999999</v>
      </c>
      <c r="BE141">
        <v>-5.8000000000000003E-2</v>
      </c>
      <c r="BF141">
        <v>0.67500000000000004</v>
      </c>
      <c r="BG141">
        <v>0.90800000000000003</v>
      </c>
      <c r="BH141">
        <v>-0.33800000000000002</v>
      </c>
      <c r="BI141">
        <v>0.40200000000000002</v>
      </c>
      <c r="BJ141">
        <v>-0.36599999999999999</v>
      </c>
      <c r="BK141">
        <v>0.48499999999999999</v>
      </c>
    </row>
    <row r="142" spans="1:63" x14ac:dyDescent="0.3">
      <c r="A142" t="s">
        <v>187</v>
      </c>
      <c r="B142">
        <v>0</v>
      </c>
      <c r="C142">
        <v>0</v>
      </c>
      <c r="K142" t="s">
        <v>193</v>
      </c>
      <c r="L142">
        <v>0.58599999999999997</v>
      </c>
      <c r="M142">
        <v>0.78600000000000003</v>
      </c>
      <c r="N142" t="s">
        <v>55</v>
      </c>
      <c r="O142">
        <v>0</v>
      </c>
      <c r="P142">
        <v>0</v>
      </c>
      <c r="Q142">
        <v>0</v>
      </c>
      <c r="R142">
        <v>-0.89</v>
      </c>
      <c r="S142">
        <v>-0.81200000000000006</v>
      </c>
      <c r="T142">
        <v>-0.97599999999999998</v>
      </c>
      <c r="U142">
        <v>-0.83199999999999996</v>
      </c>
      <c r="V142">
        <v>-0.89700000000000002</v>
      </c>
      <c r="W142">
        <v>-0.65900000000000003</v>
      </c>
      <c r="X142">
        <v>-0.38200000000000001</v>
      </c>
      <c r="Y142">
        <v>-0.67300000000000004</v>
      </c>
      <c r="Z142">
        <v>0.14399999999999999</v>
      </c>
      <c r="AA142">
        <v>0.14899999999999999</v>
      </c>
      <c r="AB142">
        <v>0.71399999999999997</v>
      </c>
      <c r="AC142">
        <v>0.75</v>
      </c>
      <c r="AD142">
        <v>0.48699999999999999</v>
      </c>
      <c r="AE142">
        <v>-0.88700000000000001</v>
      </c>
      <c r="AF142">
        <v>-0.85199999999999998</v>
      </c>
      <c r="AG142">
        <v>1.4999999999999999E-2</v>
      </c>
      <c r="AH142">
        <v>-0.90300000000000002</v>
      </c>
      <c r="AI142">
        <v>-0.55400000000000005</v>
      </c>
      <c r="AJ142">
        <v>-0.99</v>
      </c>
      <c r="AK142">
        <v>-0.27</v>
      </c>
      <c r="AL142">
        <v>-0.44</v>
      </c>
      <c r="AM142">
        <v>-0.436</v>
      </c>
      <c r="AN142">
        <v>-0.40400000000000003</v>
      </c>
      <c r="AO142">
        <v>8.6999999999999994E-2</v>
      </c>
      <c r="AP142">
        <v>0.307</v>
      </c>
      <c r="AQ142">
        <v>-0.219</v>
      </c>
      <c r="AR142">
        <v>-0.11799999999999999</v>
      </c>
      <c r="AS142">
        <v>-0.504</v>
      </c>
      <c r="AT142">
        <v>3.0000000000000001E-3</v>
      </c>
      <c r="AU142">
        <v>-0.216</v>
      </c>
      <c r="AV142">
        <v>-0.53400000000000003</v>
      </c>
      <c r="AW142">
        <v>0.47699999999999998</v>
      </c>
      <c r="AX142">
        <v>-0.68500000000000005</v>
      </c>
      <c r="AY142">
        <v>0.90900000000000003</v>
      </c>
      <c r="AZ142">
        <v>0.247</v>
      </c>
      <c r="BA142">
        <v>-3.0000000000000001E-3</v>
      </c>
      <c r="BB142">
        <v>-0.29099999999999998</v>
      </c>
      <c r="BC142">
        <v>-0.41799999999999998</v>
      </c>
      <c r="BD142">
        <v>0.29799999999999999</v>
      </c>
      <c r="BE142">
        <v>0.14099999999999999</v>
      </c>
      <c r="BF142">
        <v>8.1000000000000003E-2</v>
      </c>
      <c r="BG142">
        <v>0.92</v>
      </c>
      <c r="BH142">
        <v>-0.41599999999999998</v>
      </c>
      <c r="BI142">
        <v>-2.4E-2</v>
      </c>
      <c r="BJ142">
        <v>-0.19</v>
      </c>
      <c r="BK142">
        <v>-0.22900000000000001</v>
      </c>
    </row>
    <row r="143" spans="1:63" x14ac:dyDescent="0.3">
      <c r="A143" t="s">
        <v>180</v>
      </c>
      <c r="B143">
        <v>0</v>
      </c>
      <c r="C143">
        <v>0</v>
      </c>
      <c r="K143" t="s">
        <v>140</v>
      </c>
      <c r="L143">
        <v>0.58599999999999997</v>
      </c>
      <c r="M143">
        <v>0.47499999999999998</v>
      </c>
      <c r="N143" t="s">
        <v>71</v>
      </c>
      <c r="O143">
        <v>0</v>
      </c>
      <c r="P143">
        <v>-2.5999999999999999E-2</v>
      </c>
      <c r="Q143">
        <v>2.5999999999999999E-2</v>
      </c>
      <c r="R143">
        <v>-0.90800000000000003</v>
      </c>
      <c r="S143">
        <v>-0.94599999999999995</v>
      </c>
      <c r="T143">
        <v>-0.95599999999999996</v>
      </c>
      <c r="U143">
        <v>-0.79400000000000004</v>
      </c>
      <c r="V143">
        <v>-0.90600000000000003</v>
      </c>
      <c r="W143">
        <v>-0.58399999999999996</v>
      </c>
      <c r="X143">
        <v>-0.57799999999999996</v>
      </c>
      <c r="Y143">
        <v>-0.42</v>
      </c>
      <c r="Z143">
        <v>0.14799999999999999</v>
      </c>
      <c r="AA143">
        <v>0.14499999999999999</v>
      </c>
      <c r="AB143">
        <v>0.59599999999999997</v>
      </c>
      <c r="AC143">
        <v>0.51100000000000001</v>
      </c>
      <c r="AD143">
        <v>0.35599999999999998</v>
      </c>
      <c r="AE143">
        <v>-0.69599999999999995</v>
      </c>
      <c r="AF143">
        <v>-0.35399999999999998</v>
      </c>
      <c r="AG143">
        <v>-0.6</v>
      </c>
      <c r="AH143">
        <v>-0.73299999999999998</v>
      </c>
      <c r="AI143">
        <v>-0.84899999999999998</v>
      </c>
      <c r="AJ143">
        <v>-0.99</v>
      </c>
      <c r="AK143">
        <v>9.2999999999999999E-2</v>
      </c>
      <c r="AL143">
        <v>0.96599999999999997</v>
      </c>
      <c r="AM143">
        <v>-0.51500000000000001</v>
      </c>
      <c r="AN143">
        <v>-0.35099999999999998</v>
      </c>
      <c r="AO143">
        <v>-0.51100000000000001</v>
      </c>
      <c r="AP143">
        <v>0.45800000000000002</v>
      </c>
      <c r="AQ143">
        <v>2.1000000000000001E-2</v>
      </c>
      <c r="AR143">
        <v>-0.22500000000000001</v>
      </c>
      <c r="AS143">
        <v>-0.107</v>
      </c>
      <c r="AT143">
        <v>-1.9E-2</v>
      </c>
      <c r="AU143">
        <v>-0.61199999999999999</v>
      </c>
      <c r="AV143">
        <v>-0.54800000000000004</v>
      </c>
      <c r="AW143">
        <v>-3.3000000000000002E-2</v>
      </c>
      <c r="AX143">
        <v>-0.60099999999999998</v>
      </c>
      <c r="AY143">
        <v>0.67100000000000004</v>
      </c>
      <c r="AZ143">
        <v>0.66400000000000003</v>
      </c>
      <c r="BA143">
        <v>-0.55800000000000005</v>
      </c>
      <c r="BB143">
        <v>0.34200000000000003</v>
      </c>
      <c r="BC143">
        <v>-5.0000000000000001E-3</v>
      </c>
      <c r="BD143">
        <v>0.161</v>
      </c>
      <c r="BE143">
        <v>0.39700000000000002</v>
      </c>
      <c r="BF143">
        <v>1</v>
      </c>
      <c r="BG143">
        <v>0.38400000000000001</v>
      </c>
      <c r="BH143">
        <v>-0.76100000000000001</v>
      </c>
      <c r="BI143">
        <v>-0.54700000000000004</v>
      </c>
      <c r="BJ143">
        <v>-0.36899999999999999</v>
      </c>
      <c r="BK143">
        <v>-0.51600000000000001</v>
      </c>
    </row>
    <row r="144" spans="1:63" x14ac:dyDescent="0.3">
      <c r="A144" t="s">
        <v>239</v>
      </c>
      <c r="B144">
        <v>0</v>
      </c>
      <c r="C144">
        <v>0</v>
      </c>
      <c r="K144" t="s">
        <v>171</v>
      </c>
      <c r="L144">
        <v>0.58299999999999996</v>
      </c>
      <c r="M144">
        <v>1.149</v>
      </c>
      <c r="N144" t="s">
        <v>57</v>
      </c>
      <c r="O144">
        <v>0</v>
      </c>
      <c r="P144">
        <v>-0.02</v>
      </c>
      <c r="Q144">
        <v>0.02</v>
      </c>
      <c r="R144">
        <v>-0.83799999999999997</v>
      </c>
      <c r="S144">
        <v>-0.89200000000000002</v>
      </c>
      <c r="T144">
        <v>-0.88800000000000001</v>
      </c>
      <c r="U144">
        <v>-0.80900000000000005</v>
      </c>
      <c r="V144">
        <v>-0.88100000000000001</v>
      </c>
      <c r="W144">
        <v>-0.66400000000000003</v>
      </c>
      <c r="X144">
        <v>-0.432</v>
      </c>
      <c r="Y144">
        <v>-0.79900000000000004</v>
      </c>
      <c r="Z144">
        <v>0.315</v>
      </c>
      <c r="AA144">
        <v>0.311</v>
      </c>
      <c r="AB144">
        <v>0.60599999999999998</v>
      </c>
      <c r="AC144">
        <v>0.67300000000000004</v>
      </c>
      <c r="AD144">
        <v>0.51</v>
      </c>
      <c r="AE144">
        <v>-0.74199999999999999</v>
      </c>
      <c r="AF144">
        <v>0.18</v>
      </c>
      <c r="AG144">
        <v>-0.72499999999999998</v>
      </c>
      <c r="AH144">
        <v>-0.86899999999999999</v>
      </c>
      <c r="AI144">
        <v>-1</v>
      </c>
      <c r="AJ144">
        <v>-1</v>
      </c>
      <c r="AK144">
        <v>-0.21199999999999999</v>
      </c>
      <c r="AL144">
        <v>-6.0000000000000001E-3</v>
      </c>
      <c r="AM144">
        <v>8.1000000000000003E-2</v>
      </c>
      <c r="AN144">
        <v>0.214</v>
      </c>
      <c r="AO144">
        <v>-0.499</v>
      </c>
      <c r="AP144">
        <v>-0.56499999999999995</v>
      </c>
      <c r="AQ144">
        <v>5.6000000000000001E-2</v>
      </c>
      <c r="AR144">
        <v>0.255</v>
      </c>
      <c r="AS144">
        <v>0.245</v>
      </c>
      <c r="AT144">
        <v>-0.19900000000000001</v>
      </c>
      <c r="AU144">
        <v>-0.52400000000000002</v>
      </c>
      <c r="AV144">
        <v>-0.76400000000000001</v>
      </c>
      <c r="AW144">
        <v>0.33</v>
      </c>
      <c r="AX144">
        <v>-0.438</v>
      </c>
      <c r="AY144">
        <v>7.4999999999999997E-2</v>
      </c>
      <c r="AZ144">
        <v>-0.56100000000000005</v>
      </c>
      <c r="BA144">
        <v>0.39600000000000002</v>
      </c>
      <c r="BB144">
        <v>-6.9000000000000006E-2</v>
      </c>
      <c r="BC144">
        <v>-0.21099999999999999</v>
      </c>
      <c r="BD144">
        <v>0.27</v>
      </c>
      <c r="BE144">
        <v>0.1</v>
      </c>
      <c r="BF144">
        <v>0.52200000000000002</v>
      </c>
      <c r="BG144">
        <v>0.94299999999999995</v>
      </c>
      <c r="BH144">
        <v>-0.19800000000000001</v>
      </c>
      <c r="BI144">
        <v>-0.126</v>
      </c>
      <c r="BJ144">
        <v>0.191</v>
      </c>
      <c r="BK144">
        <v>-0.57699999999999996</v>
      </c>
    </row>
    <row r="145" spans="1:63" x14ac:dyDescent="0.3">
      <c r="A145" t="s">
        <v>233</v>
      </c>
      <c r="B145">
        <v>0</v>
      </c>
      <c r="C145">
        <v>0</v>
      </c>
      <c r="K145" t="s">
        <v>192</v>
      </c>
      <c r="L145">
        <v>0.58199999999999996</v>
      </c>
      <c r="M145">
        <v>1.0620000000000001</v>
      </c>
      <c r="N145" t="s">
        <v>57</v>
      </c>
      <c r="O145">
        <v>0</v>
      </c>
      <c r="P145">
        <v>-2.8000000000000001E-2</v>
      </c>
      <c r="Q145">
        <v>2.8000000000000001E-2</v>
      </c>
      <c r="R145">
        <v>-0.92600000000000005</v>
      </c>
      <c r="S145">
        <v>-0.85699999999999998</v>
      </c>
      <c r="T145">
        <v>-0.96599999999999997</v>
      </c>
      <c r="U145">
        <v>-0.85599999999999998</v>
      </c>
      <c r="V145">
        <v>-0.89</v>
      </c>
      <c r="W145">
        <v>-0.78300000000000003</v>
      </c>
      <c r="X145">
        <v>-0.625</v>
      </c>
      <c r="Y145">
        <v>-0.73199999999999998</v>
      </c>
      <c r="Z145">
        <v>0.48399999999999999</v>
      </c>
      <c r="AA145">
        <v>0.48299999999999998</v>
      </c>
      <c r="AB145">
        <v>0.624</v>
      </c>
      <c r="AC145">
        <v>0.76400000000000001</v>
      </c>
      <c r="AD145">
        <v>0.51500000000000001</v>
      </c>
      <c r="AE145">
        <v>-0.79</v>
      </c>
      <c r="AF145">
        <v>-0.41</v>
      </c>
      <c r="AG145">
        <v>-0.155</v>
      </c>
      <c r="AH145">
        <v>-0.89600000000000002</v>
      </c>
      <c r="AI145">
        <v>-1</v>
      </c>
      <c r="AJ145">
        <v>-1</v>
      </c>
      <c r="AK145">
        <v>-2.8000000000000001E-2</v>
      </c>
      <c r="AL145">
        <v>-2.3E-2</v>
      </c>
      <c r="AM145">
        <v>0.42499999999999999</v>
      </c>
      <c r="AN145">
        <v>-0.502</v>
      </c>
      <c r="AO145">
        <v>-0.25</v>
      </c>
      <c r="AP145">
        <v>-0.28100000000000003</v>
      </c>
      <c r="AQ145">
        <v>-0.23799999999999999</v>
      </c>
      <c r="AR145">
        <v>3.1E-2</v>
      </c>
      <c r="AS145">
        <v>-0.25700000000000001</v>
      </c>
      <c r="AT145">
        <v>-0.189</v>
      </c>
      <c r="AU145">
        <v>-0.46899999999999997</v>
      </c>
      <c r="AV145">
        <v>-0.8</v>
      </c>
      <c r="AW145">
        <v>0.28799999999999998</v>
      </c>
      <c r="AX145">
        <v>-0.58399999999999996</v>
      </c>
      <c r="AY145">
        <v>0.111</v>
      </c>
      <c r="AZ145">
        <v>-0.22900000000000001</v>
      </c>
      <c r="BA145">
        <v>-0.60699999999999998</v>
      </c>
      <c r="BB145">
        <v>-0.17</v>
      </c>
      <c r="BC145">
        <v>-0.152</v>
      </c>
      <c r="BD145">
        <v>0.11799999999999999</v>
      </c>
      <c r="BE145">
        <v>0.26300000000000001</v>
      </c>
      <c r="BF145">
        <v>0.313</v>
      </c>
      <c r="BG145">
        <v>0.90800000000000003</v>
      </c>
      <c r="BH145">
        <v>-0.40400000000000003</v>
      </c>
      <c r="BI145">
        <v>8.9999999999999993E-3</v>
      </c>
      <c r="BJ145">
        <v>-0.32300000000000001</v>
      </c>
      <c r="BK145">
        <v>-0.63400000000000001</v>
      </c>
    </row>
    <row r="146" spans="1:63" x14ac:dyDescent="0.3">
      <c r="A146" t="s">
        <v>59</v>
      </c>
      <c r="B146">
        <v>0</v>
      </c>
      <c r="C146">
        <v>0</v>
      </c>
      <c r="K146" t="s">
        <v>139</v>
      </c>
      <c r="L146">
        <v>0.58099999999999996</v>
      </c>
      <c r="M146">
        <v>0.61599999999999999</v>
      </c>
      <c r="N146" t="s">
        <v>71</v>
      </c>
      <c r="O146">
        <v>0</v>
      </c>
      <c r="P146">
        <v>0</v>
      </c>
      <c r="Q146">
        <v>0</v>
      </c>
      <c r="R146">
        <v>-0.84199999999999997</v>
      </c>
      <c r="S146">
        <v>-0.91900000000000004</v>
      </c>
      <c r="T146">
        <v>-0.90800000000000003</v>
      </c>
      <c r="U146">
        <v>-0.79100000000000004</v>
      </c>
      <c r="V146">
        <v>-0.90100000000000002</v>
      </c>
      <c r="W146">
        <v>-0.56200000000000006</v>
      </c>
      <c r="X146">
        <v>-0.371</v>
      </c>
      <c r="Y146">
        <v>-0.67900000000000005</v>
      </c>
      <c r="Z146">
        <v>0.24</v>
      </c>
      <c r="AA146">
        <v>0.23799999999999999</v>
      </c>
      <c r="AB146">
        <v>0.47099999999999997</v>
      </c>
      <c r="AC146">
        <v>0.47599999999999998</v>
      </c>
      <c r="AD146">
        <v>0.41299999999999998</v>
      </c>
      <c r="AE146">
        <v>-0.78800000000000003</v>
      </c>
      <c r="AF146">
        <v>-0.51500000000000001</v>
      </c>
      <c r="AG146">
        <v>-1</v>
      </c>
      <c r="AH146">
        <v>-0.90200000000000002</v>
      </c>
      <c r="AI146">
        <v>-1</v>
      </c>
      <c r="AJ146">
        <v>-0.93100000000000005</v>
      </c>
      <c r="AK146">
        <v>-0.40200000000000002</v>
      </c>
      <c r="AL146">
        <v>0.499</v>
      </c>
      <c r="AM146">
        <v>-0.76800000000000002</v>
      </c>
      <c r="AN146">
        <v>-0.50800000000000001</v>
      </c>
      <c r="AO146">
        <v>-0.42299999999999999</v>
      </c>
      <c r="AP146">
        <v>-0.28799999999999998</v>
      </c>
      <c r="AQ146">
        <v>2.5999999999999999E-2</v>
      </c>
      <c r="AR146">
        <v>0.93100000000000005</v>
      </c>
      <c r="AS146">
        <v>0.28999999999999998</v>
      </c>
      <c r="AT146">
        <v>0.20699999999999999</v>
      </c>
      <c r="AU146">
        <v>-9.0999999999999998E-2</v>
      </c>
      <c r="AV146">
        <v>-0.33500000000000002</v>
      </c>
      <c r="AW146">
        <v>0.17599999999999999</v>
      </c>
      <c r="AX146">
        <v>0.29599999999999999</v>
      </c>
      <c r="AY146">
        <v>1.7999999999999999E-2</v>
      </c>
      <c r="AZ146">
        <v>-0.98399999999999999</v>
      </c>
      <c r="BA146">
        <v>0.51100000000000001</v>
      </c>
      <c r="BB146">
        <v>0.29199999999999998</v>
      </c>
      <c r="BC146">
        <v>-3.6999999999999998E-2</v>
      </c>
      <c r="BD146">
        <v>0.32900000000000001</v>
      </c>
      <c r="BE146">
        <v>-0.65200000000000002</v>
      </c>
      <c r="BF146">
        <v>-0.46200000000000002</v>
      </c>
      <c r="BG146">
        <v>0.34899999999999998</v>
      </c>
      <c r="BH146">
        <v>-0.23200000000000001</v>
      </c>
      <c r="BI146">
        <v>-0.35199999999999998</v>
      </c>
      <c r="BJ146">
        <v>0.374</v>
      </c>
      <c r="BK146">
        <v>-0.35699999999999998</v>
      </c>
    </row>
    <row r="147" spans="1:63" x14ac:dyDescent="0.3">
      <c r="A147" t="s">
        <v>252</v>
      </c>
      <c r="B147">
        <v>0</v>
      </c>
      <c r="C147">
        <v>0</v>
      </c>
      <c r="K147" t="s">
        <v>601</v>
      </c>
      <c r="L147">
        <v>0.57899999999999996</v>
      </c>
      <c r="M147">
        <v>0.50700000000000001</v>
      </c>
      <c r="N147" t="s">
        <v>53</v>
      </c>
      <c r="O147">
        <v>0</v>
      </c>
      <c r="P147">
        <v>0</v>
      </c>
      <c r="Q147">
        <v>0</v>
      </c>
      <c r="R147">
        <v>-0.371</v>
      </c>
      <c r="S147">
        <v>-0.52600000000000002</v>
      </c>
      <c r="T147">
        <v>-0.40400000000000003</v>
      </c>
      <c r="U147">
        <v>-0.56999999999999995</v>
      </c>
      <c r="V147">
        <v>-0.629</v>
      </c>
      <c r="W147">
        <v>-0.63700000000000001</v>
      </c>
      <c r="X147">
        <v>-0.61</v>
      </c>
      <c r="Y147">
        <v>-0.81100000000000005</v>
      </c>
      <c r="Z147">
        <v>-0.28499999999999998</v>
      </c>
      <c r="AA147">
        <v>-0.27600000000000002</v>
      </c>
      <c r="AB147">
        <v>0.42299999999999999</v>
      </c>
      <c r="AC147">
        <v>0.35199999999999998</v>
      </c>
      <c r="AD147">
        <v>0.246</v>
      </c>
      <c r="AE147">
        <v>-0.70699999999999996</v>
      </c>
      <c r="AF147">
        <v>-0.35199999999999998</v>
      </c>
      <c r="AG147">
        <v>-0.374</v>
      </c>
      <c r="AH147">
        <v>-0.55700000000000005</v>
      </c>
      <c r="AI147">
        <v>-0.23</v>
      </c>
      <c r="AJ147">
        <v>1</v>
      </c>
      <c r="AK147">
        <v>-0.73499999999999999</v>
      </c>
      <c r="AL147">
        <v>-1</v>
      </c>
      <c r="AM147">
        <v>-0.87</v>
      </c>
      <c r="AN147">
        <v>0.14799999999999999</v>
      </c>
      <c r="AO147">
        <v>7.1999999999999995E-2</v>
      </c>
      <c r="AP147">
        <v>0.22600000000000001</v>
      </c>
      <c r="AQ147">
        <v>0.85</v>
      </c>
      <c r="AR147">
        <v>1</v>
      </c>
      <c r="AS147">
        <v>1</v>
      </c>
      <c r="AT147">
        <v>-0.11</v>
      </c>
      <c r="AU147">
        <v>-0.621</v>
      </c>
      <c r="AV147">
        <v>0.12</v>
      </c>
      <c r="AW147">
        <v>0.109</v>
      </c>
      <c r="AX147">
        <v>-1.6E-2</v>
      </c>
      <c r="AY147">
        <v>-0.27100000000000002</v>
      </c>
      <c r="AZ147">
        <v>-1</v>
      </c>
      <c r="BA147">
        <v>0.56799999999999995</v>
      </c>
      <c r="BB147">
        <v>-0.70599999999999996</v>
      </c>
      <c r="BC147">
        <v>-0.64900000000000002</v>
      </c>
      <c r="BD147">
        <v>0.41399999999999998</v>
      </c>
      <c r="BE147">
        <v>-0.85499999999999998</v>
      </c>
      <c r="BF147">
        <v>2.4E-2</v>
      </c>
      <c r="BG147">
        <v>0.41099999999999998</v>
      </c>
      <c r="BH147">
        <v>-0.13600000000000001</v>
      </c>
      <c r="BI147">
        <v>-0.13200000000000001</v>
      </c>
      <c r="BJ147">
        <v>0.68200000000000005</v>
      </c>
      <c r="BK147">
        <v>0.66700000000000004</v>
      </c>
    </row>
    <row r="148" spans="1:63" x14ac:dyDescent="0.3">
      <c r="A148" t="s">
        <v>75</v>
      </c>
      <c r="B148">
        <v>0</v>
      </c>
      <c r="C148">
        <v>0</v>
      </c>
      <c r="K148" t="s">
        <v>141</v>
      </c>
      <c r="L148">
        <v>0.57799999999999996</v>
      </c>
      <c r="M148">
        <v>0.48</v>
      </c>
      <c r="N148" t="s">
        <v>57</v>
      </c>
      <c r="O148">
        <v>0</v>
      </c>
      <c r="P148">
        <v>-5.0000000000000001E-3</v>
      </c>
      <c r="Q148">
        <v>5.0000000000000001E-3</v>
      </c>
      <c r="R148">
        <v>-0.50900000000000001</v>
      </c>
      <c r="S148">
        <v>-0.71399999999999997</v>
      </c>
      <c r="T148">
        <v>-0.34399999999999997</v>
      </c>
      <c r="U148">
        <v>-0.45800000000000002</v>
      </c>
      <c r="V148">
        <v>-0.502</v>
      </c>
      <c r="W148">
        <v>-0.66300000000000003</v>
      </c>
      <c r="X148">
        <v>-0.6</v>
      </c>
      <c r="Y148">
        <v>-0.79200000000000004</v>
      </c>
      <c r="Z148">
        <v>-0.33700000000000002</v>
      </c>
      <c r="AA148">
        <v>-0.33500000000000002</v>
      </c>
      <c r="AB148">
        <v>0.71199999999999997</v>
      </c>
      <c r="AC148">
        <v>0.6</v>
      </c>
      <c r="AD148">
        <v>0.217</v>
      </c>
      <c r="AE148">
        <v>9.8000000000000004E-2</v>
      </c>
      <c r="AF148">
        <v>0.23699999999999999</v>
      </c>
      <c r="AG148">
        <v>-0.69499999999999995</v>
      </c>
      <c r="AH148">
        <v>-4.3999999999999997E-2</v>
      </c>
      <c r="AI148">
        <v>-0.56699999999999995</v>
      </c>
      <c r="AJ148">
        <v>0.60799999999999998</v>
      </c>
      <c r="AK148">
        <v>0.251</v>
      </c>
      <c r="AL148">
        <v>-0.40600000000000003</v>
      </c>
      <c r="AM148">
        <v>-0.37</v>
      </c>
      <c r="AN148">
        <v>0.46100000000000002</v>
      </c>
      <c r="AO148">
        <v>-0.61099999999999999</v>
      </c>
      <c r="AP148">
        <v>-0.39400000000000002</v>
      </c>
      <c r="AQ148">
        <v>0.45800000000000002</v>
      </c>
      <c r="AR148">
        <v>-0.14799999999999999</v>
      </c>
      <c r="AS148">
        <v>-0.217</v>
      </c>
      <c r="AT148">
        <v>0.20699999999999999</v>
      </c>
      <c r="AU148">
        <v>2.5999999999999999E-2</v>
      </c>
      <c r="AV148">
        <v>0.34799999999999998</v>
      </c>
      <c r="AW148">
        <v>-0.40300000000000002</v>
      </c>
      <c r="AX148">
        <v>-0.51600000000000001</v>
      </c>
      <c r="AY148">
        <v>0.72499999999999998</v>
      </c>
      <c r="AZ148">
        <v>-0.29499999999999998</v>
      </c>
      <c r="BA148">
        <v>-0.115</v>
      </c>
      <c r="BB148">
        <v>0.20300000000000001</v>
      </c>
      <c r="BC148">
        <v>0.14299999999999999</v>
      </c>
      <c r="BD148">
        <v>0.186</v>
      </c>
      <c r="BE148">
        <v>0.34899999999999998</v>
      </c>
      <c r="BF148">
        <v>-0.91300000000000003</v>
      </c>
      <c r="BG148">
        <v>-1.0999999999999999E-2</v>
      </c>
      <c r="BH148">
        <v>0.186</v>
      </c>
      <c r="BI148">
        <v>0.30399999999999999</v>
      </c>
      <c r="BJ148">
        <v>-0.52700000000000002</v>
      </c>
      <c r="BK148">
        <v>0.05</v>
      </c>
    </row>
    <row r="149" spans="1:63" x14ac:dyDescent="0.3">
      <c r="A149" t="s">
        <v>599</v>
      </c>
      <c r="B149">
        <v>0</v>
      </c>
      <c r="C149">
        <v>0</v>
      </c>
      <c r="K149" t="s">
        <v>133</v>
      </c>
      <c r="L149">
        <v>0.57599999999999996</v>
      </c>
      <c r="M149">
        <v>0.69299999999999995</v>
      </c>
      <c r="N149" t="s">
        <v>68</v>
      </c>
      <c r="O149">
        <v>0</v>
      </c>
      <c r="P149">
        <v>0</v>
      </c>
      <c r="Q149">
        <v>0</v>
      </c>
      <c r="R149">
        <v>-0.79200000000000004</v>
      </c>
      <c r="S149">
        <v>-0.79800000000000004</v>
      </c>
      <c r="T149">
        <v>-0.35699999999999998</v>
      </c>
      <c r="U149">
        <v>-0.85499999999999998</v>
      </c>
      <c r="V149">
        <v>-0.73899999999999999</v>
      </c>
      <c r="W149">
        <v>-0.73</v>
      </c>
      <c r="X149">
        <v>-0.51500000000000001</v>
      </c>
      <c r="Y149">
        <v>-0.78300000000000003</v>
      </c>
      <c r="Z149">
        <v>0.216</v>
      </c>
      <c r="AA149">
        <v>0.215</v>
      </c>
      <c r="AB149">
        <v>0.35099999999999998</v>
      </c>
      <c r="AC149">
        <v>0.40699999999999997</v>
      </c>
      <c r="AD149">
        <v>0.41499999999999998</v>
      </c>
      <c r="AE149">
        <v>-0.56200000000000006</v>
      </c>
      <c r="AF149">
        <v>-0.80900000000000005</v>
      </c>
      <c r="AG149">
        <v>-0.81299999999999994</v>
      </c>
      <c r="AH149">
        <v>0.57199999999999995</v>
      </c>
      <c r="AI149">
        <v>-0.432</v>
      </c>
      <c r="AJ149">
        <v>-0.35499999999999998</v>
      </c>
      <c r="AK149">
        <v>-0.20799999999999999</v>
      </c>
      <c r="AL149">
        <v>0.14399999999999999</v>
      </c>
      <c r="AM149">
        <v>0.23100000000000001</v>
      </c>
      <c r="AN149">
        <v>0.05</v>
      </c>
      <c r="AO149">
        <v>-0.58799999999999997</v>
      </c>
      <c r="AP149">
        <v>-0.66700000000000004</v>
      </c>
      <c r="AQ149">
        <v>-0.54200000000000004</v>
      </c>
      <c r="AR149">
        <v>-0.63600000000000001</v>
      </c>
      <c r="AS149">
        <v>-0.81499999999999995</v>
      </c>
      <c r="AT149">
        <v>-0.15</v>
      </c>
      <c r="AU149">
        <v>-0.40300000000000002</v>
      </c>
      <c r="AV149">
        <v>-0.38500000000000001</v>
      </c>
      <c r="AW149">
        <v>0.64500000000000002</v>
      </c>
      <c r="AX149">
        <v>-0.14899999999999999</v>
      </c>
      <c r="AY149">
        <v>0.83299999999999996</v>
      </c>
      <c r="AZ149">
        <v>-0.63800000000000001</v>
      </c>
      <c r="BA149">
        <v>0.45200000000000001</v>
      </c>
      <c r="BB149">
        <v>-0.10299999999999999</v>
      </c>
      <c r="BC149">
        <v>-0.33700000000000002</v>
      </c>
      <c r="BD149">
        <v>9.2999999999999999E-2</v>
      </c>
      <c r="BE149">
        <v>-0.11600000000000001</v>
      </c>
      <c r="BF149">
        <v>1</v>
      </c>
      <c r="BG149">
        <v>0.68100000000000005</v>
      </c>
      <c r="BH149">
        <v>0.28999999999999998</v>
      </c>
      <c r="BI149">
        <v>-0.128</v>
      </c>
      <c r="BJ149">
        <v>0.81299999999999994</v>
      </c>
      <c r="BK149">
        <v>0.75600000000000001</v>
      </c>
    </row>
    <row r="150" spans="1:63" x14ac:dyDescent="0.3">
      <c r="A150" t="s">
        <v>167</v>
      </c>
      <c r="B150">
        <v>0</v>
      </c>
      <c r="C150">
        <v>0</v>
      </c>
      <c r="K150" t="s">
        <v>208</v>
      </c>
      <c r="L150">
        <v>0.57399999999999995</v>
      </c>
      <c r="M150">
        <v>0.42</v>
      </c>
      <c r="N150" t="s">
        <v>57</v>
      </c>
      <c r="O150">
        <v>0</v>
      </c>
      <c r="P150">
        <v>-3.0000000000000001E-3</v>
      </c>
      <c r="Q150">
        <v>3.0000000000000001E-3</v>
      </c>
      <c r="R150">
        <v>-0.745</v>
      </c>
      <c r="S150">
        <v>-0.66200000000000003</v>
      </c>
      <c r="T150">
        <v>-0.81699999999999995</v>
      </c>
      <c r="U150">
        <v>-0.72</v>
      </c>
      <c r="V150">
        <v>-0.748</v>
      </c>
      <c r="W150">
        <v>-0.79900000000000004</v>
      </c>
      <c r="X150">
        <v>-0.81200000000000006</v>
      </c>
      <c r="Y150">
        <v>-0.69699999999999995</v>
      </c>
      <c r="Z150">
        <v>0.03</v>
      </c>
      <c r="AA150">
        <v>2.3E-2</v>
      </c>
      <c r="AB150">
        <v>0.40200000000000002</v>
      </c>
      <c r="AC150">
        <v>0.46800000000000003</v>
      </c>
      <c r="AD150">
        <v>0.496</v>
      </c>
      <c r="AE150">
        <v>-0.38200000000000001</v>
      </c>
      <c r="AF150">
        <v>-0.28799999999999998</v>
      </c>
      <c r="AG150">
        <v>-0.32900000000000001</v>
      </c>
      <c r="AH150">
        <v>-0.40600000000000003</v>
      </c>
      <c r="AI150">
        <v>0.20499999999999999</v>
      </c>
      <c r="AJ150">
        <v>-0.76600000000000001</v>
      </c>
      <c r="AK150">
        <v>-0.122</v>
      </c>
      <c r="AL150">
        <v>-0.34300000000000003</v>
      </c>
      <c r="AM150">
        <v>-0.13</v>
      </c>
      <c r="AN150">
        <v>8.3000000000000004E-2</v>
      </c>
      <c r="AO150">
        <v>4.2000000000000003E-2</v>
      </c>
      <c r="AP150">
        <v>-9.8000000000000004E-2</v>
      </c>
      <c r="AQ150">
        <v>0.152</v>
      </c>
      <c r="AR150">
        <v>0.435</v>
      </c>
      <c r="AS150">
        <v>0.26200000000000001</v>
      </c>
      <c r="AT150">
        <v>8.9999999999999993E-3</v>
      </c>
      <c r="AU150">
        <v>-0.42599999999999999</v>
      </c>
      <c r="AV150">
        <v>-0.153</v>
      </c>
      <c r="AW150">
        <v>-0.93300000000000005</v>
      </c>
      <c r="AX150">
        <v>-0.47199999999999998</v>
      </c>
      <c r="AY150">
        <v>-0.33100000000000002</v>
      </c>
      <c r="AZ150">
        <v>0.29899999999999999</v>
      </c>
      <c r="BA150">
        <v>-0.27900000000000003</v>
      </c>
      <c r="BB150">
        <v>-0.26100000000000001</v>
      </c>
      <c r="BC150">
        <v>-0.51600000000000001</v>
      </c>
      <c r="BD150">
        <v>0.45600000000000002</v>
      </c>
      <c r="BE150">
        <v>0.94499999999999995</v>
      </c>
      <c r="BF150">
        <v>0.248</v>
      </c>
      <c r="BG150">
        <v>-4.0000000000000001E-3</v>
      </c>
      <c r="BH150">
        <v>-0.26400000000000001</v>
      </c>
      <c r="BI150">
        <v>0.68</v>
      </c>
      <c r="BJ150">
        <v>-0.65800000000000003</v>
      </c>
      <c r="BK150">
        <v>0.36199999999999999</v>
      </c>
    </row>
    <row r="151" spans="1:63" x14ac:dyDescent="0.3">
      <c r="A151" t="s">
        <v>201</v>
      </c>
      <c r="B151">
        <v>0</v>
      </c>
      <c r="C151">
        <v>0</v>
      </c>
      <c r="K151" t="s">
        <v>189</v>
      </c>
      <c r="L151">
        <v>0.57399999999999995</v>
      </c>
      <c r="M151">
        <v>0.68400000000000005</v>
      </c>
      <c r="N151" t="s">
        <v>68</v>
      </c>
      <c r="O151">
        <v>0</v>
      </c>
      <c r="P151">
        <v>0</v>
      </c>
      <c r="Q151">
        <v>0</v>
      </c>
      <c r="R151">
        <v>-0.75800000000000001</v>
      </c>
      <c r="S151">
        <v>-0.92300000000000004</v>
      </c>
      <c r="T151">
        <v>-0.74299999999999999</v>
      </c>
      <c r="U151">
        <v>-0.76700000000000002</v>
      </c>
      <c r="V151">
        <v>-0.88800000000000001</v>
      </c>
      <c r="W151">
        <v>-0.56999999999999995</v>
      </c>
      <c r="X151">
        <v>-0.32</v>
      </c>
      <c r="Y151">
        <v>-0.82799999999999996</v>
      </c>
      <c r="Z151">
        <v>0.193</v>
      </c>
      <c r="AA151">
        <v>0.192</v>
      </c>
      <c r="AB151">
        <v>0.51300000000000001</v>
      </c>
      <c r="AC151">
        <v>0.49199999999999999</v>
      </c>
      <c r="AD151">
        <v>0.36599999999999999</v>
      </c>
      <c r="AE151">
        <v>-0.501</v>
      </c>
      <c r="AF151">
        <v>-0.55900000000000005</v>
      </c>
      <c r="AG151">
        <v>-1</v>
      </c>
      <c r="AH151">
        <v>-0.68600000000000005</v>
      </c>
      <c r="AI151">
        <v>-0.77600000000000002</v>
      </c>
      <c r="AJ151">
        <v>-0.36699999999999999</v>
      </c>
      <c r="AK151">
        <v>-8.1000000000000003E-2</v>
      </c>
      <c r="AL151">
        <v>-0.57999999999999996</v>
      </c>
      <c r="AM151">
        <v>-0.77900000000000003</v>
      </c>
      <c r="AN151">
        <v>-4.9000000000000002E-2</v>
      </c>
      <c r="AO151">
        <v>-0.44600000000000001</v>
      </c>
      <c r="AP151">
        <v>-0.214</v>
      </c>
      <c r="AQ151">
        <v>0.13700000000000001</v>
      </c>
      <c r="AR151">
        <v>-7.6999999999999999E-2</v>
      </c>
      <c r="AS151">
        <v>-0.66500000000000004</v>
      </c>
      <c r="AT151">
        <v>0.28199999999999997</v>
      </c>
      <c r="AU151">
        <v>-0.27100000000000002</v>
      </c>
      <c r="AV151">
        <v>0.113</v>
      </c>
      <c r="AW151">
        <v>0.70399999999999996</v>
      </c>
      <c r="AX151">
        <v>-4.9000000000000002E-2</v>
      </c>
      <c r="AY151">
        <v>0.69799999999999995</v>
      </c>
      <c r="AZ151">
        <v>0.73399999999999999</v>
      </c>
      <c r="BA151">
        <v>-0.377</v>
      </c>
      <c r="BB151">
        <v>-9.5000000000000001E-2</v>
      </c>
      <c r="BC151">
        <v>0.35299999999999998</v>
      </c>
      <c r="BD151">
        <v>7.8E-2</v>
      </c>
      <c r="BE151">
        <v>-0.81799999999999995</v>
      </c>
      <c r="BF151">
        <v>-0.52400000000000002</v>
      </c>
      <c r="BG151">
        <v>0.79500000000000004</v>
      </c>
      <c r="BH151">
        <v>-0.60699999999999998</v>
      </c>
      <c r="BI151">
        <v>9.0999999999999998E-2</v>
      </c>
      <c r="BJ151">
        <v>0.67500000000000004</v>
      </c>
      <c r="BK151">
        <v>-7.6999999999999999E-2</v>
      </c>
    </row>
    <row r="152" spans="1:63" x14ac:dyDescent="0.3">
      <c r="A152" t="s">
        <v>92</v>
      </c>
      <c r="B152">
        <v>0</v>
      </c>
      <c r="C152">
        <v>0</v>
      </c>
      <c r="K152" t="s">
        <v>204</v>
      </c>
      <c r="L152">
        <v>0.56999999999999995</v>
      </c>
      <c r="M152">
        <v>1.0960000000000001</v>
      </c>
      <c r="N152" t="s">
        <v>55</v>
      </c>
      <c r="O152">
        <v>0</v>
      </c>
      <c r="P152">
        <v>-0.02</v>
      </c>
      <c r="Q152">
        <v>0.02</v>
      </c>
      <c r="R152">
        <v>-0.91</v>
      </c>
      <c r="S152">
        <v>-0.89400000000000002</v>
      </c>
      <c r="T152">
        <v>-1</v>
      </c>
      <c r="U152">
        <v>-0.80100000000000005</v>
      </c>
      <c r="V152">
        <v>-0.93200000000000005</v>
      </c>
      <c r="W152">
        <v>-0.72299999999999998</v>
      </c>
      <c r="X152">
        <v>-0.46200000000000002</v>
      </c>
      <c r="Y152">
        <v>-0.746</v>
      </c>
      <c r="Z152">
        <v>0.18099999999999999</v>
      </c>
      <c r="AA152">
        <v>0.186</v>
      </c>
      <c r="AB152">
        <v>0.63500000000000001</v>
      </c>
      <c r="AC152">
        <v>0.60699999999999998</v>
      </c>
      <c r="AD152">
        <v>0.46800000000000003</v>
      </c>
      <c r="AE152">
        <v>-0.89</v>
      </c>
      <c r="AF152">
        <v>-0.61799999999999999</v>
      </c>
      <c r="AG152">
        <v>-0.2</v>
      </c>
      <c r="AH152">
        <v>-1</v>
      </c>
      <c r="AI152">
        <v>-0.73099999999999998</v>
      </c>
      <c r="AJ152">
        <v>-0.99</v>
      </c>
      <c r="AK152">
        <v>-0.56100000000000005</v>
      </c>
      <c r="AL152">
        <v>-0.69199999999999995</v>
      </c>
      <c r="AM152">
        <v>-0.73199999999999998</v>
      </c>
      <c r="AN152">
        <v>-0.29099999999999998</v>
      </c>
      <c r="AO152">
        <v>0.222</v>
      </c>
      <c r="AP152">
        <v>0.33300000000000002</v>
      </c>
      <c r="AQ152">
        <v>0.318</v>
      </c>
      <c r="AR152">
        <v>0.222</v>
      </c>
      <c r="AS152">
        <v>-2.7E-2</v>
      </c>
      <c r="AT152">
        <v>0.129</v>
      </c>
      <c r="AU152">
        <v>4.2999999999999997E-2</v>
      </c>
      <c r="AV152">
        <v>-0.32700000000000001</v>
      </c>
      <c r="AW152">
        <v>0.49</v>
      </c>
      <c r="AX152">
        <v>-0.39300000000000002</v>
      </c>
      <c r="AY152">
        <v>0.65800000000000003</v>
      </c>
      <c r="AZ152">
        <v>-0.19600000000000001</v>
      </c>
      <c r="BA152">
        <v>0.45200000000000001</v>
      </c>
      <c r="BB152">
        <v>-0.79</v>
      </c>
      <c r="BC152">
        <v>-0.84699999999999998</v>
      </c>
      <c r="BD152">
        <v>3.1E-2</v>
      </c>
      <c r="BE152">
        <v>-3.1E-2</v>
      </c>
      <c r="BF152">
        <v>-0.71</v>
      </c>
      <c r="BG152">
        <v>0.55400000000000005</v>
      </c>
      <c r="BH152">
        <v>-0.99299999999999999</v>
      </c>
      <c r="BI152">
        <v>-0.26</v>
      </c>
      <c r="BJ152">
        <v>-0.32500000000000001</v>
      </c>
      <c r="BK152">
        <v>-0.80200000000000005</v>
      </c>
    </row>
    <row r="153" spans="1:63" x14ac:dyDescent="0.3">
      <c r="A153" t="s">
        <v>77</v>
      </c>
      <c r="B153">
        <v>0</v>
      </c>
      <c r="C153">
        <v>0</v>
      </c>
      <c r="K153" t="s">
        <v>241</v>
      </c>
      <c r="L153">
        <v>0.56999999999999995</v>
      </c>
      <c r="M153">
        <v>0.90500000000000003</v>
      </c>
      <c r="N153" t="s">
        <v>57</v>
      </c>
      <c r="O153">
        <v>0</v>
      </c>
      <c r="P153">
        <v>-2.5999999999999999E-2</v>
      </c>
      <c r="Q153">
        <v>2.5999999999999999E-2</v>
      </c>
      <c r="R153">
        <v>-0.66700000000000004</v>
      </c>
      <c r="S153">
        <v>-0.78400000000000003</v>
      </c>
      <c r="T153">
        <v>-0.90900000000000003</v>
      </c>
      <c r="U153">
        <v>-0.70299999999999996</v>
      </c>
      <c r="V153">
        <v>-0.875</v>
      </c>
      <c r="W153">
        <v>-0.52700000000000002</v>
      </c>
      <c r="X153">
        <v>-0.26</v>
      </c>
      <c r="Y153">
        <v>-0.81299999999999994</v>
      </c>
      <c r="Z153">
        <v>1E-3</v>
      </c>
      <c r="AA153">
        <v>0</v>
      </c>
      <c r="AB153">
        <v>0.45500000000000002</v>
      </c>
      <c r="AC153">
        <v>0.36899999999999999</v>
      </c>
      <c r="AD153">
        <v>0.29899999999999999</v>
      </c>
      <c r="AE153">
        <v>-0.76600000000000001</v>
      </c>
      <c r="AF153">
        <v>-4.2000000000000003E-2</v>
      </c>
      <c r="AG153">
        <v>-0.81499999999999995</v>
      </c>
      <c r="AH153">
        <v>-0.90200000000000002</v>
      </c>
      <c r="AI153">
        <v>-0.92300000000000004</v>
      </c>
      <c r="AJ153">
        <v>-0.88100000000000001</v>
      </c>
      <c r="AK153">
        <v>-0.23899999999999999</v>
      </c>
      <c r="AL153">
        <v>-0.60199999999999998</v>
      </c>
      <c r="AM153">
        <v>-0.67500000000000004</v>
      </c>
      <c r="AN153">
        <v>0.68</v>
      </c>
      <c r="AO153">
        <v>-0.30499999999999999</v>
      </c>
      <c r="AP153">
        <v>0.13100000000000001</v>
      </c>
      <c r="AQ153">
        <v>0.498</v>
      </c>
      <c r="AR153">
        <v>0.98799999999999999</v>
      </c>
      <c r="AS153">
        <v>0.36</v>
      </c>
      <c r="AT153">
        <v>-4.7E-2</v>
      </c>
      <c r="AU153">
        <v>0.192</v>
      </c>
      <c r="AV153">
        <v>-0.23200000000000001</v>
      </c>
      <c r="AW153">
        <v>0.23899999999999999</v>
      </c>
      <c r="AX153">
        <v>-0.42699999999999999</v>
      </c>
      <c r="AY153">
        <v>0.65700000000000003</v>
      </c>
      <c r="AZ153">
        <v>0.32900000000000001</v>
      </c>
      <c r="BA153">
        <v>0.314</v>
      </c>
      <c r="BB153">
        <v>-5.0000000000000001E-3</v>
      </c>
      <c r="BC153">
        <v>-0.48599999999999999</v>
      </c>
      <c r="BD153">
        <v>0.19500000000000001</v>
      </c>
      <c r="BE153">
        <v>-0.23799999999999999</v>
      </c>
      <c r="BF153">
        <v>-0.26400000000000001</v>
      </c>
      <c r="BG153">
        <v>0.438</v>
      </c>
      <c r="BH153">
        <v>4.3999999999999997E-2</v>
      </c>
      <c r="BI153">
        <v>0.247</v>
      </c>
      <c r="BJ153">
        <v>-0.35699999999999998</v>
      </c>
      <c r="BK153">
        <v>-0.65700000000000003</v>
      </c>
    </row>
    <row r="154" spans="1:63" x14ac:dyDescent="0.3">
      <c r="A154" t="s">
        <v>101</v>
      </c>
      <c r="B154">
        <v>3.3940159743544598E-2</v>
      </c>
      <c r="C154">
        <v>3.11436752183629E-2</v>
      </c>
      <c r="K154" t="s">
        <v>222</v>
      </c>
      <c r="L154">
        <v>0.56899999999999995</v>
      </c>
      <c r="M154">
        <v>0.58499999999999996</v>
      </c>
      <c r="N154" t="s">
        <v>71</v>
      </c>
      <c r="O154">
        <v>0</v>
      </c>
      <c r="P154">
        <v>0</v>
      </c>
      <c r="Q154">
        <v>0</v>
      </c>
      <c r="R154">
        <v>-0.95399999999999996</v>
      </c>
      <c r="S154">
        <v>-0.92500000000000004</v>
      </c>
      <c r="T154">
        <v>-1</v>
      </c>
      <c r="U154">
        <v>-0.87</v>
      </c>
      <c r="V154">
        <v>-0.94599999999999995</v>
      </c>
      <c r="W154">
        <v>-0.70699999999999996</v>
      </c>
      <c r="X154">
        <v>-0.40500000000000003</v>
      </c>
      <c r="Y154">
        <v>-0.83799999999999997</v>
      </c>
      <c r="Z154">
        <v>0.59399999999999997</v>
      </c>
      <c r="AA154">
        <v>0.59</v>
      </c>
      <c r="AB154">
        <v>0.504</v>
      </c>
      <c r="AC154">
        <v>0.52</v>
      </c>
      <c r="AD154">
        <v>0.43099999999999999</v>
      </c>
      <c r="AE154">
        <v>-0.64300000000000002</v>
      </c>
      <c r="AF154">
        <v>-0.90600000000000003</v>
      </c>
      <c r="AG154">
        <v>-0.73199999999999998</v>
      </c>
      <c r="AH154">
        <v>-0.90200000000000002</v>
      </c>
      <c r="AI154">
        <v>-1</v>
      </c>
      <c r="AJ154">
        <v>-1</v>
      </c>
      <c r="AK154">
        <v>-2.3E-2</v>
      </c>
      <c r="AL154">
        <v>-0.57099999999999995</v>
      </c>
      <c r="AM154">
        <v>-0.35399999999999998</v>
      </c>
      <c r="AN154">
        <v>3.5000000000000003E-2</v>
      </c>
      <c r="AO154">
        <v>-0.14099999999999999</v>
      </c>
      <c r="AP154">
        <v>-0.95199999999999996</v>
      </c>
      <c r="AQ154">
        <v>-0.48199999999999998</v>
      </c>
      <c r="AR154">
        <v>-7.4999999999999997E-2</v>
      </c>
      <c r="AS154">
        <v>-0.12</v>
      </c>
      <c r="AT154">
        <v>0.17100000000000001</v>
      </c>
      <c r="AU154">
        <v>4.3999999999999997E-2</v>
      </c>
      <c r="AV154">
        <v>-0.35599999999999998</v>
      </c>
      <c r="AW154">
        <v>0.93899999999999995</v>
      </c>
      <c r="AX154">
        <v>-0.39700000000000002</v>
      </c>
      <c r="AY154">
        <v>0.14899999999999999</v>
      </c>
      <c r="AZ154">
        <v>-0.29099999999999998</v>
      </c>
      <c r="BA154">
        <v>-0.73899999999999999</v>
      </c>
      <c r="BB154">
        <v>-0.20799999999999999</v>
      </c>
      <c r="BC154">
        <v>-0.30499999999999999</v>
      </c>
      <c r="BD154">
        <v>0.219</v>
      </c>
      <c r="BE154">
        <v>-3.5000000000000003E-2</v>
      </c>
      <c r="BF154">
        <v>-1E-3</v>
      </c>
      <c r="BG154">
        <v>0.92800000000000005</v>
      </c>
      <c r="BH154">
        <v>-0.11600000000000001</v>
      </c>
      <c r="BI154">
        <v>-0.71899999999999997</v>
      </c>
      <c r="BJ154">
        <v>-0.33400000000000002</v>
      </c>
      <c r="BK154">
        <v>-0.65500000000000003</v>
      </c>
    </row>
    <row r="155" spans="1:63" x14ac:dyDescent="0.3">
      <c r="A155" t="s">
        <v>199</v>
      </c>
      <c r="B155">
        <v>0</v>
      </c>
      <c r="C155">
        <v>0</v>
      </c>
      <c r="K155" t="s">
        <v>240</v>
      </c>
      <c r="L155">
        <v>0.56799999999999995</v>
      </c>
      <c r="M155">
        <v>0.48699999999999999</v>
      </c>
      <c r="N155" t="s">
        <v>71</v>
      </c>
      <c r="O155">
        <v>0</v>
      </c>
      <c r="P155">
        <v>0</v>
      </c>
      <c r="Q155">
        <v>0</v>
      </c>
      <c r="R155">
        <v>-0.94199999999999995</v>
      </c>
      <c r="S155">
        <v>-0.72499999999999998</v>
      </c>
      <c r="T155">
        <v>-1</v>
      </c>
      <c r="U155">
        <v>-0.85699999999999998</v>
      </c>
      <c r="V155">
        <v>-0.92500000000000004</v>
      </c>
      <c r="W155">
        <v>-0.82799999999999996</v>
      </c>
      <c r="X155">
        <v>-0.81200000000000006</v>
      </c>
      <c r="Y155">
        <v>-0.64100000000000001</v>
      </c>
      <c r="Z155">
        <v>5.5E-2</v>
      </c>
      <c r="AA155">
        <v>6.4000000000000001E-2</v>
      </c>
      <c r="AB155">
        <v>0.48099999999999998</v>
      </c>
      <c r="AC155">
        <v>0.56100000000000005</v>
      </c>
      <c r="AD155">
        <v>0.58499999999999996</v>
      </c>
      <c r="AE155">
        <v>-1</v>
      </c>
      <c r="AF155">
        <v>-0.95899999999999996</v>
      </c>
      <c r="AG155">
        <v>0.32500000000000001</v>
      </c>
      <c r="AH155">
        <v>-1</v>
      </c>
      <c r="AI155">
        <v>-0.45300000000000001</v>
      </c>
      <c r="AJ155">
        <v>-1</v>
      </c>
      <c r="AK155">
        <v>-0.52</v>
      </c>
      <c r="AL155">
        <v>-1</v>
      </c>
      <c r="AM155">
        <v>-0.81599999999999995</v>
      </c>
      <c r="AN155">
        <v>-0.36399999999999999</v>
      </c>
      <c r="AO155">
        <v>0.91100000000000003</v>
      </c>
      <c r="AP155">
        <v>0.95399999999999996</v>
      </c>
      <c r="AQ155">
        <v>-0.65900000000000003</v>
      </c>
      <c r="AR155">
        <v>0.30499999999999999</v>
      </c>
      <c r="AS155">
        <v>4.0000000000000001E-3</v>
      </c>
      <c r="AT155">
        <v>8.0000000000000002E-3</v>
      </c>
      <c r="AU155">
        <v>-7.0999999999999994E-2</v>
      </c>
      <c r="AV155">
        <v>-0.77600000000000002</v>
      </c>
      <c r="AW155">
        <v>0.433</v>
      </c>
      <c r="AX155">
        <v>-0.438</v>
      </c>
      <c r="AY155">
        <v>-0.112</v>
      </c>
      <c r="AZ155">
        <v>6.8000000000000005E-2</v>
      </c>
      <c r="BA155">
        <v>0.61899999999999999</v>
      </c>
      <c r="BB155">
        <v>-0.63100000000000001</v>
      </c>
      <c r="BC155">
        <v>-0.77600000000000002</v>
      </c>
      <c r="BD155">
        <v>0.47899999999999998</v>
      </c>
      <c r="BE155">
        <v>-1</v>
      </c>
      <c r="BF155">
        <v>0.19400000000000001</v>
      </c>
      <c r="BG155">
        <v>2.9000000000000001E-2</v>
      </c>
      <c r="BH155">
        <v>-0.67200000000000004</v>
      </c>
      <c r="BI155">
        <v>-1</v>
      </c>
      <c r="BJ155">
        <v>-1</v>
      </c>
      <c r="BK155">
        <v>-0.40699999999999997</v>
      </c>
    </row>
    <row r="156" spans="1:63" x14ac:dyDescent="0.3">
      <c r="A156" t="s">
        <v>139</v>
      </c>
      <c r="B156">
        <v>0</v>
      </c>
      <c r="C156">
        <v>0</v>
      </c>
      <c r="K156" t="s">
        <v>206</v>
      </c>
      <c r="L156">
        <v>0.56699999999999995</v>
      </c>
      <c r="M156">
        <v>0.54400000000000004</v>
      </c>
      <c r="N156" t="s">
        <v>57</v>
      </c>
      <c r="O156">
        <v>0</v>
      </c>
      <c r="P156">
        <v>0</v>
      </c>
      <c r="Q156">
        <v>0</v>
      </c>
      <c r="R156">
        <v>-0.73599999999999999</v>
      </c>
      <c r="S156">
        <v>-0.8</v>
      </c>
      <c r="T156">
        <v>-0.87</v>
      </c>
      <c r="U156">
        <v>-0.80500000000000005</v>
      </c>
      <c r="V156">
        <v>-0.88800000000000001</v>
      </c>
      <c r="W156">
        <v>-0.63500000000000001</v>
      </c>
      <c r="X156">
        <v>-0.499</v>
      </c>
      <c r="Y156">
        <v>-0.83899999999999997</v>
      </c>
      <c r="Z156">
        <v>-2.5999999999999999E-2</v>
      </c>
      <c r="AA156">
        <v>-2.5999999999999999E-2</v>
      </c>
      <c r="AB156">
        <v>0.64300000000000002</v>
      </c>
      <c r="AC156">
        <v>0.57599999999999996</v>
      </c>
      <c r="AD156">
        <v>0.41399999999999998</v>
      </c>
      <c r="AE156">
        <v>-0.85199999999999998</v>
      </c>
      <c r="AF156">
        <v>-0.14399999999999999</v>
      </c>
      <c r="AG156">
        <v>-0.73099999999999998</v>
      </c>
      <c r="AH156">
        <v>-0.90900000000000003</v>
      </c>
      <c r="AI156">
        <v>-0.98499999999999999</v>
      </c>
      <c r="AJ156">
        <v>-0.95399999999999996</v>
      </c>
      <c r="AK156">
        <v>-9.4E-2</v>
      </c>
      <c r="AL156">
        <v>-0.60499999999999998</v>
      </c>
      <c r="AM156">
        <v>-0.45</v>
      </c>
      <c r="AN156">
        <v>0.19800000000000001</v>
      </c>
      <c r="AO156">
        <v>-0.33100000000000002</v>
      </c>
      <c r="AP156">
        <v>-1.4E-2</v>
      </c>
      <c r="AQ156">
        <v>0.1</v>
      </c>
      <c r="AR156">
        <v>0.222</v>
      </c>
      <c r="AS156">
        <v>0.35899999999999999</v>
      </c>
      <c r="AT156">
        <v>-8.8999999999999996E-2</v>
      </c>
      <c r="AU156">
        <v>4.8000000000000001E-2</v>
      </c>
      <c r="AV156">
        <v>-0.68100000000000005</v>
      </c>
      <c r="AW156">
        <v>5.7000000000000002E-2</v>
      </c>
      <c r="AX156">
        <v>-0.214</v>
      </c>
      <c r="AY156">
        <v>-0.115</v>
      </c>
      <c r="AZ156">
        <v>0.59199999999999997</v>
      </c>
      <c r="BA156">
        <v>0.52200000000000002</v>
      </c>
      <c r="BB156">
        <v>-0.316</v>
      </c>
      <c r="BC156">
        <v>5.1999999999999998E-2</v>
      </c>
      <c r="BD156">
        <v>0.14899999999999999</v>
      </c>
      <c r="BE156">
        <v>8.5999999999999993E-2</v>
      </c>
      <c r="BF156">
        <v>5.8000000000000003E-2</v>
      </c>
      <c r="BG156">
        <v>0.54700000000000004</v>
      </c>
      <c r="BH156">
        <v>-5.8000000000000003E-2</v>
      </c>
      <c r="BI156">
        <v>0.24299999999999999</v>
      </c>
      <c r="BJ156">
        <v>0.189</v>
      </c>
      <c r="BK156">
        <v>-0.57499999999999996</v>
      </c>
    </row>
    <row r="157" spans="1:63" x14ac:dyDescent="0.3">
      <c r="A157" t="s">
        <v>237</v>
      </c>
      <c r="B157">
        <v>0</v>
      </c>
      <c r="C157">
        <v>0</v>
      </c>
      <c r="K157" t="s">
        <v>234</v>
      </c>
      <c r="L157">
        <v>0.56399999999999995</v>
      </c>
      <c r="M157">
        <v>0.72</v>
      </c>
      <c r="N157" t="s">
        <v>55</v>
      </c>
      <c r="O157">
        <v>0</v>
      </c>
      <c r="P157">
        <v>-8.0000000000000002E-3</v>
      </c>
      <c r="Q157">
        <v>8.0000000000000002E-3</v>
      </c>
      <c r="R157">
        <v>-0.93</v>
      </c>
      <c r="S157">
        <v>-0.85899999999999999</v>
      </c>
      <c r="T157">
        <v>-0.96599999999999997</v>
      </c>
      <c r="U157">
        <v>-0.89100000000000001</v>
      </c>
      <c r="V157">
        <v>-0.91400000000000003</v>
      </c>
      <c r="W157">
        <v>-0.76700000000000002</v>
      </c>
      <c r="X157">
        <v>-0.63600000000000001</v>
      </c>
      <c r="Y157">
        <v>-0.64800000000000002</v>
      </c>
      <c r="Z157">
        <v>6.4000000000000001E-2</v>
      </c>
      <c r="AA157">
        <v>6.2E-2</v>
      </c>
      <c r="AB157">
        <v>0.47399999999999998</v>
      </c>
      <c r="AC157">
        <v>0.32600000000000001</v>
      </c>
      <c r="AD157">
        <v>0.52900000000000003</v>
      </c>
      <c r="AE157">
        <v>-0.96</v>
      </c>
      <c r="AF157">
        <v>-0.98899999999999999</v>
      </c>
      <c r="AG157">
        <v>-0.247</v>
      </c>
      <c r="AH157">
        <v>-0.91300000000000003</v>
      </c>
      <c r="AI157">
        <v>-0.21299999999999999</v>
      </c>
      <c r="AJ157">
        <v>-0.95399999999999996</v>
      </c>
      <c r="AK157">
        <v>-0.43099999999999999</v>
      </c>
      <c r="AL157">
        <v>-0.14499999999999999</v>
      </c>
      <c r="AM157">
        <v>-0.36199999999999999</v>
      </c>
      <c r="AN157">
        <v>-0.48899999999999999</v>
      </c>
      <c r="AO157">
        <v>0.29199999999999998</v>
      </c>
      <c r="AP157">
        <v>0.79</v>
      </c>
      <c r="AQ157">
        <v>-0.41099999999999998</v>
      </c>
      <c r="AR157">
        <v>-1</v>
      </c>
      <c r="AS157">
        <v>-0.48499999999999999</v>
      </c>
      <c r="AT157">
        <v>-0.499</v>
      </c>
      <c r="AU157">
        <v>-0.63400000000000001</v>
      </c>
      <c r="AV157">
        <v>-0.54600000000000004</v>
      </c>
      <c r="AW157">
        <v>0.58699999999999997</v>
      </c>
      <c r="AX157">
        <v>-0.73099999999999998</v>
      </c>
      <c r="AY157">
        <v>-0.28499999999999998</v>
      </c>
      <c r="AZ157">
        <v>-9.0999999999999998E-2</v>
      </c>
      <c r="BA157">
        <v>-0.35299999999999998</v>
      </c>
      <c r="BB157">
        <v>0.27200000000000002</v>
      </c>
      <c r="BC157">
        <v>-0.14199999999999999</v>
      </c>
      <c r="BD157">
        <v>0.316</v>
      </c>
      <c r="BE157">
        <v>-0.33400000000000002</v>
      </c>
      <c r="BF157">
        <v>0.48899999999999999</v>
      </c>
      <c r="BG157">
        <v>0.84899999999999998</v>
      </c>
      <c r="BH157">
        <v>-0.30299999999999999</v>
      </c>
      <c r="BI157">
        <v>-5.0000000000000001E-3</v>
      </c>
      <c r="BJ157">
        <v>0.13700000000000001</v>
      </c>
      <c r="BK157">
        <v>5.2999999999999999E-2</v>
      </c>
    </row>
    <row r="158" spans="1:63" x14ac:dyDescent="0.3">
      <c r="A158" t="s">
        <v>224</v>
      </c>
      <c r="B158">
        <v>0</v>
      </c>
      <c r="C158">
        <v>0</v>
      </c>
      <c r="K158" t="s">
        <v>218</v>
      </c>
      <c r="L158">
        <v>0.56299999999999994</v>
      </c>
      <c r="M158">
        <v>1.226</v>
      </c>
      <c r="N158" t="s">
        <v>55</v>
      </c>
      <c r="O158">
        <v>0</v>
      </c>
      <c r="P158">
        <v>-2.5000000000000001E-2</v>
      </c>
      <c r="Q158">
        <v>2.5000000000000001E-2</v>
      </c>
      <c r="R158">
        <v>-0.86</v>
      </c>
      <c r="S158">
        <v>-0.89500000000000002</v>
      </c>
      <c r="T158">
        <v>-0.98099999999999998</v>
      </c>
      <c r="U158">
        <v>-0.81899999999999995</v>
      </c>
      <c r="V158">
        <v>-0.93700000000000006</v>
      </c>
      <c r="W158">
        <v>-0.63700000000000001</v>
      </c>
      <c r="X158">
        <v>-0.42199999999999999</v>
      </c>
      <c r="Y158">
        <v>-0.80900000000000005</v>
      </c>
      <c r="Z158">
        <v>-1.2999999999999999E-2</v>
      </c>
      <c r="AA158">
        <v>-1.0999999999999999E-2</v>
      </c>
      <c r="AB158">
        <v>0.64400000000000002</v>
      </c>
      <c r="AC158">
        <v>0.59699999999999998</v>
      </c>
      <c r="AD158">
        <v>0.44500000000000001</v>
      </c>
      <c r="AE158">
        <v>-0.60699999999999998</v>
      </c>
      <c r="AF158">
        <v>-0.74199999999999999</v>
      </c>
      <c r="AG158">
        <v>-0.64200000000000002</v>
      </c>
      <c r="AH158">
        <v>-0.97199999999999998</v>
      </c>
      <c r="AI158">
        <v>-0.81399999999999995</v>
      </c>
      <c r="AJ158">
        <v>-1</v>
      </c>
      <c r="AK158">
        <v>-0.28599999999999998</v>
      </c>
      <c r="AL158">
        <v>-0.63500000000000001</v>
      </c>
      <c r="AM158">
        <v>-0.58399999999999996</v>
      </c>
      <c r="AN158">
        <v>-0.23699999999999999</v>
      </c>
      <c r="AO158">
        <v>-9.7000000000000003E-2</v>
      </c>
      <c r="AP158">
        <v>0.26300000000000001</v>
      </c>
      <c r="AQ158">
        <v>-6.4000000000000001E-2</v>
      </c>
      <c r="AR158">
        <v>0.19800000000000001</v>
      </c>
      <c r="AS158">
        <v>0.13500000000000001</v>
      </c>
      <c r="AT158">
        <v>-5.5E-2</v>
      </c>
      <c r="AU158">
        <v>-0.39100000000000001</v>
      </c>
      <c r="AV158">
        <v>-0.129</v>
      </c>
      <c r="AW158">
        <v>0.51600000000000001</v>
      </c>
      <c r="AX158">
        <v>-0.82799999999999996</v>
      </c>
      <c r="AY158">
        <v>0.94399999999999995</v>
      </c>
      <c r="AZ158">
        <v>0.33600000000000002</v>
      </c>
      <c r="BA158">
        <v>0.223</v>
      </c>
      <c r="BB158">
        <v>0.159</v>
      </c>
      <c r="BC158">
        <v>1.4999999999999999E-2</v>
      </c>
      <c r="BD158">
        <v>0.34200000000000003</v>
      </c>
      <c r="BE158">
        <v>-1.6E-2</v>
      </c>
      <c r="BF158">
        <v>0.254</v>
      </c>
      <c r="BG158">
        <v>0.86799999999999999</v>
      </c>
      <c r="BH158">
        <v>-0.45800000000000002</v>
      </c>
      <c r="BI158">
        <v>1.0999999999999999E-2</v>
      </c>
      <c r="BJ158">
        <v>-0.33300000000000002</v>
      </c>
      <c r="BK158">
        <v>-0.49</v>
      </c>
    </row>
    <row r="159" spans="1:63" x14ac:dyDescent="0.3">
      <c r="A159" t="s">
        <v>183</v>
      </c>
      <c r="B159">
        <v>0</v>
      </c>
      <c r="C159">
        <v>0</v>
      </c>
      <c r="K159" t="s">
        <v>277</v>
      </c>
      <c r="L159">
        <v>0.56299999999999994</v>
      </c>
      <c r="M159">
        <v>0.56399999999999995</v>
      </c>
      <c r="N159" t="s">
        <v>55</v>
      </c>
      <c r="O159">
        <v>0</v>
      </c>
      <c r="P159">
        <v>0</v>
      </c>
      <c r="Q159">
        <v>0</v>
      </c>
      <c r="R159">
        <v>-0.77400000000000002</v>
      </c>
      <c r="S159">
        <v>-0.71</v>
      </c>
      <c r="T159">
        <v>-0.83399999999999996</v>
      </c>
      <c r="U159">
        <v>-0.85899999999999999</v>
      </c>
      <c r="V159">
        <v>-0.875</v>
      </c>
      <c r="W159">
        <v>-0.73499999999999999</v>
      </c>
      <c r="X159">
        <v>-0.64800000000000002</v>
      </c>
      <c r="Y159">
        <v>-0.83099999999999996</v>
      </c>
      <c r="Z159">
        <v>5.5E-2</v>
      </c>
      <c r="AA159">
        <v>5.8000000000000003E-2</v>
      </c>
      <c r="AB159">
        <v>0.44400000000000001</v>
      </c>
      <c r="AC159">
        <v>0.23400000000000001</v>
      </c>
      <c r="AD159">
        <v>0.53400000000000003</v>
      </c>
      <c r="AE159">
        <v>-1</v>
      </c>
      <c r="AF159">
        <v>-1</v>
      </c>
      <c r="AG159">
        <v>-0.47499999999999998</v>
      </c>
      <c r="AH159">
        <v>-0.755</v>
      </c>
      <c r="AI159">
        <v>-0.38800000000000001</v>
      </c>
      <c r="AJ159">
        <v>-0.78800000000000003</v>
      </c>
      <c r="AK159">
        <v>-0.23300000000000001</v>
      </c>
      <c r="AL159">
        <v>-0.79700000000000004</v>
      </c>
      <c r="AM159">
        <v>-0.46700000000000003</v>
      </c>
      <c r="AN159">
        <v>-0.24099999999999999</v>
      </c>
      <c r="AO159">
        <v>3.0000000000000001E-3</v>
      </c>
      <c r="AP159">
        <v>0.18</v>
      </c>
      <c r="AQ159">
        <v>-0.105</v>
      </c>
      <c r="AR159">
        <v>0.25600000000000001</v>
      </c>
      <c r="AS159">
        <v>-0.217</v>
      </c>
      <c r="AT159">
        <v>-8.3000000000000004E-2</v>
      </c>
      <c r="AU159">
        <v>8.1000000000000003E-2</v>
      </c>
      <c r="AV159">
        <v>-0.68899999999999995</v>
      </c>
      <c r="AW159">
        <v>0.23400000000000001</v>
      </c>
      <c r="AX159">
        <v>0.125</v>
      </c>
      <c r="AY159">
        <v>0.63600000000000001</v>
      </c>
      <c r="AZ159">
        <v>8.5999999999999993E-2</v>
      </c>
      <c r="BA159">
        <v>0.64600000000000002</v>
      </c>
      <c r="BB159">
        <v>0.01</v>
      </c>
      <c r="BC159">
        <v>-0.108</v>
      </c>
      <c r="BD159">
        <v>0.44700000000000001</v>
      </c>
      <c r="BE159">
        <v>-0.28899999999999998</v>
      </c>
      <c r="BF159">
        <v>-0.252</v>
      </c>
      <c r="BG159">
        <v>0.245</v>
      </c>
      <c r="BH159">
        <v>1E-3</v>
      </c>
      <c r="BI159">
        <v>-0.16</v>
      </c>
      <c r="BJ159">
        <v>0.83799999999999997</v>
      </c>
      <c r="BK159">
        <v>-3.7999999999999999E-2</v>
      </c>
    </row>
    <row r="160" spans="1:63" x14ac:dyDescent="0.3">
      <c r="A160" t="s">
        <v>276</v>
      </c>
      <c r="B160">
        <v>0</v>
      </c>
      <c r="C160">
        <v>0</v>
      </c>
      <c r="K160" t="s">
        <v>276</v>
      </c>
      <c r="L160">
        <v>0.56200000000000006</v>
      </c>
      <c r="M160">
        <v>0.39400000000000002</v>
      </c>
      <c r="N160" t="s">
        <v>68</v>
      </c>
      <c r="O160">
        <v>0</v>
      </c>
      <c r="P160">
        <v>0</v>
      </c>
      <c r="Q160">
        <v>0</v>
      </c>
      <c r="R160">
        <v>-0.80800000000000005</v>
      </c>
      <c r="S160">
        <v>-0.81</v>
      </c>
      <c r="T160">
        <v>-0.81599999999999995</v>
      </c>
      <c r="U160">
        <v>-0.83499999999999996</v>
      </c>
      <c r="V160">
        <v>-0.85199999999999998</v>
      </c>
      <c r="W160">
        <v>-0.88900000000000001</v>
      </c>
      <c r="X160">
        <v>-0.90700000000000003</v>
      </c>
      <c r="Y160">
        <v>-0.73399999999999999</v>
      </c>
      <c r="Z160">
        <v>3.4000000000000002E-2</v>
      </c>
      <c r="AA160">
        <v>2.9000000000000001E-2</v>
      </c>
      <c r="AB160">
        <v>0.13400000000000001</v>
      </c>
      <c r="AC160">
        <v>0.45700000000000002</v>
      </c>
      <c r="AD160">
        <v>0.61799999999999999</v>
      </c>
      <c r="AE160">
        <v>-0.79900000000000004</v>
      </c>
      <c r="AF160">
        <v>-1</v>
      </c>
      <c r="AG160">
        <v>-0.41099999999999998</v>
      </c>
      <c r="AH160">
        <v>-0.8</v>
      </c>
      <c r="AI160">
        <v>0.26300000000000001</v>
      </c>
      <c r="AJ160">
        <v>-0.65300000000000002</v>
      </c>
      <c r="AK160">
        <v>-0.28699999999999998</v>
      </c>
      <c r="AL160">
        <v>-0.71399999999999997</v>
      </c>
      <c r="AM160">
        <v>-0.72799999999999998</v>
      </c>
      <c r="AN160">
        <v>-0.90600000000000003</v>
      </c>
      <c r="AO160">
        <v>0.67900000000000005</v>
      </c>
      <c r="AP160">
        <v>1</v>
      </c>
      <c r="AQ160">
        <v>-0.41799999999999998</v>
      </c>
      <c r="AR160">
        <v>-0.54800000000000004</v>
      </c>
      <c r="AS160">
        <v>-0.32700000000000001</v>
      </c>
      <c r="AT160">
        <v>0.22600000000000001</v>
      </c>
      <c r="AU160">
        <v>-0.50700000000000001</v>
      </c>
      <c r="AV160">
        <v>-7.3999999999999996E-2</v>
      </c>
      <c r="AW160">
        <v>-0.72499999999999998</v>
      </c>
      <c r="AX160">
        <v>-4.2000000000000003E-2</v>
      </c>
      <c r="AY160">
        <v>-0.40899999999999997</v>
      </c>
      <c r="AZ160">
        <v>-0.17499999999999999</v>
      </c>
      <c r="BA160">
        <v>0.95</v>
      </c>
      <c r="BB160">
        <v>0.161</v>
      </c>
      <c r="BC160">
        <v>6.2E-2</v>
      </c>
      <c r="BD160">
        <v>0.84299999999999997</v>
      </c>
      <c r="BE160">
        <v>-0.21199999999999999</v>
      </c>
      <c r="BF160">
        <v>-1</v>
      </c>
      <c r="BG160">
        <v>-0.40200000000000002</v>
      </c>
      <c r="BH160">
        <v>-1</v>
      </c>
      <c r="BI160">
        <v>0.58699999999999997</v>
      </c>
      <c r="BJ160">
        <v>0.97899999999999998</v>
      </c>
      <c r="BK160">
        <v>0.437</v>
      </c>
    </row>
    <row r="161" spans="1:63" x14ac:dyDescent="0.3">
      <c r="A161" t="s">
        <v>131</v>
      </c>
      <c r="B161">
        <v>0</v>
      </c>
      <c r="C161">
        <v>0</v>
      </c>
      <c r="K161" t="s">
        <v>220</v>
      </c>
      <c r="L161">
        <v>0.56100000000000005</v>
      </c>
      <c r="M161">
        <v>0.58599999999999997</v>
      </c>
      <c r="N161" t="s">
        <v>57</v>
      </c>
      <c r="O161">
        <v>0</v>
      </c>
      <c r="P161">
        <v>0</v>
      </c>
      <c r="Q161">
        <v>0</v>
      </c>
      <c r="R161">
        <v>-0.78200000000000003</v>
      </c>
      <c r="S161">
        <v>-0.82899999999999996</v>
      </c>
      <c r="T161">
        <v>-0.94699999999999995</v>
      </c>
      <c r="U161">
        <v>-0.72499999999999998</v>
      </c>
      <c r="V161">
        <v>-0.875</v>
      </c>
      <c r="W161">
        <v>-0.76600000000000001</v>
      </c>
      <c r="X161">
        <v>-0.7</v>
      </c>
      <c r="Y161">
        <v>-0.745</v>
      </c>
      <c r="Z161">
        <v>-0.11799999999999999</v>
      </c>
      <c r="AA161">
        <v>-0.11899999999999999</v>
      </c>
      <c r="AB161">
        <v>0.64800000000000002</v>
      </c>
      <c r="AC161">
        <v>0.63300000000000001</v>
      </c>
      <c r="AD161">
        <v>0.40100000000000002</v>
      </c>
      <c r="AE161">
        <v>-0.35799999999999998</v>
      </c>
      <c r="AF161">
        <v>-0.52500000000000002</v>
      </c>
      <c r="AG161">
        <v>-0.67200000000000004</v>
      </c>
      <c r="AH161">
        <v>-0.97</v>
      </c>
      <c r="AI161">
        <v>-0.86099999999999999</v>
      </c>
      <c r="AJ161">
        <v>-1</v>
      </c>
      <c r="AK161">
        <v>-0.28799999999999998</v>
      </c>
      <c r="AL161">
        <v>-0.41799999999999998</v>
      </c>
      <c r="AM161">
        <v>-0.63800000000000001</v>
      </c>
      <c r="AN161">
        <v>0.317</v>
      </c>
      <c r="AO161">
        <v>8.0000000000000002E-3</v>
      </c>
      <c r="AP161">
        <v>-0.05</v>
      </c>
      <c r="AQ161">
        <v>4.4999999999999998E-2</v>
      </c>
      <c r="AR161">
        <v>0.48</v>
      </c>
      <c r="AS161">
        <v>0.42399999999999999</v>
      </c>
      <c r="AT161">
        <v>4.9000000000000002E-2</v>
      </c>
      <c r="AU161">
        <v>-0.22900000000000001</v>
      </c>
      <c r="AV161">
        <v>0.11899999999999999</v>
      </c>
      <c r="AW161">
        <v>-0.105</v>
      </c>
      <c r="AX161">
        <v>-0.24299999999999999</v>
      </c>
      <c r="AY161">
        <v>0.504</v>
      </c>
      <c r="AZ161">
        <v>-0.36899999999999999</v>
      </c>
      <c r="BA161">
        <v>0.53100000000000003</v>
      </c>
      <c r="BB161">
        <v>0.155</v>
      </c>
      <c r="BC161">
        <v>4.2000000000000003E-2</v>
      </c>
      <c r="BD161">
        <v>0.41</v>
      </c>
      <c r="BE161">
        <v>7.6999999999999999E-2</v>
      </c>
      <c r="BF161">
        <v>-0.34100000000000003</v>
      </c>
      <c r="BG161">
        <v>-5.7000000000000002E-2</v>
      </c>
      <c r="BH161">
        <v>-6.5000000000000002E-2</v>
      </c>
      <c r="BI161">
        <v>0.47799999999999998</v>
      </c>
      <c r="BJ161">
        <v>-0.54900000000000004</v>
      </c>
      <c r="BK161">
        <v>-0.65</v>
      </c>
    </row>
    <row r="162" spans="1:63" x14ac:dyDescent="0.3">
      <c r="A162" t="s">
        <v>122</v>
      </c>
      <c r="B162">
        <v>0</v>
      </c>
      <c r="C162">
        <v>0</v>
      </c>
      <c r="K162" t="s">
        <v>225</v>
      </c>
      <c r="L162">
        <v>0.55900000000000005</v>
      </c>
      <c r="M162">
        <v>0.442</v>
      </c>
      <c r="N162" t="s">
        <v>71</v>
      </c>
      <c r="O162">
        <v>0</v>
      </c>
      <c r="P162">
        <v>-4.0000000000000001E-3</v>
      </c>
      <c r="Q162">
        <v>4.0000000000000001E-3</v>
      </c>
      <c r="R162">
        <v>-0.67600000000000005</v>
      </c>
      <c r="S162">
        <v>-0.77900000000000003</v>
      </c>
      <c r="T162">
        <v>-0.70899999999999996</v>
      </c>
      <c r="U162">
        <v>-0.52300000000000002</v>
      </c>
      <c r="V162">
        <v>-0.69699999999999995</v>
      </c>
      <c r="W162">
        <v>-0.67200000000000004</v>
      </c>
      <c r="X162">
        <v>-0.77700000000000002</v>
      </c>
      <c r="Y162">
        <v>-0.83</v>
      </c>
      <c r="Z162">
        <v>-0.123</v>
      </c>
      <c r="AA162">
        <v>-0.123</v>
      </c>
      <c r="AB162">
        <v>0.312</v>
      </c>
      <c r="AC162">
        <v>0.50700000000000001</v>
      </c>
      <c r="AD162">
        <v>0.34</v>
      </c>
      <c r="AE162">
        <v>2.1000000000000001E-2</v>
      </c>
      <c r="AF162">
        <v>0.20399999999999999</v>
      </c>
      <c r="AG162">
        <v>-0.51200000000000001</v>
      </c>
      <c r="AH162">
        <v>0.16900000000000001</v>
      </c>
      <c r="AI162">
        <v>-0.73</v>
      </c>
      <c r="AJ162">
        <v>-0.79600000000000004</v>
      </c>
      <c r="AK162">
        <v>1</v>
      </c>
      <c r="AL162">
        <v>-0.503</v>
      </c>
      <c r="AM162">
        <v>-0.47099999999999997</v>
      </c>
      <c r="AN162">
        <v>8.4000000000000005E-2</v>
      </c>
      <c r="AO162">
        <v>-0.80300000000000005</v>
      </c>
      <c r="AP162">
        <v>-0.65500000000000003</v>
      </c>
      <c r="AQ162">
        <v>-0.128</v>
      </c>
      <c r="AR162">
        <v>0.249</v>
      </c>
      <c r="AS162">
        <v>0.20200000000000001</v>
      </c>
      <c r="AT162">
        <v>0.54900000000000004</v>
      </c>
      <c r="AU162">
        <v>-0.58199999999999996</v>
      </c>
      <c r="AV162">
        <v>-0.126</v>
      </c>
      <c r="AW162">
        <v>0.28100000000000003</v>
      </c>
      <c r="AX162">
        <v>-0.317</v>
      </c>
      <c r="AY162">
        <v>-0.37</v>
      </c>
      <c r="AZ162">
        <v>0.22900000000000001</v>
      </c>
      <c r="BA162">
        <v>-0.19700000000000001</v>
      </c>
      <c r="BB162">
        <v>-0.29199999999999998</v>
      </c>
      <c r="BC162">
        <v>0.24</v>
      </c>
      <c r="BD162">
        <v>0.247</v>
      </c>
      <c r="BE162">
        <v>-1</v>
      </c>
      <c r="BF162">
        <v>-0.54500000000000004</v>
      </c>
      <c r="BG162">
        <v>-0.39400000000000002</v>
      </c>
      <c r="BH162">
        <v>0.40799999999999997</v>
      </c>
      <c r="BI162">
        <v>-0.184</v>
      </c>
      <c r="BJ162">
        <v>-0.61599999999999999</v>
      </c>
      <c r="BK162">
        <v>0.184</v>
      </c>
    </row>
    <row r="163" spans="1:63" x14ac:dyDescent="0.3">
      <c r="A163" t="s">
        <v>260</v>
      </c>
      <c r="B163">
        <v>0</v>
      </c>
      <c r="C163">
        <v>0</v>
      </c>
      <c r="K163" t="s">
        <v>246</v>
      </c>
      <c r="L163">
        <v>0.55800000000000005</v>
      </c>
      <c r="M163">
        <v>0.84499999999999997</v>
      </c>
      <c r="N163" t="s">
        <v>53</v>
      </c>
      <c r="O163">
        <v>0</v>
      </c>
      <c r="P163">
        <v>-1.7000000000000001E-2</v>
      </c>
      <c r="Q163">
        <v>1.7000000000000001E-2</v>
      </c>
      <c r="R163">
        <v>-0.79900000000000004</v>
      </c>
      <c r="S163">
        <v>-0.70299999999999996</v>
      </c>
      <c r="T163">
        <v>-0.89</v>
      </c>
      <c r="U163">
        <v>-0.82799999999999996</v>
      </c>
      <c r="V163">
        <v>-0.86299999999999999</v>
      </c>
      <c r="W163">
        <v>-0.71199999999999997</v>
      </c>
      <c r="X163">
        <v>-0.65100000000000002</v>
      </c>
      <c r="Y163">
        <v>-0.75</v>
      </c>
      <c r="Z163">
        <v>-7.1999999999999995E-2</v>
      </c>
      <c r="AA163">
        <v>-7.2999999999999995E-2</v>
      </c>
      <c r="AB163">
        <v>0.58299999999999996</v>
      </c>
      <c r="AC163">
        <v>0.66100000000000003</v>
      </c>
      <c r="AD163">
        <v>0.29399999999999998</v>
      </c>
      <c r="AE163">
        <v>-1</v>
      </c>
      <c r="AF163">
        <v>-0.39200000000000002</v>
      </c>
      <c r="AG163">
        <v>-0.45800000000000002</v>
      </c>
      <c r="AH163">
        <v>-0.93700000000000006</v>
      </c>
      <c r="AI163">
        <v>-0.33600000000000002</v>
      </c>
      <c r="AJ163">
        <v>-0.54700000000000004</v>
      </c>
      <c r="AK163">
        <v>-0.55900000000000005</v>
      </c>
      <c r="AL163">
        <v>-0.63700000000000001</v>
      </c>
      <c r="AM163">
        <v>-0.41699999999999998</v>
      </c>
      <c r="AN163">
        <v>0.151</v>
      </c>
      <c r="AO163">
        <v>0.253</v>
      </c>
      <c r="AP163">
        <v>0.60799999999999998</v>
      </c>
      <c r="AQ163">
        <v>1.2999999999999999E-2</v>
      </c>
      <c r="AR163">
        <v>0.29299999999999998</v>
      </c>
      <c r="AS163">
        <v>8.3000000000000004E-2</v>
      </c>
      <c r="AT163">
        <v>-0.26800000000000002</v>
      </c>
      <c r="AU163">
        <v>-0.47799999999999998</v>
      </c>
      <c r="AV163">
        <v>-0.48099999999999998</v>
      </c>
      <c r="AW163">
        <v>0.28299999999999997</v>
      </c>
      <c r="AX163">
        <v>-0.28799999999999998</v>
      </c>
      <c r="AY163">
        <v>0.747</v>
      </c>
      <c r="AZ163">
        <v>0.54500000000000004</v>
      </c>
      <c r="BA163">
        <v>-0.42</v>
      </c>
      <c r="BB163">
        <v>-9.2999999999999999E-2</v>
      </c>
      <c r="BC163">
        <v>8.6999999999999994E-2</v>
      </c>
      <c r="BD163">
        <v>-0.27100000000000002</v>
      </c>
      <c r="BE163">
        <v>-0.63700000000000001</v>
      </c>
      <c r="BF163">
        <v>1</v>
      </c>
      <c r="BG163">
        <v>0.58099999999999996</v>
      </c>
      <c r="BH163">
        <v>-0.113</v>
      </c>
      <c r="BI163">
        <v>4.9000000000000002E-2</v>
      </c>
      <c r="BJ163">
        <v>-0.104</v>
      </c>
      <c r="BK163">
        <v>-0.191</v>
      </c>
    </row>
    <row r="164" spans="1:63" x14ac:dyDescent="0.3">
      <c r="A164" t="s">
        <v>231</v>
      </c>
      <c r="B164">
        <v>0</v>
      </c>
      <c r="C164">
        <v>0</v>
      </c>
      <c r="K164" t="s">
        <v>156</v>
      </c>
      <c r="L164">
        <v>0.55700000000000005</v>
      </c>
      <c r="M164">
        <v>0.59099999999999997</v>
      </c>
      <c r="N164" t="s">
        <v>55</v>
      </c>
      <c r="O164">
        <v>0</v>
      </c>
      <c r="P164">
        <v>-5.0000000000000001E-3</v>
      </c>
      <c r="Q164">
        <v>5.0000000000000001E-3</v>
      </c>
      <c r="R164">
        <v>-0.76500000000000001</v>
      </c>
      <c r="S164">
        <v>-0.73299999999999998</v>
      </c>
      <c r="T164">
        <v>-0.80900000000000005</v>
      </c>
      <c r="U164">
        <v>-0.745</v>
      </c>
      <c r="V164">
        <v>-0.75600000000000001</v>
      </c>
      <c r="W164">
        <v>-0.70799999999999996</v>
      </c>
      <c r="X164">
        <v>-0.60299999999999998</v>
      </c>
      <c r="Y164">
        <v>-0.74099999999999999</v>
      </c>
      <c r="Z164">
        <v>-0.19700000000000001</v>
      </c>
      <c r="AA164">
        <v>-0.19600000000000001</v>
      </c>
      <c r="AB164">
        <v>0.42099999999999999</v>
      </c>
      <c r="AC164">
        <v>0.64700000000000002</v>
      </c>
      <c r="AD164">
        <v>0.27400000000000002</v>
      </c>
      <c r="AE164">
        <v>-0.81299999999999994</v>
      </c>
      <c r="AF164">
        <v>0.105</v>
      </c>
      <c r="AG164">
        <v>9.0999999999999998E-2</v>
      </c>
      <c r="AH164">
        <v>-0.23400000000000001</v>
      </c>
      <c r="AI164">
        <v>-0.40699999999999997</v>
      </c>
      <c r="AJ164">
        <v>-0.84699999999999998</v>
      </c>
      <c r="AK164">
        <v>-5.0000000000000001E-3</v>
      </c>
      <c r="AL164">
        <v>-0.28299999999999997</v>
      </c>
      <c r="AM164">
        <v>6.0000000000000001E-3</v>
      </c>
      <c r="AN164">
        <v>0.58599999999999997</v>
      </c>
      <c r="AO164">
        <v>-0.438</v>
      </c>
      <c r="AP164">
        <v>-0.24</v>
      </c>
      <c r="AQ164">
        <v>0.25700000000000001</v>
      </c>
      <c r="AR164">
        <v>-0.24299999999999999</v>
      </c>
      <c r="AS164">
        <v>-0.68300000000000005</v>
      </c>
      <c r="AT164">
        <v>-6.4000000000000001E-2</v>
      </c>
      <c r="AU164">
        <v>0.14699999999999999</v>
      </c>
      <c r="AV164">
        <v>-0.54500000000000004</v>
      </c>
      <c r="AW164">
        <v>-0.35</v>
      </c>
      <c r="AX164">
        <v>-0.97299999999999998</v>
      </c>
      <c r="AY164">
        <v>0.84599999999999997</v>
      </c>
      <c r="AZ164">
        <v>0.39</v>
      </c>
      <c r="BA164">
        <v>0.56100000000000005</v>
      </c>
      <c r="BB164">
        <v>-0.55100000000000005</v>
      </c>
      <c r="BC164">
        <v>-0.79600000000000004</v>
      </c>
      <c r="BD164">
        <v>0.255</v>
      </c>
      <c r="BE164">
        <v>0.58599999999999997</v>
      </c>
      <c r="BF164">
        <v>-1</v>
      </c>
      <c r="BG164">
        <v>-0.105</v>
      </c>
      <c r="BH164">
        <v>-0.218</v>
      </c>
      <c r="BI164">
        <v>0.90100000000000002</v>
      </c>
      <c r="BJ164">
        <v>-0.27900000000000003</v>
      </c>
      <c r="BK164">
        <v>0.13100000000000001</v>
      </c>
    </row>
    <row r="165" spans="1:63" x14ac:dyDescent="0.3">
      <c r="A165" t="s">
        <v>216</v>
      </c>
      <c r="B165">
        <v>0</v>
      </c>
      <c r="C165">
        <v>1.8320873108107E-2</v>
      </c>
      <c r="K165" t="s">
        <v>227</v>
      </c>
      <c r="L165">
        <v>0.55700000000000005</v>
      </c>
      <c r="M165">
        <v>0.48299999999999998</v>
      </c>
      <c r="N165" t="s">
        <v>71</v>
      </c>
      <c r="O165">
        <v>0</v>
      </c>
      <c r="P165">
        <v>0</v>
      </c>
      <c r="Q165">
        <v>0</v>
      </c>
      <c r="R165">
        <v>-0.93400000000000005</v>
      </c>
      <c r="S165">
        <v>-0.91100000000000003</v>
      </c>
      <c r="T165">
        <v>-0.98599999999999999</v>
      </c>
      <c r="U165">
        <v>-0.88400000000000001</v>
      </c>
      <c r="V165">
        <v>-0.93899999999999995</v>
      </c>
      <c r="W165">
        <v>-0.73299999999999998</v>
      </c>
      <c r="X165">
        <v>-0.66600000000000004</v>
      </c>
      <c r="Y165">
        <v>-0.78900000000000003</v>
      </c>
      <c r="Z165">
        <v>0.28799999999999998</v>
      </c>
      <c r="AA165">
        <v>0.29099999999999998</v>
      </c>
      <c r="AB165">
        <v>0.32</v>
      </c>
      <c r="AC165">
        <v>0.49199999999999999</v>
      </c>
      <c r="AD165">
        <v>0.47</v>
      </c>
      <c r="AE165">
        <v>-1</v>
      </c>
      <c r="AF165">
        <v>-0.82899999999999996</v>
      </c>
      <c r="AG165">
        <v>-0.33200000000000002</v>
      </c>
      <c r="AH165">
        <v>-0.97699999999999998</v>
      </c>
      <c r="AI165">
        <v>-0.86199999999999999</v>
      </c>
      <c r="AJ165">
        <v>-0.95799999999999996</v>
      </c>
      <c r="AK165">
        <v>-0.104</v>
      </c>
      <c r="AL165">
        <v>-0.51200000000000001</v>
      </c>
      <c r="AM165">
        <v>-0.57999999999999996</v>
      </c>
      <c r="AN165">
        <v>-0.16600000000000001</v>
      </c>
      <c r="AO165">
        <v>6.2E-2</v>
      </c>
      <c r="AP165">
        <v>-0.04</v>
      </c>
      <c r="AQ165">
        <v>-0.43099999999999999</v>
      </c>
      <c r="AR165">
        <v>-0.32200000000000001</v>
      </c>
      <c r="AS165">
        <v>-0.38300000000000001</v>
      </c>
      <c r="AT165">
        <v>0.48599999999999999</v>
      </c>
      <c r="AU165">
        <v>-0.63600000000000001</v>
      </c>
      <c r="AV165">
        <v>-0.88200000000000001</v>
      </c>
      <c r="AW165">
        <v>0.67700000000000005</v>
      </c>
      <c r="AX165">
        <v>-0.60399999999999998</v>
      </c>
      <c r="AY165">
        <v>0.56100000000000005</v>
      </c>
      <c r="AZ165">
        <v>4.0000000000000001E-3</v>
      </c>
      <c r="BA165">
        <v>0.14499999999999999</v>
      </c>
      <c r="BB165">
        <v>-0.158</v>
      </c>
      <c r="BC165">
        <v>-0.21099999999999999</v>
      </c>
      <c r="BD165">
        <v>0.17</v>
      </c>
      <c r="BE165">
        <v>0.67200000000000004</v>
      </c>
      <c r="BF165">
        <v>-0.10299999999999999</v>
      </c>
      <c r="BG165">
        <v>0.75900000000000001</v>
      </c>
      <c r="BH165">
        <v>-0.309</v>
      </c>
      <c r="BI165">
        <v>-0.43</v>
      </c>
      <c r="BJ165">
        <v>0.187</v>
      </c>
      <c r="BK165">
        <v>-0.86599999999999999</v>
      </c>
    </row>
    <row r="166" spans="1:63" x14ac:dyDescent="0.3">
      <c r="A166" t="s">
        <v>215</v>
      </c>
      <c r="B166">
        <v>0</v>
      </c>
      <c r="C166">
        <v>0</v>
      </c>
      <c r="K166" t="s">
        <v>194</v>
      </c>
      <c r="L166">
        <v>0.55500000000000005</v>
      </c>
      <c r="M166">
        <v>0.80600000000000005</v>
      </c>
      <c r="N166" t="s">
        <v>57</v>
      </c>
      <c r="O166">
        <v>0</v>
      </c>
      <c r="P166">
        <v>-1.2999999999999999E-2</v>
      </c>
      <c r="Q166">
        <v>1.2999999999999999E-2</v>
      </c>
      <c r="R166">
        <v>-0.83699999999999997</v>
      </c>
      <c r="S166">
        <v>-0.91</v>
      </c>
      <c r="T166">
        <v>-0.91</v>
      </c>
      <c r="U166">
        <v>-0.78500000000000003</v>
      </c>
      <c r="V166">
        <v>-0.88800000000000001</v>
      </c>
      <c r="W166">
        <v>-0.66800000000000004</v>
      </c>
      <c r="X166">
        <v>-0.46700000000000003</v>
      </c>
      <c r="Y166">
        <v>-0.77400000000000002</v>
      </c>
      <c r="Z166">
        <v>-0.122</v>
      </c>
      <c r="AA166">
        <v>-0.123</v>
      </c>
      <c r="AB166">
        <v>0.59599999999999997</v>
      </c>
      <c r="AC166">
        <v>0.56100000000000005</v>
      </c>
      <c r="AD166">
        <v>0.312</v>
      </c>
      <c r="AE166">
        <v>-0.55800000000000005</v>
      </c>
      <c r="AF166">
        <v>0.14000000000000001</v>
      </c>
      <c r="AG166">
        <v>-0.59199999999999997</v>
      </c>
      <c r="AH166">
        <v>-0.621</v>
      </c>
      <c r="AI166">
        <v>-0.76100000000000001</v>
      </c>
      <c r="AJ166">
        <v>-0.85099999999999998</v>
      </c>
      <c r="AK166">
        <v>-0.252</v>
      </c>
      <c r="AL166">
        <v>-7.0000000000000007E-2</v>
      </c>
      <c r="AM166">
        <v>-0.33100000000000002</v>
      </c>
      <c r="AN166">
        <v>0.184</v>
      </c>
      <c r="AO166">
        <v>-0.51700000000000002</v>
      </c>
      <c r="AP166">
        <v>-0.54800000000000004</v>
      </c>
      <c r="AQ166">
        <v>0.33600000000000002</v>
      </c>
      <c r="AR166">
        <v>9.4E-2</v>
      </c>
      <c r="AS166">
        <v>-0.441</v>
      </c>
      <c r="AT166">
        <v>-1.7000000000000001E-2</v>
      </c>
      <c r="AU166">
        <v>-0.188</v>
      </c>
      <c r="AV166">
        <v>-0.35799999999999998</v>
      </c>
      <c r="AW166">
        <v>-0.17599999999999999</v>
      </c>
      <c r="AX166">
        <v>-0.185</v>
      </c>
      <c r="AY166">
        <v>0.81399999999999995</v>
      </c>
      <c r="AZ166">
        <v>0.29499999999999998</v>
      </c>
      <c r="BA166">
        <v>0.436</v>
      </c>
      <c r="BB166">
        <v>-0.67800000000000005</v>
      </c>
      <c r="BC166">
        <v>-0.629</v>
      </c>
      <c r="BD166">
        <v>0.10299999999999999</v>
      </c>
      <c r="BE166">
        <v>0.51500000000000001</v>
      </c>
      <c r="BF166">
        <v>0.34399999999999997</v>
      </c>
      <c r="BG166">
        <v>0.64800000000000002</v>
      </c>
      <c r="BH166">
        <v>-0.50800000000000001</v>
      </c>
      <c r="BI166">
        <v>0.67700000000000005</v>
      </c>
      <c r="BJ166">
        <v>-0.78300000000000003</v>
      </c>
      <c r="BK166">
        <v>-0.379</v>
      </c>
    </row>
    <row r="167" spans="1:63" x14ac:dyDescent="0.3">
      <c r="A167" t="s">
        <v>126</v>
      </c>
      <c r="B167">
        <v>0</v>
      </c>
      <c r="C167">
        <v>0</v>
      </c>
      <c r="K167" t="s">
        <v>252</v>
      </c>
      <c r="L167">
        <v>0.55200000000000005</v>
      </c>
      <c r="M167">
        <v>0.59799999999999998</v>
      </c>
      <c r="N167" t="s">
        <v>53</v>
      </c>
      <c r="O167">
        <v>0</v>
      </c>
      <c r="P167">
        <v>-2.4E-2</v>
      </c>
      <c r="Q167">
        <v>2.4E-2</v>
      </c>
      <c r="R167">
        <v>-0.745</v>
      </c>
      <c r="S167">
        <v>-0.80700000000000005</v>
      </c>
      <c r="T167">
        <v>-0.90400000000000003</v>
      </c>
      <c r="U167">
        <v>-0.73399999999999999</v>
      </c>
      <c r="V167">
        <v>-0.86699999999999999</v>
      </c>
      <c r="W167">
        <v>-0.71399999999999997</v>
      </c>
      <c r="X167">
        <v>-0.67300000000000004</v>
      </c>
      <c r="Y167">
        <v>-0.86099999999999999</v>
      </c>
      <c r="Z167">
        <v>-0.17799999999999999</v>
      </c>
      <c r="AA167">
        <v>-0.17499999999999999</v>
      </c>
      <c r="AB167">
        <v>0.60899999999999999</v>
      </c>
      <c r="AC167">
        <v>0.66500000000000004</v>
      </c>
      <c r="AD167">
        <v>0.32400000000000001</v>
      </c>
      <c r="AE167">
        <v>-0.39400000000000002</v>
      </c>
      <c r="AF167">
        <v>-0.32600000000000001</v>
      </c>
      <c r="AG167">
        <v>-0.60299999999999998</v>
      </c>
      <c r="AH167">
        <v>-0.69399999999999995</v>
      </c>
      <c r="AI167">
        <v>-0.77400000000000002</v>
      </c>
      <c r="AJ167">
        <v>-0.9</v>
      </c>
      <c r="AK167">
        <v>0.39400000000000002</v>
      </c>
      <c r="AL167">
        <v>-0.86699999999999999</v>
      </c>
      <c r="AM167">
        <v>-0.65100000000000002</v>
      </c>
      <c r="AN167">
        <v>9.0999999999999998E-2</v>
      </c>
      <c r="AO167">
        <v>-0.26100000000000001</v>
      </c>
      <c r="AP167">
        <v>4.5999999999999999E-2</v>
      </c>
      <c r="AQ167">
        <v>-0.18099999999999999</v>
      </c>
      <c r="AR167">
        <v>0.872</v>
      </c>
      <c r="AS167">
        <v>0.17</v>
      </c>
      <c r="AT167">
        <v>0.47799999999999998</v>
      </c>
      <c r="AU167">
        <v>-0.6</v>
      </c>
      <c r="AV167">
        <v>-5.0999999999999997E-2</v>
      </c>
      <c r="AW167">
        <v>-9.1999999999999998E-2</v>
      </c>
      <c r="AX167">
        <v>-0.432</v>
      </c>
      <c r="AY167">
        <v>0.84499999999999997</v>
      </c>
      <c r="AZ167">
        <v>0.111</v>
      </c>
      <c r="BA167">
        <v>-4.0000000000000001E-3</v>
      </c>
      <c r="BB167">
        <v>-0.184</v>
      </c>
      <c r="BC167">
        <v>7.4999999999999997E-2</v>
      </c>
      <c r="BD167">
        <v>0.251</v>
      </c>
      <c r="BE167">
        <v>0.114</v>
      </c>
      <c r="BF167">
        <v>1</v>
      </c>
      <c r="BG167">
        <v>0.45200000000000001</v>
      </c>
      <c r="BH167">
        <v>0.121</v>
      </c>
      <c r="BI167">
        <v>0.33400000000000002</v>
      </c>
      <c r="BJ167">
        <v>-0.51800000000000002</v>
      </c>
      <c r="BK167">
        <v>-0.126</v>
      </c>
    </row>
    <row r="168" spans="1:63" x14ac:dyDescent="0.3">
      <c r="A168" t="s">
        <v>54</v>
      </c>
      <c r="B168">
        <v>0</v>
      </c>
      <c r="C168">
        <v>0</v>
      </c>
      <c r="K168" t="s">
        <v>128</v>
      </c>
      <c r="L168">
        <v>0.55000000000000004</v>
      </c>
      <c r="M168">
        <v>0.44</v>
      </c>
      <c r="N168" t="s">
        <v>68</v>
      </c>
      <c r="O168">
        <v>0</v>
      </c>
      <c r="P168">
        <v>0</v>
      </c>
      <c r="Q168">
        <v>0</v>
      </c>
      <c r="R168">
        <v>-0.83099999999999996</v>
      </c>
      <c r="S168">
        <v>-0.66100000000000003</v>
      </c>
      <c r="T168">
        <v>-0.56899999999999995</v>
      </c>
      <c r="U168">
        <v>-0.91300000000000003</v>
      </c>
      <c r="V168">
        <v>-0.80500000000000005</v>
      </c>
      <c r="W168">
        <v>-0.84</v>
      </c>
      <c r="X168">
        <v>-0.751</v>
      </c>
      <c r="Y168">
        <v>-0.89400000000000002</v>
      </c>
      <c r="Z168">
        <v>-7.8E-2</v>
      </c>
      <c r="AA168">
        <v>-7.6999999999999999E-2</v>
      </c>
      <c r="AB168">
        <v>0.253</v>
      </c>
      <c r="AC168">
        <v>0.43</v>
      </c>
      <c r="AD168">
        <v>0.48899999999999999</v>
      </c>
      <c r="AE168">
        <v>-0.879</v>
      </c>
      <c r="AF168">
        <v>-1</v>
      </c>
      <c r="AG168">
        <v>-0.52500000000000002</v>
      </c>
      <c r="AH168">
        <v>-2.7E-2</v>
      </c>
      <c r="AI168">
        <v>0.185</v>
      </c>
      <c r="AJ168">
        <v>-0.22800000000000001</v>
      </c>
      <c r="AK168">
        <v>-0.41499999999999998</v>
      </c>
      <c r="AL168">
        <v>-0.69</v>
      </c>
      <c r="AM168">
        <v>0.108</v>
      </c>
      <c r="AN168">
        <v>-0.49</v>
      </c>
      <c r="AO168">
        <v>-0.20799999999999999</v>
      </c>
      <c r="AP168">
        <v>3.2000000000000001E-2</v>
      </c>
      <c r="AQ168">
        <v>-0.63100000000000001</v>
      </c>
      <c r="AR168">
        <v>-0.68799999999999994</v>
      </c>
      <c r="AS168">
        <v>-5.3999999999999999E-2</v>
      </c>
      <c r="AT168">
        <v>-0.28599999999999998</v>
      </c>
      <c r="AU168">
        <v>-0.45900000000000002</v>
      </c>
      <c r="AV168">
        <v>-0.67500000000000004</v>
      </c>
      <c r="AW168">
        <v>0.37</v>
      </c>
      <c r="AX168">
        <v>-0.312</v>
      </c>
      <c r="AY168">
        <v>0.60199999999999998</v>
      </c>
      <c r="AZ168">
        <v>-1</v>
      </c>
      <c r="BA168">
        <v>0.45200000000000001</v>
      </c>
      <c r="BB168">
        <v>6.7000000000000004E-2</v>
      </c>
      <c r="BC168">
        <v>-7.2999999999999995E-2</v>
      </c>
      <c r="BD168">
        <v>-4.9000000000000002E-2</v>
      </c>
      <c r="BE168">
        <v>-0.19500000000000001</v>
      </c>
      <c r="BF168">
        <v>0.66900000000000004</v>
      </c>
      <c r="BG168">
        <v>0.84499999999999997</v>
      </c>
      <c r="BH168">
        <v>0.60799999999999998</v>
      </c>
      <c r="BI168">
        <v>-6.2E-2</v>
      </c>
      <c r="BJ168">
        <v>0.79600000000000004</v>
      </c>
      <c r="BK168">
        <v>0.73199999999999998</v>
      </c>
    </row>
    <row r="169" spans="1:63" x14ac:dyDescent="0.3">
      <c r="A169" t="s">
        <v>190</v>
      </c>
      <c r="B169">
        <v>0</v>
      </c>
      <c r="C169">
        <v>0</v>
      </c>
      <c r="K169" t="s">
        <v>247</v>
      </c>
      <c r="L169">
        <v>0.54800000000000004</v>
      </c>
      <c r="M169">
        <v>0.40699999999999997</v>
      </c>
      <c r="N169" t="s">
        <v>57</v>
      </c>
      <c r="O169">
        <v>0</v>
      </c>
      <c r="P169">
        <v>0</v>
      </c>
      <c r="Q169">
        <v>0</v>
      </c>
      <c r="R169">
        <v>-0.71</v>
      </c>
      <c r="S169">
        <v>-0.87</v>
      </c>
      <c r="T169">
        <v>-0.68500000000000005</v>
      </c>
      <c r="U169">
        <v>-0.79700000000000004</v>
      </c>
      <c r="V169">
        <v>-0.86199999999999999</v>
      </c>
      <c r="W169">
        <v>-0.68100000000000005</v>
      </c>
      <c r="X169">
        <v>-0.43</v>
      </c>
      <c r="Y169">
        <v>-0.91800000000000004</v>
      </c>
      <c r="Z169">
        <v>0.122</v>
      </c>
      <c r="AA169">
        <v>0.11899999999999999</v>
      </c>
      <c r="AB169">
        <v>-4.2000000000000003E-2</v>
      </c>
      <c r="AC169">
        <v>0.32400000000000001</v>
      </c>
      <c r="AD169">
        <v>0.22600000000000001</v>
      </c>
      <c r="AE169">
        <v>-0.96899999999999997</v>
      </c>
      <c r="AF169">
        <v>0.52900000000000003</v>
      </c>
      <c r="AG169">
        <v>-0.98799999999999999</v>
      </c>
      <c r="AH169">
        <v>-0.81200000000000006</v>
      </c>
      <c r="AI169">
        <v>-1</v>
      </c>
      <c r="AJ169">
        <v>-0.29599999999999999</v>
      </c>
      <c r="AK169">
        <v>-0.41499999999999998</v>
      </c>
      <c r="AL169">
        <v>-0.65700000000000003</v>
      </c>
      <c r="AM169">
        <v>-0.20399999999999999</v>
      </c>
      <c r="AN169">
        <v>0.33400000000000002</v>
      </c>
      <c r="AO169">
        <v>-0.873</v>
      </c>
      <c r="AP169">
        <v>-0.92200000000000004</v>
      </c>
      <c r="AQ169">
        <v>0.32800000000000001</v>
      </c>
      <c r="AR169">
        <v>0.99299999999999999</v>
      </c>
      <c r="AS169">
        <v>-0.123</v>
      </c>
      <c r="AT169">
        <v>0.17599999999999999</v>
      </c>
      <c r="AU169">
        <v>0.77300000000000002</v>
      </c>
      <c r="AV169">
        <v>-0.40699999999999997</v>
      </c>
      <c r="AW169">
        <v>-0.218</v>
      </c>
      <c r="AX169">
        <v>2.7E-2</v>
      </c>
      <c r="AY169">
        <v>-0.13800000000000001</v>
      </c>
      <c r="AZ169">
        <v>0.375</v>
      </c>
      <c r="BA169">
        <v>0.67300000000000004</v>
      </c>
      <c r="BB169">
        <v>-0.15</v>
      </c>
      <c r="BC169">
        <v>-0.28999999999999998</v>
      </c>
      <c r="BD169">
        <v>-0.11899999999999999</v>
      </c>
      <c r="BE169">
        <v>1</v>
      </c>
      <c r="BF169">
        <v>1</v>
      </c>
      <c r="BG169">
        <v>0.17100000000000001</v>
      </c>
      <c r="BH169">
        <v>-0.33700000000000002</v>
      </c>
      <c r="BI169">
        <v>0.20300000000000001</v>
      </c>
      <c r="BJ169">
        <v>0.53200000000000003</v>
      </c>
      <c r="BK169">
        <v>-0.109</v>
      </c>
    </row>
    <row r="170" spans="1:63" x14ac:dyDescent="0.3">
      <c r="A170" t="s">
        <v>277</v>
      </c>
      <c r="B170">
        <v>0</v>
      </c>
      <c r="C170">
        <v>0</v>
      </c>
      <c r="K170" t="s">
        <v>176</v>
      </c>
      <c r="L170">
        <v>0.54500000000000004</v>
      </c>
      <c r="M170">
        <v>0.41699999999999998</v>
      </c>
      <c r="N170" t="s">
        <v>57</v>
      </c>
      <c r="O170">
        <v>0</v>
      </c>
      <c r="P170">
        <v>-5.0000000000000001E-3</v>
      </c>
      <c r="Q170">
        <v>5.0000000000000001E-3</v>
      </c>
      <c r="R170">
        <v>-0.54600000000000004</v>
      </c>
      <c r="S170">
        <v>-0.83699999999999997</v>
      </c>
      <c r="T170">
        <v>-0.439</v>
      </c>
      <c r="U170">
        <v>-0.34899999999999998</v>
      </c>
      <c r="V170">
        <v>-0.60399999999999998</v>
      </c>
      <c r="W170">
        <v>-0.70799999999999996</v>
      </c>
      <c r="X170">
        <v>-0.73499999999999999</v>
      </c>
      <c r="Y170">
        <v>-0.84199999999999997</v>
      </c>
      <c r="Z170">
        <v>-0.316</v>
      </c>
      <c r="AA170">
        <v>-0.313</v>
      </c>
      <c r="AB170">
        <v>0.32500000000000001</v>
      </c>
      <c r="AC170">
        <v>-0.104</v>
      </c>
      <c r="AD170">
        <v>7.9000000000000001E-2</v>
      </c>
      <c r="AE170">
        <v>0.73599999999999999</v>
      </c>
      <c r="AF170">
        <v>0.17399999999999999</v>
      </c>
      <c r="AG170">
        <v>-0.66400000000000003</v>
      </c>
      <c r="AH170">
        <v>-0.24</v>
      </c>
      <c r="AI170">
        <v>-0.53800000000000003</v>
      </c>
      <c r="AJ170">
        <v>0.63800000000000001</v>
      </c>
      <c r="AK170">
        <v>0.39100000000000001</v>
      </c>
      <c r="AL170">
        <v>-0.72199999999999998</v>
      </c>
      <c r="AM170">
        <v>-0.25600000000000001</v>
      </c>
      <c r="AN170">
        <v>0.19600000000000001</v>
      </c>
      <c r="AO170">
        <v>-0.82</v>
      </c>
      <c r="AP170">
        <v>4.4999999999999998E-2</v>
      </c>
      <c r="AQ170">
        <v>0.60399999999999998</v>
      </c>
      <c r="AR170">
        <v>-0.309</v>
      </c>
      <c r="AS170">
        <v>-0.45100000000000001</v>
      </c>
      <c r="AT170">
        <v>0.29099999999999998</v>
      </c>
      <c r="AU170">
        <v>-0.19500000000000001</v>
      </c>
      <c r="AV170">
        <v>0.80100000000000005</v>
      </c>
      <c r="AW170">
        <v>-0.59799999999999998</v>
      </c>
      <c r="AX170">
        <v>8.8999999999999996E-2</v>
      </c>
      <c r="AY170">
        <v>0.66200000000000003</v>
      </c>
      <c r="AZ170">
        <v>8.4000000000000005E-2</v>
      </c>
      <c r="BA170">
        <v>-0.23699999999999999</v>
      </c>
      <c r="BB170">
        <v>-0.14599999999999999</v>
      </c>
      <c r="BC170">
        <v>-0.215</v>
      </c>
      <c r="BD170">
        <v>0.42899999999999999</v>
      </c>
      <c r="BE170">
        <v>0.151</v>
      </c>
      <c r="BF170">
        <v>-0.187</v>
      </c>
      <c r="BG170">
        <v>-0.215</v>
      </c>
      <c r="BH170">
        <v>-0.56999999999999995</v>
      </c>
      <c r="BI170">
        <v>0.34599999999999997</v>
      </c>
      <c r="BJ170">
        <v>-0.84799999999999998</v>
      </c>
      <c r="BK170">
        <v>0.39800000000000002</v>
      </c>
    </row>
    <row r="171" spans="1:63" x14ac:dyDescent="0.3">
      <c r="A171" t="s">
        <v>267</v>
      </c>
      <c r="B171">
        <v>0</v>
      </c>
      <c r="C171">
        <v>0</v>
      </c>
      <c r="K171" t="s">
        <v>178</v>
      </c>
      <c r="L171">
        <v>0.54400000000000004</v>
      </c>
      <c r="M171">
        <v>0.66200000000000003</v>
      </c>
      <c r="N171" t="s">
        <v>53</v>
      </c>
      <c r="O171">
        <v>0</v>
      </c>
      <c r="P171">
        <v>-2.5999999999999999E-2</v>
      </c>
      <c r="Q171">
        <v>2.5999999999999999E-2</v>
      </c>
      <c r="R171">
        <v>-0.85299999999999998</v>
      </c>
      <c r="S171">
        <v>-0.92600000000000005</v>
      </c>
      <c r="T171">
        <v>-0.94799999999999995</v>
      </c>
      <c r="U171">
        <v>-0.81499999999999995</v>
      </c>
      <c r="V171">
        <v>-0.93300000000000005</v>
      </c>
      <c r="W171">
        <v>-0.71499999999999997</v>
      </c>
      <c r="X171">
        <v>-0.53500000000000003</v>
      </c>
      <c r="Y171">
        <v>-0.84399999999999997</v>
      </c>
      <c r="Z171">
        <v>-8.4000000000000005E-2</v>
      </c>
      <c r="AA171">
        <v>-8.3000000000000004E-2</v>
      </c>
      <c r="AB171">
        <v>0.53</v>
      </c>
      <c r="AC171">
        <v>0.54100000000000004</v>
      </c>
      <c r="AD171">
        <v>0.252</v>
      </c>
      <c r="AE171">
        <v>-0.443</v>
      </c>
      <c r="AF171">
        <v>-0.88200000000000001</v>
      </c>
      <c r="AG171">
        <v>-0.84299999999999997</v>
      </c>
      <c r="AH171">
        <v>-0.97599999999999998</v>
      </c>
      <c r="AI171">
        <v>-0.83799999999999997</v>
      </c>
      <c r="AJ171">
        <v>-0.70899999999999996</v>
      </c>
      <c r="AK171">
        <v>-0.32400000000000001</v>
      </c>
      <c r="AL171">
        <v>-0.76</v>
      </c>
      <c r="AM171">
        <v>-0.91</v>
      </c>
      <c r="AN171">
        <v>0.40400000000000003</v>
      </c>
      <c r="AO171">
        <v>-0.219</v>
      </c>
      <c r="AP171">
        <v>-0.61199999999999999</v>
      </c>
      <c r="AQ171">
        <v>-4.9000000000000002E-2</v>
      </c>
      <c r="AR171">
        <v>0.159</v>
      </c>
      <c r="AS171">
        <v>-0.66400000000000003</v>
      </c>
      <c r="AT171">
        <v>0.52100000000000002</v>
      </c>
      <c r="AU171">
        <v>-0.42499999999999999</v>
      </c>
      <c r="AV171">
        <v>0.36699999999999999</v>
      </c>
      <c r="AW171">
        <v>0.31</v>
      </c>
      <c r="AX171">
        <v>-9.7000000000000003E-2</v>
      </c>
      <c r="AY171">
        <v>0.94699999999999995</v>
      </c>
      <c r="AZ171">
        <v>0.51</v>
      </c>
      <c r="BA171">
        <v>0.36799999999999999</v>
      </c>
      <c r="BB171">
        <v>-0.26600000000000001</v>
      </c>
      <c r="BC171">
        <v>-0.127</v>
      </c>
      <c r="BD171">
        <v>0.38600000000000001</v>
      </c>
      <c r="BE171">
        <v>0.30299999999999999</v>
      </c>
      <c r="BF171">
        <v>-0.12</v>
      </c>
      <c r="BG171">
        <v>0.64200000000000002</v>
      </c>
      <c r="BH171">
        <v>-5.2999999999999999E-2</v>
      </c>
      <c r="BI171">
        <v>-0.28399999999999997</v>
      </c>
      <c r="BJ171">
        <v>-0.254</v>
      </c>
      <c r="BK171">
        <v>-0.67700000000000005</v>
      </c>
    </row>
    <row r="172" spans="1:63" x14ac:dyDescent="0.3">
      <c r="A172" t="s">
        <v>234</v>
      </c>
      <c r="B172">
        <v>0</v>
      </c>
      <c r="C172">
        <v>0</v>
      </c>
      <c r="K172" t="s">
        <v>197</v>
      </c>
      <c r="L172">
        <v>0.54300000000000004</v>
      </c>
      <c r="M172">
        <v>0.60599999999999998</v>
      </c>
      <c r="N172" t="s">
        <v>53</v>
      </c>
      <c r="O172">
        <v>0</v>
      </c>
      <c r="P172">
        <v>0</v>
      </c>
      <c r="Q172">
        <v>0</v>
      </c>
      <c r="R172">
        <v>-0.82799999999999996</v>
      </c>
      <c r="S172">
        <v>-0.94399999999999995</v>
      </c>
      <c r="T172">
        <v>-0.92600000000000005</v>
      </c>
      <c r="U172">
        <v>-0.78200000000000003</v>
      </c>
      <c r="V172">
        <v>-0.92100000000000004</v>
      </c>
      <c r="W172">
        <v>-0.67300000000000004</v>
      </c>
      <c r="X172">
        <v>-0.51100000000000001</v>
      </c>
      <c r="Y172">
        <v>-0.78600000000000003</v>
      </c>
      <c r="Z172">
        <v>-0.32100000000000001</v>
      </c>
      <c r="AA172">
        <v>-0.32100000000000001</v>
      </c>
      <c r="AB172">
        <v>0.58899999999999997</v>
      </c>
      <c r="AC172">
        <v>0.50900000000000001</v>
      </c>
      <c r="AD172">
        <v>0.23499999999999999</v>
      </c>
      <c r="AE172">
        <v>-0.501</v>
      </c>
      <c r="AF172">
        <v>-0.01</v>
      </c>
      <c r="AG172">
        <v>-0.97699999999999998</v>
      </c>
      <c r="AH172">
        <v>-0.94699999999999995</v>
      </c>
      <c r="AI172">
        <v>-1</v>
      </c>
      <c r="AJ172">
        <v>-0.97299999999999998</v>
      </c>
      <c r="AK172">
        <v>-0.5</v>
      </c>
      <c r="AL172">
        <v>-0.11799999999999999</v>
      </c>
      <c r="AM172">
        <v>-0.85399999999999998</v>
      </c>
      <c r="AN172">
        <v>0.316</v>
      </c>
      <c r="AO172">
        <v>-0.45</v>
      </c>
      <c r="AP172">
        <v>-0.218</v>
      </c>
      <c r="AQ172">
        <v>0.41499999999999998</v>
      </c>
      <c r="AR172">
        <v>0.27200000000000002</v>
      </c>
      <c r="AS172">
        <v>-0.34799999999999998</v>
      </c>
      <c r="AT172">
        <v>-1.2999999999999999E-2</v>
      </c>
      <c r="AU172">
        <v>-0.34300000000000003</v>
      </c>
      <c r="AV172">
        <v>-0.115</v>
      </c>
      <c r="AW172">
        <v>0.214</v>
      </c>
      <c r="AX172">
        <v>0.20499999999999999</v>
      </c>
      <c r="AY172">
        <v>0.83899999999999997</v>
      </c>
      <c r="AZ172">
        <v>0.25600000000000001</v>
      </c>
      <c r="BA172">
        <v>0.65600000000000003</v>
      </c>
      <c r="BB172">
        <v>2.3E-2</v>
      </c>
      <c r="BC172">
        <v>-0.247</v>
      </c>
      <c r="BD172">
        <v>0.22</v>
      </c>
      <c r="BE172">
        <v>0.222</v>
      </c>
      <c r="BF172">
        <v>0.437</v>
      </c>
      <c r="BG172">
        <v>0.32800000000000001</v>
      </c>
      <c r="BH172">
        <v>-0.217</v>
      </c>
      <c r="BI172">
        <v>-0.20399999999999999</v>
      </c>
      <c r="BJ172">
        <v>-0.14399999999999999</v>
      </c>
      <c r="BK172">
        <v>-0.874</v>
      </c>
    </row>
    <row r="173" spans="1:63" x14ac:dyDescent="0.3">
      <c r="A173" t="s">
        <v>85</v>
      </c>
      <c r="B173">
        <v>0</v>
      </c>
      <c r="C173">
        <v>0</v>
      </c>
      <c r="K173" t="s">
        <v>169</v>
      </c>
      <c r="L173">
        <v>0.54</v>
      </c>
      <c r="M173">
        <v>0.54400000000000004</v>
      </c>
      <c r="N173" t="s">
        <v>57</v>
      </c>
      <c r="O173">
        <v>0</v>
      </c>
      <c r="P173">
        <v>0</v>
      </c>
      <c r="Q173">
        <v>0</v>
      </c>
      <c r="R173">
        <v>-0.77500000000000002</v>
      </c>
      <c r="S173">
        <v>-0.91300000000000003</v>
      </c>
      <c r="T173">
        <v>-0.747</v>
      </c>
      <c r="U173">
        <v>-0.82699999999999996</v>
      </c>
      <c r="V173">
        <v>-0.89300000000000002</v>
      </c>
      <c r="W173">
        <v>-0.70599999999999996</v>
      </c>
      <c r="X173">
        <v>-0.60399999999999998</v>
      </c>
      <c r="Y173">
        <v>-0.88800000000000001</v>
      </c>
      <c r="Z173">
        <v>8.0000000000000002E-3</v>
      </c>
      <c r="AA173">
        <v>6.0000000000000001E-3</v>
      </c>
      <c r="AB173">
        <v>0.435</v>
      </c>
      <c r="AC173">
        <v>0.36499999999999999</v>
      </c>
      <c r="AD173">
        <v>0.14499999999999999</v>
      </c>
      <c r="AE173">
        <v>-0.94099999999999995</v>
      </c>
      <c r="AF173">
        <v>0.26700000000000002</v>
      </c>
      <c r="AG173">
        <v>-0.85</v>
      </c>
      <c r="AH173">
        <v>-0.746</v>
      </c>
      <c r="AI173">
        <v>-0.94299999999999995</v>
      </c>
      <c r="AJ173">
        <v>-0.46100000000000002</v>
      </c>
      <c r="AK173">
        <v>-0.252</v>
      </c>
      <c r="AL173">
        <v>-0.56499999999999995</v>
      </c>
      <c r="AM173">
        <v>-0.33100000000000002</v>
      </c>
      <c r="AN173">
        <v>0.38</v>
      </c>
      <c r="AO173">
        <v>-0.60199999999999998</v>
      </c>
      <c r="AP173">
        <v>-0.621</v>
      </c>
      <c r="AQ173">
        <v>0.375</v>
      </c>
      <c r="AR173">
        <v>0.29499999999999998</v>
      </c>
      <c r="AS173">
        <v>-0.19</v>
      </c>
      <c r="AT173">
        <v>-3.5000000000000003E-2</v>
      </c>
      <c r="AU173">
        <v>-0.188</v>
      </c>
      <c r="AV173">
        <v>-0.57299999999999995</v>
      </c>
      <c r="AW173">
        <v>0.06</v>
      </c>
      <c r="AX173">
        <v>-0.185</v>
      </c>
      <c r="AY173">
        <v>0.63900000000000001</v>
      </c>
      <c r="AZ173">
        <v>0.64800000000000002</v>
      </c>
      <c r="BA173">
        <v>0.32600000000000001</v>
      </c>
      <c r="BB173">
        <v>-0.26200000000000001</v>
      </c>
      <c r="BC173">
        <v>-0.54300000000000004</v>
      </c>
      <c r="BD173">
        <v>-1.7000000000000001E-2</v>
      </c>
      <c r="BE173">
        <v>0.42</v>
      </c>
      <c r="BF173">
        <v>0.33100000000000002</v>
      </c>
      <c r="BG173">
        <v>0.438</v>
      </c>
      <c r="BH173">
        <v>-0.501</v>
      </c>
      <c r="BI173">
        <v>0.82699999999999996</v>
      </c>
      <c r="BJ173">
        <v>0.54800000000000004</v>
      </c>
      <c r="BK173">
        <v>-0.379</v>
      </c>
    </row>
    <row r="174" spans="1:63" x14ac:dyDescent="0.3">
      <c r="A174" t="s">
        <v>228</v>
      </c>
      <c r="B174">
        <v>0</v>
      </c>
      <c r="C174">
        <v>0</v>
      </c>
      <c r="K174" t="s">
        <v>238</v>
      </c>
      <c r="L174">
        <v>0.54</v>
      </c>
      <c r="M174">
        <v>0.46400000000000002</v>
      </c>
      <c r="N174" t="s">
        <v>68</v>
      </c>
      <c r="O174">
        <v>0</v>
      </c>
      <c r="P174">
        <v>0</v>
      </c>
      <c r="Q174">
        <v>0</v>
      </c>
      <c r="R174">
        <v>-0.77500000000000002</v>
      </c>
      <c r="S174">
        <v>-0.56999999999999995</v>
      </c>
      <c r="T174">
        <v>-0.68100000000000005</v>
      </c>
      <c r="U174">
        <v>-0.872</v>
      </c>
      <c r="V174">
        <v>-0.78700000000000003</v>
      </c>
      <c r="W174">
        <v>-0.82399999999999995</v>
      </c>
      <c r="X174">
        <v>-0.81899999999999995</v>
      </c>
      <c r="Y174">
        <v>-0.81399999999999995</v>
      </c>
      <c r="Z174">
        <v>-0.36499999999999999</v>
      </c>
      <c r="AA174">
        <v>-0.36299999999999999</v>
      </c>
      <c r="AB174">
        <v>-8.2000000000000003E-2</v>
      </c>
      <c r="AC174">
        <v>0.504</v>
      </c>
      <c r="AD174">
        <v>0.35299999999999998</v>
      </c>
      <c r="AE174">
        <v>-0.90200000000000002</v>
      </c>
      <c r="AF174">
        <v>-0.748</v>
      </c>
      <c r="AG174">
        <v>0.09</v>
      </c>
      <c r="AH174">
        <v>4.5999999999999999E-2</v>
      </c>
      <c r="AI174">
        <v>0.55100000000000005</v>
      </c>
      <c r="AJ174">
        <v>-0.71699999999999997</v>
      </c>
      <c r="AK174">
        <v>8.5999999999999993E-2</v>
      </c>
      <c r="AL174">
        <v>-0.61899999999999999</v>
      </c>
      <c r="AM174">
        <v>-0.112</v>
      </c>
      <c r="AN174">
        <v>-0.50900000000000001</v>
      </c>
      <c r="AO174">
        <v>-0.14599999999999999</v>
      </c>
      <c r="AP174">
        <v>0.873</v>
      </c>
      <c r="AQ174">
        <v>-0.63200000000000001</v>
      </c>
      <c r="AR174">
        <v>-1</v>
      </c>
      <c r="AS174">
        <v>-0.81899999999999995</v>
      </c>
      <c r="AT174">
        <v>-0.29299999999999998</v>
      </c>
      <c r="AU174">
        <v>-0.71799999999999997</v>
      </c>
      <c r="AV174">
        <v>-0.77600000000000002</v>
      </c>
      <c r="AW174">
        <v>0.32700000000000001</v>
      </c>
      <c r="AX174">
        <v>-0.27</v>
      </c>
      <c r="AY174">
        <v>0.40100000000000002</v>
      </c>
      <c r="AZ174">
        <v>-5.0000000000000001E-3</v>
      </c>
      <c r="BA174">
        <v>4.0000000000000001E-3</v>
      </c>
      <c r="BB174">
        <v>0.71399999999999997</v>
      </c>
      <c r="BC174">
        <v>0.433</v>
      </c>
      <c r="BD174">
        <v>0.23499999999999999</v>
      </c>
      <c r="BE174">
        <v>8.9999999999999993E-3</v>
      </c>
      <c r="BF174">
        <v>0.11</v>
      </c>
      <c r="BG174">
        <v>0.35899999999999999</v>
      </c>
      <c r="BH174">
        <v>0.17699999999999999</v>
      </c>
      <c r="BI174">
        <v>0.71699999999999997</v>
      </c>
      <c r="BJ174">
        <v>-3.0000000000000001E-3</v>
      </c>
      <c r="BK174">
        <v>0.378</v>
      </c>
    </row>
    <row r="175" spans="1:63" x14ac:dyDescent="0.3">
      <c r="A175" t="s">
        <v>255</v>
      </c>
      <c r="B175">
        <v>0</v>
      </c>
      <c r="C175">
        <v>0</v>
      </c>
      <c r="K175" t="s">
        <v>170</v>
      </c>
      <c r="L175">
        <v>0.53600000000000003</v>
      </c>
      <c r="M175">
        <v>0.45300000000000001</v>
      </c>
      <c r="N175" t="s">
        <v>57</v>
      </c>
      <c r="O175">
        <v>0</v>
      </c>
      <c r="P175">
        <v>0</v>
      </c>
      <c r="Q175">
        <v>0</v>
      </c>
      <c r="R175">
        <v>-0.75</v>
      </c>
      <c r="S175">
        <v>-0.82699999999999996</v>
      </c>
      <c r="T175">
        <v>-0.75</v>
      </c>
      <c r="U175">
        <v>-0.78900000000000003</v>
      </c>
      <c r="V175">
        <v>-0.83399999999999996</v>
      </c>
      <c r="W175">
        <v>-0.81</v>
      </c>
      <c r="X175">
        <v>-0.80600000000000005</v>
      </c>
      <c r="Y175">
        <v>-0.879</v>
      </c>
      <c r="Z175">
        <v>-0.26800000000000002</v>
      </c>
      <c r="AA175">
        <v>-0.26800000000000002</v>
      </c>
      <c r="AB175">
        <v>0.45800000000000002</v>
      </c>
      <c r="AC175">
        <v>0.42199999999999999</v>
      </c>
      <c r="AD175">
        <v>0.20200000000000001</v>
      </c>
      <c r="AE175">
        <v>-0.6</v>
      </c>
      <c r="AF175">
        <v>-0.17299999999999999</v>
      </c>
      <c r="AG175">
        <v>-0.625</v>
      </c>
      <c r="AH175">
        <v>-0.33100000000000002</v>
      </c>
      <c r="AI175">
        <v>-0.21099999999999999</v>
      </c>
      <c r="AJ175">
        <v>-0.28000000000000003</v>
      </c>
      <c r="AK175">
        <v>-0.28399999999999997</v>
      </c>
      <c r="AL175">
        <v>-0.57199999999999995</v>
      </c>
      <c r="AM175">
        <v>-0.34399999999999997</v>
      </c>
      <c r="AN175">
        <v>0.193</v>
      </c>
      <c r="AO175">
        <v>-0.56699999999999995</v>
      </c>
      <c r="AP175">
        <v>0.115</v>
      </c>
      <c r="AQ175">
        <v>0.35399999999999998</v>
      </c>
      <c r="AR175">
        <v>0.27400000000000002</v>
      </c>
      <c r="AS175">
        <v>0.17499999999999999</v>
      </c>
      <c r="AT175">
        <v>0.14199999999999999</v>
      </c>
      <c r="AU175">
        <v>-0.45100000000000001</v>
      </c>
      <c r="AV175">
        <v>-0.183</v>
      </c>
      <c r="AW175">
        <v>-0.40799999999999997</v>
      </c>
      <c r="AX175">
        <v>-0.42499999999999999</v>
      </c>
      <c r="AY175">
        <v>0.65200000000000002</v>
      </c>
      <c r="AZ175">
        <v>0.23499999999999999</v>
      </c>
      <c r="BA175">
        <v>0.42299999999999999</v>
      </c>
      <c r="BB175">
        <v>-0.309</v>
      </c>
      <c r="BC175">
        <v>-0.70299999999999996</v>
      </c>
      <c r="BD175">
        <v>0.21199999999999999</v>
      </c>
      <c r="BE175">
        <v>-0.113</v>
      </c>
      <c r="BF175">
        <v>0.11799999999999999</v>
      </c>
      <c r="BG175">
        <v>-3.3000000000000002E-2</v>
      </c>
      <c r="BH175">
        <v>-8.3000000000000004E-2</v>
      </c>
      <c r="BI175">
        <v>0.29899999999999999</v>
      </c>
      <c r="BJ175">
        <v>-0.17100000000000001</v>
      </c>
      <c r="BK175">
        <v>3.5000000000000003E-2</v>
      </c>
    </row>
    <row r="176" spans="1:63" x14ac:dyDescent="0.3">
      <c r="A176" t="s">
        <v>138</v>
      </c>
      <c r="B176">
        <v>0</v>
      </c>
      <c r="C176">
        <v>0</v>
      </c>
      <c r="K176" t="s">
        <v>217</v>
      </c>
      <c r="L176">
        <v>0.53500000000000003</v>
      </c>
      <c r="M176">
        <v>0.502</v>
      </c>
      <c r="N176" t="s">
        <v>57</v>
      </c>
      <c r="O176">
        <v>0</v>
      </c>
      <c r="P176">
        <v>0</v>
      </c>
      <c r="Q176">
        <v>0</v>
      </c>
      <c r="R176">
        <v>-0.75900000000000001</v>
      </c>
      <c r="S176">
        <v>-0.86399999999999999</v>
      </c>
      <c r="T176">
        <v>-0.84699999999999998</v>
      </c>
      <c r="U176">
        <v>-0.81799999999999995</v>
      </c>
      <c r="V176">
        <v>-0.9</v>
      </c>
      <c r="W176">
        <v>-0.79300000000000004</v>
      </c>
      <c r="X176">
        <v>-0.75900000000000001</v>
      </c>
      <c r="Y176">
        <v>-0.88500000000000001</v>
      </c>
      <c r="Z176">
        <v>-0.16200000000000001</v>
      </c>
      <c r="AA176">
        <v>-0.16200000000000001</v>
      </c>
      <c r="AB176">
        <v>0.375</v>
      </c>
      <c r="AC176">
        <v>0.44</v>
      </c>
      <c r="AD176">
        <v>0.18</v>
      </c>
      <c r="AE176">
        <v>-0.97399999999999998</v>
      </c>
      <c r="AF176">
        <v>-0.17</v>
      </c>
      <c r="AG176">
        <v>-0.754</v>
      </c>
      <c r="AH176">
        <v>-0.98399999999999999</v>
      </c>
      <c r="AI176">
        <v>-0.89900000000000002</v>
      </c>
      <c r="AJ176">
        <v>-0.72</v>
      </c>
      <c r="AK176">
        <v>-0.28799999999999998</v>
      </c>
      <c r="AL176">
        <v>-0.72699999999999998</v>
      </c>
      <c r="AM176">
        <v>-0.63800000000000001</v>
      </c>
      <c r="AN176">
        <v>0.371</v>
      </c>
      <c r="AO176">
        <v>-0.33100000000000002</v>
      </c>
      <c r="AP176">
        <v>-2.5999999999999999E-2</v>
      </c>
      <c r="AQ176">
        <v>0.41099999999999998</v>
      </c>
      <c r="AR176">
        <v>0.47099999999999997</v>
      </c>
      <c r="AS176">
        <v>0.22700000000000001</v>
      </c>
      <c r="AT176">
        <v>4.5999999999999999E-2</v>
      </c>
      <c r="AU176">
        <v>-0.22900000000000001</v>
      </c>
      <c r="AV176">
        <v>-0.432</v>
      </c>
      <c r="AW176">
        <v>-4.2999999999999997E-2</v>
      </c>
      <c r="AX176">
        <v>-0.24299999999999999</v>
      </c>
      <c r="AY176">
        <v>-6.8000000000000005E-2</v>
      </c>
      <c r="AZ176">
        <v>0.13900000000000001</v>
      </c>
      <c r="BA176">
        <v>0.51300000000000001</v>
      </c>
      <c r="BB176">
        <v>-0.156</v>
      </c>
      <c r="BC176">
        <v>-0.05</v>
      </c>
      <c r="BD176">
        <v>0.17499999999999999</v>
      </c>
      <c r="BE176">
        <v>5.2999999999999999E-2</v>
      </c>
      <c r="BF176">
        <v>-0.26700000000000002</v>
      </c>
      <c r="BG176">
        <v>-6.6000000000000003E-2</v>
      </c>
      <c r="BH176">
        <v>-3.5000000000000003E-2</v>
      </c>
      <c r="BI176">
        <v>0.505</v>
      </c>
      <c r="BJ176">
        <v>0.60099999999999998</v>
      </c>
      <c r="BK176">
        <v>-0.65</v>
      </c>
    </row>
    <row r="177" spans="1:63" x14ac:dyDescent="0.3">
      <c r="A177" t="s">
        <v>186</v>
      </c>
      <c r="B177">
        <v>0</v>
      </c>
      <c r="C177">
        <v>0</v>
      </c>
      <c r="K177" t="s">
        <v>257</v>
      </c>
      <c r="L177">
        <v>0.53400000000000003</v>
      </c>
      <c r="M177">
        <v>0.40400000000000003</v>
      </c>
      <c r="N177" t="s">
        <v>57</v>
      </c>
      <c r="O177">
        <v>0</v>
      </c>
      <c r="P177">
        <v>-3.0000000000000001E-3</v>
      </c>
      <c r="Q177">
        <v>3.0000000000000001E-3</v>
      </c>
      <c r="R177">
        <v>-0.78300000000000003</v>
      </c>
      <c r="S177">
        <v>-0.68600000000000005</v>
      </c>
      <c r="T177">
        <v>-0.85</v>
      </c>
      <c r="U177">
        <v>-0.83899999999999997</v>
      </c>
      <c r="V177">
        <v>-0.84199999999999997</v>
      </c>
      <c r="W177">
        <v>-0.81200000000000006</v>
      </c>
      <c r="X177">
        <v>-0.75700000000000001</v>
      </c>
      <c r="Y177">
        <v>-0.83399999999999996</v>
      </c>
      <c r="Z177">
        <v>-0.20499999999999999</v>
      </c>
      <c r="AA177">
        <v>-0.20799999999999999</v>
      </c>
      <c r="AB177">
        <v>0.25</v>
      </c>
      <c r="AC177">
        <v>-3.1E-2</v>
      </c>
      <c r="AD177">
        <v>0.245</v>
      </c>
      <c r="AE177">
        <v>-0.65900000000000003</v>
      </c>
      <c r="AF177">
        <v>-0.64900000000000002</v>
      </c>
      <c r="AG177">
        <v>-0.71399999999999997</v>
      </c>
      <c r="AH177">
        <v>-0.436</v>
      </c>
      <c r="AI177">
        <v>-0.42699999999999999</v>
      </c>
      <c r="AJ177">
        <v>-0.81100000000000005</v>
      </c>
      <c r="AK177">
        <v>-3.2000000000000001E-2</v>
      </c>
      <c r="AL177">
        <v>-0.41899999999999998</v>
      </c>
      <c r="AM177">
        <v>-0.17699999999999999</v>
      </c>
      <c r="AN177">
        <v>0.35499999999999998</v>
      </c>
      <c r="AO177">
        <v>-0.19800000000000001</v>
      </c>
      <c r="AP177">
        <v>-0.192</v>
      </c>
      <c r="AQ177">
        <v>-0.12</v>
      </c>
      <c r="AR177">
        <v>9.6000000000000002E-2</v>
      </c>
      <c r="AS177">
        <v>0.24399999999999999</v>
      </c>
      <c r="AT177">
        <v>1.4E-2</v>
      </c>
      <c r="AU177">
        <v>0.123</v>
      </c>
      <c r="AV177">
        <v>-0.39700000000000002</v>
      </c>
      <c r="AW177">
        <v>-0.68700000000000006</v>
      </c>
      <c r="AX177">
        <v>-0.36099999999999999</v>
      </c>
      <c r="AY177">
        <v>-0.13800000000000001</v>
      </c>
      <c r="AZ177">
        <v>0.125</v>
      </c>
      <c r="BA177">
        <v>-2.3E-2</v>
      </c>
      <c r="BB177">
        <v>-0.1</v>
      </c>
      <c r="BC177">
        <v>-8.4000000000000005E-2</v>
      </c>
      <c r="BD177">
        <v>0.13700000000000001</v>
      </c>
      <c r="BE177">
        <v>0.30199999999999999</v>
      </c>
      <c r="BF177">
        <v>-3.0000000000000001E-3</v>
      </c>
      <c r="BG177">
        <v>-1.7000000000000001E-2</v>
      </c>
      <c r="BH177">
        <v>0.47099999999999997</v>
      </c>
      <c r="BI177">
        <v>0.97799999999999998</v>
      </c>
      <c r="BJ177">
        <v>-0.64200000000000002</v>
      </c>
      <c r="BK177">
        <v>0.308</v>
      </c>
    </row>
    <row r="178" spans="1:63" x14ac:dyDescent="0.3">
      <c r="A178" t="s">
        <v>230</v>
      </c>
      <c r="B178">
        <v>0</v>
      </c>
      <c r="C178">
        <v>0</v>
      </c>
      <c r="K178" t="s">
        <v>251</v>
      </c>
      <c r="L178">
        <v>0.53400000000000003</v>
      </c>
      <c r="M178">
        <v>0.374</v>
      </c>
      <c r="N178" t="s">
        <v>55</v>
      </c>
      <c r="O178">
        <v>0</v>
      </c>
      <c r="P178">
        <v>0</v>
      </c>
      <c r="Q178">
        <v>0</v>
      </c>
      <c r="R178">
        <v>-0.67800000000000005</v>
      </c>
      <c r="S178">
        <v>-0.28199999999999997</v>
      </c>
      <c r="T178">
        <v>-0.155</v>
      </c>
      <c r="U178">
        <v>-0.874</v>
      </c>
      <c r="V178">
        <v>-0.58499999999999996</v>
      </c>
      <c r="W178">
        <v>-0.83499999999999996</v>
      </c>
      <c r="X178">
        <v>-0.879</v>
      </c>
      <c r="Y178">
        <v>-0.93500000000000005</v>
      </c>
      <c r="Z178">
        <v>-0.26700000000000002</v>
      </c>
      <c r="AA178">
        <v>-0.26700000000000002</v>
      </c>
      <c r="AB178">
        <v>0.121</v>
      </c>
      <c r="AC178">
        <v>-0.27</v>
      </c>
      <c r="AD178">
        <v>0.14099999999999999</v>
      </c>
      <c r="AE178">
        <v>-0.61499999999999999</v>
      </c>
      <c r="AF178">
        <v>-0.20599999999999999</v>
      </c>
      <c r="AG178">
        <v>-0.32400000000000001</v>
      </c>
      <c r="AH178">
        <v>1</v>
      </c>
      <c r="AI178">
        <v>-0.34</v>
      </c>
      <c r="AJ178">
        <v>-0.57799999999999996</v>
      </c>
      <c r="AK178">
        <v>0.68600000000000005</v>
      </c>
      <c r="AL178">
        <v>-1</v>
      </c>
      <c r="AM178">
        <v>0.79800000000000004</v>
      </c>
      <c r="AN178">
        <v>-0.27200000000000002</v>
      </c>
      <c r="AO178">
        <v>-0.65300000000000002</v>
      </c>
      <c r="AP178">
        <v>-0.66900000000000004</v>
      </c>
      <c r="AQ178">
        <v>-0.45700000000000002</v>
      </c>
      <c r="AR178">
        <v>-0.68200000000000005</v>
      </c>
      <c r="AS178">
        <v>-0.437</v>
      </c>
      <c r="AT178">
        <v>-0.26400000000000001</v>
      </c>
      <c r="AU178">
        <v>-0.40500000000000003</v>
      </c>
      <c r="AV178">
        <v>-0.81499999999999995</v>
      </c>
      <c r="AW178">
        <v>-0.61499999999999999</v>
      </c>
      <c r="AX178">
        <v>-0.39300000000000002</v>
      </c>
      <c r="AY178">
        <v>0.54100000000000004</v>
      </c>
      <c r="AZ178">
        <v>0.875</v>
      </c>
      <c r="BA178">
        <v>0.67900000000000005</v>
      </c>
      <c r="BB178">
        <v>-0.376</v>
      </c>
      <c r="BC178">
        <v>0.16800000000000001</v>
      </c>
      <c r="BD178">
        <v>-7.0999999999999994E-2</v>
      </c>
      <c r="BE178">
        <v>-6.0999999999999999E-2</v>
      </c>
      <c r="BF178">
        <v>-1.4999999999999999E-2</v>
      </c>
      <c r="BG178">
        <v>0.08</v>
      </c>
      <c r="BH178">
        <v>0.97199999999999998</v>
      </c>
      <c r="BI178">
        <v>-6.9000000000000006E-2</v>
      </c>
      <c r="BJ178">
        <v>0.45400000000000001</v>
      </c>
      <c r="BK178">
        <v>1</v>
      </c>
    </row>
    <row r="179" spans="1:63" x14ac:dyDescent="0.3">
      <c r="A179" t="s">
        <v>182</v>
      </c>
      <c r="B179">
        <v>0</v>
      </c>
      <c r="C179">
        <v>0</v>
      </c>
      <c r="K179" t="s">
        <v>231</v>
      </c>
      <c r="L179">
        <v>0.53400000000000003</v>
      </c>
      <c r="M179">
        <v>0.57399999999999995</v>
      </c>
      <c r="N179" t="s">
        <v>71</v>
      </c>
      <c r="O179">
        <v>0</v>
      </c>
      <c r="P179">
        <v>-4.0000000000000001E-3</v>
      </c>
      <c r="Q179">
        <v>4.0000000000000001E-3</v>
      </c>
      <c r="R179">
        <v>-0.93100000000000005</v>
      </c>
      <c r="S179">
        <v>-0.92100000000000004</v>
      </c>
      <c r="T179">
        <v>-0.95699999999999996</v>
      </c>
      <c r="U179">
        <v>-0.91200000000000003</v>
      </c>
      <c r="V179">
        <v>-0.95099999999999996</v>
      </c>
      <c r="W179">
        <v>-0.84299999999999997</v>
      </c>
      <c r="X179">
        <v>-0.85499999999999998</v>
      </c>
      <c r="Y179">
        <v>-0.86599999999999999</v>
      </c>
      <c r="Z179">
        <v>-9.6000000000000002E-2</v>
      </c>
      <c r="AA179">
        <v>-9.5000000000000001E-2</v>
      </c>
      <c r="AB179">
        <v>0.53600000000000003</v>
      </c>
      <c r="AC179">
        <v>0.52900000000000003</v>
      </c>
      <c r="AD179">
        <v>0.316</v>
      </c>
      <c r="AE179">
        <v>-0.94099999999999995</v>
      </c>
      <c r="AF179">
        <v>-0.93300000000000005</v>
      </c>
      <c r="AG179">
        <v>-0.47499999999999998</v>
      </c>
      <c r="AH179">
        <v>-0.83399999999999996</v>
      </c>
      <c r="AI179">
        <v>-0.36199999999999999</v>
      </c>
      <c r="AJ179">
        <v>-0.81299999999999994</v>
      </c>
      <c r="AK179">
        <v>-0.48199999999999998</v>
      </c>
      <c r="AL179">
        <v>-0.84599999999999997</v>
      </c>
      <c r="AM179">
        <v>-0.69699999999999995</v>
      </c>
      <c r="AN179">
        <v>-0.14499999999999999</v>
      </c>
      <c r="AO179">
        <v>4.0000000000000001E-3</v>
      </c>
      <c r="AP179">
        <v>0.34899999999999998</v>
      </c>
      <c r="AQ179">
        <v>-4.8000000000000001E-2</v>
      </c>
      <c r="AR179">
        <v>-0.40100000000000002</v>
      </c>
      <c r="AS179">
        <v>-0.71799999999999997</v>
      </c>
      <c r="AT179">
        <v>0.152</v>
      </c>
      <c r="AU179">
        <v>-0.55600000000000005</v>
      </c>
      <c r="AV179">
        <v>-0.52200000000000002</v>
      </c>
      <c r="AW179">
        <v>0.45200000000000001</v>
      </c>
      <c r="AX179">
        <v>-3.1E-2</v>
      </c>
      <c r="AY179">
        <v>0.72799999999999998</v>
      </c>
      <c r="AZ179">
        <v>0.59099999999999997</v>
      </c>
      <c r="BA179">
        <v>0.52700000000000002</v>
      </c>
      <c r="BB179">
        <v>-0.95199999999999996</v>
      </c>
      <c r="BC179">
        <v>-0.76800000000000002</v>
      </c>
      <c r="BD179">
        <v>-0.17799999999999999</v>
      </c>
      <c r="BE179">
        <v>-1</v>
      </c>
      <c r="BF179">
        <v>-0.98399999999999999</v>
      </c>
      <c r="BG179">
        <v>0</v>
      </c>
      <c r="BH179">
        <v>-0.314</v>
      </c>
      <c r="BI179">
        <v>-0.316</v>
      </c>
      <c r="BJ179">
        <v>0.35099999999999998</v>
      </c>
      <c r="BK179">
        <v>-7.6999999999999999E-2</v>
      </c>
    </row>
    <row r="180" spans="1:63" x14ac:dyDescent="0.3">
      <c r="A180" t="s">
        <v>60</v>
      </c>
      <c r="B180">
        <v>4.6826126039753203E-2</v>
      </c>
      <c r="C180">
        <v>2.5488817338611899E-2</v>
      </c>
      <c r="K180" t="s">
        <v>187</v>
      </c>
      <c r="L180">
        <v>0.53300000000000003</v>
      </c>
      <c r="M180">
        <v>0.46</v>
      </c>
      <c r="N180" t="s">
        <v>53</v>
      </c>
      <c r="O180">
        <v>0</v>
      </c>
      <c r="P180">
        <v>0</v>
      </c>
      <c r="Q180">
        <v>0</v>
      </c>
      <c r="R180">
        <v>-0.86399999999999999</v>
      </c>
      <c r="S180">
        <v>-0.92300000000000004</v>
      </c>
      <c r="T180">
        <v>-0.85299999999999998</v>
      </c>
      <c r="U180">
        <v>-0.84299999999999997</v>
      </c>
      <c r="V180">
        <v>-0.89600000000000002</v>
      </c>
      <c r="W180">
        <v>-0.84299999999999997</v>
      </c>
      <c r="X180">
        <v>-0.8</v>
      </c>
      <c r="Y180">
        <v>-0.90500000000000003</v>
      </c>
      <c r="Z180">
        <v>-4.7E-2</v>
      </c>
      <c r="AA180">
        <v>-4.7E-2</v>
      </c>
      <c r="AB180">
        <v>0.51200000000000001</v>
      </c>
      <c r="AC180">
        <v>0.52800000000000002</v>
      </c>
      <c r="AD180">
        <v>0.184</v>
      </c>
      <c r="AE180">
        <v>-0.501</v>
      </c>
      <c r="AF180">
        <v>-0.317</v>
      </c>
      <c r="AG180">
        <v>-0.83099999999999996</v>
      </c>
      <c r="AH180">
        <v>-0.67</v>
      </c>
      <c r="AI180">
        <v>-0.93600000000000005</v>
      </c>
      <c r="AJ180">
        <v>-0.58699999999999997</v>
      </c>
      <c r="AK180">
        <v>7.3999999999999996E-2</v>
      </c>
      <c r="AL180">
        <v>-0.52500000000000002</v>
      </c>
      <c r="AM180">
        <v>-0.14699999999999999</v>
      </c>
      <c r="AN180">
        <v>0.747</v>
      </c>
      <c r="AO180">
        <v>-0.69899999999999995</v>
      </c>
      <c r="AP180">
        <v>-0.373</v>
      </c>
      <c r="AQ180">
        <v>0.223</v>
      </c>
      <c r="AR180">
        <v>-0.17599999999999999</v>
      </c>
      <c r="AS180">
        <v>-0.86899999999999999</v>
      </c>
      <c r="AT180">
        <v>0.45300000000000001</v>
      </c>
      <c r="AU180">
        <v>-0.46899999999999997</v>
      </c>
      <c r="AV180">
        <v>-0.28599999999999998</v>
      </c>
      <c r="AW180">
        <v>0.06</v>
      </c>
      <c r="AX180">
        <v>0.189</v>
      </c>
      <c r="AY180">
        <v>0.94899999999999995</v>
      </c>
      <c r="AZ180">
        <v>9.7000000000000003E-2</v>
      </c>
      <c r="BA180">
        <v>2.3E-2</v>
      </c>
      <c r="BB180">
        <v>-0.52600000000000002</v>
      </c>
      <c r="BC180">
        <v>-0.312</v>
      </c>
      <c r="BD180">
        <v>6.7000000000000004E-2</v>
      </c>
      <c r="BE180">
        <v>-0.29799999999999999</v>
      </c>
      <c r="BF180">
        <v>-9.0999999999999998E-2</v>
      </c>
      <c r="BG180">
        <v>-0.16500000000000001</v>
      </c>
      <c r="BH180">
        <v>0.152</v>
      </c>
      <c r="BI180">
        <v>-0.36</v>
      </c>
      <c r="BJ180">
        <v>8.6999999999999994E-2</v>
      </c>
      <c r="BK180">
        <v>-7.2999999999999995E-2</v>
      </c>
    </row>
    <row r="181" spans="1:63" x14ac:dyDescent="0.3">
      <c r="A181" t="s">
        <v>261</v>
      </c>
      <c r="B181">
        <v>0</v>
      </c>
      <c r="C181">
        <v>0</v>
      </c>
      <c r="K181" t="s">
        <v>157</v>
      </c>
      <c r="L181">
        <v>0.53200000000000003</v>
      </c>
      <c r="M181">
        <v>0.40899999999999997</v>
      </c>
      <c r="N181" t="s">
        <v>57</v>
      </c>
      <c r="O181">
        <v>0</v>
      </c>
      <c r="P181">
        <v>-5.0000000000000001E-3</v>
      </c>
      <c r="Q181">
        <v>5.0000000000000001E-3</v>
      </c>
      <c r="R181">
        <v>-0.67200000000000004</v>
      </c>
      <c r="S181">
        <v>-0.46</v>
      </c>
      <c r="T181">
        <v>-0.52900000000000003</v>
      </c>
      <c r="U181">
        <v>-0.56899999999999995</v>
      </c>
      <c r="V181">
        <v>-0.40899999999999997</v>
      </c>
      <c r="W181">
        <v>-0.77200000000000002</v>
      </c>
      <c r="X181">
        <v>-0.752</v>
      </c>
      <c r="Y181">
        <v>-0.88</v>
      </c>
      <c r="Z181">
        <v>-0.28199999999999997</v>
      </c>
      <c r="AA181">
        <v>-0.28000000000000003</v>
      </c>
      <c r="AB181">
        <v>-0.20300000000000001</v>
      </c>
      <c r="AC181">
        <v>-1</v>
      </c>
      <c r="AD181">
        <v>0.23200000000000001</v>
      </c>
      <c r="AE181">
        <v>6.4000000000000001E-2</v>
      </c>
      <c r="AF181">
        <v>0.78900000000000003</v>
      </c>
      <c r="AG181">
        <v>-0.13900000000000001</v>
      </c>
      <c r="AH181">
        <v>0.19400000000000001</v>
      </c>
      <c r="AI181">
        <v>-0.70699999999999996</v>
      </c>
      <c r="AJ181">
        <v>-0.20899999999999999</v>
      </c>
      <c r="AK181">
        <v>0.69599999999999995</v>
      </c>
      <c r="AL181">
        <v>-0.93</v>
      </c>
      <c r="AM181">
        <v>0.20699999999999999</v>
      </c>
      <c r="AN181">
        <v>0.20200000000000001</v>
      </c>
      <c r="AO181">
        <v>-0.55800000000000005</v>
      </c>
      <c r="AP181">
        <v>-0.56999999999999995</v>
      </c>
      <c r="AQ181">
        <v>0.34799999999999998</v>
      </c>
      <c r="AR181">
        <v>-0.98399999999999999</v>
      </c>
      <c r="AS181">
        <v>-0.29199999999999998</v>
      </c>
      <c r="AT181">
        <v>0.29199999999999998</v>
      </c>
      <c r="AU181">
        <v>-0.16900000000000001</v>
      </c>
      <c r="AV181">
        <v>-0.20699999999999999</v>
      </c>
      <c r="AW181">
        <v>-0.78800000000000003</v>
      </c>
      <c r="AX181">
        <v>-0.22</v>
      </c>
      <c r="AY181">
        <v>0.32100000000000001</v>
      </c>
      <c r="AZ181">
        <v>-0.91200000000000003</v>
      </c>
      <c r="BA181">
        <v>-0.14599999999999999</v>
      </c>
      <c r="BB181">
        <v>0.11799999999999999</v>
      </c>
      <c r="BC181">
        <v>6.8000000000000005E-2</v>
      </c>
      <c r="BD181">
        <v>0.25700000000000001</v>
      </c>
      <c r="BE181">
        <v>0.80500000000000005</v>
      </c>
      <c r="BF181">
        <v>0.97099999999999997</v>
      </c>
      <c r="BG181">
        <v>0.38400000000000001</v>
      </c>
      <c r="BH181">
        <v>1</v>
      </c>
      <c r="BI181">
        <v>0.123</v>
      </c>
      <c r="BJ181">
        <v>-0.89600000000000002</v>
      </c>
      <c r="BK181">
        <v>-0.36499999999999999</v>
      </c>
    </row>
    <row r="182" spans="1:63" x14ac:dyDescent="0.3">
      <c r="A182" t="s">
        <v>178</v>
      </c>
      <c r="B182">
        <v>0</v>
      </c>
      <c r="C182">
        <v>0</v>
      </c>
      <c r="K182" t="s">
        <v>223</v>
      </c>
      <c r="L182">
        <v>0.53100000000000003</v>
      </c>
      <c r="M182">
        <v>0.56499999999999995</v>
      </c>
      <c r="N182" t="s">
        <v>68</v>
      </c>
      <c r="O182">
        <v>0</v>
      </c>
      <c r="P182">
        <v>0</v>
      </c>
      <c r="Q182">
        <v>0</v>
      </c>
      <c r="R182">
        <v>-0.95199999999999996</v>
      </c>
      <c r="S182">
        <v>-0.90600000000000003</v>
      </c>
      <c r="T182">
        <v>-0.91800000000000004</v>
      </c>
      <c r="U182">
        <v>-0.92800000000000005</v>
      </c>
      <c r="V182">
        <v>-0.93</v>
      </c>
      <c r="W182">
        <v>-0.93799999999999994</v>
      </c>
      <c r="X182">
        <v>-0.89300000000000002</v>
      </c>
      <c r="Y182">
        <v>-0.88600000000000001</v>
      </c>
      <c r="Z182">
        <v>5.3999999999999999E-2</v>
      </c>
      <c r="AA182">
        <v>4.7E-2</v>
      </c>
      <c r="AB182">
        <v>0.437</v>
      </c>
      <c r="AC182">
        <v>0.45200000000000001</v>
      </c>
      <c r="AD182">
        <v>0.27200000000000002</v>
      </c>
      <c r="AE182">
        <v>-0.96599999999999997</v>
      </c>
      <c r="AF182">
        <v>-1</v>
      </c>
      <c r="AG182">
        <v>-0.47899999999999998</v>
      </c>
      <c r="AH182">
        <v>-0.47699999999999998</v>
      </c>
      <c r="AI182">
        <v>1</v>
      </c>
      <c r="AJ182">
        <v>-0.58499999999999996</v>
      </c>
      <c r="AK182">
        <v>-0.34899999999999998</v>
      </c>
      <c r="AL182">
        <v>-0.96599999999999997</v>
      </c>
      <c r="AM182">
        <v>-0.66400000000000003</v>
      </c>
      <c r="AN182">
        <v>-0.42399999999999999</v>
      </c>
      <c r="AO182">
        <v>0.32100000000000001</v>
      </c>
      <c r="AP182">
        <v>0.109</v>
      </c>
      <c r="AQ182">
        <v>-0.86399999999999999</v>
      </c>
      <c r="AR182">
        <v>-0.89200000000000002</v>
      </c>
      <c r="AS182">
        <v>-0.311</v>
      </c>
      <c r="AT182">
        <v>1.4999999999999999E-2</v>
      </c>
      <c r="AU182">
        <v>-0.45400000000000001</v>
      </c>
      <c r="AV182">
        <v>-0.502</v>
      </c>
      <c r="AW182">
        <v>0.53600000000000003</v>
      </c>
      <c r="AX182">
        <v>-0.13400000000000001</v>
      </c>
      <c r="AY182">
        <v>0.75700000000000001</v>
      </c>
      <c r="AZ182">
        <v>-0.56699999999999995</v>
      </c>
      <c r="BA182">
        <v>-0.38700000000000001</v>
      </c>
      <c r="BB182">
        <v>-1</v>
      </c>
      <c r="BC182">
        <v>-0.68500000000000005</v>
      </c>
      <c r="BD182">
        <v>8.7999999999999995E-2</v>
      </c>
      <c r="BE182">
        <v>-0.20200000000000001</v>
      </c>
      <c r="BF182">
        <v>-1</v>
      </c>
      <c r="BG182">
        <v>0.10299999999999999</v>
      </c>
      <c r="BH182">
        <v>-0.61699999999999999</v>
      </c>
      <c r="BI182">
        <v>0.25700000000000001</v>
      </c>
      <c r="BJ182">
        <v>0.13400000000000001</v>
      </c>
      <c r="BK182">
        <v>0.55100000000000005</v>
      </c>
    </row>
    <row r="183" spans="1:63" x14ac:dyDescent="0.3">
      <c r="A183" t="s">
        <v>168</v>
      </c>
      <c r="B183">
        <v>0</v>
      </c>
      <c r="C183">
        <v>0</v>
      </c>
      <c r="K183" t="s">
        <v>191</v>
      </c>
      <c r="L183">
        <v>0.53</v>
      </c>
      <c r="M183">
        <v>0.62</v>
      </c>
      <c r="N183" t="s">
        <v>71</v>
      </c>
      <c r="O183">
        <v>0</v>
      </c>
      <c r="P183">
        <v>0</v>
      </c>
      <c r="Q183">
        <v>0</v>
      </c>
      <c r="R183">
        <v>-0.97599999999999998</v>
      </c>
      <c r="S183">
        <v>-0.97099999999999997</v>
      </c>
      <c r="T183">
        <v>-0.92700000000000005</v>
      </c>
      <c r="U183">
        <v>-0.95099999999999996</v>
      </c>
      <c r="V183">
        <v>-0.95499999999999996</v>
      </c>
      <c r="W183">
        <v>-0.85199999999999998</v>
      </c>
      <c r="X183">
        <v>-0.78300000000000003</v>
      </c>
      <c r="Y183">
        <v>-0.86599999999999999</v>
      </c>
      <c r="Z183">
        <v>3.5999999999999997E-2</v>
      </c>
      <c r="AA183">
        <v>3.3000000000000002E-2</v>
      </c>
      <c r="AB183">
        <v>9.0999999999999998E-2</v>
      </c>
      <c r="AC183">
        <v>8.5000000000000006E-2</v>
      </c>
      <c r="AD183">
        <v>0.38700000000000001</v>
      </c>
      <c r="AE183">
        <v>-0.95599999999999996</v>
      </c>
      <c r="AF183">
        <v>-1</v>
      </c>
      <c r="AG183">
        <v>-0.85099999999999998</v>
      </c>
      <c r="AH183">
        <v>-0.45400000000000001</v>
      </c>
      <c r="AI183">
        <v>-0.17299999999999999</v>
      </c>
      <c r="AJ183">
        <v>-0.60399999999999998</v>
      </c>
      <c r="AK183">
        <v>-0.41</v>
      </c>
      <c r="AL183">
        <v>-0.13</v>
      </c>
      <c r="AM183">
        <v>-0.35</v>
      </c>
      <c r="AN183">
        <v>-0.50800000000000001</v>
      </c>
      <c r="AO183">
        <v>-0.156</v>
      </c>
      <c r="AP183">
        <v>2.4E-2</v>
      </c>
      <c r="AQ183">
        <v>-0.315</v>
      </c>
      <c r="AR183">
        <v>-1</v>
      </c>
      <c r="AS183">
        <v>-0.70499999999999996</v>
      </c>
      <c r="AT183">
        <v>-0.36299999999999999</v>
      </c>
      <c r="AU183">
        <v>-0.82099999999999995</v>
      </c>
      <c r="AV183">
        <v>-0.78600000000000003</v>
      </c>
      <c r="AW183">
        <v>0.82099999999999995</v>
      </c>
      <c r="AX183">
        <v>-0.77500000000000002</v>
      </c>
      <c r="AY183">
        <v>-0.24199999999999999</v>
      </c>
      <c r="AZ183">
        <v>-0.90100000000000002</v>
      </c>
      <c r="BA183">
        <v>-0.17799999999999999</v>
      </c>
      <c r="BB183">
        <v>9.8000000000000004E-2</v>
      </c>
      <c r="BC183">
        <v>-0.214</v>
      </c>
      <c r="BD183">
        <v>0.20300000000000001</v>
      </c>
      <c r="BE183">
        <v>-0.43099999999999999</v>
      </c>
      <c r="BF183">
        <v>0.252</v>
      </c>
      <c r="BG183">
        <v>0.78500000000000003</v>
      </c>
      <c r="BH183">
        <v>-9.8000000000000004E-2</v>
      </c>
      <c r="BI183">
        <v>-0.626</v>
      </c>
      <c r="BJ183">
        <v>0.71599999999999997</v>
      </c>
      <c r="BK183">
        <v>0.51900000000000002</v>
      </c>
    </row>
    <row r="184" spans="1:63" x14ac:dyDescent="0.3">
      <c r="A184" t="s">
        <v>600</v>
      </c>
      <c r="B184">
        <v>0</v>
      </c>
      <c r="C184">
        <v>0</v>
      </c>
      <c r="K184" t="s">
        <v>129</v>
      </c>
      <c r="L184">
        <v>0.52800000000000002</v>
      </c>
      <c r="M184">
        <v>0.371</v>
      </c>
      <c r="N184" t="s">
        <v>57</v>
      </c>
      <c r="O184">
        <v>0</v>
      </c>
      <c r="P184">
        <v>0</v>
      </c>
      <c r="Q184">
        <v>0</v>
      </c>
      <c r="R184">
        <v>-0.82</v>
      </c>
      <c r="S184">
        <v>-0.51200000000000001</v>
      </c>
      <c r="T184">
        <v>-0.379</v>
      </c>
      <c r="U184">
        <v>-0.86</v>
      </c>
      <c r="V184">
        <v>-0.57199999999999995</v>
      </c>
      <c r="W184">
        <v>-0.93700000000000006</v>
      </c>
      <c r="X184">
        <v>-0.94799999999999995</v>
      </c>
      <c r="Y184">
        <v>-0.83699999999999997</v>
      </c>
      <c r="Z184">
        <v>-0.123</v>
      </c>
      <c r="AA184">
        <v>-0.123</v>
      </c>
      <c r="AB184">
        <v>-0.13</v>
      </c>
      <c r="AC184">
        <v>9.4E-2</v>
      </c>
      <c r="AD184">
        <v>0.03</v>
      </c>
      <c r="AE184">
        <v>-0.65</v>
      </c>
      <c r="AF184">
        <v>-0.20399999999999999</v>
      </c>
      <c r="AG184">
        <v>2.7E-2</v>
      </c>
      <c r="AH184">
        <v>0.86599999999999999</v>
      </c>
      <c r="AI184">
        <v>0.24099999999999999</v>
      </c>
      <c r="AJ184">
        <v>-0.51600000000000001</v>
      </c>
      <c r="AK184">
        <v>-0.26900000000000002</v>
      </c>
      <c r="AL184">
        <v>-0.33</v>
      </c>
      <c r="AM184">
        <v>0.75600000000000001</v>
      </c>
      <c r="AN184">
        <v>-0.17299999999999999</v>
      </c>
      <c r="AO184">
        <v>-0.35</v>
      </c>
      <c r="AP184">
        <v>-0.45900000000000002</v>
      </c>
      <c r="AQ184">
        <v>-9.7000000000000003E-2</v>
      </c>
      <c r="AR184">
        <v>-2E-3</v>
      </c>
      <c r="AS184">
        <v>-0.30199999999999999</v>
      </c>
      <c r="AT184">
        <v>-0.34399999999999997</v>
      </c>
      <c r="AU184">
        <v>-0.35799999999999998</v>
      </c>
      <c r="AV184">
        <v>-0.74</v>
      </c>
      <c r="AW184">
        <v>-1</v>
      </c>
      <c r="AX184">
        <v>-0.70799999999999996</v>
      </c>
      <c r="AY184">
        <v>-0.115</v>
      </c>
      <c r="AZ184">
        <v>-0.26400000000000001</v>
      </c>
      <c r="BA184">
        <v>-0.751</v>
      </c>
      <c r="BB184">
        <v>0.20100000000000001</v>
      </c>
      <c r="BC184">
        <v>-0.28000000000000003</v>
      </c>
      <c r="BD184">
        <v>0.28599999999999998</v>
      </c>
      <c r="BE184">
        <v>-0.248</v>
      </c>
      <c r="BF184">
        <v>-0.49199999999999999</v>
      </c>
      <c r="BG184">
        <v>-0.64200000000000002</v>
      </c>
      <c r="BH184">
        <v>0.16600000000000001</v>
      </c>
      <c r="BI184">
        <v>0.73699999999999999</v>
      </c>
      <c r="BJ184">
        <v>0.219</v>
      </c>
      <c r="BK184">
        <v>0.92400000000000004</v>
      </c>
    </row>
    <row r="185" spans="1:63" x14ac:dyDescent="0.3">
      <c r="A185" t="s">
        <v>128</v>
      </c>
      <c r="B185">
        <v>0</v>
      </c>
      <c r="C185">
        <v>0</v>
      </c>
      <c r="K185" t="s">
        <v>183</v>
      </c>
      <c r="L185">
        <v>0.52300000000000002</v>
      </c>
      <c r="M185">
        <v>0.57899999999999996</v>
      </c>
      <c r="N185" t="s">
        <v>68</v>
      </c>
      <c r="O185">
        <v>0</v>
      </c>
      <c r="P185">
        <v>0</v>
      </c>
      <c r="Q185">
        <v>0</v>
      </c>
      <c r="R185">
        <v>-0.89600000000000002</v>
      </c>
      <c r="S185">
        <v>-0.97899999999999998</v>
      </c>
      <c r="T185">
        <v>-0.93600000000000005</v>
      </c>
      <c r="U185">
        <v>-0.90300000000000002</v>
      </c>
      <c r="V185">
        <v>-0.97499999999999998</v>
      </c>
      <c r="W185">
        <v>-0.82099999999999995</v>
      </c>
      <c r="X185">
        <v>-0.73199999999999998</v>
      </c>
      <c r="Y185">
        <v>-0.92800000000000005</v>
      </c>
      <c r="Z185">
        <v>-0.17299999999999999</v>
      </c>
      <c r="AA185">
        <v>-0.17100000000000001</v>
      </c>
      <c r="AB185">
        <v>0.33200000000000002</v>
      </c>
      <c r="AC185">
        <v>0.38500000000000001</v>
      </c>
      <c r="AD185">
        <v>0.14099999999999999</v>
      </c>
      <c r="AE185">
        <v>-0.71199999999999997</v>
      </c>
      <c r="AF185">
        <v>-0.71799999999999997</v>
      </c>
      <c r="AG185">
        <v>-1</v>
      </c>
      <c r="AH185">
        <v>-0.80300000000000005</v>
      </c>
      <c r="AI185">
        <v>-0.87</v>
      </c>
      <c r="AJ185">
        <v>-0.91400000000000003</v>
      </c>
      <c r="AK185">
        <v>-6.0999999999999999E-2</v>
      </c>
      <c r="AL185">
        <v>-0.72599999999999998</v>
      </c>
      <c r="AM185">
        <v>-0.75600000000000001</v>
      </c>
      <c r="AN185">
        <v>0.34100000000000003</v>
      </c>
      <c r="AO185">
        <v>-0.56100000000000005</v>
      </c>
      <c r="AP185">
        <v>-0.77600000000000002</v>
      </c>
      <c r="AQ185">
        <v>-4.8000000000000001E-2</v>
      </c>
      <c r="AR185">
        <v>8.7999999999999995E-2</v>
      </c>
      <c r="AS185">
        <v>-0.83399999999999996</v>
      </c>
      <c r="AT185">
        <v>0.34399999999999997</v>
      </c>
      <c r="AU185">
        <v>-0.52100000000000002</v>
      </c>
      <c r="AV185">
        <v>-0.311</v>
      </c>
      <c r="AW185">
        <v>0.308</v>
      </c>
      <c r="AX185">
        <v>0.06</v>
      </c>
      <c r="AY185">
        <v>0.93300000000000005</v>
      </c>
      <c r="AZ185">
        <v>0.52600000000000002</v>
      </c>
      <c r="BA185">
        <v>0.41699999999999998</v>
      </c>
      <c r="BB185">
        <v>-0.35099999999999998</v>
      </c>
      <c r="BC185">
        <v>8.0000000000000002E-3</v>
      </c>
      <c r="BD185">
        <v>0.13500000000000001</v>
      </c>
      <c r="BE185">
        <v>0.4</v>
      </c>
      <c r="BF185">
        <v>-0.61599999999999999</v>
      </c>
      <c r="BG185">
        <v>0.53300000000000003</v>
      </c>
      <c r="BH185">
        <v>-0.255</v>
      </c>
      <c r="BI185">
        <v>0.14000000000000001</v>
      </c>
      <c r="BJ185">
        <v>9.8000000000000004E-2</v>
      </c>
      <c r="BK185">
        <v>-0.25600000000000001</v>
      </c>
    </row>
    <row r="186" spans="1:63" x14ac:dyDescent="0.3">
      <c r="A186" t="s">
        <v>189</v>
      </c>
      <c r="B186">
        <v>0</v>
      </c>
      <c r="C186">
        <v>0</v>
      </c>
      <c r="K186" t="s">
        <v>224</v>
      </c>
      <c r="L186">
        <v>0.52100000000000002</v>
      </c>
      <c r="M186">
        <v>0.435</v>
      </c>
      <c r="N186" t="s">
        <v>71</v>
      </c>
      <c r="O186">
        <v>0</v>
      </c>
      <c r="P186">
        <v>0</v>
      </c>
      <c r="Q186">
        <v>0</v>
      </c>
      <c r="R186">
        <v>-0.96199999999999997</v>
      </c>
      <c r="S186">
        <v>-0.94299999999999995</v>
      </c>
      <c r="T186">
        <v>-0.90500000000000003</v>
      </c>
      <c r="U186">
        <v>-0.95499999999999996</v>
      </c>
      <c r="V186">
        <v>-0.95399999999999996</v>
      </c>
      <c r="W186">
        <v>-0.86599999999999999</v>
      </c>
      <c r="X186">
        <v>-0.82099999999999995</v>
      </c>
      <c r="Y186">
        <v>-0.95599999999999996</v>
      </c>
      <c r="Z186">
        <v>0.10299999999999999</v>
      </c>
      <c r="AA186">
        <v>0.10299999999999999</v>
      </c>
      <c r="AB186">
        <v>-2.1999999999999999E-2</v>
      </c>
      <c r="AC186">
        <v>-0.33</v>
      </c>
      <c r="AD186">
        <v>0.32700000000000001</v>
      </c>
      <c r="AE186">
        <v>-0.89</v>
      </c>
      <c r="AF186">
        <v>-0.621</v>
      </c>
      <c r="AG186">
        <v>-0.96199999999999997</v>
      </c>
      <c r="AH186">
        <v>-9.7000000000000003E-2</v>
      </c>
      <c r="AI186">
        <v>-0.496</v>
      </c>
      <c r="AJ186">
        <v>-0.63400000000000001</v>
      </c>
      <c r="AK186">
        <v>-0.65800000000000003</v>
      </c>
      <c r="AL186">
        <v>-0.502</v>
      </c>
      <c r="AM186">
        <v>-1.7000000000000001E-2</v>
      </c>
      <c r="AN186">
        <v>-0.25800000000000001</v>
      </c>
      <c r="AO186">
        <v>-0.68700000000000006</v>
      </c>
      <c r="AP186">
        <v>-0.51600000000000001</v>
      </c>
      <c r="AQ186">
        <v>-0.41699999999999998</v>
      </c>
      <c r="AR186">
        <v>0.69699999999999995</v>
      </c>
      <c r="AS186">
        <v>0.34200000000000003</v>
      </c>
      <c r="AT186">
        <v>-0.223</v>
      </c>
      <c r="AU186">
        <v>-0.72699999999999998</v>
      </c>
      <c r="AV186">
        <v>-0.78100000000000003</v>
      </c>
      <c r="AW186">
        <v>0.55600000000000005</v>
      </c>
      <c r="AX186">
        <v>-0.128</v>
      </c>
      <c r="AY186">
        <v>-0.42599999999999999</v>
      </c>
      <c r="AZ186">
        <v>-0.79500000000000004</v>
      </c>
      <c r="BA186">
        <v>-0.93100000000000005</v>
      </c>
      <c r="BB186">
        <v>-0.32500000000000001</v>
      </c>
      <c r="BC186">
        <v>-0.7</v>
      </c>
      <c r="BD186">
        <v>-0.45</v>
      </c>
      <c r="BE186">
        <v>-4.0000000000000001E-3</v>
      </c>
      <c r="BF186">
        <v>0.12</v>
      </c>
      <c r="BG186">
        <v>0.78600000000000003</v>
      </c>
      <c r="BH186">
        <v>0.20599999999999999</v>
      </c>
      <c r="BI186">
        <v>-0.52700000000000002</v>
      </c>
      <c r="BJ186">
        <v>0.23699999999999999</v>
      </c>
      <c r="BK186">
        <v>0.83</v>
      </c>
    </row>
    <row r="187" spans="1:63" x14ac:dyDescent="0.3">
      <c r="A187" t="s">
        <v>238</v>
      </c>
      <c r="B187">
        <v>0</v>
      </c>
      <c r="C187">
        <v>0</v>
      </c>
      <c r="K187" t="s">
        <v>207</v>
      </c>
      <c r="L187">
        <v>0.51900000000000002</v>
      </c>
      <c r="M187">
        <v>0.36399999999999999</v>
      </c>
      <c r="N187" t="s">
        <v>53</v>
      </c>
      <c r="O187">
        <v>0</v>
      </c>
      <c r="P187">
        <v>0</v>
      </c>
      <c r="Q187">
        <v>0</v>
      </c>
      <c r="R187">
        <v>-0.73299999999999998</v>
      </c>
      <c r="S187">
        <v>-0.34300000000000003</v>
      </c>
      <c r="T187">
        <v>-0.73199999999999998</v>
      </c>
      <c r="U187">
        <v>-0.84899999999999998</v>
      </c>
      <c r="V187">
        <v>-0.73799999999999999</v>
      </c>
      <c r="W187">
        <v>-0.93500000000000005</v>
      </c>
      <c r="X187">
        <v>-0.96</v>
      </c>
      <c r="Y187">
        <v>-0.86</v>
      </c>
      <c r="Z187">
        <v>-0.47699999999999998</v>
      </c>
      <c r="AA187">
        <v>-0.47699999999999998</v>
      </c>
      <c r="AB187">
        <v>-8.5999999999999993E-2</v>
      </c>
      <c r="AC187">
        <v>-5.8000000000000003E-2</v>
      </c>
      <c r="AD187">
        <v>2.9000000000000001E-2</v>
      </c>
      <c r="AE187">
        <v>-0.79100000000000004</v>
      </c>
      <c r="AF187">
        <v>-0.60699999999999998</v>
      </c>
      <c r="AG187">
        <v>-0.24199999999999999</v>
      </c>
      <c r="AH187">
        <v>-0.498</v>
      </c>
      <c r="AI187">
        <v>1.0999999999999999E-2</v>
      </c>
      <c r="AJ187">
        <v>-0.83599999999999997</v>
      </c>
      <c r="AK187">
        <v>-0.124</v>
      </c>
      <c r="AL187">
        <v>-1</v>
      </c>
      <c r="AM187">
        <v>-0.126</v>
      </c>
      <c r="AN187">
        <v>-0.313</v>
      </c>
      <c r="AO187">
        <v>0.38400000000000001</v>
      </c>
      <c r="AP187">
        <v>-0.433</v>
      </c>
      <c r="AQ187">
        <v>-0.23100000000000001</v>
      </c>
      <c r="AR187">
        <v>0.71</v>
      </c>
      <c r="AS187">
        <v>0.28199999999999997</v>
      </c>
      <c r="AT187">
        <v>-0.27100000000000002</v>
      </c>
      <c r="AU187">
        <v>-0.57999999999999996</v>
      </c>
      <c r="AV187">
        <v>-0.59</v>
      </c>
      <c r="AW187">
        <v>-0.77400000000000002</v>
      </c>
      <c r="AX187">
        <v>-0.45600000000000002</v>
      </c>
      <c r="AY187">
        <v>0.64</v>
      </c>
      <c r="AZ187">
        <v>-0.67</v>
      </c>
      <c r="BA187">
        <v>0.81499999999999995</v>
      </c>
      <c r="BB187">
        <v>0.92700000000000005</v>
      </c>
      <c r="BC187">
        <v>0.50700000000000001</v>
      </c>
      <c r="BD187">
        <v>1</v>
      </c>
      <c r="BE187">
        <v>-1</v>
      </c>
      <c r="BF187">
        <v>-0.67200000000000004</v>
      </c>
      <c r="BG187">
        <v>-0.84299999999999997</v>
      </c>
      <c r="BH187">
        <v>1</v>
      </c>
      <c r="BI187">
        <v>0.27500000000000002</v>
      </c>
      <c r="BJ187">
        <v>0.61</v>
      </c>
      <c r="BK187">
        <v>0.11899999999999999</v>
      </c>
    </row>
    <row r="188" spans="1:63" x14ac:dyDescent="0.3">
      <c r="A188" t="s">
        <v>242</v>
      </c>
      <c r="B188">
        <v>0</v>
      </c>
      <c r="C188">
        <v>0</v>
      </c>
      <c r="K188" t="s">
        <v>221</v>
      </c>
      <c r="L188">
        <v>0.51900000000000002</v>
      </c>
      <c r="M188">
        <v>0.48399999999999999</v>
      </c>
      <c r="N188" t="s">
        <v>57</v>
      </c>
      <c r="O188">
        <v>0</v>
      </c>
      <c r="P188">
        <v>0</v>
      </c>
      <c r="Q188">
        <v>0</v>
      </c>
      <c r="R188">
        <v>-0.83499999999999996</v>
      </c>
      <c r="S188">
        <v>-0.92900000000000005</v>
      </c>
      <c r="T188">
        <v>-0.91</v>
      </c>
      <c r="U188">
        <v>-0.72299999999999998</v>
      </c>
      <c r="V188">
        <v>-0.88900000000000001</v>
      </c>
      <c r="W188">
        <v>-0.85399999999999998</v>
      </c>
      <c r="X188">
        <v>-0.81399999999999995</v>
      </c>
      <c r="Y188">
        <v>-0.875</v>
      </c>
      <c r="Z188">
        <v>-0.33600000000000002</v>
      </c>
      <c r="AA188">
        <v>-0.33900000000000002</v>
      </c>
      <c r="AB188">
        <v>0.36899999999999999</v>
      </c>
      <c r="AC188">
        <v>0.36299999999999999</v>
      </c>
      <c r="AD188">
        <v>-0.04</v>
      </c>
      <c r="AE188">
        <v>-0.28000000000000003</v>
      </c>
      <c r="AF188">
        <v>3.4000000000000002E-2</v>
      </c>
      <c r="AG188">
        <v>-0.93100000000000005</v>
      </c>
      <c r="AH188">
        <v>-0.83099999999999996</v>
      </c>
      <c r="AI188">
        <v>-0.83899999999999997</v>
      </c>
      <c r="AJ188">
        <v>-0.47199999999999998</v>
      </c>
      <c r="AK188">
        <v>-0.27500000000000002</v>
      </c>
      <c r="AL188">
        <v>-0.48099999999999998</v>
      </c>
      <c r="AM188">
        <v>-0.67</v>
      </c>
      <c r="AN188">
        <v>0.46600000000000003</v>
      </c>
      <c r="AO188">
        <v>-0.64300000000000002</v>
      </c>
      <c r="AP188">
        <v>-0.159</v>
      </c>
      <c r="AQ188">
        <v>0.83699999999999997</v>
      </c>
      <c r="AR188">
        <v>0.39200000000000002</v>
      </c>
      <c r="AS188">
        <v>-0.17100000000000001</v>
      </c>
      <c r="AT188">
        <v>2.5999999999999999E-2</v>
      </c>
      <c r="AU188">
        <v>4.9000000000000002E-2</v>
      </c>
      <c r="AV188">
        <v>0.38700000000000001</v>
      </c>
      <c r="AW188">
        <v>6.0000000000000001E-3</v>
      </c>
      <c r="AX188">
        <v>7.3999999999999996E-2</v>
      </c>
      <c r="AY188">
        <v>0.8</v>
      </c>
      <c r="AZ188">
        <v>-9.5000000000000001E-2</v>
      </c>
      <c r="BA188">
        <v>-8.0000000000000002E-3</v>
      </c>
      <c r="BB188">
        <v>-0.49</v>
      </c>
      <c r="BC188">
        <v>-0.39400000000000002</v>
      </c>
      <c r="BD188">
        <v>-7.8E-2</v>
      </c>
      <c r="BE188">
        <v>-0.80800000000000005</v>
      </c>
      <c r="BF188">
        <v>-1</v>
      </c>
      <c r="BG188">
        <v>-0.76200000000000001</v>
      </c>
      <c r="BH188">
        <v>-1.4E-2</v>
      </c>
      <c r="BI188">
        <v>-0.01</v>
      </c>
      <c r="BJ188">
        <v>-0.59699999999999998</v>
      </c>
      <c r="BK188">
        <v>-0.112</v>
      </c>
    </row>
    <row r="189" spans="1:63" x14ac:dyDescent="0.3">
      <c r="A189" t="s">
        <v>133</v>
      </c>
      <c r="B189">
        <v>0</v>
      </c>
      <c r="C189">
        <v>0</v>
      </c>
      <c r="K189" t="s">
        <v>235</v>
      </c>
      <c r="L189">
        <v>0.51800000000000002</v>
      </c>
      <c r="M189">
        <v>0.42799999999999999</v>
      </c>
      <c r="N189" t="s">
        <v>57</v>
      </c>
      <c r="O189">
        <v>0</v>
      </c>
      <c r="P189">
        <v>0</v>
      </c>
      <c r="Q189">
        <v>0</v>
      </c>
      <c r="R189">
        <v>-0.82799999999999996</v>
      </c>
      <c r="S189">
        <v>-0.92100000000000004</v>
      </c>
      <c r="T189">
        <v>-0.81899999999999995</v>
      </c>
      <c r="U189">
        <v>-0.81399999999999995</v>
      </c>
      <c r="V189">
        <v>-0.89400000000000002</v>
      </c>
      <c r="W189">
        <v>-0.80600000000000005</v>
      </c>
      <c r="X189">
        <v>-0.748</v>
      </c>
      <c r="Y189">
        <v>-0.89</v>
      </c>
      <c r="Z189">
        <v>-0.37</v>
      </c>
      <c r="AA189">
        <v>-0.36699999999999999</v>
      </c>
      <c r="AB189">
        <v>0.437</v>
      </c>
      <c r="AC189">
        <v>0.35499999999999998</v>
      </c>
      <c r="AD189">
        <v>-0.122</v>
      </c>
      <c r="AE189">
        <v>-0.20300000000000001</v>
      </c>
      <c r="AF189">
        <v>-0.627</v>
      </c>
      <c r="AG189">
        <v>-0.99</v>
      </c>
      <c r="AH189">
        <v>-0.66300000000000003</v>
      </c>
      <c r="AI189">
        <v>-0.72799999999999998</v>
      </c>
      <c r="AJ189">
        <v>0.501</v>
      </c>
      <c r="AK189">
        <v>-0.252</v>
      </c>
      <c r="AL189">
        <v>-0.67900000000000005</v>
      </c>
      <c r="AM189">
        <v>-0.73299999999999998</v>
      </c>
      <c r="AN189">
        <v>0.52100000000000002</v>
      </c>
      <c r="AO189">
        <v>-0.70199999999999996</v>
      </c>
      <c r="AP189">
        <v>-0.42799999999999999</v>
      </c>
      <c r="AQ189">
        <v>4.8000000000000001E-2</v>
      </c>
      <c r="AR189">
        <v>-4.2000000000000003E-2</v>
      </c>
      <c r="AS189">
        <v>-0.71099999999999997</v>
      </c>
      <c r="AT189">
        <v>0.35899999999999999</v>
      </c>
      <c r="AU189">
        <v>3.5999999999999997E-2</v>
      </c>
      <c r="AV189">
        <v>0.35399999999999998</v>
      </c>
      <c r="AW189">
        <v>-5.6000000000000001E-2</v>
      </c>
      <c r="AX189">
        <v>0.153</v>
      </c>
      <c r="AY189">
        <v>0.55000000000000004</v>
      </c>
      <c r="AZ189">
        <v>1</v>
      </c>
      <c r="BA189">
        <v>-9.8000000000000004E-2</v>
      </c>
      <c r="BB189">
        <v>-0.45800000000000002</v>
      </c>
      <c r="BC189">
        <v>-0.36199999999999999</v>
      </c>
      <c r="BD189">
        <v>0.15</v>
      </c>
      <c r="BE189">
        <v>5.2999999999999999E-2</v>
      </c>
      <c r="BF189">
        <v>0.747</v>
      </c>
      <c r="BG189">
        <v>-0.124</v>
      </c>
      <c r="BH189">
        <v>-0.182</v>
      </c>
      <c r="BI189">
        <v>-0.104</v>
      </c>
      <c r="BJ189">
        <v>-0.73099999999999998</v>
      </c>
      <c r="BK189">
        <v>-2E-3</v>
      </c>
    </row>
    <row r="190" spans="1:63" x14ac:dyDescent="0.3">
      <c r="A190" t="s">
        <v>109</v>
      </c>
      <c r="B190">
        <v>0</v>
      </c>
      <c r="C190">
        <v>0</v>
      </c>
      <c r="K190" t="s">
        <v>219</v>
      </c>
      <c r="L190">
        <v>0.51800000000000002</v>
      </c>
      <c r="M190">
        <v>0.42899999999999999</v>
      </c>
      <c r="N190" t="s">
        <v>57</v>
      </c>
      <c r="O190">
        <v>0</v>
      </c>
      <c r="P190">
        <v>0</v>
      </c>
      <c r="Q190">
        <v>0</v>
      </c>
      <c r="R190">
        <v>-0.85</v>
      </c>
      <c r="S190">
        <v>-0.95799999999999996</v>
      </c>
      <c r="T190">
        <v>-0.873</v>
      </c>
      <c r="U190">
        <v>-0.80300000000000005</v>
      </c>
      <c r="V190">
        <v>-0.91200000000000003</v>
      </c>
      <c r="W190">
        <v>-0.84099999999999997</v>
      </c>
      <c r="X190">
        <v>-0.79</v>
      </c>
      <c r="Y190">
        <v>-0.93400000000000005</v>
      </c>
      <c r="Z190">
        <v>-0.191</v>
      </c>
      <c r="AA190">
        <v>-0.193</v>
      </c>
      <c r="AB190">
        <v>0.379</v>
      </c>
      <c r="AC190">
        <v>0.28000000000000003</v>
      </c>
      <c r="AD190">
        <v>-6.0999999999999999E-2</v>
      </c>
      <c r="AE190">
        <v>-0.40500000000000003</v>
      </c>
      <c r="AF190">
        <v>0.375</v>
      </c>
      <c r="AG190">
        <v>-0.96099999999999997</v>
      </c>
      <c r="AH190">
        <v>-0.81899999999999995</v>
      </c>
      <c r="AI190">
        <v>-0.97199999999999998</v>
      </c>
      <c r="AJ190">
        <v>-0.308</v>
      </c>
      <c r="AK190">
        <v>-0.20899999999999999</v>
      </c>
      <c r="AL190">
        <v>-0.84299999999999997</v>
      </c>
      <c r="AM190">
        <v>-0.35499999999999998</v>
      </c>
      <c r="AN190">
        <v>0.56699999999999995</v>
      </c>
      <c r="AO190">
        <v>-0.74299999999999999</v>
      </c>
      <c r="AP190">
        <v>-0.55000000000000004</v>
      </c>
      <c r="AQ190">
        <v>0.63500000000000001</v>
      </c>
      <c r="AR190">
        <v>0.34</v>
      </c>
      <c r="AS190">
        <v>-0.38800000000000001</v>
      </c>
      <c r="AT190">
        <v>-1.0999999999999999E-2</v>
      </c>
      <c r="AU190">
        <v>0.13400000000000001</v>
      </c>
      <c r="AV190">
        <v>2E-3</v>
      </c>
      <c r="AW190">
        <v>-0.30199999999999999</v>
      </c>
      <c r="AX190">
        <v>-0.29199999999999998</v>
      </c>
      <c r="AY190">
        <v>0.871</v>
      </c>
      <c r="AZ190">
        <v>0.44500000000000001</v>
      </c>
      <c r="BA190">
        <v>0.253</v>
      </c>
      <c r="BB190">
        <v>-0.67700000000000005</v>
      </c>
      <c r="BC190">
        <v>-0.39800000000000002</v>
      </c>
      <c r="BD190">
        <v>3.2000000000000001E-2</v>
      </c>
      <c r="BE190">
        <v>1</v>
      </c>
      <c r="BF190">
        <v>1</v>
      </c>
      <c r="BG190">
        <v>-0.217</v>
      </c>
      <c r="BH190">
        <v>-0.56799999999999995</v>
      </c>
      <c r="BI190">
        <v>-0.13</v>
      </c>
      <c r="BJ190">
        <v>-5.8000000000000003E-2</v>
      </c>
      <c r="BK190">
        <v>0.16500000000000001</v>
      </c>
    </row>
    <row r="191" spans="1:63" x14ac:dyDescent="0.3">
      <c r="A191" t="s">
        <v>121</v>
      </c>
      <c r="B191">
        <v>0.108765258318773</v>
      </c>
      <c r="C191">
        <v>6.1718063583087998E-2</v>
      </c>
      <c r="K191" t="s">
        <v>248</v>
      </c>
      <c r="L191">
        <v>0.51600000000000001</v>
      </c>
      <c r="M191">
        <v>0.42199999999999999</v>
      </c>
      <c r="N191" t="s">
        <v>57</v>
      </c>
      <c r="O191">
        <v>0</v>
      </c>
      <c r="P191">
        <v>-5.0000000000000001E-3</v>
      </c>
      <c r="Q191">
        <v>5.0000000000000001E-3</v>
      </c>
      <c r="R191">
        <v>-0.77600000000000002</v>
      </c>
      <c r="S191">
        <v>-0.84299999999999997</v>
      </c>
      <c r="T191">
        <v>-0.82199999999999995</v>
      </c>
      <c r="U191">
        <v>-0.81799999999999995</v>
      </c>
      <c r="V191">
        <v>-0.86899999999999999</v>
      </c>
      <c r="W191">
        <v>-0.83799999999999997</v>
      </c>
      <c r="X191">
        <v>-0.84599999999999997</v>
      </c>
      <c r="Y191">
        <v>-0.93600000000000005</v>
      </c>
      <c r="Z191">
        <v>-0.45200000000000001</v>
      </c>
      <c r="AA191">
        <v>-0.45400000000000001</v>
      </c>
      <c r="AB191">
        <v>0.32900000000000001</v>
      </c>
      <c r="AC191">
        <v>0.39600000000000002</v>
      </c>
      <c r="AD191">
        <v>-7.9000000000000001E-2</v>
      </c>
      <c r="AE191">
        <v>-0.19700000000000001</v>
      </c>
      <c r="AF191">
        <v>0.20899999999999999</v>
      </c>
      <c r="AG191">
        <v>-0.83299999999999996</v>
      </c>
      <c r="AH191">
        <v>-0.28100000000000003</v>
      </c>
      <c r="AI191">
        <v>-0.51500000000000001</v>
      </c>
      <c r="AJ191">
        <v>-0.74099999999999999</v>
      </c>
      <c r="AK191">
        <v>-1.2999999999999999E-2</v>
      </c>
      <c r="AL191">
        <v>-1</v>
      </c>
      <c r="AM191">
        <v>-5.5E-2</v>
      </c>
      <c r="AN191">
        <v>-0.13700000000000001</v>
      </c>
      <c r="AO191">
        <v>-0.59299999999999997</v>
      </c>
      <c r="AP191">
        <v>-0.91100000000000003</v>
      </c>
      <c r="AQ191">
        <v>-0.05</v>
      </c>
      <c r="AR191">
        <v>1</v>
      </c>
      <c r="AS191">
        <v>0.24199999999999999</v>
      </c>
      <c r="AT191">
        <v>-0.29599999999999999</v>
      </c>
      <c r="AU191">
        <v>-0.56499999999999995</v>
      </c>
      <c r="AV191">
        <v>-9.2999999999999999E-2</v>
      </c>
      <c r="AW191">
        <v>-0.435</v>
      </c>
      <c r="AX191">
        <v>-0.82899999999999996</v>
      </c>
      <c r="AY191">
        <v>0.52400000000000002</v>
      </c>
      <c r="AZ191">
        <v>0.63900000000000001</v>
      </c>
      <c r="BA191">
        <v>0.191</v>
      </c>
      <c r="BB191">
        <v>0.28100000000000003</v>
      </c>
      <c r="BC191">
        <v>0.1</v>
      </c>
      <c r="BD191">
        <v>0.46300000000000002</v>
      </c>
      <c r="BE191">
        <v>0.47</v>
      </c>
      <c r="BF191">
        <v>-0.54300000000000004</v>
      </c>
      <c r="BG191">
        <v>0.22500000000000001</v>
      </c>
      <c r="BH191">
        <v>0.19600000000000001</v>
      </c>
      <c r="BI191">
        <v>0.58499999999999996</v>
      </c>
      <c r="BJ191">
        <v>-0.70499999999999996</v>
      </c>
      <c r="BK191">
        <v>3.2000000000000001E-2</v>
      </c>
    </row>
    <row r="192" spans="1:63" x14ac:dyDescent="0.3">
      <c r="A192" t="s">
        <v>148</v>
      </c>
      <c r="B192">
        <v>0</v>
      </c>
      <c r="C192">
        <v>0</v>
      </c>
      <c r="K192" t="s">
        <v>202</v>
      </c>
      <c r="L192">
        <v>0.51500000000000001</v>
      </c>
      <c r="M192">
        <v>0.44900000000000001</v>
      </c>
      <c r="N192" t="s">
        <v>57</v>
      </c>
      <c r="O192">
        <v>0</v>
      </c>
      <c r="P192">
        <v>-4.0000000000000001E-3</v>
      </c>
      <c r="Q192">
        <v>4.0000000000000001E-3</v>
      </c>
      <c r="R192">
        <v>-0.876</v>
      </c>
      <c r="S192">
        <v>-0.94299999999999995</v>
      </c>
      <c r="T192">
        <v>-0.89200000000000002</v>
      </c>
      <c r="U192">
        <v>-0.89</v>
      </c>
      <c r="V192">
        <v>-0.94499999999999995</v>
      </c>
      <c r="W192">
        <v>-0.85099999999999998</v>
      </c>
      <c r="X192">
        <v>-0.78400000000000003</v>
      </c>
      <c r="Y192">
        <v>-0.93400000000000005</v>
      </c>
      <c r="Z192">
        <v>-0.30199999999999999</v>
      </c>
      <c r="AA192">
        <v>-0.30499999999999999</v>
      </c>
      <c r="AB192">
        <v>0.30299999999999999</v>
      </c>
      <c r="AC192">
        <v>0.13600000000000001</v>
      </c>
      <c r="AD192">
        <v>1.7000000000000001E-2</v>
      </c>
      <c r="AE192">
        <v>-0.51400000000000001</v>
      </c>
      <c r="AF192">
        <v>-0.754</v>
      </c>
      <c r="AG192">
        <v>-0.91300000000000003</v>
      </c>
      <c r="AH192">
        <v>-0.68500000000000005</v>
      </c>
      <c r="AI192">
        <v>-0.42099999999999999</v>
      </c>
      <c r="AJ192">
        <v>-0.83499999999999996</v>
      </c>
      <c r="AK192">
        <v>-0.251</v>
      </c>
      <c r="AL192">
        <v>-1</v>
      </c>
      <c r="AM192">
        <v>-0.78800000000000003</v>
      </c>
      <c r="AN192">
        <v>0.107</v>
      </c>
      <c r="AO192">
        <v>-0.34899999999999998</v>
      </c>
      <c r="AP192">
        <v>-0.107</v>
      </c>
      <c r="AQ192">
        <v>-0.28399999999999997</v>
      </c>
      <c r="AR192">
        <v>-0.49</v>
      </c>
      <c r="AS192">
        <v>-0.25800000000000001</v>
      </c>
      <c r="AT192">
        <v>-0.19700000000000001</v>
      </c>
      <c r="AU192">
        <v>-0.41399999999999998</v>
      </c>
      <c r="AV192">
        <v>7.6999999999999999E-2</v>
      </c>
      <c r="AW192">
        <v>0.17499999999999999</v>
      </c>
      <c r="AX192">
        <v>-0.26900000000000002</v>
      </c>
      <c r="AY192">
        <v>-0.78300000000000003</v>
      </c>
      <c r="AZ192">
        <v>-0.27600000000000002</v>
      </c>
      <c r="BA192">
        <v>0.65800000000000003</v>
      </c>
      <c r="BB192">
        <v>-0.154</v>
      </c>
      <c r="BC192">
        <v>-0.23300000000000001</v>
      </c>
      <c r="BD192">
        <v>0.48699999999999999</v>
      </c>
      <c r="BE192">
        <v>0.19500000000000001</v>
      </c>
      <c r="BF192">
        <v>0.39900000000000002</v>
      </c>
      <c r="BG192">
        <v>0.45200000000000001</v>
      </c>
      <c r="BH192">
        <v>4.0000000000000001E-3</v>
      </c>
      <c r="BI192">
        <v>0.153</v>
      </c>
      <c r="BJ192">
        <v>0.58499999999999996</v>
      </c>
      <c r="BK192">
        <v>0.20599999999999999</v>
      </c>
    </row>
    <row r="193" spans="1:63" x14ac:dyDescent="0.3">
      <c r="A193" t="s">
        <v>130</v>
      </c>
      <c r="B193">
        <v>0</v>
      </c>
      <c r="C193">
        <v>0</v>
      </c>
      <c r="K193" t="s">
        <v>195</v>
      </c>
      <c r="L193">
        <v>0.51400000000000001</v>
      </c>
      <c r="M193">
        <v>0.45500000000000002</v>
      </c>
      <c r="N193" t="s">
        <v>57</v>
      </c>
      <c r="O193">
        <v>0</v>
      </c>
      <c r="P193">
        <v>0</v>
      </c>
      <c r="Q193">
        <v>0</v>
      </c>
      <c r="R193">
        <v>-0.94799999999999995</v>
      </c>
      <c r="S193">
        <v>-0.99099999999999999</v>
      </c>
      <c r="T193">
        <v>-0.997</v>
      </c>
      <c r="U193">
        <v>-0.93799999999999994</v>
      </c>
      <c r="V193">
        <v>-1</v>
      </c>
      <c r="W193">
        <v>-0.85199999999999998</v>
      </c>
      <c r="X193">
        <v>-0.69</v>
      </c>
      <c r="Y193">
        <v>-0.97799999999999998</v>
      </c>
      <c r="Z193">
        <v>-0.115</v>
      </c>
      <c r="AA193">
        <v>-0.11</v>
      </c>
      <c r="AB193">
        <v>4.0000000000000001E-3</v>
      </c>
      <c r="AC193">
        <v>0.19400000000000001</v>
      </c>
      <c r="AD193">
        <v>9.6000000000000002E-2</v>
      </c>
      <c r="AE193">
        <v>-1</v>
      </c>
      <c r="AF193">
        <v>-0.71799999999999997</v>
      </c>
      <c r="AG193">
        <v>-1</v>
      </c>
      <c r="AH193">
        <v>-1</v>
      </c>
      <c r="AI193">
        <v>-1</v>
      </c>
      <c r="AJ193">
        <v>-0.85699999999999998</v>
      </c>
      <c r="AK193">
        <v>-0.38</v>
      </c>
      <c r="AL193">
        <v>-1</v>
      </c>
      <c r="AM193">
        <v>-0.80100000000000005</v>
      </c>
      <c r="AN193">
        <v>0.311</v>
      </c>
      <c r="AO193">
        <v>-0.66500000000000004</v>
      </c>
      <c r="AP193">
        <v>-0.84699999999999998</v>
      </c>
      <c r="AQ193">
        <v>0.27900000000000003</v>
      </c>
      <c r="AR193">
        <v>0.30599999999999999</v>
      </c>
      <c r="AS193">
        <v>0.28699999999999998</v>
      </c>
      <c r="AT193">
        <v>0.152</v>
      </c>
      <c r="AU193">
        <v>2.5000000000000001E-2</v>
      </c>
      <c r="AV193">
        <v>-0.623</v>
      </c>
      <c r="AW193">
        <v>0</v>
      </c>
      <c r="AX193">
        <v>5.8999999999999997E-2</v>
      </c>
      <c r="AY193">
        <v>-1.0999999999999999E-2</v>
      </c>
      <c r="AZ193">
        <v>2.1999999999999999E-2</v>
      </c>
      <c r="BA193">
        <v>0.55300000000000005</v>
      </c>
      <c r="BB193">
        <v>-0.50900000000000001</v>
      </c>
      <c r="BC193">
        <v>-0.58699999999999997</v>
      </c>
      <c r="BD193">
        <v>-0.25600000000000001</v>
      </c>
      <c r="BE193">
        <v>0.26</v>
      </c>
      <c r="BF193">
        <v>0.435</v>
      </c>
      <c r="BG193">
        <v>0.90300000000000002</v>
      </c>
      <c r="BH193">
        <v>-0.35899999999999999</v>
      </c>
      <c r="BI193">
        <v>-0.61099999999999999</v>
      </c>
      <c r="BJ193">
        <v>0.21</v>
      </c>
      <c r="BK193">
        <v>-0.38600000000000001</v>
      </c>
    </row>
    <row r="194" spans="1:63" x14ac:dyDescent="0.3">
      <c r="A194" t="s">
        <v>219</v>
      </c>
      <c r="B194">
        <v>0</v>
      </c>
      <c r="C194">
        <v>0</v>
      </c>
      <c r="K194" t="s">
        <v>254</v>
      </c>
      <c r="L194">
        <v>0.51200000000000001</v>
      </c>
      <c r="M194">
        <v>0.53100000000000003</v>
      </c>
      <c r="N194" t="s">
        <v>57</v>
      </c>
      <c r="O194">
        <v>0</v>
      </c>
      <c r="P194">
        <v>-2.1999999999999999E-2</v>
      </c>
      <c r="Q194">
        <v>2.1999999999999999E-2</v>
      </c>
      <c r="R194">
        <v>-0.92700000000000005</v>
      </c>
      <c r="S194">
        <v>-0.91300000000000003</v>
      </c>
      <c r="T194">
        <v>-0.92700000000000005</v>
      </c>
      <c r="U194">
        <v>-0.9</v>
      </c>
      <c r="V194">
        <v>-0.91900000000000004</v>
      </c>
      <c r="W194">
        <v>-0.89700000000000002</v>
      </c>
      <c r="X194">
        <v>-0.84599999999999997</v>
      </c>
      <c r="Y194">
        <v>-0.95899999999999996</v>
      </c>
      <c r="Z194">
        <v>-0.53</v>
      </c>
      <c r="AA194">
        <v>-0.52900000000000003</v>
      </c>
      <c r="AB194">
        <v>0.54900000000000004</v>
      </c>
      <c r="AC194">
        <v>0.42899999999999999</v>
      </c>
      <c r="AD194">
        <v>8.9999999999999993E-3</v>
      </c>
      <c r="AE194">
        <v>-5.8000000000000003E-2</v>
      </c>
      <c r="AF194">
        <v>-0.186</v>
      </c>
      <c r="AG194">
        <v>-0.72</v>
      </c>
      <c r="AH194">
        <v>-0.55000000000000004</v>
      </c>
      <c r="AI194">
        <v>-1</v>
      </c>
      <c r="AJ194">
        <v>-0.98899999999999999</v>
      </c>
      <c r="AK194">
        <v>0.27700000000000002</v>
      </c>
      <c r="AL194">
        <v>-0.80900000000000005</v>
      </c>
      <c r="AM194">
        <v>0.154</v>
      </c>
      <c r="AN194">
        <v>-0.34300000000000003</v>
      </c>
      <c r="AO194">
        <v>-0.81499999999999995</v>
      </c>
      <c r="AP194">
        <v>-0.58499999999999996</v>
      </c>
      <c r="AQ194">
        <v>-0.189</v>
      </c>
      <c r="AR194">
        <v>-0.61199999999999999</v>
      </c>
      <c r="AS194">
        <v>-0.42199999999999999</v>
      </c>
      <c r="AT194">
        <v>-0.43099999999999999</v>
      </c>
      <c r="AU194">
        <v>-0.16200000000000001</v>
      </c>
      <c r="AV194">
        <v>-0.26100000000000001</v>
      </c>
      <c r="AW194">
        <v>-0.41899999999999998</v>
      </c>
      <c r="AX194">
        <v>-0.33100000000000002</v>
      </c>
      <c r="AY194">
        <v>0.30399999999999999</v>
      </c>
      <c r="AZ194">
        <v>-0.27300000000000002</v>
      </c>
      <c r="BA194">
        <v>-3.7999999999999999E-2</v>
      </c>
      <c r="BB194">
        <v>0.32800000000000001</v>
      </c>
      <c r="BC194">
        <v>4.4999999999999998E-2</v>
      </c>
      <c r="BD194">
        <v>0.08</v>
      </c>
      <c r="BE194">
        <v>0.35899999999999999</v>
      </c>
      <c r="BF194">
        <v>-0.10299999999999999</v>
      </c>
      <c r="BG194">
        <v>0.39900000000000002</v>
      </c>
      <c r="BH194">
        <v>0.65300000000000002</v>
      </c>
      <c r="BI194">
        <v>0.35599999999999998</v>
      </c>
      <c r="BJ194">
        <v>-0.622</v>
      </c>
      <c r="BK194">
        <v>-0.26900000000000002</v>
      </c>
    </row>
    <row r="195" spans="1:63" x14ac:dyDescent="0.3">
      <c r="A195" t="s">
        <v>227</v>
      </c>
      <c r="B195">
        <v>0</v>
      </c>
      <c r="C195">
        <v>0</v>
      </c>
      <c r="K195" t="s">
        <v>230</v>
      </c>
      <c r="L195">
        <v>0.50800000000000001</v>
      </c>
      <c r="M195">
        <v>0.38800000000000001</v>
      </c>
      <c r="N195" t="s">
        <v>71</v>
      </c>
      <c r="O195">
        <v>0</v>
      </c>
      <c r="P195">
        <v>0</v>
      </c>
      <c r="Q195">
        <v>0</v>
      </c>
      <c r="R195">
        <v>-1</v>
      </c>
      <c r="S195">
        <v>-0.98</v>
      </c>
      <c r="T195">
        <v>-1</v>
      </c>
      <c r="U195">
        <v>-0.996</v>
      </c>
      <c r="V195">
        <v>-0.998</v>
      </c>
      <c r="W195">
        <v>-0.95699999999999996</v>
      </c>
      <c r="X195">
        <v>-0.93899999999999995</v>
      </c>
      <c r="Y195">
        <v>-0.96099999999999997</v>
      </c>
      <c r="Z195">
        <v>-0.48799999999999999</v>
      </c>
      <c r="AA195">
        <v>-0.48799999999999999</v>
      </c>
      <c r="AB195">
        <v>0.23899999999999999</v>
      </c>
      <c r="AC195">
        <v>0.46400000000000002</v>
      </c>
      <c r="AD195">
        <v>0.129</v>
      </c>
      <c r="AE195">
        <v>-0.95699999999999996</v>
      </c>
      <c r="AF195">
        <v>-0.92300000000000004</v>
      </c>
      <c r="AG195">
        <v>-0.97399999999999998</v>
      </c>
      <c r="AH195">
        <v>-0.79800000000000004</v>
      </c>
      <c r="AI195">
        <v>-0.92800000000000005</v>
      </c>
      <c r="AJ195">
        <v>-0.93700000000000006</v>
      </c>
      <c r="AK195">
        <v>-0.64500000000000002</v>
      </c>
      <c r="AL195">
        <v>-0.11</v>
      </c>
      <c r="AM195">
        <v>0.186</v>
      </c>
      <c r="AN195">
        <v>-0.73199999999999998</v>
      </c>
      <c r="AO195">
        <v>-0.61099999999999999</v>
      </c>
      <c r="AP195">
        <v>-0.66900000000000004</v>
      </c>
      <c r="AQ195">
        <v>-0.68100000000000005</v>
      </c>
      <c r="AR195">
        <v>0.42</v>
      </c>
      <c r="AS195">
        <v>-3.2000000000000001E-2</v>
      </c>
      <c r="AT195">
        <v>-0.36699999999999999</v>
      </c>
      <c r="AU195">
        <v>-0.57499999999999996</v>
      </c>
      <c r="AV195">
        <v>-0.81499999999999995</v>
      </c>
      <c r="AW195">
        <v>-0.42899999999999999</v>
      </c>
      <c r="AX195">
        <v>-0.70099999999999996</v>
      </c>
      <c r="AY195">
        <v>0.63</v>
      </c>
      <c r="AZ195">
        <v>-1</v>
      </c>
      <c r="BA195">
        <v>0.32900000000000001</v>
      </c>
      <c r="BB195">
        <v>3.5999999999999997E-2</v>
      </c>
      <c r="BC195">
        <v>-0.02</v>
      </c>
      <c r="BD195">
        <v>0.20799999999999999</v>
      </c>
      <c r="BE195">
        <v>-0.70299999999999996</v>
      </c>
      <c r="BF195">
        <v>-0.437</v>
      </c>
      <c r="BG195">
        <v>-3.4000000000000002E-2</v>
      </c>
      <c r="BH195">
        <v>0.50800000000000001</v>
      </c>
      <c r="BI195">
        <v>0.35699999999999998</v>
      </c>
      <c r="BJ195">
        <v>-0.32800000000000001</v>
      </c>
      <c r="BK195">
        <v>9.9000000000000005E-2</v>
      </c>
    </row>
    <row r="196" spans="1:63" x14ac:dyDescent="0.3">
      <c r="A196" t="s">
        <v>147</v>
      </c>
      <c r="B196">
        <v>0</v>
      </c>
      <c r="C196">
        <v>0</v>
      </c>
      <c r="K196" t="s">
        <v>212</v>
      </c>
      <c r="L196">
        <v>0.50700000000000001</v>
      </c>
      <c r="M196">
        <v>0.38700000000000001</v>
      </c>
      <c r="N196" t="s">
        <v>57</v>
      </c>
      <c r="O196">
        <v>0</v>
      </c>
      <c r="P196">
        <v>0</v>
      </c>
      <c r="Q196">
        <v>0</v>
      </c>
      <c r="R196">
        <v>-0.97499999999999998</v>
      </c>
      <c r="S196">
        <v>-1</v>
      </c>
      <c r="T196">
        <v>-0.94199999999999995</v>
      </c>
      <c r="U196">
        <v>-0.95</v>
      </c>
      <c r="V196">
        <v>-0.98699999999999999</v>
      </c>
      <c r="W196">
        <v>-0.93500000000000005</v>
      </c>
      <c r="X196">
        <v>-0.89600000000000002</v>
      </c>
      <c r="Y196">
        <v>-0.94499999999999995</v>
      </c>
      <c r="Z196">
        <v>-0.317</v>
      </c>
      <c r="AA196">
        <v>-0.314</v>
      </c>
      <c r="AB196">
        <v>0.214</v>
      </c>
      <c r="AC196">
        <v>0.27700000000000002</v>
      </c>
      <c r="AD196">
        <v>-4.1000000000000002E-2</v>
      </c>
      <c r="AE196">
        <v>-0.83899999999999997</v>
      </c>
      <c r="AF196">
        <v>-0.67200000000000004</v>
      </c>
      <c r="AG196">
        <v>-1</v>
      </c>
      <c r="AH196">
        <v>-0.38800000000000001</v>
      </c>
      <c r="AI196">
        <v>-0.57599999999999996</v>
      </c>
      <c r="AJ196">
        <v>-0.432</v>
      </c>
      <c r="AK196">
        <v>-0.113</v>
      </c>
      <c r="AL196">
        <v>-0.32600000000000001</v>
      </c>
      <c r="AM196">
        <v>-0.65400000000000003</v>
      </c>
      <c r="AN196">
        <v>-0.25800000000000001</v>
      </c>
      <c r="AO196">
        <v>-0.76400000000000001</v>
      </c>
      <c r="AP196">
        <v>-0.72099999999999997</v>
      </c>
      <c r="AQ196">
        <v>-4.4999999999999998E-2</v>
      </c>
      <c r="AR196">
        <v>-0.375</v>
      </c>
      <c r="AS196">
        <v>-0.74399999999999999</v>
      </c>
      <c r="AT196">
        <v>0.42299999999999999</v>
      </c>
      <c r="AU196">
        <v>-0.374</v>
      </c>
      <c r="AV196">
        <v>-0.64</v>
      </c>
      <c r="AW196">
        <v>-0.19600000000000001</v>
      </c>
      <c r="AX196">
        <v>0.40100000000000002</v>
      </c>
      <c r="AY196">
        <v>0.68100000000000005</v>
      </c>
      <c r="AZ196">
        <v>0.38</v>
      </c>
      <c r="BA196">
        <v>-0.497</v>
      </c>
      <c r="BB196">
        <v>-0.56799999999999995</v>
      </c>
      <c r="BC196">
        <v>-0.3</v>
      </c>
      <c r="BD196">
        <v>-0.23799999999999999</v>
      </c>
      <c r="BE196">
        <v>0.76400000000000001</v>
      </c>
      <c r="BF196">
        <v>0.60799999999999998</v>
      </c>
      <c r="BG196">
        <v>-8.4000000000000005E-2</v>
      </c>
      <c r="BH196">
        <v>-0.61399999999999999</v>
      </c>
      <c r="BI196">
        <v>0.29099999999999998</v>
      </c>
      <c r="BJ196">
        <v>-0.41899999999999998</v>
      </c>
      <c r="BK196">
        <v>0.23499999999999999</v>
      </c>
    </row>
    <row r="197" spans="1:63" x14ac:dyDescent="0.3">
      <c r="A197" t="s">
        <v>67</v>
      </c>
      <c r="B197">
        <v>0</v>
      </c>
      <c r="C197">
        <v>0</v>
      </c>
      <c r="K197" t="s">
        <v>181</v>
      </c>
      <c r="L197">
        <v>0.50600000000000001</v>
      </c>
      <c r="M197">
        <v>0.39700000000000002</v>
      </c>
      <c r="N197" t="s">
        <v>68</v>
      </c>
      <c r="O197">
        <v>0</v>
      </c>
      <c r="P197">
        <v>0</v>
      </c>
      <c r="Q197">
        <v>0</v>
      </c>
      <c r="R197">
        <v>-0.89200000000000002</v>
      </c>
      <c r="S197">
        <v>-0.999</v>
      </c>
      <c r="T197">
        <v>-0.97899999999999998</v>
      </c>
      <c r="U197">
        <v>-0.86599999999999999</v>
      </c>
      <c r="V197">
        <v>-0.98799999999999999</v>
      </c>
      <c r="W197">
        <v>-0.86199999999999999</v>
      </c>
      <c r="X197">
        <v>-0.83399999999999996</v>
      </c>
      <c r="Y197">
        <v>-0.92300000000000004</v>
      </c>
      <c r="Z197">
        <v>-0.35299999999999998</v>
      </c>
      <c r="AA197">
        <v>-0.35299999999999998</v>
      </c>
      <c r="AB197">
        <v>0.28499999999999998</v>
      </c>
      <c r="AC197">
        <v>0.254</v>
      </c>
      <c r="AD197">
        <v>-0.25900000000000001</v>
      </c>
      <c r="AE197">
        <v>-0.57199999999999995</v>
      </c>
      <c r="AF197">
        <v>-0.64700000000000002</v>
      </c>
      <c r="AG197">
        <v>-0.98399999999999999</v>
      </c>
      <c r="AH197">
        <v>-1</v>
      </c>
      <c r="AI197">
        <v>-1</v>
      </c>
      <c r="AJ197">
        <v>-0.72899999999999998</v>
      </c>
      <c r="AK197">
        <v>-0.34599999999999997</v>
      </c>
      <c r="AL197">
        <v>-0.94</v>
      </c>
      <c r="AM197">
        <v>-0.82199999999999995</v>
      </c>
      <c r="AN197">
        <v>0.32600000000000001</v>
      </c>
      <c r="AO197">
        <v>-0.27300000000000002</v>
      </c>
      <c r="AP197">
        <v>-0.314</v>
      </c>
      <c r="AQ197">
        <v>0.45500000000000002</v>
      </c>
      <c r="AR197">
        <v>-0.27700000000000002</v>
      </c>
      <c r="AS197">
        <v>-0.40799999999999997</v>
      </c>
      <c r="AT197">
        <v>-6.6000000000000003E-2</v>
      </c>
      <c r="AU197">
        <v>-0.64900000000000002</v>
      </c>
      <c r="AV197">
        <v>0.221</v>
      </c>
      <c r="AW197">
        <v>0.36199999999999999</v>
      </c>
      <c r="AX197">
        <v>9.4E-2</v>
      </c>
      <c r="AY197">
        <v>0.26</v>
      </c>
      <c r="AZ197">
        <v>0.63</v>
      </c>
      <c r="BA197">
        <v>0.28799999999999998</v>
      </c>
      <c r="BB197">
        <v>8.4000000000000005E-2</v>
      </c>
      <c r="BC197">
        <v>0.253</v>
      </c>
      <c r="BD197">
        <v>0.34599999999999997</v>
      </c>
      <c r="BE197">
        <v>0.24</v>
      </c>
      <c r="BF197">
        <v>0.92300000000000004</v>
      </c>
      <c r="BG197">
        <v>-0.1</v>
      </c>
      <c r="BH197">
        <v>-1</v>
      </c>
      <c r="BI197">
        <v>0.79800000000000004</v>
      </c>
      <c r="BJ197">
        <v>-0.42399999999999999</v>
      </c>
      <c r="BK197">
        <v>-0.80200000000000005</v>
      </c>
    </row>
    <row r="198" spans="1:63" x14ac:dyDescent="0.3">
      <c r="A198" t="s">
        <v>90</v>
      </c>
      <c r="B198">
        <v>0</v>
      </c>
      <c r="C198">
        <v>0</v>
      </c>
      <c r="K198" t="s">
        <v>213</v>
      </c>
      <c r="L198">
        <v>0.505</v>
      </c>
      <c r="M198">
        <v>0.46700000000000003</v>
      </c>
      <c r="N198" t="s">
        <v>57</v>
      </c>
      <c r="O198">
        <v>0</v>
      </c>
      <c r="P198">
        <v>0</v>
      </c>
      <c r="Q198">
        <v>0</v>
      </c>
      <c r="R198">
        <v>-0.95099999999999996</v>
      </c>
      <c r="S198">
        <v>-1</v>
      </c>
      <c r="T198">
        <v>-0.98499999999999999</v>
      </c>
      <c r="U198">
        <v>-0.88600000000000001</v>
      </c>
      <c r="V198">
        <v>-0.98199999999999998</v>
      </c>
      <c r="W198">
        <v>-0.90500000000000003</v>
      </c>
      <c r="X198">
        <v>-0.82399999999999995</v>
      </c>
      <c r="Y198">
        <v>-0.95099999999999996</v>
      </c>
      <c r="Z198">
        <v>-0.375</v>
      </c>
      <c r="AA198">
        <v>-0.372</v>
      </c>
      <c r="AB198">
        <v>0.34899999999999998</v>
      </c>
      <c r="AC198">
        <v>0.36499999999999999</v>
      </c>
      <c r="AD198">
        <v>-0.22800000000000001</v>
      </c>
      <c r="AE198">
        <v>-0.60899999999999999</v>
      </c>
      <c r="AF198">
        <v>-0.57799999999999996</v>
      </c>
      <c r="AG198">
        <v>-1</v>
      </c>
      <c r="AH198">
        <v>-0.94799999999999995</v>
      </c>
      <c r="AI198">
        <v>-1</v>
      </c>
      <c r="AJ198">
        <v>-0.437</v>
      </c>
      <c r="AK198">
        <v>-0.60399999999999998</v>
      </c>
      <c r="AL198">
        <v>-0.749</v>
      </c>
      <c r="AM198">
        <v>-0.92300000000000004</v>
      </c>
      <c r="AN198">
        <v>0.53500000000000003</v>
      </c>
      <c r="AO198">
        <v>-0.88500000000000001</v>
      </c>
      <c r="AP198">
        <v>-0.40600000000000003</v>
      </c>
      <c r="AQ198">
        <v>0.36899999999999999</v>
      </c>
      <c r="AR198">
        <v>0.20899999999999999</v>
      </c>
      <c r="AS198">
        <v>0.154</v>
      </c>
      <c r="AT198">
        <v>0.25600000000000001</v>
      </c>
      <c r="AU198">
        <v>0.154</v>
      </c>
      <c r="AV198">
        <v>0.16800000000000001</v>
      </c>
      <c r="AW198">
        <v>0.21299999999999999</v>
      </c>
      <c r="AX198">
        <v>-0.41699999999999998</v>
      </c>
      <c r="AY198">
        <v>0.876</v>
      </c>
      <c r="AZ198">
        <v>0.59299999999999997</v>
      </c>
      <c r="BA198">
        <v>-0.309</v>
      </c>
      <c r="BB198">
        <v>-0.85299999999999998</v>
      </c>
      <c r="BC198">
        <v>-1</v>
      </c>
      <c r="BD198">
        <v>-0.497</v>
      </c>
      <c r="BE198">
        <v>-0.26200000000000001</v>
      </c>
      <c r="BF198">
        <v>-1</v>
      </c>
      <c r="BG198">
        <v>-0.371</v>
      </c>
      <c r="BH198">
        <v>-0.20899999999999999</v>
      </c>
      <c r="BI198">
        <v>-0.11600000000000001</v>
      </c>
      <c r="BJ198">
        <v>-0.311</v>
      </c>
      <c r="BK198">
        <v>-0.621</v>
      </c>
    </row>
    <row r="199" spans="1:63" x14ac:dyDescent="0.3">
      <c r="A199" t="s">
        <v>79</v>
      </c>
      <c r="B199">
        <v>0</v>
      </c>
      <c r="C199">
        <v>0</v>
      </c>
      <c r="K199" t="s">
        <v>249</v>
      </c>
      <c r="L199">
        <v>0.501</v>
      </c>
      <c r="M199">
        <v>0.35099999999999998</v>
      </c>
      <c r="N199" t="s">
        <v>71</v>
      </c>
      <c r="O199">
        <v>0</v>
      </c>
      <c r="P199">
        <v>0</v>
      </c>
      <c r="Q199">
        <v>0</v>
      </c>
      <c r="R199">
        <v>-0.85399999999999998</v>
      </c>
      <c r="S199">
        <v>-0.56799999999999995</v>
      </c>
      <c r="T199">
        <v>-0.79800000000000004</v>
      </c>
      <c r="U199">
        <v>-0.91900000000000004</v>
      </c>
      <c r="V199">
        <v>-0.83099999999999996</v>
      </c>
      <c r="W199">
        <v>-0.93899999999999995</v>
      </c>
      <c r="X199">
        <v>-0.97199999999999998</v>
      </c>
      <c r="Y199">
        <v>-0.84099999999999997</v>
      </c>
      <c r="Z199">
        <v>-0.39</v>
      </c>
      <c r="AA199">
        <v>-0.40100000000000002</v>
      </c>
      <c r="AB199">
        <v>-1</v>
      </c>
      <c r="AC199">
        <v>-1</v>
      </c>
      <c r="AD199">
        <v>-5.6000000000000001E-2</v>
      </c>
      <c r="AE199">
        <v>-1</v>
      </c>
      <c r="AF199">
        <v>-1</v>
      </c>
      <c r="AG199">
        <v>-0.34399999999999997</v>
      </c>
      <c r="AH199">
        <v>-0.63900000000000001</v>
      </c>
      <c r="AI199">
        <v>1</v>
      </c>
      <c r="AJ199">
        <v>-0.66100000000000003</v>
      </c>
      <c r="AK199">
        <v>-0.55300000000000005</v>
      </c>
      <c r="AL199">
        <v>-1</v>
      </c>
      <c r="AM199">
        <v>-0.41299999999999998</v>
      </c>
      <c r="AN199">
        <v>-0.40500000000000003</v>
      </c>
      <c r="AO199">
        <v>0.79800000000000004</v>
      </c>
      <c r="AP199">
        <v>0.91600000000000004</v>
      </c>
      <c r="AQ199">
        <v>-0.66800000000000004</v>
      </c>
      <c r="AR199">
        <v>-1</v>
      </c>
      <c r="AS199">
        <v>-2.5999999999999999E-2</v>
      </c>
      <c r="AT199">
        <v>-0.67700000000000005</v>
      </c>
      <c r="AU199">
        <v>-0.02</v>
      </c>
      <c r="AV199">
        <v>-0.52400000000000002</v>
      </c>
      <c r="AW199">
        <v>-0.77800000000000002</v>
      </c>
      <c r="AX199">
        <v>-9.9000000000000005E-2</v>
      </c>
      <c r="AY199">
        <v>-0.56200000000000006</v>
      </c>
      <c r="AZ199">
        <v>-0.88600000000000001</v>
      </c>
      <c r="BA199">
        <v>0.875</v>
      </c>
      <c r="BB199">
        <v>0.49199999999999999</v>
      </c>
      <c r="BC199">
        <v>0.17699999999999999</v>
      </c>
      <c r="BD199">
        <v>0.73799999999999999</v>
      </c>
      <c r="BE199">
        <v>-0.63</v>
      </c>
      <c r="BF199">
        <v>-0.10299999999999999</v>
      </c>
      <c r="BG199">
        <v>-1</v>
      </c>
      <c r="BH199">
        <v>0.155</v>
      </c>
      <c r="BI199">
        <v>0.36099999999999999</v>
      </c>
      <c r="BJ199">
        <v>0.83599999999999997</v>
      </c>
      <c r="BK199">
        <v>0.72599999999999998</v>
      </c>
    </row>
    <row r="200" spans="1:63" x14ac:dyDescent="0.3">
      <c r="A200" t="s">
        <v>120</v>
      </c>
      <c r="B200">
        <v>0</v>
      </c>
      <c r="C200">
        <v>0</v>
      </c>
      <c r="K200" t="s">
        <v>245</v>
      </c>
      <c r="L200">
        <v>0.5</v>
      </c>
      <c r="M200">
        <v>0.376</v>
      </c>
      <c r="N200" t="s">
        <v>57</v>
      </c>
      <c r="O200">
        <v>0</v>
      </c>
      <c r="P200">
        <v>-3.0000000000000001E-3</v>
      </c>
      <c r="Q200">
        <v>3.0000000000000001E-3</v>
      </c>
      <c r="R200">
        <v>-0.97</v>
      </c>
      <c r="S200">
        <v>-0.91900000000000004</v>
      </c>
      <c r="T200">
        <v>-0.90900000000000003</v>
      </c>
      <c r="U200">
        <v>-0.94499999999999995</v>
      </c>
      <c r="V200">
        <v>-0.92200000000000004</v>
      </c>
      <c r="W200">
        <v>-0.98099999999999998</v>
      </c>
      <c r="X200">
        <v>-0.98099999999999998</v>
      </c>
      <c r="Y200">
        <v>-0.94799999999999995</v>
      </c>
      <c r="Z200">
        <v>-0.14199999999999999</v>
      </c>
      <c r="AA200">
        <v>-0.14799999999999999</v>
      </c>
      <c r="AB200">
        <v>-0.33200000000000002</v>
      </c>
      <c r="AC200">
        <v>-0.30599999999999999</v>
      </c>
      <c r="AD200">
        <v>-0.14399999999999999</v>
      </c>
      <c r="AE200">
        <v>-0.38100000000000001</v>
      </c>
      <c r="AF200">
        <v>-0.71</v>
      </c>
      <c r="AG200">
        <v>-0.59399999999999997</v>
      </c>
      <c r="AH200">
        <v>-0.38700000000000001</v>
      </c>
      <c r="AI200">
        <v>-0.55400000000000005</v>
      </c>
      <c r="AJ200">
        <v>-0.84199999999999997</v>
      </c>
      <c r="AK200">
        <v>0.114</v>
      </c>
      <c r="AL200">
        <v>-0.90400000000000003</v>
      </c>
      <c r="AM200">
        <v>0.38100000000000001</v>
      </c>
      <c r="AN200">
        <v>-6.9000000000000006E-2</v>
      </c>
      <c r="AO200">
        <v>-0.33100000000000002</v>
      </c>
      <c r="AP200">
        <v>-0.56000000000000005</v>
      </c>
      <c r="AQ200">
        <v>-0.54400000000000004</v>
      </c>
      <c r="AR200">
        <v>-1</v>
      </c>
      <c r="AS200">
        <v>-0.78900000000000003</v>
      </c>
      <c r="AT200">
        <v>-0.121</v>
      </c>
      <c r="AU200">
        <v>-0.379</v>
      </c>
      <c r="AV200">
        <v>-0.26200000000000001</v>
      </c>
      <c r="AW200">
        <v>-0.81899999999999995</v>
      </c>
      <c r="AX200">
        <v>-0.48099999999999998</v>
      </c>
      <c r="AY200">
        <v>0.46200000000000002</v>
      </c>
      <c r="AZ200">
        <v>0.48599999999999999</v>
      </c>
      <c r="BA200">
        <v>-0.73</v>
      </c>
      <c r="BB200">
        <v>-1E-3</v>
      </c>
      <c r="BC200">
        <v>-0.41099999999999998</v>
      </c>
      <c r="BD200">
        <v>0.249</v>
      </c>
      <c r="BE200">
        <v>0.30199999999999999</v>
      </c>
      <c r="BF200">
        <v>-0.96</v>
      </c>
      <c r="BG200">
        <v>-0.54800000000000004</v>
      </c>
      <c r="BH200">
        <v>0.17399999999999999</v>
      </c>
      <c r="BI200">
        <v>0.56499999999999995</v>
      </c>
      <c r="BJ200">
        <v>-7.1999999999999995E-2</v>
      </c>
      <c r="BK200">
        <v>0.29099999999999998</v>
      </c>
    </row>
    <row r="201" spans="1:63" x14ac:dyDescent="0.3">
      <c r="A201" t="s">
        <v>94</v>
      </c>
      <c r="B201">
        <v>5.3679352481425302E-2</v>
      </c>
      <c r="C201">
        <v>4.8004570954045402E-2</v>
      </c>
      <c r="K201" t="s">
        <v>243</v>
      </c>
      <c r="L201">
        <v>0.499</v>
      </c>
      <c r="M201">
        <v>0.35099999999999998</v>
      </c>
      <c r="N201" t="s">
        <v>53</v>
      </c>
      <c r="O201">
        <v>0</v>
      </c>
      <c r="P201">
        <v>0</v>
      </c>
      <c r="Q201">
        <v>0</v>
      </c>
      <c r="R201">
        <v>-0.71299999999999997</v>
      </c>
      <c r="S201">
        <v>-0.251</v>
      </c>
      <c r="T201">
        <v>-0.73299999999999998</v>
      </c>
      <c r="U201">
        <v>-0.78300000000000003</v>
      </c>
      <c r="V201">
        <v>-0.65800000000000003</v>
      </c>
      <c r="W201">
        <v>-0.89900000000000002</v>
      </c>
      <c r="X201">
        <v>-0.94499999999999995</v>
      </c>
      <c r="Y201">
        <v>-0.92200000000000004</v>
      </c>
      <c r="Z201">
        <v>-0.57999999999999996</v>
      </c>
      <c r="AA201">
        <v>-0.57999999999999996</v>
      </c>
      <c r="AB201">
        <v>-0.28699999999999998</v>
      </c>
      <c r="AC201">
        <v>-0.54600000000000004</v>
      </c>
      <c r="AD201">
        <v>-0.52600000000000002</v>
      </c>
      <c r="AE201">
        <v>-0.41299999999999998</v>
      </c>
      <c r="AF201">
        <v>0.22</v>
      </c>
      <c r="AG201">
        <v>0.123</v>
      </c>
      <c r="AH201">
        <v>-0.214</v>
      </c>
      <c r="AI201">
        <v>-0.35599999999999998</v>
      </c>
      <c r="AJ201">
        <v>-0.80900000000000005</v>
      </c>
      <c r="AK201">
        <v>0.45300000000000001</v>
      </c>
      <c r="AL201">
        <v>-1</v>
      </c>
      <c r="AM201">
        <v>0.85699999999999998</v>
      </c>
      <c r="AN201">
        <v>-0.29199999999999998</v>
      </c>
      <c r="AO201">
        <v>-0.76500000000000001</v>
      </c>
      <c r="AP201">
        <v>0.93600000000000005</v>
      </c>
      <c r="AQ201">
        <v>8.0000000000000002E-3</v>
      </c>
      <c r="AR201">
        <v>-0.36299999999999999</v>
      </c>
      <c r="AS201">
        <v>-1.4E-2</v>
      </c>
      <c r="AT201">
        <v>-0.26</v>
      </c>
      <c r="AU201">
        <v>-0.33</v>
      </c>
      <c r="AV201">
        <v>-0.41299999999999998</v>
      </c>
      <c r="AW201">
        <v>-0.81200000000000006</v>
      </c>
      <c r="AX201">
        <v>-0.36299999999999999</v>
      </c>
      <c r="AY201">
        <v>0.40799999999999997</v>
      </c>
      <c r="AZ201">
        <v>0.52800000000000002</v>
      </c>
      <c r="BA201">
        <v>0.17</v>
      </c>
      <c r="BB201">
        <v>0.26100000000000001</v>
      </c>
      <c r="BC201">
        <v>-5.1999999999999998E-2</v>
      </c>
      <c r="BD201">
        <v>9.2999999999999999E-2</v>
      </c>
      <c r="BE201">
        <v>-0.627</v>
      </c>
      <c r="BF201">
        <v>0.10199999999999999</v>
      </c>
      <c r="BG201">
        <v>-0.90900000000000003</v>
      </c>
      <c r="BH201">
        <v>1</v>
      </c>
      <c r="BI201">
        <v>0.28499999999999998</v>
      </c>
      <c r="BJ201">
        <v>-0.85399999999999998</v>
      </c>
      <c r="BK201">
        <v>-2.5999999999999999E-2</v>
      </c>
    </row>
    <row r="202" spans="1:63" x14ac:dyDescent="0.3">
      <c r="A202" t="s">
        <v>113</v>
      </c>
      <c r="B202">
        <v>0</v>
      </c>
      <c r="C202">
        <v>0</v>
      </c>
      <c r="K202" t="s">
        <v>258</v>
      </c>
      <c r="L202">
        <v>0.497</v>
      </c>
      <c r="M202">
        <v>0.36299999999999999</v>
      </c>
      <c r="N202" t="s">
        <v>57</v>
      </c>
      <c r="O202">
        <v>0</v>
      </c>
      <c r="P202">
        <v>-1E-3</v>
      </c>
      <c r="Q202">
        <v>1E-3</v>
      </c>
      <c r="R202">
        <v>-0.76600000000000001</v>
      </c>
      <c r="S202">
        <v>-0.60099999999999998</v>
      </c>
      <c r="T202">
        <v>-0.38200000000000001</v>
      </c>
      <c r="U202">
        <v>-0.90200000000000002</v>
      </c>
      <c r="V202">
        <v>-0.76300000000000001</v>
      </c>
      <c r="W202">
        <v>-0.92400000000000004</v>
      </c>
      <c r="X202">
        <v>-0.94399999999999995</v>
      </c>
      <c r="Y202">
        <v>-0.94599999999999995</v>
      </c>
      <c r="Z202">
        <v>-0.68700000000000006</v>
      </c>
      <c r="AA202">
        <v>-0.68500000000000005</v>
      </c>
      <c r="AB202">
        <v>-0.20200000000000001</v>
      </c>
      <c r="AC202">
        <v>-0.97399999999999998</v>
      </c>
      <c r="AD202">
        <v>-0.32</v>
      </c>
      <c r="AE202">
        <v>-0.76800000000000002</v>
      </c>
      <c r="AF202">
        <v>-0.41399999999999998</v>
      </c>
      <c r="AG202">
        <v>-0.45900000000000002</v>
      </c>
      <c r="AH202">
        <v>1</v>
      </c>
      <c r="AI202">
        <v>3.5000000000000003E-2</v>
      </c>
      <c r="AJ202">
        <v>-0.49</v>
      </c>
      <c r="AK202">
        <v>0.498</v>
      </c>
      <c r="AL202">
        <v>-0.68799999999999994</v>
      </c>
      <c r="AM202">
        <v>-2.7E-2</v>
      </c>
      <c r="AN202">
        <v>-0.308</v>
      </c>
      <c r="AO202">
        <v>-0.66</v>
      </c>
      <c r="AP202">
        <v>-0.35699999999999998</v>
      </c>
      <c r="AQ202">
        <v>-0.43</v>
      </c>
      <c r="AR202">
        <v>-0.30299999999999999</v>
      </c>
      <c r="AS202">
        <v>-0.23200000000000001</v>
      </c>
      <c r="AT202">
        <v>-0.28699999999999998</v>
      </c>
      <c r="AU202">
        <v>-0.35799999999999998</v>
      </c>
      <c r="AV202">
        <v>-0.71199999999999997</v>
      </c>
      <c r="AW202">
        <v>-0.78500000000000003</v>
      </c>
      <c r="AX202">
        <v>0.39300000000000002</v>
      </c>
      <c r="AY202">
        <v>-6.4000000000000001E-2</v>
      </c>
      <c r="AZ202">
        <v>-0.27400000000000002</v>
      </c>
      <c r="BA202">
        <v>-0.34</v>
      </c>
      <c r="BB202">
        <v>0.624</v>
      </c>
      <c r="BC202">
        <v>1</v>
      </c>
      <c r="BD202">
        <v>-8.9999999999999993E-3</v>
      </c>
      <c r="BE202">
        <v>1</v>
      </c>
      <c r="BF202">
        <v>1</v>
      </c>
      <c r="BG202">
        <v>-0.42399999999999999</v>
      </c>
      <c r="BH202">
        <v>0.747</v>
      </c>
      <c r="BI202">
        <v>0.623</v>
      </c>
      <c r="BJ202">
        <v>-0.21</v>
      </c>
      <c r="BK202">
        <v>1</v>
      </c>
    </row>
    <row r="203" spans="1:63" x14ac:dyDescent="0.3">
      <c r="A203" t="s">
        <v>134</v>
      </c>
      <c r="B203">
        <v>0</v>
      </c>
      <c r="C203">
        <v>0</v>
      </c>
      <c r="K203" t="s">
        <v>260</v>
      </c>
      <c r="L203">
        <v>0.49199999999999999</v>
      </c>
      <c r="M203">
        <v>0.34499999999999997</v>
      </c>
      <c r="N203" t="s">
        <v>57</v>
      </c>
      <c r="O203">
        <v>0</v>
      </c>
      <c r="P203">
        <v>0</v>
      </c>
      <c r="Q203">
        <v>0</v>
      </c>
      <c r="R203">
        <v>-0.96699999999999997</v>
      </c>
      <c r="S203">
        <v>-0.93799999999999994</v>
      </c>
      <c r="T203">
        <v>-0.89100000000000001</v>
      </c>
      <c r="U203">
        <v>-0.98199999999999998</v>
      </c>
      <c r="V203">
        <v>-0.95799999999999996</v>
      </c>
      <c r="W203">
        <v>-0.97499999999999998</v>
      </c>
      <c r="X203">
        <v>-0.96699999999999997</v>
      </c>
      <c r="Y203">
        <v>-0.99</v>
      </c>
      <c r="Z203">
        <v>-0.77800000000000002</v>
      </c>
      <c r="AA203">
        <v>-0.77500000000000002</v>
      </c>
      <c r="AB203">
        <v>-0.36899999999999999</v>
      </c>
      <c r="AC203">
        <v>-0.33700000000000002</v>
      </c>
      <c r="AD203">
        <v>-0.115</v>
      </c>
      <c r="AE203">
        <v>-0.84799999999999998</v>
      </c>
      <c r="AF203">
        <v>-0.68200000000000005</v>
      </c>
      <c r="AG203">
        <v>-0.73399999999999999</v>
      </c>
      <c r="AH203">
        <v>-6.2E-2</v>
      </c>
      <c r="AI203">
        <v>-0.74299999999999999</v>
      </c>
      <c r="AJ203">
        <v>-0.86299999999999999</v>
      </c>
      <c r="AK203">
        <v>0.51</v>
      </c>
      <c r="AL203">
        <v>-0.57799999999999996</v>
      </c>
      <c r="AM203">
        <v>-0.307</v>
      </c>
      <c r="AN203">
        <v>-0.309</v>
      </c>
      <c r="AO203">
        <v>-0.83</v>
      </c>
      <c r="AP203">
        <v>-0.26200000000000001</v>
      </c>
      <c r="AQ203">
        <v>-0.92200000000000004</v>
      </c>
      <c r="AR203">
        <v>-0.51600000000000001</v>
      </c>
      <c r="AS203">
        <v>-0.13200000000000001</v>
      </c>
      <c r="AT203">
        <v>-0.41399999999999998</v>
      </c>
      <c r="AU203">
        <v>-0.79400000000000004</v>
      </c>
      <c r="AV203">
        <v>-0.81499999999999995</v>
      </c>
      <c r="AW203">
        <v>-0.63700000000000001</v>
      </c>
      <c r="AX203">
        <v>-0.33200000000000002</v>
      </c>
      <c r="AY203">
        <v>-0.10299999999999999</v>
      </c>
      <c r="AZ203">
        <v>-0.61899999999999999</v>
      </c>
      <c r="BA203">
        <v>-9.4E-2</v>
      </c>
      <c r="BB203">
        <v>0.63</v>
      </c>
      <c r="BC203">
        <v>0.111</v>
      </c>
      <c r="BD203">
        <v>-7.1999999999999995E-2</v>
      </c>
      <c r="BE203">
        <v>0.54500000000000004</v>
      </c>
      <c r="BF203">
        <v>0.14099999999999999</v>
      </c>
      <c r="BG203">
        <v>9.4E-2</v>
      </c>
      <c r="BH203">
        <v>1</v>
      </c>
      <c r="BI203">
        <v>0.111</v>
      </c>
      <c r="BJ203">
        <v>0.32700000000000001</v>
      </c>
      <c r="BK203">
        <v>0.22800000000000001</v>
      </c>
    </row>
    <row r="204" spans="1:63" x14ac:dyDescent="0.3">
      <c r="A204" t="s">
        <v>116</v>
      </c>
      <c r="B204">
        <v>0</v>
      </c>
      <c r="C204">
        <v>0</v>
      </c>
      <c r="K204" t="s">
        <v>242</v>
      </c>
      <c r="L204">
        <v>0.49199999999999999</v>
      </c>
      <c r="M204">
        <v>0.34499999999999997</v>
      </c>
      <c r="N204" t="s">
        <v>57</v>
      </c>
      <c r="O204">
        <v>0</v>
      </c>
      <c r="P204">
        <v>0</v>
      </c>
      <c r="Q204">
        <v>0</v>
      </c>
      <c r="R204">
        <v>-0.80200000000000005</v>
      </c>
      <c r="S204">
        <v>-0.76600000000000001</v>
      </c>
      <c r="T204">
        <v>-0.53300000000000003</v>
      </c>
      <c r="U204">
        <v>-0.88200000000000001</v>
      </c>
      <c r="V204">
        <v>-0.79600000000000004</v>
      </c>
      <c r="W204">
        <v>-0.93200000000000005</v>
      </c>
      <c r="X204">
        <v>-0.93200000000000005</v>
      </c>
      <c r="Y204">
        <v>-0.99299999999999999</v>
      </c>
      <c r="Z204">
        <v>-0.74099999999999999</v>
      </c>
      <c r="AA204">
        <v>-0.74099999999999999</v>
      </c>
      <c r="AB204">
        <v>-0.66400000000000003</v>
      </c>
      <c r="AC204">
        <v>-0.91800000000000004</v>
      </c>
      <c r="AD204">
        <v>-0.312</v>
      </c>
      <c r="AE204">
        <v>-0.624</v>
      </c>
      <c r="AF204">
        <v>4.9000000000000002E-2</v>
      </c>
      <c r="AG204">
        <v>-0.59</v>
      </c>
      <c r="AH204">
        <v>0.624</v>
      </c>
      <c r="AI204">
        <v>-0.4</v>
      </c>
      <c r="AJ204">
        <v>-0.56699999999999995</v>
      </c>
      <c r="AK204">
        <v>0.85299999999999998</v>
      </c>
      <c r="AL204">
        <v>-1</v>
      </c>
      <c r="AM204">
        <v>-3.7999999999999999E-2</v>
      </c>
      <c r="AN204">
        <v>-0.23699999999999999</v>
      </c>
      <c r="AO204">
        <v>-0.87</v>
      </c>
      <c r="AP204">
        <v>-0.49</v>
      </c>
      <c r="AQ204">
        <v>-0.32600000000000001</v>
      </c>
      <c r="AR204">
        <v>-0.42899999999999999</v>
      </c>
      <c r="AS204">
        <v>0.159</v>
      </c>
      <c r="AT204">
        <v>-0.246</v>
      </c>
      <c r="AU204">
        <v>-0.27700000000000002</v>
      </c>
      <c r="AV204">
        <v>-0.41399999999999998</v>
      </c>
      <c r="AW204">
        <v>-0.98099999999999998</v>
      </c>
      <c r="AX204">
        <v>-0.80500000000000005</v>
      </c>
      <c r="AY204">
        <v>-0.92200000000000004</v>
      </c>
      <c r="AZ204">
        <v>-1</v>
      </c>
      <c r="BA204">
        <v>0.14099999999999999</v>
      </c>
      <c r="BB204">
        <v>0.66300000000000003</v>
      </c>
      <c r="BC204">
        <v>0.85299999999999998</v>
      </c>
      <c r="BD204">
        <v>0.28199999999999997</v>
      </c>
      <c r="BE204">
        <v>1</v>
      </c>
      <c r="BF204">
        <v>4.4999999999999998E-2</v>
      </c>
      <c r="BG204">
        <v>-0.193</v>
      </c>
      <c r="BH204">
        <v>1</v>
      </c>
      <c r="BI204">
        <v>0.56499999999999995</v>
      </c>
      <c r="BJ204">
        <v>0.14000000000000001</v>
      </c>
      <c r="BK204">
        <v>0.25800000000000001</v>
      </c>
    </row>
    <row r="205" spans="1:63" x14ac:dyDescent="0.3">
      <c r="A205" t="s">
        <v>268</v>
      </c>
      <c r="B205">
        <v>0</v>
      </c>
      <c r="C205">
        <v>0</v>
      </c>
      <c r="K205" t="s">
        <v>255</v>
      </c>
      <c r="L205">
        <v>0.48899999999999999</v>
      </c>
      <c r="M205">
        <v>0.51200000000000001</v>
      </c>
      <c r="N205" t="s">
        <v>57</v>
      </c>
      <c r="O205">
        <v>0</v>
      </c>
      <c r="P205">
        <v>0</v>
      </c>
      <c r="Q205">
        <v>0</v>
      </c>
      <c r="R205">
        <v>-0.86499999999999999</v>
      </c>
      <c r="S205">
        <v>-0.96099999999999997</v>
      </c>
      <c r="T205">
        <v>-0.86199999999999999</v>
      </c>
      <c r="U205">
        <v>-0.92100000000000004</v>
      </c>
      <c r="V205">
        <v>-0.97</v>
      </c>
      <c r="W205">
        <v>-0.89200000000000002</v>
      </c>
      <c r="X205">
        <v>-0.86599999999999999</v>
      </c>
      <c r="Y205">
        <v>-0.96499999999999997</v>
      </c>
      <c r="Z205">
        <v>-0.89</v>
      </c>
      <c r="AA205">
        <v>-0.89300000000000002</v>
      </c>
      <c r="AB205">
        <v>0.111</v>
      </c>
      <c r="AC205">
        <v>5.0000000000000001E-3</v>
      </c>
      <c r="AD205">
        <v>-0.63400000000000001</v>
      </c>
      <c r="AE205">
        <v>-1</v>
      </c>
      <c r="AF205">
        <v>-2.5999999999999999E-2</v>
      </c>
      <c r="AG205">
        <v>-1</v>
      </c>
      <c r="AH205">
        <v>-0.77400000000000002</v>
      </c>
      <c r="AI205">
        <v>0.48899999999999999</v>
      </c>
      <c r="AJ205">
        <v>-0.60899999999999999</v>
      </c>
      <c r="AK205">
        <v>-1</v>
      </c>
      <c r="AL205">
        <v>-0.75800000000000001</v>
      </c>
      <c r="AM205">
        <v>-0.83499999999999996</v>
      </c>
      <c r="AN205">
        <v>0.2</v>
      </c>
      <c r="AO205">
        <v>-0.81899999999999995</v>
      </c>
      <c r="AP205">
        <v>0.63200000000000001</v>
      </c>
      <c r="AQ205">
        <v>0.57799999999999996</v>
      </c>
      <c r="AR205">
        <v>0.28199999999999997</v>
      </c>
      <c r="AS205">
        <v>0.17799999999999999</v>
      </c>
      <c r="AT205">
        <v>-1</v>
      </c>
      <c r="AU205">
        <v>-0.02</v>
      </c>
      <c r="AV205">
        <v>-0.39300000000000002</v>
      </c>
      <c r="AW205">
        <v>-1.7999999999999999E-2</v>
      </c>
      <c r="AX205">
        <v>-0.34699999999999998</v>
      </c>
      <c r="AY205">
        <v>-0.13</v>
      </c>
      <c r="AZ205">
        <v>0.39</v>
      </c>
      <c r="BA205">
        <v>0.71899999999999997</v>
      </c>
      <c r="BB205">
        <v>-0.60899999999999999</v>
      </c>
      <c r="BC205">
        <v>-0.27700000000000002</v>
      </c>
      <c r="BD205">
        <v>-0.308</v>
      </c>
      <c r="BE205">
        <v>-0.66900000000000004</v>
      </c>
      <c r="BF205">
        <v>-0.45200000000000001</v>
      </c>
      <c r="BG205">
        <v>-0.26900000000000002</v>
      </c>
      <c r="BH205">
        <v>-0.44500000000000001</v>
      </c>
      <c r="BI205">
        <v>-0.188</v>
      </c>
      <c r="BJ205">
        <v>0.54700000000000004</v>
      </c>
      <c r="BK205">
        <v>0.17799999999999999</v>
      </c>
    </row>
    <row r="206" spans="1:63" x14ac:dyDescent="0.3">
      <c r="A206" t="s">
        <v>146</v>
      </c>
      <c r="B206">
        <v>0</v>
      </c>
      <c r="C206">
        <v>0</v>
      </c>
      <c r="K206" t="s">
        <v>256</v>
      </c>
      <c r="L206">
        <v>0.48499999999999999</v>
      </c>
      <c r="M206">
        <v>0.36199999999999999</v>
      </c>
      <c r="N206" t="s">
        <v>68</v>
      </c>
      <c r="O206">
        <v>0</v>
      </c>
      <c r="P206">
        <v>0</v>
      </c>
      <c r="Q206">
        <v>0</v>
      </c>
      <c r="R206">
        <v>-1</v>
      </c>
      <c r="S206">
        <v>-1</v>
      </c>
      <c r="T206">
        <v>-0.92900000000000005</v>
      </c>
      <c r="U206">
        <v>-1</v>
      </c>
      <c r="V206">
        <v>-1</v>
      </c>
      <c r="W206">
        <v>-1</v>
      </c>
      <c r="X206">
        <v>-0.995</v>
      </c>
      <c r="Y206">
        <v>-1</v>
      </c>
      <c r="Z206">
        <v>-1</v>
      </c>
      <c r="AA206">
        <v>-1</v>
      </c>
      <c r="AB206">
        <v>-7.1999999999999995E-2</v>
      </c>
      <c r="AC206">
        <v>-6.3E-2</v>
      </c>
      <c r="AD206">
        <v>-0.441</v>
      </c>
      <c r="AE206">
        <v>-1</v>
      </c>
      <c r="AF206">
        <v>-1</v>
      </c>
      <c r="AG206">
        <v>-1</v>
      </c>
      <c r="AH206">
        <v>-0.60199999999999998</v>
      </c>
      <c r="AI206">
        <v>-0.49299999999999999</v>
      </c>
      <c r="AJ206">
        <v>-0.57799999999999996</v>
      </c>
      <c r="AK206">
        <v>-0.56000000000000005</v>
      </c>
      <c r="AL206">
        <v>-1</v>
      </c>
      <c r="AM206">
        <v>-0.45100000000000001</v>
      </c>
      <c r="AN206">
        <v>-1</v>
      </c>
      <c r="AO206">
        <v>-0.95299999999999996</v>
      </c>
      <c r="AP206">
        <v>-0.95099999999999996</v>
      </c>
      <c r="AQ206">
        <v>-0.71399999999999997</v>
      </c>
      <c r="AR206">
        <v>-5.2999999999999999E-2</v>
      </c>
      <c r="AS206">
        <v>-0.109</v>
      </c>
      <c r="AT206">
        <v>-0.56299999999999994</v>
      </c>
      <c r="AU206">
        <v>-0.66500000000000004</v>
      </c>
      <c r="AV206">
        <v>-1</v>
      </c>
      <c r="AW206">
        <v>-0.28100000000000003</v>
      </c>
      <c r="AX206">
        <v>-0.314</v>
      </c>
      <c r="AY206">
        <v>-0.39300000000000002</v>
      </c>
      <c r="AZ206">
        <v>-0.15</v>
      </c>
      <c r="BA206">
        <v>3.3000000000000002E-2</v>
      </c>
      <c r="BB206">
        <v>0.46600000000000003</v>
      </c>
      <c r="BC206">
        <v>0.26600000000000001</v>
      </c>
      <c r="BD206">
        <v>9.9000000000000005E-2</v>
      </c>
      <c r="BE206">
        <v>0.63500000000000001</v>
      </c>
      <c r="BF206">
        <v>4.1000000000000002E-2</v>
      </c>
      <c r="BG206">
        <v>6.3E-2</v>
      </c>
      <c r="BH206">
        <v>0.67200000000000004</v>
      </c>
      <c r="BI206">
        <v>-7.2999999999999995E-2</v>
      </c>
      <c r="BJ206">
        <v>0.88700000000000001</v>
      </c>
      <c r="BK206">
        <v>1</v>
      </c>
    </row>
    <row r="207" spans="1:63" x14ac:dyDescent="0.3">
      <c r="A207" t="s">
        <v>136</v>
      </c>
      <c r="B207">
        <v>0</v>
      </c>
      <c r="C207">
        <v>0</v>
      </c>
      <c r="K207" t="s">
        <v>198</v>
      </c>
      <c r="L207">
        <v>0.48199999999999998</v>
      </c>
      <c r="M207">
        <v>0.34200000000000003</v>
      </c>
      <c r="N207" t="s">
        <v>57</v>
      </c>
      <c r="O207">
        <v>0</v>
      </c>
      <c r="P207">
        <v>0</v>
      </c>
      <c r="Q207">
        <v>0</v>
      </c>
      <c r="R207">
        <v>-0.83</v>
      </c>
      <c r="S207">
        <v>-0.82799999999999996</v>
      </c>
      <c r="T207">
        <v>-0.64800000000000002</v>
      </c>
      <c r="U207">
        <v>-0.81100000000000005</v>
      </c>
      <c r="V207">
        <v>-0.76400000000000001</v>
      </c>
      <c r="W207">
        <v>-0.95599999999999996</v>
      </c>
      <c r="X207">
        <v>-0.96199999999999997</v>
      </c>
      <c r="Y207">
        <v>-0.93799999999999994</v>
      </c>
      <c r="Z207">
        <v>-0.93899999999999995</v>
      </c>
      <c r="AA207">
        <v>-0.94</v>
      </c>
      <c r="AB207">
        <v>-0.219</v>
      </c>
      <c r="AC207">
        <v>-0.24</v>
      </c>
      <c r="AD207">
        <v>-1</v>
      </c>
      <c r="AE207">
        <v>-0.36</v>
      </c>
      <c r="AF207">
        <v>-0.14000000000000001</v>
      </c>
      <c r="AG207">
        <v>-0.82499999999999996</v>
      </c>
      <c r="AH207">
        <v>-0.183</v>
      </c>
      <c r="AI207">
        <v>-0.14899999999999999</v>
      </c>
      <c r="AJ207">
        <v>1</v>
      </c>
      <c r="AK207">
        <v>6.7000000000000004E-2</v>
      </c>
      <c r="AL207">
        <v>-1</v>
      </c>
      <c r="AM207">
        <v>-0.67800000000000005</v>
      </c>
      <c r="AN207">
        <v>0.311</v>
      </c>
      <c r="AO207">
        <v>-0.122</v>
      </c>
      <c r="AP207">
        <v>-0.55000000000000004</v>
      </c>
      <c r="AQ207">
        <v>0.745</v>
      </c>
      <c r="AR207">
        <v>-1</v>
      </c>
      <c r="AS207">
        <v>-0.56799999999999995</v>
      </c>
      <c r="AT207">
        <v>-0.126</v>
      </c>
      <c r="AU207">
        <v>-0.183</v>
      </c>
      <c r="AV207">
        <v>0.42</v>
      </c>
      <c r="AW207">
        <v>-0.93100000000000005</v>
      </c>
      <c r="AX207">
        <v>-0.26800000000000002</v>
      </c>
      <c r="AY207">
        <v>-1</v>
      </c>
      <c r="AZ207">
        <v>-1</v>
      </c>
      <c r="BA207">
        <v>6.6000000000000003E-2</v>
      </c>
      <c r="BB207">
        <v>5.8000000000000003E-2</v>
      </c>
      <c r="BC207">
        <v>0.48399999999999999</v>
      </c>
      <c r="BD207">
        <v>0.47099999999999997</v>
      </c>
      <c r="BE207">
        <v>-0.41299999999999998</v>
      </c>
      <c r="BF207">
        <v>-1</v>
      </c>
      <c r="BG207">
        <v>-1</v>
      </c>
      <c r="BH207">
        <v>0.71</v>
      </c>
      <c r="BI207">
        <v>0.14000000000000001</v>
      </c>
      <c r="BJ207">
        <v>-0.64800000000000002</v>
      </c>
      <c r="BK207">
        <v>0.82599999999999996</v>
      </c>
    </row>
    <row r="208" spans="1:63" x14ac:dyDescent="0.3">
      <c r="A208" t="s">
        <v>195</v>
      </c>
      <c r="B208">
        <v>0</v>
      </c>
      <c r="C208">
        <v>0</v>
      </c>
      <c r="K208" t="s">
        <v>261</v>
      </c>
      <c r="L208">
        <v>0.47799999999999998</v>
      </c>
      <c r="M208">
        <v>0.34399999999999997</v>
      </c>
      <c r="N208" t="s">
        <v>68</v>
      </c>
      <c r="O208">
        <v>0</v>
      </c>
      <c r="P208">
        <v>-7.0000000000000001E-3</v>
      </c>
      <c r="Q208">
        <v>7.0000000000000001E-3</v>
      </c>
      <c r="R208">
        <v>-1</v>
      </c>
      <c r="S208">
        <v>-0.94299999999999995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-0.97299999999999998</v>
      </c>
      <c r="Z208">
        <v>-0.94099999999999995</v>
      </c>
      <c r="AA208">
        <v>-0.93500000000000005</v>
      </c>
      <c r="AB208">
        <v>-1</v>
      </c>
      <c r="AC208">
        <v>-0.73499999999999999</v>
      </c>
      <c r="AD208">
        <v>-0.55900000000000005</v>
      </c>
      <c r="AE208">
        <v>-1</v>
      </c>
      <c r="AF208">
        <v>-1</v>
      </c>
      <c r="AG208">
        <v>-0.872</v>
      </c>
      <c r="AH208">
        <v>-0.96399999999999997</v>
      </c>
      <c r="AI208">
        <v>-0.29599999999999999</v>
      </c>
      <c r="AJ208">
        <v>-0.93400000000000005</v>
      </c>
      <c r="AK208">
        <v>-0.79300000000000004</v>
      </c>
      <c r="AL208">
        <v>-1</v>
      </c>
      <c r="AM208">
        <v>-0.64800000000000002</v>
      </c>
      <c r="AN208">
        <v>-0.69699999999999995</v>
      </c>
      <c r="AO208">
        <v>0.42299999999999999</v>
      </c>
      <c r="AP208">
        <v>0.41899999999999998</v>
      </c>
      <c r="AQ208">
        <v>-0.441</v>
      </c>
      <c r="AR208">
        <v>0.79200000000000004</v>
      </c>
      <c r="AS208">
        <v>0.123</v>
      </c>
      <c r="AT208">
        <v>-0.60799999999999998</v>
      </c>
      <c r="AU208">
        <v>-0.95699999999999996</v>
      </c>
      <c r="AV208">
        <v>-1</v>
      </c>
      <c r="AW208">
        <v>-0.55800000000000005</v>
      </c>
      <c r="AX208">
        <v>-0.42499999999999999</v>
      </c>
      <c r="AY208">
        <v>-0.35</v>
      </c>
      <c r="AZ208">
        <v>-0.95699999999999996</v>
      </c>
      <c r="BA208">
        <v>-4.2999999999999997E-2</v>
      </c>
      <c r="BB208">
        <v>0.745</v>
      </c>
      <c r="BC208">
        <v>0.36099999999999999</v>
      </c>
      <c r="BD208">
        <v>0.40500000000000003</v>
      </c>
      <c r="BE208">
        <v>-1</v>
      </c>
      <c r="BF208">
        <v>-1</v>
      </c>
      <c r="BG208">
        <v>-1</v>
      </c>
      <c r="BH208">
        <v>0.71299999999999997</v>
      </c>
      <c r="BI208">
        <v>-0.77400000000000002</v>
      </c>
      <c r="BJ208">
        <v>-6.9000000000000006E-2</v>
      </c>
      <c r="BK208">
        <v>-0.315</v>
      </c>
    </row>
    <row r="209" spans="1:63" x14ac:dyDescent="0.3">
      <c r="A209" t="s">
        <v>160</v>
      </c>
      <c r="B209">
        <v>0</v>
      </c>
      <c r="C209">
        <v>0</v>
      </c>
      <c r="K209" t="s">
        <v>263</v>
      </c>
      <c r="L209">
        <v>0.47699999999999998</v>
      </c>
      <c r="M209">
        <v>0.33500000000000002</v>
      </c>
      <c r="N209" t="s">
        <v>68</v>
      </c>
      <c r="O209">
        <v>0</v>
      </c>
      <c r="P209">
        <v>0</v>
      </c>
      <c r="Q209">
        <v>0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  <c r="AF209">
        <v>-1</v>
      </c>
      <c r="AG209">
        <v>-1</v>
      </c>
      <c r="AH209">
        <v>-0.59599999999999997</v>
      </c>
      <c r="AI209">
        <v>0.66100000000000003</v>
      </c>
      <c r="AJ209">
        <v>-0.57799999999999996</v>
      </c>
      <c r="AK209">
        <v>-0.96599999999999997</v>
      </c>
      <c r="AL209">
        <v>-1</v>
      </c>
      <c r="AM209">
        <v>-1</v>
      </c>
      <c r="AN209">
        <v>-0.51400000000000001</v>
      </c>
      <c r="AO209">
        <v>0.187</v>
      </c>
      <c r="AP209">
        <v>-1</v>
      </c>
      <c r="AQ209">
        <v>-0.59399999999999997</v>
      </c>
      <c r="AR209">
        <v>1.0999999999999999E-2</v>
      </c>
      <c r="AS209">
        <v>0.23599999999999999</v>
      </c>
      <c r="AT209">
        <v>-1</v>
      </c>
      <c r="AU209">
        <v>-1</v>
      </c>
      <c r="AV209">
        <v>-1</v>
      </c>
      <c r="AW209">
        <v>-0.32800000000000001</v>
      </c>
      <c r="AX209">
        <v>-0.70799999999999996</v>
      </c>
      <c r="AY209">
        <v>-0.45600000000000002</v>
      </c>
      <c r="AZ209">
        <v>-1</v>
      </c>
      <c r="BA209">
        <v>0.32900000000000001</v>
      </c>
      <c r="BB209">
        <v>0.32100000000000001</v>
      </c>
      <c r="BC209">
        <v>-0.28799999999999998</v>
      </c>
      <c r="BD209">
        <v>0.34200000000000003</v>
      </c>
      <c r="BE209">
        <v>1</v>
      </c>
      <c r="BF209">
        <v>-1</v>
      </c>
      <c r="BG209">
        <v>-1</v>
      </c>
      <c r="BH209">
        <v>0.74199999999999999</v>
      </c>
      <c r="BI209">
        <v>-0.27900000000000003</v>
      </c>
      <c r="BJ209">
        <v>-0.50900000000000001</v>
      </c>
      <c r="BK209">
        <v>1</v>
      </c>
    </row>
    <row r="210" spans="1:63" x14ac:dyDescent="0.3">
      <c r="A210" t="s">
        <v>247</v>
      </c>
      <c r="B210">
        <v>0</v>
      </c>
      <c r="C210">
        <v>0</v>
      </c>
      <c r="K210" t="s">
        <v>175</v>
      </c>
      <c r="L210">
        <v>0.47699999999999998</v>
      </c>
      <c r="M210">
        <v>0.33900000000000002</v>
      </c>
      <c r="N210" t="s">
        <v>53</v>
      </c>
      <c r="O210">
        <v>0</v>
      </c>
      <c r="P210">
        <v>0</v>
      </c>
      <c r="Q210">
        <v>0</v>
      </c>
      <c r="R210">
        <v>-0.92700000000000005</v>
      </c>
      <c r="S210">
        <v>-0.95</v>
      </c>
      <c r="T210">
        <v>-0.80100000000000005</v>
      </c>
      <c r="U210">
        <v>-0.92800000000000005</v>
      </c>
      <c r="V210">
        <v>-0.91100000000000003</v>
      </c>
      <c r="W210">
        <v>-0.99299999999999999</v>
      </c>
      <c r="X210">
        <v>-1</v>
      </c>
      <c r="Y210">
        <v>-1</v>
      </c>
      <c r="Z210">
        <v>-1</v>
      </c>
      <c r="AA210">
        <v>-1</v>
      </c>
      <c r="AB210">
        <v>-0.62</v>
      </c>
      <c r="AC210">
        <v>-0.98699999999999999</v>
      </c>
      <c r="AD210">
        <v>-1</v>
      </c>
      <c r="AE210">
        <v>-0.47899999999999998</v>
      </c>
      <c r="AF210">
        <v>-2.1999999999999999E-2</v>
      </c>
      <c r="AG210">
        <v>-0.69799999999999995</v>
      </c>
      <c r="AH210">
        <v>0.60899999999999999</v>
      </c>
      <c r="AI210">
        <v>-0.38300000000000001</v>
      </c>
      <c r="AJ210">
        <v>-0.29799999999999999</v>
      </c>
      <c r="AK210">
        <v>0.59499999999999997</v>
      </c>
      <c r="AL210">
        <v>-1</v>
      </c>
      <c r="AM210">
        <v>-0.22500000000000001</v>
      </c>
      <c r="AN210">
        <v>-0.33200000000000002</v>
      </c>
      <c r="AO210">
        <v>-0.82899999999999996</v>
      </c>
      <c r="AP210">
        <v>-0.60299999999999998</v>
      </c>
      <c r="AQ210">
        <v>-0.20699999999999999</v>
      </c>
      <c r="AR210">
        <v>-1</v>
      </c>
      <c r="AS210">
        <v>-0.53800000000000003</v>
      </c>
      <c r="AT210">
        <v>-0.48899999999999999</v>
      </c>
      <c r="AU210">
        <v>-0.81899999999999995</v>
      </c>
      <c r="AV210">
        <v>-9.6000000000000002E-2</v>
      </c>
      <c r="AW210">
        <v>-0.62</v>
      </c>
      <c r="AX210">
        <v>-0.437</v>
      </c>
      <c r="AY210">
        <v>-0.501</v>
      </c>
      <c r="AZ210">
        <v>-0.60599999999999998</v>
      </c>
      <c r="BA210">
        <v>0.38100000000000001</v>
      </c>
      <c r="BB210">
        <v>0.70199999999999996</v>
      </c>
      <c r="BC210">
        <v>0.53100000000000003</v>
      </c>
      <c r="BD210">
        <v>0.33200000000000002</v>
      </c>
      <c r="BE210">
        <v>-0.34300000000000003</v>
      </c>
      <c r="BF210">
        <v>-0.34</v>
      </c>
      <c r="BG210">
        <v>-0.94</v>
      </c>
      <c r="BH210">
        <v>0.35799999999999998</v>
      </c>
      <c r="BI210">
        <v>0.58699999999999997</v>
      </c>
      <c r="BJ210">
        <v>-0.59499999999999997</v>
      </c>
      <c r="BK210">
        <v>0.752</v>
      </c>
    </row>
    <row r="211" spans="1:63" x14ac:dyDescent="0.3">
      <c r="A211" t="s">
        <v>206</v>
      </c>
      <c r="B211">
        <v>0</v>
      </c>
      <c r="C211">
        <v>0</v>
      </c>
      <c r="K211" t="s">
        <v>259</v>
      </c>
      <c r="L211">
        <v>0.47699999999999998</v>
      </c>
      <c r="M211">
        <v>0.33500000000000002</v>
      </c>
      <c r="N211" t="s">
        <v>57</v>
      </c>
      <c r="O211">
        <v>0</v>
      </c>
      <c r="P211">
        <v>0</v>
      </c>
      <c r="Q211">
        <v>0</v>
      </c>
      <c r="R211">
        <v>-1</v>
      </c>
      <c r="S211">
        <v>-1</v>
      </c>
      <c r="T211">
        <v>-0.96599999999999997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-0.98299999999999998</v>
      </c>
      <c r="AA211">
        <v>-0.97899999999999998</v>
      </c>
      <c r="AB211">
        <v>-1</v>
      </c>
      <c r="AC211">
        <v>0.23400000000000001</v>
      </c>
      <c r="AD211">
        <v>-1</v>
      </c>
      <c r="AE211">
        <v>-0.91</v>
      </c>
      <c r="AF211">
        <v>-1</v>
      </c>
      <c r="AG211">
        <v>-0.96499999999999997</v>
      </c>
      <c r="AH211">
        <v>0.186</v>
      </c>
      <c r="AI211">
        <v>-0.55300000000000005</v>
      </c>
      <c r="AJ211">
        <v>-0.57799999999999996</v>
      </c>
      <c r="AK211">
        <v>-0.79200000000000004</v>
      </c>
      <c r="AL211">
        <v>-1</v>
      </c>
      <c r="AM211">
        <v>1</v>
      </c>
      <c r="AN211">
        <v>-0.93899999999999995</v>
      </c>
      <c r="AO211">
        <v>-1</v>
      </c>
      <c r="AP211">
        <v>-1</v>
      </c>
      <c r="AQ211">
        <v>-0.94699999999999995</v>
      </c>
      <c r="AR211">
        <v>-0.76600000000000001</v>
      </c>
      <c r="AS211">
        <v>-0.28799999999999998</v>
      </c>
      <c r="AT211">
        <v>-0.80100000000000005</v>
      </c>
      <c r="AU211">
        <v>-1</v>
      </c>
      <c r="AV211">
        <v>-1</v>
      </c>
      <c r="AW211">
        <v>-0.63300000000000001</v>
      </c>
      <c r="AX211">
        <v>-0.745</v>
      </c>
      <c r="AY211">
        <v>-0.71</v>
      </c>
      <c r="AZ211">
        <v>-1</v>
      </c>
      <c r="BA211">
        <v>-0.22900000000000001</v>
      </c>
      <c r="BB211">
        <v>0.54300000000000004</v>
      </c>
      <c r="BC211">
        <v>0.214</v>
      </c>
      <c r="BD211">
        <v>0.11799999999999999</v>
      </c>
      <c r="BE211">
        <v>0.157</v>
      </c>
      <c r="BF211">
        <v>6.8000000000000005E-2</v>
      </c>
      <c r="BG211">
        <v>-0.92200000000000004</v>
      </c>
      <c r="BH211">
        <v>1</v>
      </c>
      <c r="BI211">
        <v>-1E-3</v>
      </c>
      <c r="BJ211">
        <v>-0.13800000000000001</v>
      </c>
      <c r="BK211">
        <v>1</v>
      </c>
    </row>
    <row r="212" spans="1:63" x14ac:dyDescent="0.3">
      <c r="A212" t="s">
        <v>249</v>
      </c>
      <c r="B212">
        <v>0</v>
      </c>
      <c r="C212">
        <v>0</v>
      </c>
      <c r="K212" t="s">
        <v>239</v>
      </c>
      <c r="L212">
        <v>0.47699999999999998</v>
      </c>
      <c r="M212">
        <v>0.33700000000000002</v>
      </c>
      <c r="N212" t="s">
        <v>57</v>
      </c>
      <c r="O212">
        <v>0</v>
      </c>
      <c r="P212">
        <v>0</v>
      </c>
      <c r="Q212">
        <v>0</v>
      </c>
      <c r="R212">
        <v>-0.88600000000000001</v>
      </c>
      <c r="S212">
        <v>-0.86299999999999999</v>
      </c>
      <c r="T212">
        <v>-0.63400000000000001</v>
      </c>
      <c r="U212">
        <v>-0.94599999999999995</v>
      </c>
      <c r="V212">
        <v>-0.89500000000000002</v>
      </c>
      <c r="W212">
        <v>-0.96</v>
      </c>
      <c r="X212">
        <v>-0.97799999999999998</v>
      </c>
      <c r="Y212">
        <v>-0.97</v>
      </c>
      <c r="Z212">
        <v>-1</v>
      </c>
      <c r="AA212">
        <v>-1</v>
      </c>
      <c r="AB212">
        <v>-0.88200000000000001</v>
      </c>
      <c r="AC212">
        <v>-1</v>
      </c>
      <c r="AD212">
        <v>-0.83099999999999996</v>
      </c>
      <c r="AE212">
        <v>-0.77800000000000002</v>
      </c>
      <c r="AF212">
        <v>-0.77300000000000002</v>
      </c>
      <c r="AG212">
        <v>-0.70599999999999996</v>
      </c>
      <c r="AH212">
        <v>-0.39700000000000002</v>
      </c>
      <c r="AI212">
        <v>1</v>
      </c>
      <c r="AJ212">
        <v>1</v>
      </c>
      <c r="AK212">
        <v>-0.80300000000000005</v>
      </c>
      <c r="AL212">
        <v>-1</v>
      </c>
      <c r="AM212">
        <v>-0.47</v>
      </c>
      <c r="AN212">
        <v>-0.32400000000000001</v>
      </c>
      <c r="AO212">
        <v>-0.35899999999999999</v>
      </c>
      <c r="AP212">
        <v>0.81499999999999995</v>
      </c>
      <c r="AQ212">
        <v>0.26700000000000002</v>
      </c>
      <c r="AR212">
        <v>-1</v>
      </c>
      <c r="AS212">
        <v>-0.51400000000000001</v>
      </c>
      <c r="AT212">
        <v>-0.64300000000000002</v>
      </c>
      <c r="AU212">
        <v>-0.84399999999999997</v>
      </c>
      <c r="AV212">
        <v>-0.107</v>
      </c>
      <c r="AW212">
        <v>-0.66400000000000003</v>
      </c>
      <c r="AX212">
        <v>0.17399999999999999</v>
      </c>
      <c r="AY212">
        <v>-0.247</v>
      </c>
      <c r="AZ212">
        <v>-0.25800000000000001</v>
      </c>
      <c r="BA212">
        <v>-0.121</v>
      </c>
      <c r="BB212">
        <v>-0.53900000000000003</v>
      </c>
      <c r="BC212">
        <v>-0.54500000000000004</v>
      </c>
      <c r="BD212">
        <v>0.34300000000000003</v>
      </c>
      <c r="BE212">
        <v>-0.92300000000000004</v>
      </c>
      <c r="BF212">
        <v>-0.54100000000000004</v>
      </c>
      <c r="BG212">
        <v>-0.20499999999999999</v>
      </c>
      <c r="BH212">
        <v>0.29399999999999998</v>
      </c>
      <c r="BI212">
        <v>0.21199999999999999</v>
      </c>
      <c r="BJ212">
        <v>-0.188</v>
      </c>
      <c r="BK212">
        <v>0.92</v>
      </c>
    </row>
    <row r="213" spans="1:63" x14ac:dyDescent="0.3">
      <c r="K213" t="s">
        <v>267</v>
      </c>
      <c r="L213">
        <v>0.47699999999999998</v>
      </c>
      <c r="M213">
        <v>0.33500000000000002</v>
      </c>
      <c r="N213" t="s">
        <v>53</v>
      </c>
      <c r="O213">
        <v>0</v>
      </c>
      <c r="P213">
        <v>0</v>
      </c>
      <c r="Q213">
        <v>0</v>
      </c>
      <c r="R213">
        <v>-1</v>
      </c>
      <c r="S213">
        <v>-0.98</v>
      </c>
      <c r="T213">
        <v>-0.93500000000000005</v>
      </c>
      <c r="U213">
        <v>-1</v>
      </c>
      <c r="V213">
        <v>-0.98899999999999999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-0.88500000000000001</v>
      </c>
      <c r="AF213">
        <v>-0.753</v>
      </c>
      <c r="AG213">
        <v>-1</v>
      </c>
      <c r="AH213">
        <v>-0.157</v>
      </c>
      <c r="AI213">
        <v>-0.39200000000000002</v>
      </c>
      <c r="AJ213">
        <v>-0.68500000000000005</v>
      </c>
      <c r="AK213">
        <v>-0.217</v>
      </c>
      <c r="AL213">
        <v>-1</v>
      </c>
      <c r="AM213">
        <v>-0.36399999999999999</v>
      </c>
      <c r="AN213">
        <v>-0.80200000000000005</v>
      </c>
      <c r="AO213">
        <v>-0.46700000000000003</v>
      </c>
      <c r="AP213">
        <v>-0.59899999999999998</v>
      </c>
      <c r="AQ213">
        <v>-0.54500000000000004</v>
      </c>
      <c r="AR213">
        <v>-1</v>
      </c>
      <c r="AS213">
        <v>-0.37</v>
      </c>
      <c r="AT213">
        <v>-0.66300000000000003</v>
      </c>
      <c r="AU213">
        <v>-0.60099999999999998</v>
      </c>
      <c r="AV213">
        <v>-0.80200000000000005</v>
      </c>
      <c r="AW213">
        <v>-0.58399999999999996</v>
      </c>
      <c r="AX213">
        <v>-1</v>
      </c>
      <c r="AY213">
        <v>-0.48499999999999999</v>
      </c>
      <c r="AZ213">
        <v>0.10299999999999999</v>
      </c>
      <c r="BA213">
        <v>0.31900000000000001</v>
      </c>
      <c r="BB213">
        <v>1</v>
      </c>
      <c r="BC213">
        <v>3.1E-2</v>
      </c>
      <c r="BD213">
        <v>0.24099999999999999</v>
      </c>
      <c r="BE213">
        <v>0.16800000000000001</v>
      </c>
      <c r="BF213">
        <v>7.2999999999999995E-2</v>
      </c>
      <c r="BG213">
        <v>-1</v>
      </c>
      <c r="BH213">
        <v>0.998</v>
      </c>
      <c r="BI213">
        <v>0.26700000000000002</v>
      </c>
      <c r="BJ213">
        <v>0.317</v>
      </c>
      <c r="BK213">
        <v>0.60099999999999998</v>
      </c>
    </row>
    <row r="214" spans="1:63" x14ac:dyDescent="0.3">
      <c r="K214" t="s">
        <v>268</v>
      </c>
      <c r="L214">
        <v>0.47699999999999998</v>
      </c>
      <c r="M214">
        <v>0.33500000000000002</v>
      </c>
      <c r="N214" t="s">
        <v>71</v>
      </c>
      <c r="O214">
        <v>0</v>
      </c>
      <c r="P214">
        <v>0</v>
      </c>
      <c r="Q214">
        <v>0</v>
      </c>
      <c r="R214">
        <v>-0.996</v>
      </c>
      <c r="S214">
        <v>-1</v>
      </c>
      <c r="T214">
        <v>-0.93300000000000005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  <c r="AF214">
        <v>-0.82299999999999995</v>
      </c>
      <c r="AG214">
        <v>-1</v>
      </c>
      <c r="AH214">
        <v>-0.48</v>
      </c>
      <c r="AI214">
        <v>-0.26400000000000001</v>
      </c>
      <c r="AJ214">
        <v>-0.39700000000000002</v>
      </c>
      <c r="AK214">
        <v>-0.58499999999999996</v>
      </c>
      <c r="AL214">
        <v>-1</v>
      </c>
      <c r="AM214">
        <v>-0.95699999999999996</v>
      </c>
      <c r="AN214">
        <v>-1.7000000000000001E-2</v>
      </c>
      <c r="AO214">
        <v>-0.58499999999999996</v>
      </c>
      <c r="AP214">
        <v>-0.378</v>
      </c>
      <c r="AQ214">
        <v>0.17100000000000001</v>
      </c>
      <c r="AR214">
        <v>-0.502</v>
      </c>
      <c r="AS214">
        <v>-0.35599999999999998</v>
      </c>
      <c r="AT214">
        <v>-0.78300000000000003</v>
      </c>
      <c r="AU214">
        <v>-0.81899999999999995</v>
      </c>
      <c r="AV214">
        <v>-0.41699999999999998</v>
      </c>
      <c r="AW214">
        <v>-0.49199999999999999</v>
      </c>
      <c r="AX214">
        <v>-0.77400000000000002</v>
      </c>
      <c r="AY214">
        <v>-0.87</v>
      </c>
      <c r="AZ214">
        <v>-0.621</v>
      </c>
      <c r="BA214">
        <v>-0.47699999999999998</v>
      </c>
      <c r="BB214">
        <v>0.85299999999999998</v>
      </c>
      <c r="BC214">
        <v>0.755</v>
      </c>
      <c r="BD214">
        <v>-2.3E-2</v>
      </c>
      <c r="BE214">
        <v>0.62</v>
      </c>
      <c r="BF214">
        <v>0.69799999999999995</v>
      </c>
      <c r="BG214">
        <v>-0.70799999999999996</v>
      </c>
      <c r="BH214">
        <v>1</v>
      </c>
      <c r="BI214">
        <v>-0.02</v>
      </c>
      <c r="BJ214">
        <v>0.68899999999999995</v>
      </c>
      <c r="BK214">
        <v>0.96499999999999997</v>
      </c>
    </row>
  </sheetData>
  <autoFilter ref="K3:BK214" xr:uid="{02F358FF-6914-46DE-9D47-3DE68DBCD665}">
    <sortState xmlns:xlrd2="http://schemas.microsoft.com/office/spreadsheetml/2017/richdata2" ref="K4:BK214">
      <sortCondition descending="1" ref="L3:L214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F910-D166-4B1E-9A0D-C67C5690133D}">
  <sheetPr>
    <tabColor theme="3" tint="0.499984740745262"/>
  </sheetPr>
  <dimension ref="A1:AN43"/>
  <sheetViews>
    <sheetView showGridLines="0" workbookViewId="0">
      <selection activeCell="R12" sqref="R12"/>
    </sheetView>
  </sheetViews>
  <sheetFormatPr defaultRowHeight="14.4" x14ac:dyDescent="0.3"/>
  <cols>
    <col min="2" max="2" width="21.77734375" bestFit="1" customWidth="1"/>
    <col min="21" max="21" width="21.77734375" bestFit="1" customWidth="1"/>
  </cols>
  <sheetData>
    <row r="1" spans="1:40" x14ac:dyDescent="0.3">
      <c r="A1" t="s">
        <v>556</v>
      </c>
      <c r="T1" t="s">
        <v>596</v>
      </c>
    </row>
    <row r="3" spans="1:40" x14ac:dyDescent="0.3">
      <c r="A3" t="s">
        <v>557</v>
      </c>
      <c r="H3" s="26">
        <f>SUM(H6,H7,H8,H9,H10,H12,H13,H14,H15,H16,H17,H20,H22,H23,H24,H28,H25,H29,H30,H31)</f>
        <v>0.75239999999999996</v>
      </c>
      <c r="T3" t="s">
        <v>557</v>
      </c>
    </row>
    <row r="5" spans="1:40" x14ac:dyDescent="0.3">
      <c r="A5" t="s">
        <v>311</v>
      </c>
      <c r="B5" t="s">
        <v>558</v>
      </c>
      <c r="C5" t="s">
        <v>559</v>
      </c>
      <c r="D5" t="s">
        <v>560</v>
      </c>
      <c r="E5" t="s">
        <v>561</v>
      </c>
      <c r="F5" t="s">
        <v>562</v>
      </c>
      <c r="G5" t="s">
        <v>563</v>
      </c>
      <c r="H5" t="s">
        <v>564</v>
      </c>
      <c r="I5" s="19" t="s">
        <v>565</v>
      </c>
      <c r="J5" s="19" t="s">
        <v>566</v>
      </c>
      <c r="K5" s="19" t="s">
        <v>567</v>
      </c>
      <c r="L5" s="19" t="s">
        <v>568</v>
      </c>
      <c r="M5" s="19" t="s">
        <v>569</v>
      </c>
      <c r="N5" s="19" t="s">
        <v>570</v>
      </c>
      <c r="O5" s="19" t="s">
        <v>571</v>
      </c>
      <c r="P5" s="19" t="s">
        <v>572</v>
      </c>
      <c r="T5" s="27"/>
      <c r="U5" t="s">
        <v>558</v>
      </c>
      <c r="V5" t="s">
        <v>559</v>
      </c>
      <c r="W5" t="s">
        <v>560</v>
      </c>
      <c r="X5" t="s">
        <v>561</v>
      </c>
      <c r="Y5" t="s">
        <v>590</v>
      </c>
      <c r="Z5" t="s">
        <v>565</v>
      </c>
      <c r="AA5" t="s">
        <v>568</v>
      </c>
      <c r="AB5" t="s">
        <v>569</v>
      </c>
      <c r="AC5" t="s">
        <v>570</v>
      </c>
      <c r="AD5" t="s">
        <v>571</v>
      </c>
      <c r="AE5" t="s">
        <v>566</v>
      </c>
      <c r="AF5" t="s">
        <v>567</v>
      </c>
      <c r="AG5" t="s">
        <v>572</v>
      </c>
      <c r="AH5" t="s">
        <v>591</v>
      </c>
      <c r="AI5" t="s">
        <v>592</v>
      </c>
      <c r="AJ5" t="s">
        <v>593</v>
      </c>
      <c r="AK5" t="s">
        <v>594</v>
      </c>
      <c r="AL5" t="s">
        <v>595</v>
      </c>
    </row>
    <row r="6" spans="1:40" x14ac:dyDescent="0.3">
      <c r="A6">
        <v>1</v>
      </c>
      <c r="B6" t="s">
        <v>26</v>
      </c>
      <c r="C6" t="s">
        <v>573</v>
      </c>
      <c r="D6">
        <v>0.78400000000000003</v>
      </c>
      <c r="E6">
        <v>2.1800000000000002</v>
      </c>
      <c r="F6">
        <v>7.5700000000000003E-2</v>
      </c>
      <c r="G6">
        <v>6.54E-2</v>
      </c>
      <c r="H6" s="2">
        <v>0.10050000000000001</v>
      </c>
      <c r="I6">
        <v>3.5700000000000003E-2</v>
      </c>
      <c r="J6">
        <v>6.8500000000000005E-2</v>
      </c>
      <c r="K6">
        <v>9.2399999999999996E-2</v>
      </c>
      <c r="L6">
        <v>2.9700000000000001E-2</v>
      </c>
      <c r="M6">
        <v>4.8500000000000001E-2</v>
      </c>
      <c r="N6">
        <v>6.8000000000000005E-2</v>
      </c>
      <c r="O6">
        <v>6.6799999999999998E-2</v>
      </c>
      <c r="P6">
        <v>0.19570000000000001</v>
      </c>
      <c r="T6">
        <f>W6*SQRT(25)</f>
        <v>4.91</v>
      </c>
      <c r="U6" t="s">
        <v>19</v>
      </c>
      <c r="V6" t="s">
        <v>575</v>
      </c>
      <c r="W6">
        <v>0.98199999999999998</v>
      </c>
      <c r="X6">
        <v>2.629</v>
      </c>
      <c r="Y6">
        <v>0.52700000000000002</v>
      </c>
      <c r="Z6">
        <v>0.81799999999999995</v>
      </c>
      <c r="AA6">
        <v>7.1999999999999995E-2</v>
      </c>
      <c r="AB6">
        <v>0.64800000000000002</v>
      </c>
      <c r="AC6">
        <v>1.351</v>
      </c>
      <c r="AD6">
        <v>0.93100000000000005</v>
      </c>
      <c r="AE6">
        <v>1.026</v>
      </c>
      <c r="AF6">
        <v>0.72099999999999997</v>
      </c>
      <c r="AG6">
        <v>0.82899999999999996</v>
      </c>
      <c r="AH6">
        <v>-1.573</v>
      </c>
      <c r="AI6">
        <v>-1.542</v>
      </c>
      <c r="AJ6">
        <v>-1.0269999999999999</v>
      </c>
      <c r="AK6">
        <v>-1.054</v>
      </c>
      <c r="AL6">
        <v>-1.121</v>
      </c>
      <c r="AM6">
        <f>AVERAGE(AH6:AL6)</f>
        <v>-1.2634000000000001</v>
      </c>
      <c r="AN6" t="str">
        <f>U6</f>
        <v>qv</v>
      </c>
    </row>
    <row r="7" spans="1:40" x14ac:dyDescent="0.3">
      <c r="A7">
        <v>2</v>
      </c>
      <c r="B7" t="s">
        <v>29</v>
      </c>
      <c r="C7" t="s">
        <v>574</v>
      </c>
      <c r="D7">
        <v>0.60199999999999998</v>
      </c>
      <c r="E7">
        <v>3.1760000000000002</v>
      </c>
      <c r="F7">
        <v>6.5600000000000006E-2</v>
      </c>
      <c r="G7">
        <v>5.4899999999999997E-2</v>
      </c>
      <c r="H7" s="2">
        <v>8.4400000000000003E-2</v>
      </c>
      <c r="I7">
        <v>3.5700000000000003E-2</v>
      </c>
      <c r="J7">
        <v>3.0599999999999999E-2</v>
      </c>
      <c r="K7">
        <v>2.0799999999999999E-2</v>
      </c>
      <c r="L7">
        <v>0.1061</v>
      </c>
      <c r="M7">
        <v>1.2699999999999999E-2</v>
      </c>
      <c r="N7">
        <v>6.5600000000000006E-2</v>
      </c>
      <c r="O7">
        <v>8.5599999999999996E-2</v>
      </c>
      <c r="P7">
        <v>0.16750000000000001</v>
      </c>
      <c r="T7">
        <f t="shared" ref="T7:T43" si="0">W7*SQRT(25)</f>
        <v>4.59</v>
      </c>
      <c r="U7" t="s">
        <v>21</v>
      </c>
      <c r="V7" t="s">
        <v>575</v>
      </c>
      <c r="W7">
        <v>0.91800000000000004</v>
      </c>
      <c r="X7">
        <v>2.7639999999999998</v>
      </c>
      <c r="Y7">
        <v>0.44</v>
      </c>
      <c r="Z7">
        <v>0.30499999999999999</v>
      </c>
      <c r="AA7">
        <v>1.452</v>
      </c>
      <c r="AB7">
        <v>-0.26800000000000002</v>
      </c>
      <c r="AC7">
        <v>0.72</v>
      </c>
      <c r="AD7">
        <v>0.878</v>
      </c>
      <c r="AE7">
        <v>0.32100000000000001</v>
      </c>
      <c r="AF7">
        <v>0.109</v>
      </c>
      <c r="AG7">
        <v>1.2070000000000001</v>
      </c>
      <c r="AH7">
        <v>-0.69199999999999995</v>
      </c>
      <c r="AI7">
        <v>-0.64600000000000002</v>
      </c>
      <c r="AJ7">
        <v>-0.17699999999999999</v>
      </c>
      <c r="AK7">
        <v>8.0000000000000002E-3</v>
      </c>
      <c r="AL7">
        <v>8.9999999999999993E-3</v>
      </c>
      <c r="AM7">
        <f t="shared" ref="AM7:AM43" si="1">AVERAGE(AH7:AL7)</f>
        <v>-0.29960000000000003</v>
      </c>
      <c r="AN7" t="str">
        <f t="shared" ref="AN7:AN43" si="2">U7</f>
        <v>vm</v>
      </c>
    </row>
    <row r="8" spans="1:40" x14ac:dyDescent="0.3">
      <c r="A8">
        <v>3</v>
      </c>
      <c r="B8" t="s">
        <v>21</v>
      </c>
      <c r="C8" t="s">
        <v>575</v>
      </c>
      <c r="D8">
        <v>0.91800000000000004</v>
      </c>
      <c r="E8">
        <v>2.7639999999999998</v>
      </c>
      <c r="F8">
        <v>5.8700000000000002E-2</v>
      </c>
      <c r="G8">
        <v>4.2500000000000003E-2</v>
      </c>
      <c r="H8" s="2">
        <v>6.5299999999999997E-2</v>
      </c>
      <c r="I8">
        <v>3.5700000000000003E-2</v>
      </c>
      <c r="J8">
        <v>2.87E-2</v>
      </c>
      <c r="K8">
        <v>2.76E-2</v>
      </c>
      <c r="L8">
        <v>9.3700000000000006E-2</v>
      </c>
      <c r="M8">
        <v>1.29E-2</v>
      </c>
      <c r="N8">
        <v>7.8E-2</v>
      </c>
      <c r="O8">
        <v>8.5300000000000001E-2</v>
      </c>
      <c r="P8">
        <v>0.1072</v>
      </c>
      <c r="T8">
        <f t="shared" si="0"/>
        <v>4.57</v>
      </c>
      <c r="U8" t="s">
        <v>20</v>
      </c>
      <c r="V8" t="s">
        <v>575</v>
      </c>
      <c r="W8">
        <v>0.91400000000000003</v>
      </c>
      <c r="X8">
        <v>2.2229999999999999</v>
      </c>
      <c r="Y8">
        <v>-3.0000000000000001E-3</v>
      </c>
      <c r="Z8">
        <v>8.5000000000000006E-2</v>
      </c>
      <c r="AA8">
        <v>-0.34799999999999998</v>
      </c>
      <c r="AB8">
        <v>0.154</v>
      </c>
      <c r="AC8">
        <v>0.36199999999999999</v>
      </c>
      <c r="AD8">
        <v>0.23499999999999999</v>
      </c>
      <c r="AE8">
        <v>9.6000000000000002E-2</v>
      </c>
      <c r="AF8">
        <v>-0.113</v>
      </c>
      <c r="AG8">
        <v>-0.13800000000000001</v>
      </c>
      <c r="AH8">
        <v>-8.5000000000000006E-2</v>
      </c>
      <c r="AI8">
        <v>-0.114</v>
      </c>
      <c r="AJ8">
        <v>-0.58099999999999996</v>
      </c>
      <c r="AK8">
        <v>-0.51900000000000002</v>
      </c>
      <c r="AL8">
        <v>-0.32500000000000001</v>
      </c>
      <c r="AM8">
        <f t="shared" si="1"/>
        <v>-0.32479999999999998</v>
      </c>
      <c r="AN8" t="str">
        <f t="shared" si="2"/>
        <v>garp</v>
      </c>
    </row>
    <row r="9" spans="1:40" x14ac:dyDescent="0.3">
      <c r="A9">
        <v>4</v>
      </c>
      <c r="B9" t="s">
        <v>35</v>
      </c>
      <c r="C9" t="s">
        <v>576</v>
      </c>
      <c r="D9">
        <v>0.44900000000000001</v>
      </c>
      <c r="E9">
        <v>2.3460000000000001</v>
      </c>
      <c r="F9">
        <v>5.0599999999999999E-2</v>
      </c>
      <c r="G9">
        <v>3.09E-2</v>
      </c>
      <c r="H9" s="2">
        <v>4.7600000000000003E-2</v>
      </c>
      <c r="I9">
        <v>3.5700000000000003E-2</v>
      </c>
      <c r="J9">
        <v>5.1900000000000002E-2</v>
      </c>
      <c r="K9">
        <v>0.1174</v>
      </c>
      <c r="L9">
        <v>5.8400000000000001E-2</v>
      </c>
      <c r="M9">
        <v>2.07E-2</v>
      </c>
      <c r="N9">
        <v>4.2099999999999999E-2</v>
      </c>
      <c r="O9">
        <v>4.0399999999999998E-2</v>
      </c>
      <c r="P9">
        <v>3.85E-2</v>
      </c>
      <c r="T9">
        <f t="shared" si="0"/>
        <v>3.92</v>
      </c>
      <c r="U9" t="s">
        <v>26</v>
      </c>
      <c r="V9" t="s">
        <v>573</v>
      </c>
      <c r="W9">
        <v>0.78400000000000003</v>
      </c>
      <c r="X9">
        <v>2.1800000000000002</v>
      </c>
      <c r="Y9">
        <v>0.33900000000000002</v>
      </c>
      <c r="Z9">
        <v>-0.28599999999999998</v>
      </c>
      <c r="AA9">
        <v>-0.314</v>
      </c>
      <c r="AB9">
        <v>-0.14299999999999999</v>
      </c>
      <c r="AC9">
        <v>5.3999999999999999E-2</v>
      </c>
      <c r="AD9">
        <v>5.3999999999999999E-2</v>
      </c>
      <c r="AE9">
        <v>0.56999999999999995</v>
      </c>
      <c r="AF9">
        <v>0.89300000000000002</v>
      </c>
      <c r="AG9">
        <v>1.454</v>
      </c>
      <c r="AH9">
        <v>0.70599999999999996</v>
      </c>
      <c r="AI9">
        <v>0.70099999999999996</v>
      </c>
      <c r="AJ9">
        <v>0.67700000000000005</v>
      </c>
      <c r="AK9">
        <v>0.76</v>
      </c>
      <c r="AL9">
        <v>0.36199999999999999</v>
      </c>
      <c r="AM9">
        <f t="shared" si="1"/>
        <v>0.6412000000000001</v>
      </c>
      <c r="AN9" t="str">
        <f t="shared" si="2"/>
        <v>fac_payout_yield</v>
      </c>
    </row>
    <row r="10" spans="1:40" x14ac:dyDescent="0.3">
      <c r="A10">
        <v>5</v>
      </c>
      <c r="B10" t="s">
        <v>19</v>
      </c>
      <c r="C10" t="s">
        <v>575</v>
      </c>
      <c r="D10">
        <v>0.98199999999999998</v>
      </c>
      <c r="E10">
        <v>2.629</v>
      </c>
      <c r="F10">
        <v>4.7399999999999998E-2</v>
      </c>
      <c r="G10">
        <v>3.2899999999999999E-2</v>
      </c>
      <c r="H10" s="2">
        <v>5.0500000000000003E-2</v>
      </c>
      <c r="I10">
        <v>3.5700000000000003E-2</v>
      </c>
      <c r="J10">
        <v>3.1399999999999997E-2</v>
      </c>
      <c r="K10">
        <v>2.5999999999999999E-2</v>
      </c>
      <c r="L10">
        <v>1.7500000000000002E-2</v>
      </c>
      <c r="M10">
        <v>5.3400000000000003E-2</v>
      </c>
      <c r="N10">
        <v>7.8E-2</v>
      </c>
      <c r="O10">
        <v>6.4899999999999999E-2</v>
      </c>
      <c r="P10">
        <v>7.2700000000000001E-2</v>
      </c>
      <c r="T10">
        <f t="shared" si="0"/>
        <v>3.62</v>
      </c>
      <c r="U10" t="s">
        <v>25</v>
      </c>
      <c r="V10" t="s">
        <v>573</v>
      </c>
      <c r="W10">
        <v>0.72399999999999998</v>
      </c>
      <c r="X10">
        <v>2.476</v>
      </c>
      <c r="Y10">
        <v>-0.39800000000000002</v>
      </c>
      <c r="Z10">
        <v>-0.48699999999999999</v>
      </c>
      <c r="AA10">
        <v>-0.44800000000000001</v>
      </c>
      <c r="AB10">
        <v>-0.38</v>
      </c>
      <c r="AC10">
        <v>-0.495</v>
      </c>
      <c r="AD10">
        <v>-0.47799999999999998</v>
      </c>
      <c r="AE10">
        <v>-0.70399999999999996</v>
      </c>
      <c r="AF10">
        <v>-0.79300000000000004</v>
      </c>
      <c r="AG10">
        <v>-0.74399999999999999</v>
      </c>
      <c r="AH10">
        <v>0.81299999999999994</v>
      </c>
      <c r="AI10">
        <v>0.8</v>
      </c>
      <c r="AJ10">
        <v>1.484</v>
      </c>
      <c r="AK10">
        <v>1.379</v>
      </c>
      <c r="AL10">
        <v>0.81899999999999995</v>
      </c>
      <c r="AM10">
        <f t="shared" si="1"/>
        <v>1.0589999999999999</v>
      </c>
      <c r="AN10" t="str">
        <f t="shared" si="2"/>
        <v>fac_inc_cs_value</v>
      </c>
    </row>
    <row r="11" spans="1:40" x14ac:dyDescent="0.3">
      <c r="A11">
        <v>6</v>
      </c>
      <c r="B11" t="s">
        <v>47</v>
      </c>
      <c r="C11" t="s">
        <v>577</v>
      </c>
      <c r="D11">
        <v>0.122</v>
      </c>
      <c r="E11">
        <v>2.3170000000000002</v>
      </c>
      <c r="F11">
        <v>4.6800000000000001E-2</v>
      </c>
      <c r="G11">
        <v>2.8400000000000002E-2</v>
      </c>
      <c r="H11" s="2">
        <v>4.3700000000000003E-2</v>
      </c>
      <c r="I11">
        <v>3.5700000000000003E-2</v>
      </c>
      <c r="J11">
        <v>9.1999999999999998E-2</v>
      </c>
      <c r="K11">
        <v>0.13950000000000001</v>
      </c>
      <c r="L11">
        <v>2.87E-2</v>
      </c>
      <c r="M11">
        <v>2.2200000000000001E-2</v>
      </c>
      <c r="N11">
        <v>1.83E-2</v>
      </c>
      <c r="O11">
        <v>1.3899999999999999E-2</v>
      </c>
      <c r="P11">
        <v>2.3900000000000001E-2</v>
      </c>
      <c r="T11">
        <f t="shared" si="0"/>
        <v>3.3850000000000002</v>
      </c>
      <c r="U11" t="s">
        <v>36</v>
      </c>
      <c r="V11" t="s">
        <v>579</v>
      </c>
      <c r="W11">
        <v>0.67700000000000005</v>
      </c>
      <c r="X11">
        <v>2.722</v>
      </c>
      <c r="Y11">
        <v>-0.42899999999999999</v>
      </c>
      <c r="Z11">
        <v>-0.80300000000000005</v>
      </c>
      <c r="AA11">
        <v>-0.73299999999999998</v>
      </c>
      <c r="AB11">
        <v>-0.83599999999999997</v>
      </c>
      <c r="AC11">
        <v>-0.50900000000000001</v>
      </c>
      <c r="AD11">
        <v>-0.73199999999999998</v>
      </c>
      <c r="AE11">
        <v>-0.77900000000000003</v>
      </c>
      <c r="AF11">
        <v>-0.57899999999999996</v>
      </c>
      <c r="AG11">
        <v>-0.51200000000000001</v>
      </c>
      <c r="AH11">
        <v>1.264</v>
      </c>
      <c r="AI11">
        <v>1.222</v>
      </c>
      <c r="AJ11">
        <v>0.997</v>
      </c>
      <c r="AK11">
        <v>0.66300000000000003</v>
      </c>
      <c r="AL11">
        <v>0.72199999999999998</v>
      </c>
      <c r="AM11">
        <f t="shared" si="1"/>
        <v>0.97360000000000002</v>
      </c>
      <c r="AN11" t="str">
        <f t="shared" si="2"/>
        <v>fac_quality</v>
      </c>
    </row>
    <row r="12" spans="1:40" x14ac:dyDescent="0.3">
      <c r="A12">
        <v>7</v>
      </c>
      <c r="B12" t="s">
        <v>37</v>
      </c>
      <c r="C12" t="s">
        <v>578</v>
      </c>
      <c r="D12">
        <v>0.439</v>
      </c>
      <c r="E12">
        <v>3.375</v>
      </c>
      <c r="F12">
        <v>4.07E-2</v>
      </c>
      <c r="G12">
        <v>2.76E-2</v>
      </c>
      <c r="H12" s="2">
        <v>4.24E-2</v>
      </c>
      <c r="I12">
        <v>3.5700000000000003E-2</v>
      </c>
      <c r="J12">
        <v>0.05</v>
      </c>
      <c r="K12">
        <v>7.7100000000000002E-2</v>
      </c>
      <c r="L12">
        <v>2.1100000000000001E-2</v>
      </c>
      <c r="M12">
        <v>1.9199999999999998E-2</v>
      </c>
      <c r="N12">
        <v>5.3199999999999997E-2</v>
      </c>
      <c r="O12">
        <v>2.4199999999999999E-2</v>
      </c>
      <c r="P12">
        <v>4.4699999999999997E-2</v>
      </c>
      <c r="T12">
        <f t="shared" si="0"/>
        <v>3.01</v>
      </c>
      <c r="U12" t="s">
        <v>29</v>
      </c>
      <c r="V12" t="s">
        <v>574</v>
      </c>
      <c r="W12">
        <v>0.60199999999999998</v>
      </c>
      <c r="X12">
        <v>3.1760000000000002</v>
      </c>
      <c r="Y12">
        <v>-5.7000000000000002E-2</v>
      </c>
      <c r="Z12">
        <v>-0.47599999999999998</v>
      </c>
      <c r="AA12">
        <v>0.14099999999999999</v>
      </c>
      <c r="AB12">
        <v>-0.39400000000000002</v>
      </c>
      <c r="AC12">
        <v>-0.23599999999999999</v>
      </c>
      <c r="AD12">
        <v>-3.5000000000000003E-2</v>
      </c>
      <c r="AE12">
        <v>-0.50600000000000001</v>
      </c>
      <c r="AF12">
        <v>-0.57799999999999996</v>
      </c>
      <c r="AG12">
        <v>0.497</v>
      </c>
      <c r="AH12">
        <v>1.9179999999999999</v>
      </c>
      <c r="AI12">
        <v>1.917</v>
      </c>
      <c r="AJ12">
        <v>1.6439999999999999</v>
      </c>
      <c r="AK12">
        <v>1.5589999999999999</v>
      </c>
      <c r="AL12">
        <v>2.2789999999999999</v>
      </c>
      <c r="AM12">
        <f t="shared" si="1"/>
        <v>1.8633999999999999</v>
      </c>
      <c r="AN12" t="str">
        <f t="shared" si="2"/>
        <v>fac_interm_momentum</v>
      </c>
    </row>
    <row r="13" spans="1:40" x14ac:dyDescent="0.3">
      <c r="A13">
        <v>8</v>
      </c>
      <c r="B13" t="s">
        <v>34</v>
      </c>
      <c r="C13" t="s">
        <v>576</v>
      </c>
      <c r="D13">
        <v>0.58699999999999997</v>
      </c>
      <c r="E13">
        <v>2.8239999999999998</v>
      </c>
      <c r="F13">
        <v>3.8899999999999997E-2</v>
      </c>
      <c r="G13">
        <v>2.41E-2</v>
      </c>
      <c r="H13" s="2">
        <v>3.6999999999999998E-2</v>
      </c>
      <c r="I13">
        <v>3.5700000000000003E-2</v>
      </c>
      <c r="J13">
        <v>3.5999999999999997E-2</v>
      </c>
      <c r="K13">
        <v>4.3799999999999999E-2</v>
      </c>
      <c r="L13">
        <v>2.4500000000000001E-2</v>
      </c>
      <c r="M13">
        <v>3.3700000000000001E-2</v>
      </c>
      <c r="N13">
        <v>6.0100000000000001E-2</v>
      </c>
      <c r="O13">
        <v>4.3900000000000002E-2</v>
      </c>
      <c r="P13">
        <v>3.3700000000000001E-2</v>
      </c>
      <c r="T13">
        <f t="shared" si="0"/>
        <v>2.9349999999999996</v>
      </c>
      <c r="U13" t="s">
        <v>34</v>
      </c>
      <c r="V13" t="s">
        <v>576</v>
      </c>
      <c r="W13">
        <v>0.58699999999999997</v>
      </c>
      <c r="X13">
        <v>2.8239999999999998</v>
      </c>
      <c r="Y13">
        <v>-0.125</v>
      </c>
      <c r="Z13">
        <v>-0.17100000000000001</v>
      </c>
      <c r="AA13">
        <v>-0.37</v>
      </c>
      <c r="AB13">
        <v>-0.22600000000000001</v>
      </c>
      <c r="AC13">
        <v>3.9E-2</v>
      </c>
      <c r="AD13">
        <v>-0.16400000000000001</v>
      </c>
      <c r="AE13">
        <v>-0.154</v>
      </c>
      <c r="AF13">
        <v>-0.189</v>
      </c>
      <c r="AG13">
        <v>-0.22600000000000001</v>
      </c>
      <c r="AH13">
        <v>1.853</v>
      </c>
      <c r="AI13">
        <v>1.885</v>
      </c>
      <c r="AJ13">
        <v>1.823</v>
      </c>
      <c r="AK13">
        <v>1.56</v>
      </c>
      <c r="AL13">
        <v>1.9179999999999999</v>
      </c>
      <c r="AM13">
        <f t="shared" si="1"/>
        <v>1.8077999999999999</v>
      </c>
      <c r="AN13" t="str">
        <f t="shared" si="2"/>
        <v>fac_bs_profitability</v>
      </c>
    </row>
    <row r="14" spans="1:40" x14ac:dyDescent="0.3">
      <c r="A14">
        <v>9</v>
      </c>
      <c r="B14" t="s">
        <v>20</v>
      </c>
      <c r="C14" t="s">
        <v>575</v>
      </c>
      <c r="D14">
        <v>0.91400000000000003</v>
      </c>
      <c r="E14">
        <v>2.2229999999999999</v>
      </c>
      <c r="F14">
        <v>3.7499999999999999E-2</v>
      </c>
      <c r="G14">
        <v>2.1299999999999999E-2</v>
      </c>
      <c r="H14" s="2">
        <v>3.27E-2</v>
      </c>
      <c r="I14">
        <v>3.5700000000000003E-2</v>
      </c>
      <c r="J14">
        <v>3.0200000000000001E-2</v>
      </c>
      <c r="K14">
        <v>2.0299999999999999E-2</v>
      </c>
      <c r="L14">
        <v>1.5100000000000001E-2</v>
      </c>
      <c r="M14">
        <v>5.2299999999999999E-2</v>
      </c>
      <c r="N14">
        <v>6.4699999999999994E-2</v>
      </c>
      <c r="O14">
        <v>5.6899999999999999E-2</v>
      </c>
      <c r="P14">
        <v>2.4400000000000002E-2</v>
      </c>
      <c r="T14">
        <f t="shared" si="0"/>
        <v>2.9299999999999997</v>
      </c>
      <c r="U14" t="s">
        <v>31</v>
      </c>
      <c r="V14" t="s">
        <v>583</v>
      </c>
      <c r="W14">
        <v>0.58599999999999997</v>
      </c>
      <c r="X14">
        <v>2.605</v>
      </c>
      <c r="Y14">
        <v>-0.22900000000000001</v>
      </c>
      <c r="Z14">
        <v>-0.39600000000000002</v>
      </c>
      <c r="AA14">
        <v>-0.52</v>
      </c>
      <c r="AB14">
        <v>-0.626</v>
      </c>
      <c r="AC14">
        <v>-0.151</v>
      </c>
      <c r="AD14">
        <v>-0.48799999999999999</v>
      </c>
      <c r="AE14">
        <v>-0.28199999999999997</v>
      </c>
      <c r="AF14">
        <v>-0.23100000000000001</v>
      </c>
      <c r="AG14">
        <v>-0.30099999999999999</v>
      </c>
      <c r="AH14">
        <v>-0.28999999999999998</v>
      </c>
      <c r="AI14">
        <v>-0.28199999999999997</v>
      </c>
      <c r="AJ14">
        <v>0.26900000000000002</v>
      </c>
      <c r="AK14">
        <v>3.5999999999999997E-2</v>
      </c>
      <c r="AL14">
        <v>-0.48199999999999998</v>
      </c>
      <c r="AM14">
        <f t="shared" si="1"/>
        <v>-0.14979999999999999</v>
      </c>
      <c r="AN14" t="str">
        <f t="shared" si="2"/>
        <v>fac_lt_profit_growth</v>
      </c>
    </row>
    <row r="15" spans="1:40" x14ac:dyDescent="0.3">
      <c r="A15">
        <v>10</v>
      </c>
      <c r="B15" t="s">
        <v>36</v>
      </c>
      <c r="C15" t="s">
        <v>579</v>
      </c>
      <c r="D15">
        <v>0.67700000000000005</v>
      </c>
      <c r="E15">
        <v>2.722</v>
      </c>
      <c r="F15">
        <v>3.4700000000000002E-2</v>
      </c>
      <c r="G15">
        <v>2.1999999999999999E-2</v>
      </c>
      <c r="H15" s="2">
        <v>3.39E-2</v>
      </c>
      <c r="I15">
        <v>3.5700000000000003E-2</v>
      </c>
      <c r="J15">
        <v>3.2199999999999999E-2</v>
      </c>
      <c r="K15">
        <v>3.7900000000000003E-2</v>
      </c>
      <c r="L15">
        <v>1.6500000000000001E-2</v>
      </c>
      <c r="M15">
        <v>1.9199999999999998E-2</v>
      </c>
      <c r="N15">
        <v>6.9599999999999995E-2</v>
      </c>
      <c r="O15">
        <v>3.5400000000000001E-2</v>
      </c>
      <c r="P15">
        <v>3.1099999999999999E-2</v>
      </c>
      <c r="T15">
        <f t="shared" si="0"/>
        <v>2.5950000000000002</v>
      </c>
      <c r="U15" t="s">
        <v>33</v>
      </c>
      <c r="V15" t="s">
        <v>583</v>
      </c>
      <c r="W15">
        <v>0.51900000000000002</v>
      </c>
      <c r="X15">
        <v>2.4409999999999998</v>
      </c>
      <c r="Y15">
        <v>-8.7999999999999995E-2</v>
      </c>
      <c r="Z15">
        <v>-9.1999999999999998E-2</v>
      </c>
      <c r="AA15">
        <v>-2.8000000000000001E-2</v>
      </c>
      <c r="AB15">
        <v>-0.312</v>
      </c>
      <c r="AC15">
        <v>4.0000000000000001E-3</v>
      </c>
      <c r="AD15">
        <v>-0.16500000000000001</v>
      </c>
      <c r="AE15">
        <v>-0.11899999999999999</v>
      </c>
      <c r="AF15">
        <v>-0.19700000000000001</v>
      </c>
      <c r="AG15">
        <v>-0.158</v>
      </c>
      <c r="AH15">
        <v>0.20499999999999999</v>
      </c>
      <c r="AI15">
        <v>0.20699999999999999</v>
      </c>
      <c r="AJ15">
        <v>-0.29699999999999999</v>
      </c>
      <c r="AK15">
        <v>-0.25600000000000001</v>
      </c>
      <c r="AL15">
        <v>0.30299999999999999</v>
      </c>
      <c r="AM15">
        <f t="shared" si="1"/>
        <v>3.2399999999999998E-2</v>
      </c>
      <c r="AN15" t="str">
        <f t="shared" si="2"/>
        <v>fac_surprise</v>
      </c>
    </row>
    <row r="16" spans="1:40" x14ac:dyDescent="0.3">
      <c r="A16">
        <v>11</v>
      </c>
      <c r="B16" t="s">
        <v>27</v>
      </c>
      <c r="C16" t="s">
        <v>573</v>
      </c>
      <c r="D16">
        <v>0.23100000000000001</v>
      </c>
      <c r="E16">
        <v>3.7389999999999999</v>
      </c>
      <c r="F16">
        <v>3.4000000000000002E-2</v>
      </c>
      <c r="G16">
        <v>1.67E-2</v>
      </c>
      <c r="H16" s="2">
        <v>2.5700000000000001E-2</v>
      </c>
      <c r="I16">
        <v>3.5700000000000003E-2</v>
      </c>
      <c r="J16">
        <v>1.7399999999999999E-2</v>
      </c>
      <c r="K16">
        <v>9.1000000000000004E-3</v>
      </c>
      <c r="L16">
        <v>7.51E-2</v>
      </c>
      <c r="M16">
        <v>5.5599999999999997E-2</v>
      </c>
      <c r="N16">
        <v>1.6500000000000001E-2</v>
      </c>
      <c r="O16">
        <v>5.6800000000000003E-2</v>
      </c>
      <c r="P16">
        <v>5.8999999999999999E-3</v>
      </c>
      <c r="T16">
        <f t="shared" si="0"/>
        <v>2.2450000000000001</v>
      </c>
      <c r="U16" t="s">
        <v>35</v>
      </c>
      <c r="V16" t="s">
        <v>576</v>
      </c>
      <c r="W16">
        <v>0.44900000000000001</v>
      </c>
      <c r="X16">
        <v>2.3460000000000001</v>
      </c>
      <c r="Y16">
        <v>-2.8000000000000001E-2</v>
      </c>
      <c r="Z16">
        <v>-0.20899999999999999</v>
      </c>
      <c r="AA16">
        <v>9.7000000000000003E-2</v>
      </c>
      <c r="AB16">
        <v>-0.32100000000000001</v>
      </c>
      <c r="AC16">
        <v>-0.20200000000000001</v>
      </c>
      <c r="AD16">
        <v>-0.14599999999999999</v>
      </c>
      <c r="AE16">
        <v>0.109</v>
      </c>
      <c r="AF16">
        <v>0.95299999999999996</v>
      </c>
      <c r="AG16">
        <v>-0.2</v>
      </c>
      <c r="AH16">
        <v>0.505</v>
      </c>
      <c r="AI16">
        <v>0.51400000000000001</v>
      </c>
      <c r="AJ16">
        <v>0.88700000000000001</v>
      </c>
      <c r="AK16">
        <v>0.77200000000000002</v>
      </c>
      <c r="AL16">
        <v>0.44400000000000001</v>
      </c>
      <c r="AM16">
        <f t="shared" si="1"/>
        <v>0.62439999999999996</v>
      </c>
      <c r="AN16" t="str">
        <f t="shared" si="2"/>
        <v>fac_profit_margins</v>
      </c>
    </row>
    <row r="17" spans="1:40" x14ac:dyDescent="0.3">
      <c r="A17">
        <v>12</v>
      </c>
      <c r="B17" t="s">
        <v>24</v>
      </c>
      <c r="C17" t="s">
        <v>575</v>
      </c>
      <c r="D17">
        <v>0.19</v>
      </c>
      <c r="E17">
        <v>4.165</v>
      </c>
      <c r="F17">
        <v>3.3099999999999997E-2</v>
      </c>
      <c r="G17">
        <v>1.7000000000000001E-2</v>
      </c>
      <c r="H17" s="2">
        <v>2.6100000000000002E-2</v>
      </c>
      <c r="I17">
        <v>3.5700000000000003E-2</v>
      </c>
      <c r="J17">
        <v>1.41E-2</v>
      </c>
      <c r="K17">
        <v>8.3000000000000001E-3</v>
      </c>
      <c r="L17">
        <v>3.5299999999999998E-2</v>
      </c>
      <c r="M17">
        <v>9.2399999999999996E-2</v>
      </c>
      <c r="N17">
        <v>1.83E-2</v>
      </c>
      <c r="O17">
        <v>5.1299999999999998E-2</v>
      </c>
      <c r="P17">
        <v>9.7000000000000003E-3</v>
      </c>
      <c r="T17">
        <f t="shared" si="0"/>
        <v>2.1949999999999998</v>
      </c>
      <c r="U17" t="s">
        <v>37</v>
      </c>
      <c r="V17" t="s">
        <v>578</v>
      </c>
      <c r="W17">
        <v>0.439</v>
      </c>
      <c r="X17">
        <v>3.375</v>
      </c>
      <c r="Y17">
        <v>-6.5000000000000002E-2</v>
      </c>
      <c r="Z17">
        <v>-0.224</v>
      </c>
      <c r="AA17">
        <v>-0.34100000000000003</v>
      </c>
      <c r="AB17">
        <v>-0.42499999999999999</v>
      </c>
      <c r="AC17">
        <v>-4.7E-2</v>
      </c>
      <c r="AD17">
        <v>-0.32600000000000001</v>
      </c>
      <c r="AE17">
        <v>0.13400000000000001</v>
      </c>
      <c r="AF17">
        <v>0.40899999999999997</v>
      </c>
      <c r="AG17">
        <v>-8.7999999999999995E-2</v>
      </c>
      <c r="AH17">
        <v>0.81200000000000006</v>
      </c>
      <c r="AI17">
        <v>0.82499999999999996</v>
      </c>
      <c r="AJ17">
        <v>0.95899999999999996</v>
      </c>
      <c r="AK17">
        <v>1.093</v>
      </c>
      <c r="AL17">
        <v>0.72099999999999997</v>
      </c>
      <c r="AM17">
        <f t="shared" si="1"/>
        <v>0.88200000000000001</v>
      </c>
      <c r="AN17" t="str">
        <f t="shared" si="2"/>
        <v>fac_mkt_risk</v>
      </c>
    </row>
    <row r="18" spans="1:40" x14ac:dyDescent="0.3">
      <c r="A18">
        <v>13</v>
      </c>
      <c r="B18" t="s">
        <v>48</v>
      </c>
      <c r="C18" t="s">
        <v>580</v>
      </c>
      <c r="D18">
        <v>-0.53100000000000003</v>
      </c>
      <c r="E18">
        <v>4.5830000000000002</v>
      </c>
      <c r="F18">
        <v>3.2500000000000001E-2</v>
      </c>
      <c r="G18">
        <v>1.7100000000000001E-2</v>
      </c>
      <c r="H18" s="2">
        <v>2.63E-2</v>
      </c>
      <c r="I18">
        <v>3.5700000000000003E-2</v>
      </c>
      <c r="J18">
        <v>1.24E-2</v>
      </c>
      <c r="K18">
        <v>4.5999999999999999E-3</v>
      </c>
      <c r="L18">
        <v>8.1600000000000006E-2</v>
      </c>
      <c r="M18">
        <v>4.8899999999999999E-2</v>
      </c>
      <c r="N18">
        <v>1.23E-2</v>
      </c>
      <c r="O18">
        <v>5.21E-2</v>
      </c>
      <c r="P18">
        <v>1.23E-2</v>
      </c>
      <c r="T18">
        <f t="shared" si="0"/>
        <v>1.75</v>
      </c>
      <c r="U18" t="s">
        <v>39</v>
      </c>
      <c r="V18" t="s">
        <v>584</v>
      </c>
      <c r="W18">
        <v>0.35</v>
      </c>
      <c r="X18">
        <v>2.1030000000000002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f t="shared" si="1"/>
        <v>0</v>
      </c>
      <c r="AN18" t="str">
        <f t="shared" si="2"/>
        <v>fac_profit_vol</v>
      </c>
    </row>
    <row r="19" spans="1:40" x14ac:dyDescent="0.3">
      <c r="A19">
        <v>14</v>
      </c>
      <c r="B19" t="s">
        <v>50</v>
      </c>
      <c r="C19" t="s">
        <v>581</v>
      </c>
      <c r="D19">
        <v>0.218</v>
      </c>
      <c r="E19">
        <v>3.57</v>
      </c>
      <c r="F19">
        <v>3.2099999999999997E-2</v>
      </c>
      <c r="G19">
        <v>1.84E-2</v>
      </c>
      <c r="H19" s="2">
        <v>2.8299999999999999E-2</v>
      </c>
      <c r="I19">
        <v>3.5700000000000003E-2</v>
      </c>
      <c r="J19">
        <v>1.77E-2</v>
      </c>
      <c r="K19">
        <v>1.34E-2</v>
      </c>
      <c r="L19">
        <v>1.6899999999999998E-2</v>
      </c>
      <c r="M19">
        <v>9.3600000000000003E-2</v>
      </c>
      <c r="N19">
        <v>2.01E-2</v>
      </c>
      <c r="O19">
        <v>4.02E-2</v>
      </c>
      <c r="P19">
        <v>1.9300000000000001E-2</v>
      </c>
      <c r="T19">
        <f t="shared" si="0"/>
        <v>1.675</v>
      </c>
      <c r="U19" t="s">
        <v>44</v>
      </c>
      <c r="V19" t="s">
        <v>586</v>
      </c>
      <c r="W19">
        <v>0.33500000000000002</v>
      </c>
      <c r="X19">
        <v>3.0950000000000002</v>
      </c>
      <c r="Y19">
        <v>-0.159</v>
      </c>
      <c r="Z19">
        <v>-0.13500000000000001</v>
      </c>
      <c r="AA19">
        <v>-0.36699999999999999</v>
      </c>
      <c r="AB19">
        <v>-0.39500000000000002</v>
      </c>
      <c r="AC19">
        <v>-0.2</v>
      </c>
      <c r="AD19">
        <v>-0.376</v>
      </c>
      <c r="AE19">
        <v>-0.22700000000000001</v>
      </c>
      <c r="AF19">
        <v>-0.249</v>
      </c>
      <c r="AG19">
        <v>-0.26100000000000001</v>
      </c>
      <c r="AH19">
        <v>0.25600000000000001</v>
      </c>
      <c r="AI19">
        <v>0.26200000000000001</v>
      </c>
      <c r="AJ19">
        <v>0.26400000000000001</v>
      </c>
      <c r="AK19">
        <v>0.51200000000000001</v>
      </c>
      <c r="AL19">
        <v>0.36099999999999999</v>
      </c>
      <c r="AM19">
        <f t="shared" si="1"/>
        <v>0.33100000000000002</v>
      </c>
      <c r="AN19" t="str">
        <f t="shared" si="2"/>
        <v>fac_issuance</v>
      </c>
    </row>
    <row r="20" spans="1:40" x14ac:dyDescent="0.3">
      <c r="A20">
        <v>15</v>
      </c>
      <c r="B20" t="s">
        <v>22</v>
      </c>
      <c r="C20" t="s">
        <v>575</v>
      </c>
      <c r="D20">
        <v>5.1999999999999998E-2</v>
      </c>
      <c r="E20">
        <v>4.7329999999999997</v>
      </c>
      <c r="F20">
        <v>3.0499999999999999E-2</v>
      </c>
      <c r="G20">
        <v>1.5299999999999999E-2</v>
      </c>
      <c r="H20" s="2">
        <v>2.3400000000000001E-2</v>
      </c>
      <c r="I20">
        <v>3.5700000000000003E-2</v>
      </c>
      <c r="J20">
        <v>1.11E-2</v>
      </c>
      <c r="K20">
        <v>6.1999999999999998E-3</v>
      </c>
      <c r="L20">
        <v>4.1399999999999999E-2</v>
      </c>
      <c r="M20">
        <v>7.9100000000000004E-2</v>
      </c>
      <c r="N20">
        <v>1.4500000000000001E-2</v>
      </c>
      <c r="O20">
        <v>5.04E-2</v>
      </c>
      <c r="P20">
        <v>5.3E-3</v>
      </c>
      <c r="T20">
        <f t="shared" si="0"/>
        <v>1.52</v>
      </c>
      <c r="U20" t="s">
        <v>32</v>
      </c>
      <c r="V20" t="s">
        <v>583</v>
      </c>
      <c r="W20">
        <v>0.30399999999999999</v>
      </c>
      <c r="X20">
        <v>2.9039999999999999</v>
      </c>
      <c r="Y20">
        <v>-0.24199999999999999</v>
      </c>
      <c r="Z20">
        <v>-0.30099999999999999</v>
      </c>
      <c r="AA20">
        <v>-0.27400000000000002</v>
      </c>
      <c r="AB20">
        <v>-0.45100000000000001</v>
      </c>
      <c r="AC20">
        <v>-0.44400000000000001</v>
      </c>
      <c r="AD20">
        <v>-0.46899999999999997</v>
      </c>
      <c r="AE20">
        <v>-0.44500000000000001</v>
      </c>
      <c r="AF20">
        <v>-0.46400000000000002</v>
      </c>
      <c r="AG20">
        <v>-0.34899999999999998</v>
      </c>
      <c r="AH20">
        <v>-5.1999999999999998E-2</v>
      </c>
      <c r="AI20">
        <v>-4.1000000000000002E-2</v>
      </c>
      <c r="AJ20">
        <v>0.52400000000000002</v>
      </c>
      <c r="AK20">
        <v>0.60699999999999998</v>
      </c>
      <c r="AL20">
        <v>0.129</v>
      </c>
      <c r="AM20">
        <f t="shared" si="1"/>
        <v>0.2334</v>
      </c>
      <c r="AN20" t="str">
        <f t="shared" si="2"/>
        <v>fac_st_profit_growth</v>
      </c>
    </row>
    <row r="21" spans="1:40" x14ac:dyDescent="0.3">
      <c r="A21">
        <v>16</v>
      </c>
      <c r="B21" t="s">
        <v>40</v>
      </c>
      <c r="C21" t="s">
        <v>582</v>
      </c>
      <c r="D21">
        <v>0.224</v>
      </c>
      <c r="E21">
        <v>2.677</v>
      </c>
      <c r="F21">
        <v>2.9100000000000001E-2</v>
      </c>
      <c r="G21">
        <v>2.1000000000000001E-2</v>
      </c>
      <c r="H21" s="2">
        <v>3.2300000000000002E-2</v>
      </c>
      <c r="I21">
        <v>3.5700000000000003E-2</v>
      </c>
      <c r="J21">
        <v>3.4700000000000002E-2</v>
      </c>
      <c r="K21">
        <v>1.7399999999999999E-2</v>
      </c>
      <c r="L21">
        <v>3.3799999999999997E-2</v>
      </c>
      <c r="M21">
        <v>3.44E-2</v>
      </c>
      <c r="N21">
        <v>1.9699999999999999E-2</v>
      </c>
      <c r="O21">
        <v>1.8700000000000001E-2</v>
      </c>
      <c r="P21">
        <v>3.8100000000000002E-2</v>
      </c>
      <c r="T21">
        <f t="shared" si="0"/>
        <v>1.42</v>
      </c>
      <c r="U21" t="s">
        <v>28</v>
      </c>
      <c r="V21" t="s">
        <v>573</v>
      </c>
      <c r="W21">
        <v>0.28399999999999997</v>
      </c>
      <c r="X21">
        <v>2.4809999999999999</v>
      </c>
      <c r="Y21">
        <v>-0.252</v>
      </c>
      <c r="Z21">
        <v>-0.28599999999999998</v>
      </c>
      <c r="AA21">
        <v>-0.45500000000000002</v>
      </c>
      <c r="AB21">
        <v>-0.42099999999999999</v>
      </c>
      <c r="AC21">
        <v>-0.46899999999999997</v>
      </c>
      <c r="AD21">
        <v>-0.46700000000000003</v>
      </c>
      <c r="AE21">
        <v>-0.307</v>
      </c>
      <c r="AF21">
        <v>-0.24299999999999999</v>
      </c>
      <c r="AG21">
        <v>-0.48299999999999998</v>
      </c>
      <c r="AH21">
        <v>1E-3</v>
      </c>
      <c r="AI21">
        <v>-1E-3</v>
      </c>
      <c r="AJ21">
        <v>-0.04</v>
      </c>
      <c r="AK21">
        <v>0.125</v>
      </c>
      <c r="AL21">
        <v>-0.27300000000000002</v>
      </c>
      <c r="AM21">
        <f t="shared" si="1"/>
        <v>-3.7600000000000008E-2</v>
      </c>
      <c r="AN21" t="str">
        <f t="shared" si="2"/>
        <v>fac_ts_value</v>
      </c>
    </row>
    <row r="22" spans="1:40" x14ac:dyDescent="0.3">
      <c r="A22">
        <v>17</v>
      </c>
      <c r="B22" t="s">
        <v>33</v>
      </c>
      <c r="C22" t="s">
        <v>583</v>
      </c>
      <c r="D22">
        <v>0.51900000000000002</v>
      </c>
      <c r="E22">
        <v>2.4409999999999998</v>
      </c>
      <c r="F22">
        <v>2.8000000000000001E-2</v>
      </c>
      <c r="G22">
        <v>1.6799999999999999E-2</v>
      </c>
      <c r="H22" s="2">
        <v>2.58E-2</v>
      </c>
      <c r="I22">
        <v>3.5700000000000003E-2</v>
      </c>
      <c r="J22">
        <v>2.3800000000000002E-2</v>
      </c>
      <c r="K22">
        <v>1.95E-2</v>
      </c>
      <c r="L22">
        <v>4.0800000000000003E-2</v>
      </c>
      <c r="M22">
        <v>1.89E-2</v>
      </c>
      <c r="N22">
        <v>4.2200000000000001E-2</v>
      </c>
      <c r="O22">
        <v>2.69E-2</v>
      </c>
      <c r="P22">
        <v>1.6E-2</v>
      </c>
      <c r="T22">
        <f t="shared" si="0"/>
        <v>1.155</v>
      </c>
      <c r="U22" t="s">
        <v>27</v>
      </c>
      <c r="V22" t="s">
        <v>573</v>
      </c>
      <c r="W22">
        <v>0.23100000000000001</v>
      </c>
      <c r="X22">
        <v>3.7389999999999999</v>
      </c>
      <c r="Y22">
        <v>-0.42</v>
      </c>
      <c r="Z22">
        <v>-0.55100000000000005</v>
      </c>
      <c r="AA22">
        <v>-8.1000000000000003E-2</v>
      </c>
      <c r="AB22">
        <v>-0.19500000000000001</v>
      </c>
      <c r="AC22">
        <v>-0.77500000000000002</v>
      </c>
      <c r="AD22">
        <v>-0.374</v>
      </c>
      <c r="AE22">
        <v>-0.85099999999999998</v>
      </c>
      <c r="AF22">
        <v>-0.93500000000000005</v>
      </c>
      <c r="AG22">
        <v>-0.79700000000000004</v>
      </c>
      <c r="AH22">
        <v>2.8929999999999998</v>
      </c>
      <c r="AI22">
        <v>2.895</v>
      </c>
      <c r="AJ22">
        <v>2.2389999999999999</v>
      </c>
      <c r="AK22">
        <v>2.6520000000000001</v>
      </c>
      <c r="AL22">
        <v>2.3079999999999998</v>
      </c>
      <c r="AM22">
        <f t="shared" si="1"/>
        <v>2.5974000000000004</v>
      </c>
      <c r="AN22" t="str">
        <f t="shared" si="2"/>
        <v>fac_bs_cs_value</v>
      </c>
    </row>
    <row r="23" spans="1:40" x14ac:dyDescent="0.3">
      <c r="A23">
        <v>18</v>
      </c>
      <c r="B23" t="s">
        <v>25</v>
      </c>
      <c r="C23" t="s">
        <v>573</v>
      </c>
      <c r="D23">
        <v>0.72399999999999998</v>
      </c>
      <c r="E23">
        <v>2.476</v>
      </c>
      <c r="F23">
        <v>2.75E-2</v>
      </c>
      <c r="G23">
        <v>1.52E-2</v>
      </c>
      <c r="H23" s="2">
        <v>2.3400000000000001E-2</v>
      </c>
      <c r="I23">
        <v>3.5700000000000003E-2</v>
      </c>
      <c r="J23">
        <v>2.6800000000000001E-2</v>
      </c>
      <c r="K23">
        <v>0.02</v>
      </c>
      <c r="L23">
        <v>2.92E-2</v>
      </c>
      <c r="M23">
        <v>2.3800000000000002E-2</v>
      </c>
      <c r="N23">
        <v>4.87E-2</v>
      </c>
      <c r="O23">
        <v>2.8500000000000001E-2</v>
      </c>
      <c r="P23">
        <v>7.6E-3</v>
      </c>
      <c r="T23">
        <f t="shared" si="0"/>
        <v>1.1200000000000001</v>
      </c>
      <c r="U23" t="s">
        <v>40</v>
      </c>
      <c r="V23" t="s">
        <v>582</v>
      </c>
      <c r="W23">
        <v>0.224</v>
      </c>
      <c r="X23">
        <v>2.677</v>
      </c>
      <c r="Y23">
        <v>-7.4999999999999997E-2</v>
      </c>
      <c r="Z23">
        <v>-0.11600000000000001</v>
      </c>
      <c r="AA23">
        <v>-0.16200000000000001</v>
      </c>
      <c r="AB23">
        <v>-0.16300000000000001</v>
      </c>
      <c r="AC23">
        <v>-0.25800000000000001</v>
      </c>
      <c r="AD23">
        <v>-0.28799999999999998</v>
      </c>
      <c r="AE23">
        <v>3.5000000000000003E-2</v>
      </c>
      <c r="AF23">
        <v>-0.23899999999999999</v>
      </c>
      <c r="AG23">
        <v>-3.7999999999999999E-2</v>
      </c>
      <c r="AH23">
        <v>-0.23799999999999999</v>
      </c>
      <c r="AI23">
        <v>-0.24199999999999999</v>
      </c>
      <c r="AJ23">
        <v>-0.248</v>
      </c>
      <c r="AK23">
        <v>-0.27600000000000002</v>
      </c>
      <c r="AL23">
        <v>-0.42199999999999999</v>
      </c>
      <c r="AM23">
        <f t="shared" si="1"/>
        <v>-0.28520000000000001</v>
      </c>
      <c r="AN23" t="str">
        <f t="shared" si="2"/>
        <v>fac_seasonality</v>
      </c>
    </row>
    <row r="24" spans="1:40" x14ac:dyDescent="0.3">
      <c r="A24">
        <v>19</v>
      </c>
      <c r="B24" t="s">
        <v>23</v>
      </c>
      <c r="C24" t="s">
        <v>575</v>
      </c>
      <c r="D24">
        <v>0.11700000000000001</v>
      </c>
      <c r="E24">
        <v>4.5670000000000002</v>
      </c>
      <c r="F24">
        <v>2.5899999999999999E-2</v>
      </c>
      <c r="G24">
        <v>1.46E-2</v>
      </c>
      <c r="H24" s="2">
        <v>2.2499999999999999E-2</v>
      </c>
      <c r="I24">
        <v>3.5700000000000003E-2</v>
      </c>
      <c r="J24">
        <v>1.2200000000000001E-2</v>
      </c>
      <c r="K24">
        <v>6.3E-3</v>
      </c>
      <c r="L24">
        <v>3.4000000000000002E-2</v>
      </c>
      <c r="M24">
        <v>5.9900000000000002E-2</v>
      </c>
      <c r="N24">
        <v>1.66E-2</v>
      </c>
      <c r="O24">
        <v>3.1699999999999999E-2</v>
      </c>
      <c r="P24">
        <v>1.04E-2</v>
      </c>
      <c r="T24">
        <f t="shared" si="0"/>
        <v>1.0900000000000001</v>
      </c>
      <c r="U24" t="s">
        <v>50</v>
      </c>
      <c r="V24" t="s">
        <v>581</v>
      </c>
      <c r="W24">
        <v>0.218</v>
      </c>
      <c r="X24">
        <v>3.57</v>
      </c>
      <c r="Y24">
        <v>-0.113</v>
      </c>
      <c r="Z24">
        <v>-0.11700000000000001</v>
      </c>
      <c r="AA24">
        <v>-0.33900000000000002</v>
      </c>
      <c r="AB24">
        <v>0.40600000000000003</v>
      </c>
      <c r="AC24">
        <v>-0.23899999999999999</v>
      </c>
      <c r="AD24">
        <v>-6.3E-2</v>
      </c>
      <c r="AE24">
        <v>-0.311</v>
      </c>
      <c r="AF24">
        <v>-0.42299999999999999</v>
      </c>
      <c r="AG24">
        <v>-0.188</v>
      </c>
      <c r="AH24">
        <v>0.625</v>
      </c>
      <c r="AI24">
        <v>0.63200000000000001</v>
      </c>
      <c r="AJ24">
        <v>0.51</v>
      </c>
      <c r="AK24">
        <v>0.60299999999999998</v>
      </c>
      <c r="AL24">
        <v>0.71199999999999997</v>
      </c>
      <c r="AM24">
        <f t="shared" si="1"/>
        <v>0.61639999999999995</v>
      </c>
      <c r="AN24" t="str">
        <f t="shared" si="2"/>
        <v>fac_liquidity</v>
      </c>
    </row>
    <row r="25" spans="1:40" x14ac:dyDescent="0.3">
      <c r="A25">
        <v>20</v>
      </c>
      <c r="B25" t="s">
        <v>31</v>
      </c>
      <c r="C25" t="s">
        <v>583</v>
      </c>
      <c r="D25">
        <v>0.58599999999999997</v>
      </c>
      <c r="E25">
        <v>2.605</v>
      </c>
      <c r="F25">
        <v>2.5600000000000001E-2</v>
      </c>
      <c r="G25">
        <v>1.5699999999999999E-2</v>
      </c>
      <c r="H25" s="2">
        <v>2.41E-2</v>
      </c>
      <c r="I25">
        <v>3.5700000000000003E-2</v>
      </c>
      <c r="J25">
        <v>2.86E-2</v>
      </c>
      <c r="K25">
        <v>3.0200000000000001E-2</v>
      </c>
      <c r="L25">
        <v>1.5100000000000001E-2</v>
      </c>
      <c r="M25">
        <v>1.26E-2</v>
      </c>
      <c r="N25">
        <v>5.1900000000000002E-2</v>
      </c>
      <c r="O25">
        <v>1.84E-2</v>
      </c>
      <c r="P25">
        <v>1.24E-2</v>
      </c>
      <c r="T25">
        <f t="shared" si="0"/>
        <v>0.95</v>
      </c>
      <c r="U25" t="s">
        <v>24</v>
      </c>
      <c r="V25" t="s">
        <v>575</v>
      </c>
      <c r="W25">
        <v>0.19</v>
      </c>
      <c r="X25">
        <v>4.165</v>
      </c>
      <c r="Y25">
        <v>3.2000000000000001E-2</v>
      </c>
      <c r="Z25">
        <v>0.21299999999999999</v>
      </c>
      <c r="AA25">
        <v>3.5999999999999997E-2</v>
      </c>
      <c r="AB25">
        <v>0.83199999999999996</v>
      </c>
      <c r="AC25">
        <v>-2.3E-2</v>
      </c>
      <c r="AD25">
        <v>0.27</v>
      </c>
      <c r="AE25">
        <v>-0.109</v>
      </c>
      <c r="AF25">
        <v>-0.249</v>
      </c>
      <c r="AG25">
        <v>-0.115</v>
      </c>
      <c r="AH25">
        <v>-0.96499999999999997</v>
      </c>
      <c r="AI25">
        <v>-0.95399999999999996</v>
      </c>
      <c r="AJ25">
        <v>-0.93500000000000005</v>
      </c>
      <c r="AK25">
        <v>-0.82199999999999995</v>
      </c>
      <c r="AL25">
        <v>-1.034</v>
      </c>
      <c r="AM25">
        <f t="shared" si="1"/>
        <v>-0.94199999999999995</v>
      </c>
      <c r="AN25" t="str">
        <f t="shared" si="2"/>
        <v>smcj</v>
      </c>
    </row>
    <row r="26" spans="1:40" x14ac:dyDescent="0.3">
      <c r="A26">
        <v>21</v>
      </c>
      <c r="B26" t="s">
        <v>38</v>
      </c>
      <c r="C26" t="s">
        <v>584</v>
      </c>
      <c r="D26">
        <v>0.115</v>
      </c>
      <c r="E26">
        <v>3.2130000000000001</v>
      </c>
      <c r="F26">
        <v>2.4400000000000002E-2</v>
      </c>
      <c r="G26">
        <v>1.54E-2</v>
      </c>
      <c r="H26" s="2">
        <v>2.3599999999999999E-2</v>
      </c>
      <c r="I26">
        <v>3.5700000000000003E-2</v>
      </c>
      <c r="J26">
        <v>2.4500000000000001E-2</v>
      </c>
      <c r="K26">
        <v>1.1299999999999999E-2</v>
      </c>
      <c r="L26">
        <v>3.39E-2</v>
      </c>
      <c r="M26">
        <v>3.9800000000000002E-2</v>
      </c>
      <c r="N26">
        <v>1.5900000000000001E-2</v>
      </c>
      <c r="O26">
        <v>1.9099999999999999E-2</v>
      </c>
      <c r="P26">
        <v>1.54E-2</v>
      </c>
      <c r="T26">
        <f t="shared" si="0"/>
        <v>0.91999999999999993</v>
      </c>
      <c r="U26" t="s">
        <v>30</v>
      </c>
      <c r="V26" t="s">
        <v>574</v>
      </c>
      <c r="W26">
        <v>0.184</v>
      </c>
      <c r="X26">
        <v>3.1259999999999999</v>
      </c>
      <c r="Y26">
        <v>-0.26200000000000001</v>
      </c>
      <c r="Z26">
        <v>-0.28399999999999997</v>
      </c>
      <c r="AA26">
        <v>-0.39600000000000002</v>
      </c>
      <c r="AB26">
        <v>-0.38900000000000001</v>
      </c>
      <c r="AC26">
        <v>-0.441</v>
      </c>
      <c r="AD26">
        <v>-0.501</v>
      </c>
      <c r="AE26">
        <v>-0.34</v>
      </c>
      <c r="AF26">
        <v>-0.46100000000000002</v>
      </c>
      <c r="AG26">
        <v>-0.46800000000000003</v>
      </c>
      <c r="AH26">
        <v>-0.47599999999999998</v>
      </c>
      <c r="AI26">
        <v>-0.47499999999999998</v>
      </c>
      <c r="AJ26">
        <v>0.10199999999999999</v>
      </c>
      <c r="AK26">
        <v>-9.4E-2</v>
      </c>
      <c r="AL26">
        <v>-0.111</v>
      </c>
      <c r="AM26">
        <f t="shared" si="1"/>
        <v>-0.21080000000000002</v>
      </c>
      <c r="AN26" t="str">
        <f t="shared" si="2"/>
        <v>fac_st_momentum</v>
      </c>
    </row>
    <row r="27" spans="1:40" x14ac:dyDescent="0.3">
      <c r="A27">
        <v>22</v>
      </c>
      <c r="B27" t="s">
        <v>49</v>
      </c>
      <c r="C27" t="s">
        <v>585</v>
      </c>
      <c r="D27">
        <v>-0.29699999999999999</v>
      </c>
      <c r="E27">
        <v>3.6640000000000001</v>
      </c>
      <c r="F27">
        <v>2.2200000000000001E-2</v>
      </c>
      <c r="G27">
        <v>1.37E-2</v>
      </c>
      <c r="H27" s="2">
        <v>2.1000000000000001E-2</v>
      </c>
      <c r="I27">
        <v>3.5700000000000003E-2</v>
      </c>
      <c r="J27">
        <v>2.3099999999999999E-2</v>
      </c>
      <c r="K27">
        <v>2.5499999999999998E-2</v>
      </c>
      <c r="L27">
        <v>1.5299999999999999E-2</v>
      </c>
      <c r="M27">
        <v>4.3200000000000002E-2</v>
      </c>
      <c r="N27">
        <v>1.26E-2</v>
      </c>
      <c r="O27">
        <v>1.46E-2</v>
      </c>
      <c r="P27">
        <v>7.7000000000000002E-3</v>
      </c>
      <c r="T27">
        <f t="shared" si="0"/>
        <v>0.61</v>
      </c>
      <c r="U27" t="s">
        <v>47</v>
      </c>
      <c r="V27" t="s">
        <v>577</v>
      </c>
      <c r="W27">
        <v>0.122</v>
      </c>
      <c r="X27">
        <v>2.3170000000000002</v>
      </c>
      <c r="Y27">
        <v>-3.7999999999999999E-2</v>
      </c>
      <c r="Z27">
        <v>-0.214</v>
      </c>
      <c r="AA27">
        <v>-0.28899999999999998</v>
      </c>
      <c r="AB27">
        <v>-0.29299999999999998</v>
      </c>
      <c r="AC27">
        <v>-0.36299999999999999</v>
      </c>
      <c r="AD27">
        <v>-0.39500000000000002</v>
      </c>
      <c r="AE27">
        <v>0.622</v>
      </c>
      <c r="AF27">
        <v>1.0109999999999999</v>
      </c>
      <c r="AG27">
        <v>-0.25</v>
      </c>
      <c r="AH27">
        <v>0.57199999999999995</v>
      </c>
      <c r="AI27">
        <v>0.58399999999999996</v>
      </c>
      <c r="AJ27">
        <v>0.79600000000000004</v>
      </c>
      <c r="AK27">
        <v>0.876</v>
      </c>
      <c r="AL27">
        <v>1.1859999999999999</v>
      </c>
      <c r="AM27">
        <f t="shared" si="1"/>
        <v>0.80279999999999985</v>
      </c>
      <c r="AN27" t="str">
        <f t="shared" si="2"/>
        <v>fac_max</v>
      </c>
    </row>
    <row r="28" spans="1:40" x14ac:dyDescent="0.3">
      <c r="A28">
        <v>23</v>
      </c>
      <c r="B28" t="s">
        <v>28</v>
      </c>
      <c r="C28" t="s">
        <v>573</v>
      </c>
      <c r="D28">
        <v>0.28399999999999997</v>
      </c>
      <c r="E28">
        <v>2.4809999999999999</v>
      </c>
      <c r="F28">
        <v>2.1999999999999999E-2</v>
      </c>
      <c r="G28">
        <v>1.4999999999999999E-2</v>
      </c>
      <c r="H28" s="2">
        <v>2.3099999999999999E-2</v>
      </c>
      <c r="I28">
        <v>3.5700000000000003E-2</v>
      </c>
      <c r="J28">
        <v>2.9499999999999998E-2</v>
      </c>
      <c r="K28">
        <v>3.4799999999999998E-2</v>
      </c>
      <c r="L28">
        <v>1.5800000000000002E-2</v>
      </c>
      <c r="M28">
        <v>1.5900000000000001E-2</v>
      </c>
      <c r="N28">
        <v>1.9099999999999999E-2</v>
      </c>
      <c r="O28">
        <v>1.1299999999999999E-2</v>
      </c>
      <c r="P28">
        <v>1.4E-2</v>
      </c>
      <c r="T28">
        <f t="shared" si="0"/>
        <v>0.58500000000000008</v>
      </c>
      <c r="U28" t="s">
        <v>23</v>
      </c>
      <c r="V28" t="s">
        <v>575</v>
      </c>
      <c r="W28">
        <v>0.11700000000000001</v>
      </c>
      <c r="X28">
        <v>4.5670000000000002</v>
      </c>
      <c r="Y28">
        <v>-7.3999999999999996E-2</v>
      </c>
      <c r="Z28">
        <v>3.4000000000000002E-2</v>
      </c>
      <c r="AA28">
        <v>3.5000000000000003E-2</v>
      </c>
      <c r="AB28">
        <v>3.2000000000000001E-2</v>
      </c>
      <c r="AC28">
        <v>-0.154</v>
      </c>
      <c r="AD28">
        <v>-6.0999999999999999E-2</v>
      </c>
      <c r="AE28">
        <v>-0.182</v>
      </c>
      <c r="AF28">
        <v>-0.23100000000000001</v>
      </c>
      <c r="AG28">
        <v>-0.23</v>
      </c>
      <c r="AH28">
        <v>-9.5000000000000001E-2</v>
      </c>
      <c r="AI28">
        <v>-0.13200000000000001</v>
      </c>
      <c r="AJ28">
        <v>-0.67700000000000005</v>
      </c>
      <c r="AK28">
        <v>-0.56999999999999995</v>
      </c>
      <c r="AL28">
        <v>-0.17</v>
      </c>
      <c r="AM28">
        <f t="shared" si="1"/>
        <v>-0.32879999999999998</v>
      </c>
      <c r="AN28" t="str">
        <f t="shared" si="2"/>
        <v>sm</v>
      </c>
    </row>
    <row r="29" spans="1:40" x14ac:dyDescent="0.3">
      <c r="A29">
        <v>24</v>
      </c>
      <c r="B29" t="s">
        <v>30</v>
      </c>
      <c r="C29" t="s">
        <v>574</v>
      </c>
      <c r="D29">
        <v>0.184</v>
      </c>
      <c r="E29">
        <v>3.1259999999999999</v>
      </c>
      <c r="F29">
        <v>2.1299999999999999E-2</v>
      </c>
      <c r="G29">
        <v>1.4200000000000001E-2</v>
      </c>
      <c r="H29" s="2">
        <v>2.18E-2</v>
      </c>
      <c r="I29">
        <v>3.5700000000000003E-2</v>
      </c>
      <c r="J29">
        <v>2.75E-2</v>
      </c>
      <c r="K29">
        <v>1.7399999999999999E-2</v>
      </c>
      <c r="L29">
        <v>3.2800000000000003E-2</v>
      </c>
      <c r="M29">
        <v>1.2500000000000001E-2</v>
      </c>
      <c r="N29">
        <v>1.8800000000000001E-2</v>
      </c>
      <c r="O29">
        <v>1.29E-2</v>
      </c>
      <c r="P29">
        <v>1.32E-2</v>
      </c>
      <c r="T29">
        <f t="shared" si="0"/>
        <v>0.57500000000000007</v>
      </c>
      <c r="U29" t="s">
        <v>38</v>
      </c>
      <c r="V29" t="s">
        <v>584</v>
      </c>
      <c r="W29">
        <v>0.115</v>
      </c>
      <c r="X29">
        <v>3.2130000000000001</v>
      </c>
      <c r="Y29">
        <v>-0.224</v>
      </c>
      <c r="Z29">
        <v>-0.27500000000000002</v>
      </c>
      <c r="AA29">
        <v>-0.22700000000000001</v>
      </c>
      <c r="AB29">
        <v>-0.20599999999999999</v>
      </c>
      <c r="AC29">
        <v>-0.45400000000000001</v>
      </c>
      <c r="AD29">
        <v>-0.39200000000000002</v>
      </c>
      <c r="AE29">
        <v>-0.36499999999999999</v>
      </c>
      <c r="AF29">
        <v>-0.54900000000000004</v>
      </c>
      <c r="AG29">
        <v>-0.34499999999999997</v>
      </c>
      <c r="AH29">
        <v>0.313</v>
      </c>
      <c r="AI29">
        <v>0.311</v>
      </c>
      <c r="AJ29">
        <v>0.19700000000000001</v>
      </c>
      <c r="AK29">
        <v>9.0999999999999998E-2</v>
      </c>
      <c r="AL29">
        <v>0.46800000000000003</v>
      </c>
      <c r="AM29">
        <f t="shared" si="1"/>
        <v>0.27599999999999997</v>
      </c>
      <c r="AN29" t="str">
        <f t="shared" si="2"/>
        <v>fac_leverage</v>
      </c>
    </row>
    <row r="30" spans="1:40" x14ac:dyDescent="0.3">
      <c r="A30">
        <v>25</v>
      </c>
      <c r="B30" t="s">
        <v>32</v>
      </c>
      <c r="C30" t="s">
        <v>583</v>
      </c>
      <c r="D30">
        <v>0.30399999999999999</v>
      </c>
      <c r="E30">
        <v>2.9039999999999999</v>
      </c>
      <c r="F30">
        <v>2.0400000000000001E-2</v>
      </c>
      <c r="G30">
        <v>1.38E-2</v>
      </c>
      <c r="H30" s="2">
        <v>2.1100000000000001E-2</v>
      </c>
      <c r="I30">
        <v>3.5700000000000003E-2</v>
      </c>
      <c r="J30">
        <v>2.0199999999999999E-2</v>
      </c>
      <c r="K30">
        <v>1.6799999999999999E-2</v>
      </c>
      <c r="L30">
        <v>2.9700000000000001E-2</v>
      </c>
      <c r="M30">
        <v>1.4500000000000001E-2</v>
      </c>
      <c r="N30">
        <v>2.0299999999999999E-2</v>
      </c>
      <c r="O30">
        <v>1.3100000000000001E-2</v>
      </c>
      <c r="P30">
        <v>1.3100000000000001E-2</v>
      </c>
      <c r="T30">
        <f t="shared" si="0"/>
        <v>0.26</v>
      </c>
      <c r="U30" t="s">
        <v>22</v>
      </c>
      <c r="V30" t="s">
        <v>575</v>
      </c>
      <c r="W30">
        <v>5.1999999999999998E-2</v>
      </c>
      <c r="X30">
        <v>4.7329999999999997</v>
      </c>
      <c r="Y30">
        <v>-0.27900000000000003</v>
      </c>
      <c r="Z30">
        <v>-0.40699999999999997</v>
      </c>
      <c r="AA30">
        <v>-0.23300000000000001</v>
      </c>
      <c r="AB30">
        <v>0.441</v>
      </c>
      <c r="AC30">
        <v>-0.61899999999999999</v>
      </c>
      <c r="AD30">
        <v>-0.151</v>
      </c>
      <c r="AE30">
        <v>-0.73</v>
      </c>
      <c r="AF30">
        <v>-0.70699999999999996</v>
      </c>
      <c r="AG30">
        <v>-0.5</v>
      </c>
      <c r="AH30">
        <v>-0.59599999999999997</v>
      </c>
      <c r="AI30">
        <v>-0.58299999999999996</v>
      </c>
      <c r="AJ30">
        <v>-0.27</v>
      </c>
      <c r="AK30">
        <v>-0.58199999999999996</v>
      </c>
      <c r="AL30">
        <v>-0.19</v>
      </c>
      <c r="AM30">
        <f t="shared" si="1"/>
        <v>-0.44419999999999993</v>
      </c>
      <c r="AN30" t="str">
        <f t="shared" si="2"/>
        <v>sv</v>
      </c>
    </row>
    <row r="31" spans="1:40" x14ac:dyDescent="0.3">
      <c r="A31">
        <v>26</v>
      </c>
      <c r="B31" t="s">
        <v>44</v>
      </c>
      <c r="C31" t="s">
        <v>586</v>
      </c>
      <c r="D31">
        <v>0.33500000000000002</v>
      </c>
      <c r="E31">
        <v>3.0950000000000002</v>
      </c>
      <c r="F31">
        <v>2.0400000000000001E-2</v>
      </c>
      <c r="G31">
        <v>1.37E-2</v>
      </c>
      <c r="H31" s="2">
        <v>2.1100000000000001E-2</v>
      </c>
      <c r="I31">
        <v>3.5700000000000003E-2</v>
      </c>
      <c r="J31">
        <v>2.2599999999999999E-2</v>
      </c>
      <c r="K31">
        <v>2.1600000000000001E-2</v>
      </c>
      <c r="L31">
        <v>1.7399999999999999E-2</v>
      </c>
      <c r="M31">
        <v>1.4200000000000001E-2</v>
      </c>
      <c r="N31">
        <v>2.69E-2</v>
      </c>
      <c r="O31">
        <v>1.26E-2</v>
      </c>
      <c r="P31">
        <v>1.2200000000000001E-2</v>
      </c>
      <c r="T31">
        <f t="shared" si="0"/>
        <v>0.25</v>
      </c>
      <c r="U31" t="s">
        <v>41</v>
      </c>
      <c r="V31" t="s">
        <v>587</v>
      </c>
      <c r="W31">
        <v>0.05</v>
      </c>
      <c r="X31">
        <v>2.452</v>
      </c>
      <c r="Y31">
        <v>-0.183</v>
      </c>
      <c r="Z31">
        <v>-0.191</v>
      </c>
      <c r="AA31">
        <v>-0.40899999999999997</v>
      </c>
      <c r="AB31">
        <v>-0.34699999999999998</v>
      </c>
      <c r="AC31">
        <v>-0.35899999999999999</v>
      </c>
      <c r="AD31">
        <v>-0.42099999999999999</v>
      </c>
      <c r="AE31">
        <v>-0.20300000000000001</v>
      </c>
      <c r="AF31">
        <v>-0.20699999999999999</v>
      </c>
      <c r="AG31">
        <v>-0.317</v>
      </c>
      <c r="AH31">
        <v>-0.99299999999999999</v>
      </c>
      <c r="AI31">
        <v>-1</v>
      </c>
      <c r="AJ31">
        <v>-0.625</v>
      </c>
      <c r="AK31">
        <v>-0.92600000000000005</v>
      </c>
      <c r="AL31">
        <v>-0.439</v>
      </c>
      <c r="AM31">
        <f t="shared" si="1"/>
        <v>-0.79659999999999997</v>
      </c>
      <c r="AN31" t="str">
        <f t="shared" si="2"/>
        <v>fac_short_interest</v>
      </c>
    </row>
    <row r="32" spans="1:40" x14ac:dyDescent="0.3">
      <c r="A32">
        <v>27</v>
      </c>
      <c r="B32" t="s">
        <v>41</v>
      </c>
      <c r="C32" t="s">
        <v>587</v>
      </c>
      <c r="D32">
        <v>0.05</v>
      </c>
      <c r="E32">
        <v>2.452</v>
      </c>
      <c r="F32">
        <v>1.9400000000000001E-2</v>
      </c>
      <c r="G32">
        <v>1.3100000000000001E-2</v>
      </c>
      <c r="H32" s="2">
        <v>2.01E-2</v>
      </c>
      <c r="I32">
        <v>3.5700000000000003E-2</v>
      </c>
      <c r="J32">
        <v>2.41E-2</v>
      </c>
      <c r="K32">
        <v>2.3099999999999999E-2</v>
      </c>
      <c r="L32">
        <v>1.84E-2</v>
      </c>
      <c r="M32">
        <v>1.84E-2</v>
      </c>
      <c r="N32">
        <v>1.46E-2</v>
      </c>
      <c r="O32">
        <v>1.1299999999999999E-2</v>
      </c>
      <c r="P32">
        <v>9.7999999999999997E-3</v>
      </c>
      <c r="T32">
        <f t="shared" si="0"/>
        <v>-0.10999999999999999</v>
      </c>
      <c r="U32" t="s">
        <v>42</v>
      </c>
      <c r="V32" t="s">
        <v>586</v>
      </c>
      <c r="W32">
        <v>-2.1999999999999999E-2</v>
      </c>
      <c r="X32">
        <v>3.1160000000000001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f t="shared" si="1"/>
        <v>0</v>
      </c>
      <c r="AN32" t="str">
        <f t="shared" si="2"/>
        <v>fac_acc_growth</v>
      </c>
    </row>
    <row r="33" spans="1:40" x14ac:dyDescent="0.3">
      <c r="A33">
        <v>28</v>
      </c>
      <c r="B33" t="s">
        <v>43</v>
      </c>
      <c r="C33" t="s">
        <v>588</v>
      </c>
      <c r="D33">
        <v>-4.8000000000000001E-2</v>
      </c>
      <c r="E33">
        <v>2.9710000000000001</v>
      </c>
      <c r="F33">
        <v>1.8800000000000001E-2</v>
      </c>
      <c r="G33">
        <v>1.2200000000000001E-2</v>
      </c>
      <c r="H33" s="2">
        <v>1.8800000000000001E-2</v>
      </c>
      <c r="I33">
        <v>3.5700000000000003E-2</v>
      </c>
      <c r="J33">
        <v>1.8499999999999999E-2</v>
      </c>
      <c r="K33">
        <v>1.2E-2</v>
      </c>
      <c r="L33">
        <v>2.2200000000000001E-2</v>
      </c>
      <c r="M33">
        <v>2.75E-2</v>
      </c>
      <c r="N33">
        <v>1.34E-2</v>
      </c>
      <c r="O33">
        <v>1.29E-2</v>
      </c>
      <c r="P33">
        <v>8.2000000000000007E-3</v>
      </c>
      <c r="T33">
        <f t="shared" si="0"/>
        <v>-0.24</v>
      </c>
      <c r="U33" t="s">
        <v>43</v>
      </c>
      <c r="V33" t="s">
        <v>588</v>
      </c>
      <c r="W33">
        <v>-4.8000000000000001E-2</v>
      </c>
      <c r="X33">
        <v>2.9710000000000001</v>
      </c>
      <c r="Y33">
        <v>-0.14699999999999999</v>
      </c>
      <c r="Z33">
        <v>-0.184</v>
      </c>
      <c r="AA33">
        <v>-0.317</v>
      </c>
      <c r="AB33">
        <v>-0.35199999999999998</v>
      </c>
      <c r="AC33">
        <v>-0.27800000000000002</v>
      </c>
      <c r="AD33">
        <v>-0.378</v>
      </c>
      <c r="AE33">
        <v>-0.154</v>
      </c>
      <c r="AF33">
        <v>-0.16500000000000001</v>
      </c>
      <c r="AG33">
        <v>-0.218</v>
      </c>
      <c r="AH33">
        <v>-0.85399999999999998</v>
      </c>
      <c r="AI33">
        <v>-0.85599999999999998</v>
      </c>
      <c r="AJ33">
        <v>-1.226</v>
      </c>
      <c r="AK33">
        <v>-1.3129999999999999</v>
      </c>
      <c r="AL33">
        <v>-0.81399999999999995</v>
      </c>
      <c r="AM33">
        <f t="shared" si="1"/>
        <v>-1.0125999999999999</v>
      </c>
      <c r="AN33" t="str">
        <f t="shared" si="2"/>
        <v>fac_accruals</v>
      </c>
    </row>
    <row r="34" spans="1:40" x14ac:dyDescent="0.3">
      <c r="A34">
        <v>29</v>
      </c>
      <c r="B34" t="s">
        <v>71</v>
      </c>
      <c r="C34" t="s">
        <v>589</v>
      </c>
      <c r="F34">
        <v>1.1900000000000001E-2</v>
      </c>
      <c r="G34">
        <v>6.7999999999999996E-3</v>
      </c>
      <c r="H34" s="2">
        <v>1.0500000000000001E-2</v>
      </c>
      <c r="I34">
        <v>0</v>
      </c>
      <c r="J34">
        <v>6.3799999999999996E-2</v>
      </c>
      <c r="K34">
        <v>2.29E-2</v>
      </c>
      <c r="L34">
        <v>0</v>
      </c>
      <c r="M34">
        <v>0</v>
      </c>
      <c r="N34">
        <v>0</v>
      </c>
      <c r="O34">
        <v>0</v>
      </c>
      <c r="P34">
        <v>8.3000000000000001E-3</v>
      </c>
      <c r="T34">
        <f t="shared" si="0"/>
        <v>-1.4849999999999999</v>
      </c>
      <c r="U34" t="s">
        <v>49</v>
      </c>
      <c r="V34" t="s">
        <v>585</v>
      </c>
      <c r="W34">
        <v>-0.29699999999999999</v>
      </c>
      <c r="X34">
        <v>3.6640000000000001</v>
      </c>
      <c r="Y34">
        <v>-0.158</v>
      </c>
      <c r="Z34">
        <v>-0.14599999999999999</v>
      </c>
      <c r="AA34">
        <v>-0.374</v>
      </c>
      <c r="AB34">
        <v>-0.112</v>
      </c>
      <c r="AC34">
        <v>-0.32300000000000001</v>
      </c>
      <c r="AD34">
        <v>-0.33600000000000002</v>
      </c>
      <c r="AE34">
        <v>-0.218</v>
      </c>
      <c r="AF34">
        <v>-0.19700000000000001</v>
      </c>
      <c r="AG34">
        <v>-0.30499999999999999</v>
      </c>
      <c r="AH34">
        <v>-0.89700000000000002</v>
      </c>
      <c r="AI34">
        <v>-0.90400000000000003</v>
      </c>
      <c r="AJ34">
        <v>-0.80800000000000005</v>
      </c>
      <c r="AK34">
        <v>-0.79500000000000004</v>
      </c>
      <c r="AL34">
        <v>-1.341</v>
      </c>
      <c r="AM34">
        <f t="shared" si="1"/>
        <v>-0.94900000000000007</v>
      </c>
      <c r="AN34" t="str">
        <f t="shared" si="2"/>
        <v>fac_macro</v>
      </c>
    </row>
    <row r="35" spans="1:40" x14ac:dyDescent="0.3">
      <c r="A35">
        <v>30</v>
      </c>
      <c r="B35" t="s">
        <v>55</v>
      </c>
      <c r="C35" t="s">
        <v>589</v>
      </c>
      <c r="F35">
        <v>9.9000000000000008E-3</v>
      </c>
      <c r="G35">
        <v>5.8999999999999999E-3</v>
      </c>
      <c r="H35" s="2">
        <v>9.1000000000000004E-3</v>
      </c>
      <c r="I35">
        <v>0</v>
      </c>
      <c r="J35">
        <v>3.9699999999999999E-2</v>
      </c>
      <c r="K35">
        <v>3.1600000000000003E-2</v>
      </c>
      <c r="L35">
        <v>0</v>
      </c>
      <c r="M35">
        <v>0</v>
      </c>
      <c r="N35">
        <v>0</v>
      </c>
      <c r="O35">
        <v>0</v>
      </c>
      <c r="P35">
        <v>7.6E-3</v>
      </c>
      <c r="T35">
        <f t="shared" si="0"/>
        <v>-1.51</v>
      </c>
      <c r="U35" t="s">
        <v>46</v>
      </c>
      <c r="V35" t="s">
        <v>577</v>
      </c>
      <c r="W35">
        <v>-0.30199999999999999</v>
      </c>
      <c r="X35">
        <v>2.4860000000000002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f t="shared" si="1"/>
        <v>0</v>
      </c>
      <c r="AN35" t="str">
        <f t="shared" si="2"/>
        <v>fac_skewness</v>
      </c>
    </row>
    <row r="36" spans="1:40" x14ac:dyDescent="0.3">
      <c r="A36">
        <v>31</v>
      </c>
      <c r="B36" t="s">
        <v>53</v>
      </c>
      <c r="C36" t="s">
        <v>589</v>
      </c>
      <c r="F36">
        <v>7.3000000000000001E-3</v>
      </c>
      <c r="G36">
        <v>4.1999999999999997E-3</v>
      </c>
      <c r="H36" s="2">
        <v>6.4000000000000003E-3</v>
      </c>
      <c r="I36">
        <v>0</v>
      </c>
      <c r="J36">
        <v>2.5399999999999999E-2</v>
      </c>
      <c r="K36">
        <v>2.8799999999999999E-2</v>
      </c>
      <c r="L36">
        <v>0</v>
      </c>
      <c r="M36">
        <v>0</v>
      </c>
      <c r="N36">
        <v>0</v>
      </c>
      <c r="O36">
        <v>0</v>
      </c>
      <c r="P36">
        <v>4.0000000000000001E-3</v>
      </c>
      <c r="T36">
        <f t="shared" si="0"/>
        <v>-1.875</v>
      </c>
      <c r="U36" t="s">
        <v>51</v>
      </c>
      <c r="V36" t="s">
        <v>581</v>
      </c>
      <c r="W36">
        <v>-0.375</v>
      </c>
      <c r="X36">
        <v>5.0199999999999996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f t="shared" si="1"/>
        <v>0</v>
      </c>
      <c r="AN36" t="str">
        <f t="shared" si="2"/>
        <v>fac_size</v>
      </c>
    </row>
    <row r="37" spans="1:40" x14ac:dyDescent="0.3">
      <c r="A37">
        <v>32</v>
      </c>
      <c r="B37" t="s">
        <v>57</v>
      </c>
      <c r="C37" t="s">
        <v>589</v>
      </c>
      <c r="F37">
        <v>4.1000000000000003E-3</v>
      </c>
      <c r="G37">
        <v>3.0000000000000001E-3</v>
      </c>
      <c r="H37" s="2">
        <v>4.5999999999999999E-3</v>
      </c>
      <c r="I37">
        <v>0</v>
      </c>
      <c r="J37">
        <v>1.7000000000000001E-2</v>
      </c>
      <c r="K37">
        <v>8.3999999999999995E-3</v>
      </c>
      <c r="L37">
        <v>0</v>
      </c>
      <c r="M37">
        <v>0</v>
      </c>
      <c r="N37">
        <v>0</v>
      </c>
      <c r="O37">
        <v>0</v>
      </c>
      <c r="P37">
        <v>7.1999999999999998E-3</v>
      </c>
      <c r="T37">
        <f t="shared" si="0"/>
        <v>-2.6550000000000002</v>
      </c>
      <c r="U37" t="s">
        <v>48</v>
      </c>
      <c r="V37" t="s">
        <v>580</v>
      </c>
      <c r="W37">
        <v>-0.53100000000000003</v>
      </c>
      <c r="X37">
        <v>4.5830000000000002</v>
      </c>
      <c r="Y37">
        <v>-5.3999999999999999E-2</v>
      </c>
      <c r="Z37">
        <v>-7.6999999999999999E-2</v>
      </c>
      <c r="AA37">
        <v>0.40600000000000003</v>
      </c>
      <c r="AB37">
        <v>-9.9000000000000005E-2</v>
      </c>
      <c r="AC37">
        <v>-0.22600000000000001</v>
      </c>
      <c r="AD37">
        <v>0.02</v>
      </c>
      <c r="AE37">
        <v>-0.156</v>
      </c>
      <c r="AF37">
        <v>-0.183</v>
      </c>
      <c r="AG37">
        <v>-0.123</v>
      </c>
      <c r="AH37">
        <v>-1.216</v>
      </c>
      <c r="AI37">
        <v>-1.234</v>
      </c>
      <c r="AJ37">
        <v>-1.619</v>
      </c>
      <c r="AK37">
        <v>-1.673</v>
      </c>
      <c r="AL37">
        <v>-1.278</v>
      </c>
      <c r="AM37">
        <f t="shared" si="1"/>
        <v>-1.4039999999999999</v>
      </c>
      <c r="AN37" t="str">
        <f t="shared" si="2"/>
        <v>fac_lt_reversal</v>
      </c>
    </row>
    <row r="38" spans="1:40" x14ac:dyDescent="0.3">
      <c r="A38">
        <v>33</v>
      </c>
      <c r="B38" t="s">
        <v>68</v>
      </c>
      <c r="C38" t="s">
        <v>589</v>
      </c>
      <c r="F38">
        <v>3.0999999999999999E-3</v>
      </c>
      <c r="G38">
        <v>1.9E-3</v>
      </c>
      <c r="H38" s="2">
        <v>2.8999999999999998E-3</v>
      </c>
      <c r="I38">
        <v>0</v>
      </c>
      <c r="J38">
        <v>1.3899999999999999E-2</v>
      </c>
      <c r="K38">
        <v>8.0000000000000002E-3</v>
      </c>
      <c r="L38">
        <v>0</v>
      </c>
      <c r="M38">
        <v>0</v>
      </c>
      <c r="N38">
        <v>0</v>
      </c>
      <c r="O38">
        <v>0</v>
      </c>
      <c r="P38">
        <v>2.8E-3</v>
      </c>
      <c r="T38">
        <f t="shared" si="0"/>
        <v>-3.5449999999999999</v>
      </c>
      <c r="U38" t="s">
        <v>45</v>
      </c>
      <c r="V38" t="s">
        <v>577</v>
      </c>
      <c r="W38">
        <v>-0.70899999999999996</v>
      </c>
      <c r="X38">
        <v>3.5219999999999998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f t="shared" si="1"/>
        <v>0</v>
      </c>
      <c r="AN38" t="str">
        <f t="shared" si="2"/>
        <v>fac_st_reversal</v>
      </c>
    </row>
    <row r="39" spans="1:40" x14ac:dyDescent="0.3">
      <c r="A39">
        <v>34</v>
      </c>
      <c r="B39" t="s">
        <v>42</v>
      </c>
      <c r="C39" t="s">
        <v>586</v>
      </c>
      <c r="D39">
        <v>-2.1999999999999999E-2</v>
      </c>
      <c r="E39">
        <v>3.1160000000000001</v>
      </c>
      <c r="F39">
        <v>0</v>
      </c>
      <c r="G39">
        <v>0</v>
      </c>
      <c r="H39" s="2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T39">
        <f t="shared" si="0"/>
        <v>0</v>
      </c>
      <c r="U39" t="s">
        <v>57</v>
      </c>
      <c r="V39" t="s">
        <v>589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f t="shared" si="1"/>
        <v>0</v>
      </c>
      <c r="AN39" t="str">
        <f t="shared" si="2"/>
        <v>pro_cyclicals</v>
      </c>
    </row>
    <row r="40" spans="1:40" x14ac:dyDescent="0.3">
      <c r="A40">
        <v>35</v>
      </c>
      <c r="B40" t="s">
        <v>39</v>
      </c>
      <c r="C40" t="s">
        <v>584</v>
      </c>
      <c r="D40">
        <v>0.35</v>
      </c>
      <c r="E40">
        <v>2.1030000000000002</v>
      </c>
      <c r="F40">
        <v>0</v>
      </c>
      <c r="G40">
        <v>0</v>
      </c>
      <c r="H40" s="2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T40">
        <f t="shared" si="0"/>
        <v>0</v>
      </c>
      <c r="U40" t="s">
        <v>55</v>
      </c>
      <c r="V40" t="s">
        <v>589</v>
      </c>
      <c r="Y40">
        <v>-7.2999999999999995E-2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-7.9000000000000001E-2</v>
      </c>
      <c r="AF40">
        <v>3.6999999999999998E-2</v>
      </c>
      <c r="AG40">
        <v>-0.33900000000000002</v>
      </c>
      <c r="AH40">
        <v>-0.68300000000000005</v>
      </c>
      <c r="AI40">
        <v>-0.68700000000000006</v>
      </c>
      <c r="AJ40">
        <v>-0.95899999999999996</v>
      </c>
      <c r="AK40">
        <v>-1.0409999999999999</v>
      </c>
      <c r="AL40">
        <v>-0.81799999999999995</v>
      </c>
      <c r="AM40">
        <f t="shared" si="1"/>
        <v>-0.8375999999999999</v>
      </c>
      <c r="AN40" t="str">
        <f t="shared" si="2"/>
        <v>bond_proxies</v>
      </c>
    </row>
    <row r="41" spans="1:40" x14ac:dyDescent="0.3">
      <c r="A41">
        <v>36</v>
      </c>
      <c r="B41" t="s">
        <v>51</v>
      </c>
      <c r="C41" t="s">
        <v>581</v>
      </c>
      <c r="D41">
        <v>-0.375</v>
      </c>
      <c r="E41">
        <v>5.0199999999999996</v>
      </c>
      <c r="F41">
        <v>0</v>
      </c>
      <c r="G41">
        <v>0</v>
      </c>
      <c r="H41" s="2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T41">
        <f t="shared" si="0"/>
        <v>0</v>
      </c>
      <c r="U41" t="s">
        <v>53</v>
      </c>
      <c r="V41" t="s">
        <v>589</v>
      </c>
      <c r="Y41">
        <v>-8.4000000000000005E-2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-0.29699999999999999</v>
      </c>
      <c r="AF41">
        <v>-2.5999999999999999E-2</v>
      </c>
      <c r="AG41">
        <v>-0.312</v>
      </c>
      <c r="AH41">
        <v>-1.109</v>
      </c>
      <c r="AI41">
        <v>-1.111</v>
      </c>
      <c r="AJ41">
        <v>-1.1040000000000001</v>
      </c>
      <c r="AK41">
        <v>-0.89400000000000002</v>
      </c>
      <c r="AL41">
        <v>-1.4119999999999999</v>
      </c>
      <c r="AM41">
        <f t="shared" si="1"/>
        <v>-1.1259999999999999</v>
      </c>
      <c r="AN41" t="str">
        <f t="shared" si="2"/>
        <v>defensives</v>
      </c>
    </row>
    <row r="42" spans="1:40" x14ac:dyDescent="0.3">
      <c r="A42">
        <v>37</v>
      </c>
      <c r="B42" t="s">
        <v>46</v>
      </c>
      <c r="C42" t="s">
        <v>577</v>
      </c>
      <c r="D42">
        <v>-0.30199999999999999</v>
      </c>
      <c r="E42">
        <v>2.4860000000000002</v>
      </c>
      <c r="F42">
        <v>0</v>
      </c>
      <c r="G42">
        <v>0</v>
      </c>
      <c r="H42" s="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T42">
        <f t="shared" si="0"/>
        <v>0</v>
      </c>
      <c r="U42" t="s">
        <v>71</v>
      </c>
      <c r="V42" t="s">
        <v>589</v>
      </c>
      <c r="Y42">
        <v>-0.10199999999999999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0.13400000000000001</v>
      </c>
      <c r="AF42">
        <v>-0.28499999999999998</v>
      </c>
      <c r="AG42">
        <v>-0.42799999999999999</v>
      </c>
      <c r="AH42">
        <v>-0.24099999999999999</v>
      </c>
      <c r="AI42">
        <v>-0.25</v>
      </c>
      <c r="AJ42">
        <v>-0.51900000000000002</v>
      </c>
      <c r="AK42">
        <v>-0.54100000000000004</v>
      </c>
      <c r="AL42">
        <v>-0.36599999999999999</v>
      </c>
      <c r="AM42">
        <f t="shared" si="1"/>
        <v>-0.38340000000000007</v>
      </c>
      <c r="AN42" t="str">
        <f t="shared" si="2"/>
        <v>commodities</v>
      </c>
    </row>
    <row r="43" spans="1:40" x14ac:dyDescent="0.3">
      <c r="A43">
        <v>38</v>
      </c>
      <c r="B43" t="s">
        <v>45</v>
      </c>
      <c r="C43" t="s">
        <v>577</v>
      </c>
      <c r="D43">
        <v>-0.70899999999999996</v>
      </c>
      <c r="E43">
        <v>3.5219999999999998</v>
      </c>
      <c r="F43">
        <v>0</v>
      </c>
      <c r="G43">
        <v>0</v>
      </c>
      <c r="H43" s="2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T43">
        <f t="shared" si="0"/>
        <v>0</v>
      </c>
      <c r="U43" t="s">
        <v>68</v>
      </c>
      <c r="V43" t="s">
        <v>589</v>
      </c>
      <c r="Y43">
        <v>-0.16200000000000001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-0.627</v>
      </c>
      <c r="AF43">
        <v>-0.54400000000000004</v>
      </c>
      <c r="AG43">
        <v>-0.432</v>
      </c>
      <c r="AH43">
        <v>-0.57899999999999996</v>
      </c>
      <c r="AI43">
        <v>-0.58199999999999996</v>
      </c>
      <c r="AJ43">
        <v>-0.373</v>
      </c>
      <c r="AK43">
        <v>-0.39500000000000002</v>
      </c>
      <c r="AL43">
        <v>-0.36299999999999999</v>
      </c>
      <c r="AM43">
        <f t="shared" si="1"/>
        <v>-0.45839999999999997</v>
      </c>
      <c r="AN43" t="str">
        <f t="shared" si="2"/>
        <v>industrials</v>
      </c>
    </row>
  </sheetData>
  <autoFilter ref="T5:AL43" xr:uid="{622BF910-D166-4B1E-9A0D-C67C5690133D}">
    <sortState xmlns:xlrd2="http://schemas.microsoft.com/office/spreadsheetml/2017/richdata2" ref="T6:AL43">
      <sortCondition descending="1" ref="W5:W43"/>
    </sortState>
  </autoFilter>
  <conditionalFormatting sqref="D5:D43"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6:E43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5:F43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5:G43">
    <cfRule type="colorScale" priority="2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5:H43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:I43">
    <cfRule type="colorScale" priority="2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5:J43"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K5:K43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5:L43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5:M43"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5:N43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:O43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5:P43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6:W3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:Y4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:Z4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A4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:AB4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:AC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:AD4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4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G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:AH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I4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:AJ4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:AK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:AL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M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29 - FIA</vt:lpstr>
      <vt:lpstr>35 - SMLL</vt:lpstr>
      <vt:lpstr>36 - LP</vt:lpstr>
      <vt:lpstr>37 - ISEE</vt:lpstr>
      <vt:lpstr>Setores</vt:lpstr>
      <vt:lpstr>Mandato Ibov</vt:lpstr>
      <vt:lpstr>Mandato Smll</vt:lpstr>
      <vt:lpstr>Mandato LP</vt:lpstr>
      <vt:lpstr>Mandato ISEE</vt:lpstr>
      <vt:lpstr>Interpretação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Fonteles Guimaraes</dc:creator>
  <cp:lastModifiedBy>Paulo Roberto Fonteles Guimaraes</cp:lastModifiedBy>
  <dcterms:created xsi:type="dcterms:W3CDTF">2026-04-17T17:33:17Z</dcterms:created>
  <dcterms:modified xsi:type="dcterms:W3CDTF">2026-05-22T16:16:51Z</dcterms:modified>
</cp:coreProperties>
</file>